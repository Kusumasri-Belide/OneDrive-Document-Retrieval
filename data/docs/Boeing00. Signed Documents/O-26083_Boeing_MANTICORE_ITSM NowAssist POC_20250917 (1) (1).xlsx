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drawings/drawing8.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queryTables/queryTable1.xml" ContentType="application/vnd.openxmlformats-officedocument.spreadsheetml.queryTable+xml"/>
  <Override PartName="/xl/tables/table14.xml" ContentType="application/vnd.openxmlformats-officedocument.spreadsheetml.table+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13.xml" ContentType="application/vnd.openxmlformats-officedocument.drawing+xml"/>
  <Override PartName="/xl/tables/table19.xml" ContentType="application/vnd.openxmlformats-officedocument.spreadsheetml.table+xml"/>
  <Override PartName="/xl/tables/table20.xml" ContentType="application/vnd.openxmlformats-officedocument.spreadsheetml.table+xml"/>
  <Override PartName="/xl/drawings/drawing14.xml" ContentType="application/vnd.openxmlformats-officedocument.drawing+xml"/>
  <Override PartName="/xl/tables/table2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22.xml" ContentType="application/vnd.openxmlformats-officedocument.spreadsheetml.table+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tables/table2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date1904="1" codeName="ThisWorkbook"/>
  <mc:AlternateContent xmlns:mc="http://schemas.openxmlformats.org/markup-compatibility/2006">
    <mc:Choice Requires="x15">
      <x15ac:absPath xmlns:x15ac="http://schemas.microsoft.com/office/spreadsheetml/2010/11/ac" url="https://highmetric.sharepoint.com/teams/CF_Boeing/ps/CSPRJ0002589 - WWT Boeing ITSM POC/00. Signed Documents/"/>
    </mc:Choice>
  </mc:AlternateContent>
  <xr:revisionPtr revIDLastSave="124" documentId="8_{782E8BE2-642A-4825-8342-82DAFDF04923}" xr6:coauthVersionLast="47" xr6:coauthVersionMax="47" xr10:uidLastSave="{FED1BEBA-B0E8-4A3F-9388-BF0C76B8F7AD}"/>
  <bookViews>
    <workbookView xWindow="-120" yWindow="-120" windowWidth="38640" windowHeight="21120" tabRatio="491" firstSheet="9" activeTab="11" xr2:uid="{D1CAAB5D-4020-49B6-AAC8-F501E88B3D3F}"/>
  </bookViews>
  <sheets>
    <sheet name="Estimate - Master (2)" sheetId="35" state="hidden" r:id="rId1"/>
    <sheet name="Candace Working Notes" sheetId="22" state="hidden" r:id="rId2"/>
    <sheet name="INSTRUCTIONS" sheetId="68" r:id="rId3"/>
    <sheet name="Managed Services --&gt;" sheetId="60" r:id="rId4"/>
    <sheet name="MS - Deal Review Guidance" sheetId="64" r:id="rId5"/>
    <sheet name="MS Pricing" sheetId="61" r:id="rId6"/>
    <sheet name="MS Lookups" sheetId="62" r:id="rId7"/>
    <sheet name="Change Orders and Staff Aug --&gt;" sheetId="57" r:id="rId8"/>
    <sheet name="Manticore --&gt;" sheetId="58" r:id="rId9"/>
    <sheet name="Basic Pricing File" sheetId="59" r:id="rId10"/>
    <sheet name="Deal Review Guidance" sheetId="63" r:id="rId11"/>
    <sheet name="Oversight Guidance" sheetId="65" r:id="rId12"/>
    <sheet name="Opportunity Details" sheetId="18" r:id="rId13"/>
    <sheet name="Pricing" sheetId="47" r:id="rId14"/>
    <sheet name="Tasks and Estimates" sheetId="41" r:id="rId15"/>
    <sheet name="T&amp;E Summary" sheetId="42" r:id="rId16"/>
    <sheet name="Bill_Rates" sheetId="50" state="hidden" r:id="rId17"/>
    <sheet name="Lists (2)" sheetId="48" state="hidden" r:id="rId18"/>
    <sheet name="Variables" sheetId="44" state="hidden" r:id="rId19"/>
    <sheet name="FX" sheetId="53" state="hidden" r:id="rId20"/>
    <sheet name="Costs (2)" sheetId="51" state="hidden" r:id="rId21"/>
    <sheet name="Bill_Rates (backup)" sheetId="56" state="hidden" r:id="rId22"/>
    <sheet name="Roles" sheetId="49" state="hidden" r:id="rId23"/>
    <sheet name="SKP_Rates" sheetId="54" state="hidden" r:id="rId24"/>
    <sheet name="Estimate Summary" sheetId="13" state="hidden" r:id="rId25"/>
    <sheet name="Estimate - CSM - OLD" sheetId="37" state="hidden" r:id="rId26"/>
    <sheet name="Assumptions" sheetId="38" state="hidden" r:id="rId27"/>
    <sheet name="Milestone Fee Schedule" sheetId="39" state="hidden" r:id="rId28"/>
    <sheet name="Client Rates and Roles" sheetId="34" state="hidden" r:id="rId29"/>
    <sheet name="Estimate - Misc. Repository" sheetId="27" state="hidden" r:id="rId30"/>
    <sheet name="List" sheetId="28" state="hidden" r:id="rId31"/>
    <sheet name="Costs" sheetId="5" state="hidden" r:id="rId32"/>
    <sheet name="WBS + Timeline" sheetId="12" state="hidden" r:id="rId33"/>
    <sheet name="Resource Plan" sheetId="45" r:id="rId34"/>
    <sheet name="Deal Review Preparation" sheetId="66" r:id="rId35"/>
    <sheet name="Skills" sheetId="55" r:id="rId36"/>
    <sheet name="StdCosts and StdRates" sheetId="52" state="hidden" r:id="rId37"/>
    <sheet name="Revision History" sheetId="16" state="hidden" r:id="rId38"/>
    <sheet name="TDATE" sheetId="1" state="hidden" r:id="rId39"/>
    <sheet name="Calc" sheetId="11" state="hidden" r:id="rId40"/>
    <sheet name="Estimate - OLD" sheetId="19" state="hidden" r:id="rId41"/>
  </sheets>
  <externalReferences>
    <externalReference r:id="rId42"/>
  </externalReferences>
  <definedNames>
    <definedName name="_xlnm._FilterDatabase" localSheetId="16" hidden="1">Bill_Rates!$A$1:$P$451</definedName>
    <definedName name="_xlnm._FilterDatabase" localSheetId="21" hidden="1">'Bill_Rates (backup)'!$A$1:$P$575</definedName>
    <definedName name="_xlnm._FilterDatabase" localSheetId="28" hidden="1">'Client Rates and Roles'!$A$1:$F$433</definedName>
    <definedName name="_xlnm._FilterDatabase" localSheetId="35" hidden="1">Skills!$A$1:$A$101</definedName>
    <definedName name="_xlnm._FilterDatabase" localSheetId="14" hidden="1">'Tasks and Estimates'!$B$178:$F$209</definedName>
    <definedName name="A1_billable_hours">'[1]1.0 Pricing &amp; Role Selection'!$J$31</definedName>
    <definedName name="A1_nonbillable_hours">'[1]1.0 Pricing &amp; Role Selection'!$K$31</definedName>
    <definedName name="A10_billable_hours">'[1]1.0 Pricing &amp; Role Selection'!$J$40</definedName>
    <definedName name="A10_nonbillable_hours">'[1]1.0 Pricing &amp; Role Selection'!$K$40</definedName>
    <definedName name="A11_billable_hours">'[1]1.0 Pricing &amp; Role Selection'!$J$41</definedName>
    <definedName name="A11_nonbillable_hours">'[1]1.0 Pricing &amp; Role Selection'!$K$41</definedName>
    <definedName name="A12_billable_hours">'[1]1.0 Pricing &amp; Role Selection'!$J$42</definedName>
    <definedName name="A12_nonbillable_hours">'[1]1.0 Pricing &amp; Role Selection'!$K$42</definedName>
    <definedName name="A13_billable_hours">'[1]1.0 Pricing &amp; Role Selection'!$J$43</definedName>
    <definedName name="A13_nonbillable_hours">'[1]1.0 Pricing &amp; Role Selection'!$K$43</definedName>
    <definedName name="A14_billable_hours">'[1]1.0 Pricing &amp; Role Selection'!$J$44</definedName>
    <definedName name="A14_nonbillable_hours">'[1]1.0 Pricing &amp; Role Selection'!$K$44</definedName>
    <definedName name="A15_billable_hours">'[1]1.0 Pricing &amp; Role Selection'!$J$45</definedName>
    <definedName name="A15_nonbillable_hours">'[1]1.0 Pricing &amp; Role Selection'!$K$45</definedName>
    <definedName name="A2_billable_hours">'[1]1.0 Pricing &amp; Role Selection'!$J$32</definedName>
    <definedName name="A2_nonbillable_hours">'[1]1.0 Pricing &amp; Role Selection'!$K$32</definedName>
    <definedName name="A3_billable_hours">'[1]1.0 Pricing &amp; Role Selection'!$J$33</definedName>
    <definedName name="A3_nonbillable_hours">'[1]1.0 Pricing &amp; Role Selection'!$K$33</definedName>
    <definedName name="A4_billable_hours">'[1]1.0 Pricing &amp; Role Selection'!$J$34</definedName>
    <definedName name="A4_nonbillable_hours">'[1]1.0 Pricing &amp; Role Selection'!$K$34</definedName>
    <definedName name="A5_billable_hours">'[1]1.0 Pricing &amp; Role Selection'!$J$35</definedName>
    <definedName name="A5_nonbillable_hours">'[1]1.0 Pricing &amp; Role Selection'!$K$35</definedName>
    <definedName name="A6_billable_hours">'[1]1.0 Pricing &amp; Role Selection'!$J$36</definedName>
    <definedName name="A6_nonbillable_hours">'[1]1.0 Pricing &amp; Role Selection'!$K$36</definedName>
    <definedName name="A7_billable_hours">'[1]1.0 Pricing &amp; Role Selection'!$J$37</definedName>
    <definedName name="A7_nonbillable_hours">'[1]1.0 Pricing &amp; Role Selection'!$K$37</definedName>
    <definedName name="A8_billable_hours">'[1]1.0 Pricing &amp; Role Selection'!$J$38</definedName>
    <definedName name="A8_nonbillable_hours">'[1]1.0 Pricing &amp; Role Selection'!$K$38</definedName>
    <definedName name="A9_billable_hours">'[1]1.0 Pricing &amp; Role Selection'!$J$39</definedName>
    <definedName name="A9_nonbillable_hours">'[1]1.0 Pricing &amp; Role Selection'!$K$39</definedName>
    <definedName name="Agile_Tax" localSheetId="2">'[1]Opportunity Details'!$F$16</definedName>
    <definedName name="Agile_Tax">'Opportunity Details'!$F$16</definedName>
    <definedName name="Applications_In_Scope">'[1]2.0 Scoping'!$C$2:$D$19</definedName>
    <definedName name="B1_billable_hours">'[1]1.0 Pricing &amp; Role Selection'!$J$47</definedName>
    <definedName name="B1_nonbillable_hours">'[1]1.0 Pricing &amp; Role Selection'!$K$47</definedName>
    <definedName name="B10_billable_hours">'[1]1.0 Pricing &amp; Role Selection'!$J$56</definedName>
    <definedName name="B10_nonbillable_hours">'[1]1.0 Pricing &amp; Role Selection'!$K$56</definedName>
    <definedName name="B11_billable_hours">'[1]1.0 Pricing &amp; Role Selection'!$J$57</definedName>
    <definedName name="B11_nonbillable_hours">'[1]1.0 Pricing &amp; Role Selection'!$K$57</definedName>
    <definedName name="B12_billable_hours">'[1]1.0 Pricing &amp; Role Selection'!$J$58</definedName>
    <definedName name="B12_nonbillable_hours">'[1]1.0 Pricing &amp; Role Selection'!$K$58</definedName>
    <definedName name="B13_billable_hours">'[1]1.0 Pricing &amp; Role Selection'!$J$59</definedName>
    <definedName name="B13_nonbillable_hours">'[1]1.0 Pricing &amp; Role Selection'!$K$59</definedName>
    <definedName name="B14_billable_hours">'[1]1.0 Pricing &amp; Role Selection'!$J$60</definedName>
    <definedName name="B14_nonbillable_hours">'[1]1.0 Pricing &amp; Role Selection'!$K$60</definedName>
    <definedName name="B15_billable_hours">'[1]1.0 Pricing &amp; Role Selection'!$J$61</definedName>
    <definedName name="B15_nonbillable_hours">'[1]1.0 Pricing &amp; Role Selection'!$K$61</definedName>
    <definedName name="B2_billable_hours">'[1]1.0 Pricing &amp; Role Selection'!$J$48</definedName>
    <definedName name="B2_nonbillable_hours">'[1]1.0 Pricing &amp; Role Selection'!$K$48</definedName>
    <definedName name="B3_billable_hours">'[1]1.0 Pricing &amp; Role Selection'!$J$49</definedName>
    <definedName name="B3_nonbillable_hours">'[1]1.0 Pricing &amp; Role Selection'!$K$49</definedName>
    <definedName name="B4_billable_hours">'[1]1.0 Pricing &amp; Role Selection'!$J$50</definedName>
    <definedName name="B4_nonbillable_hours">'[1]1.0 Pricing &amp; Role Selection'!$K$50</definedName>
    <definedName name="B5_billable_hours">'[1]1.0 Pricing &amp; Role Selection'!$J$51</definedName>
    <definedName name="B5_nonbillable_hours">'[1]1.0 Pricing &amp; Role Selection'!$K$51</definedName>
    <definedName name="B6_billable_hours">'[1]1.0 Pricing &amp; Role Selection'!$J$52</definedName>
    <definedName name="B6_nonbillable_hours">'[1]1.0 Pricing &amp; Role Selection'!$K$52</definedName>
    <definedName name="B7_billable_hours">'[1]1.0 Pricing &amp; Role Selection'!$J$53</definedName>
    <definedName name="B7_nonbillable_hours">'[1]1.0 Pricing &amp; Role Selection'!$K$53</definedName>
    <definedName name="B8_billable_hours">'[1]1.0 Pricing &amp; Role Selection'!$J$54</definedName>
    <definedName name="B8_nonbillable_hours">'[1]1.0 Pricing &amp; Role Selection'!$K$54</definedName>
    <definedName name="B9_billable_hours">'[1]1.0 Pricing &amp; Role Selection'!$J$55</definedName>
    <definedName name="B9_nonbillable_hours">'[1]1.0 Pricing &amp; Role Selection'!$K$55</definedName>
    <definedName name="Client" localSheetId="2">'[1]Opportunity Details'!$C$7</definedName>
    <definedName name="Client">'Opportunity Details'!$C$7</definedName>
    <definedName name="Client_Location" localSheetId="2">'[1]Opportunity Details'!$C$14</definedName>
    <definedName name="Client_Location">'Opportunity Details'!$C$14</definedName>
    <definedName name="CLOSE_END" localSheetId="2">'[1]T&amp;E Summary'!$AF$7</definedName>
    <definedName name="CLOSE_END">'T&amp;E Summary'!$AF$7</definedName>
    <definedName name="Close_Length" localSheetId="2">'[1]T&amp;E Summary'!$C$7</definedName>
    <definedName name="Close_Length">'T&amp;E Summary'!$C$7</definedName>
    <definedName name="CLOSE_START" localSheetId="2">'[1]T&amp;E Summary'!$AE$7</definedName>
    <definedName name="CLOSE_START">'T&amp;E Summary'!$AE$7</definedName>
    <definedName name="Contract_Type" localSheetId="2">'[1]Opportunity Details'!$F$14</definedName>
    <definedName name="Contract_Type">'Opportunity Details'!$F$14</definedName>
    <definedName name="ContractorRate" localSheetId="2">#REF!</definedName>
    <definedName name="ContractorRate" localSheetId="32">#REF!</definedName>
    <definedName name="ContractorRate">#REF!</definedName>
    <definedName name="currencyTables" localSheetId="32">#REF!</definedName>
    <definedName name="Date" localSheetId="2">'[1]Opportunity Details'!$F$3</definedName>
    <definedName name="Date">'Opportunity Details'!$F$3</definedName>
    <definedName name="DELIVER_END" localSheetId="2">'[1]T&amp;E Summary'!$AF$6</definedName>
    <definedName name="DELIVER_END">'T&amp;E Summary'!$AF$6</definedName>
    <definedName name="Deliver_Length" localSheetId="2">'[1]T&amp;E Summary'!$C$6</definedName>
    <definedName name="Deliver_Length">'T&amp;E Summary'!$C$6</definedName>
    <definedName name="DELIVER_START" localSheetId="2">'[1]T&amp;E Summary'!$AE$6</definedName>
    <definedName name="DELIVER_START">'T&amp;E Summary'!$AE$6</definedName>
    <definedName name="DepartmentNumber" localSheetId="2">#REF!</definedName>
    <definedName name="DepartmentNumber">#REF!</definedName>
    <definedName name="Engagement_Title" localSheetId="2">'[1]Opportunity Details'!$C$4</definedName>
    <definedName name="Engagement_Title">'Opportunity Details'!$C$4</definedName>
    <definedName name="EXECUTE_END" localSheetId="2">'[1]T&amp;E Summary'!$AF$5</definedName>
    <definedName name="EXECUTE_END">'T&amp;E Summary'!$AF$5</definedName>
    <definedName name="Execute_Length" localSheetId="2">'[1]T&amp;E Summary'!$C$5</definedName>
    <definedName name="Execute_Length">'T&amp;E Summary'!$C$5</definedName>
    <definedName name="EXECUTE_START" localSheetId="2">'[1]T&amp;E Summary'!$AE$5</definedName>
    <definedName name="EXECUTE_START">'T&amp;E Summary'!$AE$5</definedName>
    <definedName name="Exp_Opp_Close" localSheetId="2">'[1]Opportunity Details'!$C$18</definedName>
    <definedName name="Exp_Opp_Close">'Opportunity Details'!$C$18</definedName>
    <definedName name="Exp_Opp_Close_New">'[1]1.0 Pricing &amp; Role Selection'!$E$16</definedName>
    <definedName name="Exp_Proj_Start" localSheetId="2">'[1]Opportunity Details'!$F$18</definedName>
    <definedName name="Exp_Proj_Start">'Opportunity Details'!$F$18</definedName>
    <definedName name="Exp_Project_Start_Date_New">'[1]1.0 Pricing &amp; Role Selection'!$E$18</definedName>
    <definedName name="ExternalData_1" localSheetId="17" hidden="1">'Lists (2)'!$AA$1:$AC$101</definedName>
    <definedName name="FromArray_1">_xlfn.ANCHORARRAY('[1]Scoping Baseline Estimates'!#REF!)</definedName>
    <definedName name="grandTotals" localSheetId="32">#REF!</definedName>
    <definedName name="High_Level_Phase">'[1]3.0 Allocate Hours'!#REF!</definedName>
    <definedName name="Hours" localSheetId="2">'[1]Tasks and Estimates'!$L$2:$L$153,'[1]Tasks and Estimates'!$M$2:$M$153,'[1]Tasks and Estimates'!$N$2:$N$153,'[1]Tasks and Estimates'!$O$2:$O$153,'[1]Tasks and Estimates'!$P$2:$P$153,'[1]Tasks and Estimates'!$Q$2:$Q$153,'[1]Tasks and Estimates'!$R$2:$R$153,'[1]Tasks and Estimates'!$S$2:$S$153,'[1]Tasks and Estimates'!$T$2:$T$153,'[1]Tasks and Estimates'!$U$2:$U$153,'[1]Tasks and Estimates'!$V$2:$V$153,'[1]Tasks and Estimates'!$W$2:$W$153,'[1]Tasks and Estimates'!$X$2:$X$153,'[1]Tasks and Estimates'!$Y$2:$Y$153,'[1]Tasks and Estimates'!$Z$2:$Z$153</definedName>
    <definedName name="Hours">'Tasks and Estimates'!$L$2:$L$151,'Tasks and Estimates'!$M$2:$M$151,'Tasks and Estimates'!$N$2:$N$151,'Tasks and Estimates'!$O$2:$O$151,'Tasks and Estimates'!$P$2:$P$151,'Tasks and Estimates'!$Q$2:$Q$151,'Tasks and Estimates'!$R$2:$R$151,'Tasks and Estimates'!$S$2:$S$151,'Tasks and Estimates'!$T$2:$T$151,'Tasks and Estimates'!$U$2:$U$151,'Tasks and Estimates'!$V$2:$V$151,'Tasks and Estimates'!$W$2:$W$151,'Tasks and Estimates'!$X$2:$X$151,'Tasks and Estimates'!$Y$2:$Y$151,'Tasks and Estimates'!$Z$2:$Z$151</definedName>
    <definedName name="Hours_wo_Oversight">Variables!$E$5</definedName>
    <definedName name="India_Leverage" localSheetId="2">'[1]Opportunity Details'!$C$16</definedName>
    <definedName name="India_Leverage">'Opportunity Details'!$C$16</definedName>
    <definedName name="INITIATE_END" localSheetId="2">'[1]T&amp;E Summary'!$AF$3</definedName>
    <definedName name="INITIATE_END">'T&amp;E Summary'!$AF$3</definedName>
    <definedName name="Initiate_Length" localSheetId="2">'[1]T&amp;E Summary'!$C$3</definedName>
    <definedName name="Initiate_Length">'T&amp;E Summary'!$C$3</definedName>
    <definedName name="INITIATE_START">'T&amp;E Summary'!$AE$3</definedName>
    <definedName name="ITSM" localSheetId="2">#REF!</definedName>
    <definedName name="ITSM">#REF!</definedName>
    <definedName name="ITSM_SCOPE" localSheetId="2">#REF!</definedName>
    <definedName name="ITSM_SCOPE">#REF!</definedName>
    <definedName name="New_Close_Length">'[1]3.0 Allocate Hours'!$AM$8</definedName>
    <definedName name="New_Deliver_Length">'[1]3.0 Allocate Hours'!$AM$7</definedName>
    <definedName name="New_Execute_Length">'[1]3.0 Allocate Hours'!$AM$6</definedName>
    <definedName name="New_Initiate_Length">'[1]3.0 Allocate Hours'!$AM$4</definedName>
    <definedName name="New_Oversight_Role_1">'[1]1.0 Pricing &amp; Role Selection'!$BH$31</definedName>
    <definedName name="New_Oversight_Role_10">'[1]1.0 Pricing &amp; Role Selection'!$BH$40</definedName>
    <definedName name="New_Oversight_Role_11">'[1]1.0 Pricing &amp; Role Selection'!$BH$41</definedName>
    <definedName name="New_Oversight_Role_12">'[1]1.0 Pricing &amp; Role Selection'!$BH$42</definedName>
    <definedName name="New_Oversight_Role_13">'[1]1.0 Pricing &amp; Role Selection'!$BH$43</definedName>
    <definedName name="New_Oversight_Role_14">'[1]1.0 Pricing &amp; Role Selection'!$BH$44</definedName>
    <definedName name="New_Oversight_Role_15">'[1]1.0 Pricing &amp; Role Selection'!$BH$45</definedName>
    <definedName name="New_Oversight_Role_2">'[1]1.0 Pricing &amp; Role Selection'!$BH$32</definedName>
    <definedName name="New_Oversight_Role_3">'[1]1.0 Pricing &amp; Role Selection'!$BH$33</definedName>
    <definedName name="New_Oversight_Role_4">'[1]1.0 Pricing &amp; Role Selection'!$BH$34</definedName>
    <definedName name="New_Oversight_Role_5">'[1]1.0 Pricing &amp; Role Selection'!$BH$35</definedName>
    <definedName name="New_Oversight_Role_6">'[1]1.0 Pricing &amp; Role Selection'!$BH$36</definedName>
    <definedName name="New_Oversight_Role_7">'[1]1.0 Pricing &amp; Role Selection'!$BH$37</definedName>
    <definedName name="New_Oversight_Role_8">'[1]1.0 Pricing &amp; Role Selection'!$BH$38</definedName>
    <definedName name="New_Oversight_Role_9">'[1]1.0 Pricing &amp; Role Selection'!$BH$39</definedName>
    <definedName name="New_Plan_Length">'[1]3.0 Allocate Hours'!$AM$5</definedName>
    <definedName name="New_Role_1">'[1]1.0 Pricing &amp; Role Selection'!$BH$47</definedName>
    <definedName name="New_Role_10">'[1]1.0 Pricing &amp; Role Selection'!$BH$56</definedName>
    <definedName name="New_Role_11">'[1]1.0 Pricing &amp; Role Selection'!$BH$57</definedName>
    <definedName name="New_Role_12">'[1]1.0 Pricing &amp; Role Selection'!$BH$58</definedName>
    <definedName name="New_Role_13">'[1]1.0 Pricing &amp; Role Selection'!$BH$59</definedName>
    <definedName name="New_Role_14">'[1]1.0 Pricing &amp; Role Selection'!$BH$60</definedName>
    <definedName name="New_Role_15">'[1]1.0 Pricing &amp; Role Selection'!$BH$61</definedName>
    <definedName name="New_Role_2">'[1]1.0 Pricing &amp; Role Selection'!$BH$48</definedName>
    <definedName name="New_Role_3">'[1]1.0 Pricing &amp; Role Selection'!$BH$49</definedName>
    <definedName name="New_Role_4">'[1]1.0 Pricing &amp; Role Selection'!$BH$50</definedName>
    <definedName name="New_Role_5">'[1]1.0 Pricing &amp; Role Selection'!$BH$51</definedName>
    <definedName name="New_Role_6">'[1]1.0 Pricing &amp; Role Selection'!$BH$52</definedName>
    <definedName name="New_Role_7">'[1]1.0 Pricing &amp; Role Selection'!$BH$53</definedName>
    <definedName name="New_Role_8">'[1]1.0 Pricing &amp; Role Selection'!$BH$54</definedName>
    <definedName name="New_Role_9">'[1]1.0 Pricing &amp; Role Selection'!$BH$55</definedName>
    <definedName name="Partner" localSheetId="2">'[1]Opportunity Details'!$F$15</definedName>
    <definedName name="Partner">'Opportunity Details'!$F$15</definedName>
    <definedName name="PHASES" localSheetId="9">TandE[[#All],[Phase]]</definedName>
    <definedName name="PHASES" localSheetId="21">TandE[[#All],[Phase]]</definedName>
    <definedName name="PHASES" localSheetId="2">[1]!TandE[[#All],[Phase]]</definedName>
    <definedName name="PHASES" localSheetId="5">TandE[[#All],[Phase]]</definedName>
    <definedName name="PHASES" localSheetId="11">TandE[[#All],[Phase]]</definedName>
    <definedName name="PHASES">TandE[[#All],[Phase]]</definedName>
    <definedName name="PLAN_END" localSheetId="2">'[1]T&amp;E Summary'!$AF$4</definedName>
    <definedName name="PLAN_END">'T&amp;E Summary'!$AF$4</definedName>
    <definedName name="Plan_Length" localSheetId="2">'[1]T&amp;E Summary'!$C$4</definedName>
    <definedName name="Plan_Length">'T&amp;E Summary'!$C$4</definedName>
    <definedName name="PLAN_START" localSheetId="2">'[1]T&amp;E Summary'!$AE$4</definedName>
    <definedName name="PLAN_START">'T&amp;E Summary'!$AE$4</definedName>
    <definedName name="Practice" localSheetId="2">'[1]Opportunity Details'!$C$11</definedName>
    <definedName name="Practice">'Opportunity Details'!$C$11</definedName>
    <definedName name="Practice_Capability" localSheetId="2">'[1]Opportunity Details'!$C$12</definedName>
    <definedName name="Practice_Capability">'Opportunity Details'!$C$12</definedName>
    <definedName name="Pre_Sales_Lead" localSheetId="2">'[1]Opportunity Details'!$C$9</definedName>
    <definedName name="Pre_Sales_Lead">'Opportunity Details'!$C$9</definedName>
    <definedName name="PRICING_TABLE" localSheetId="25">Table1453[]</definedName>
    <definedName name="PRICING_TABLE" localSheetId="0">Table1456[]</definedName>
    <definedName name="PRICING_TABLE" localSheetId="2">#REF!</definedName>
    <definedName name="PRICING_TABLE">#REF!</definedName>
    <definedName name="_xlnm.Print_Area" localSheetId="9">'Basic Pricing File'!$A$1:$X$69</definedName>
    <definedName name="_xlnm.Print_Area" localSheetId="24">'Estimate Summary'!#REF!</definedName>
    <definedName name="_xlnm.Print_Area" localSheetId="5">'MS Pricing'!$B$1:$Y$75</definedName>
    <definedName name="_xlnm.Print_Area" localSheetId="13">Pricing!$A$1:$AH$59</definedName>
    <definedName name="_xlnm.Print_Area" localSheetId="38">TDATE!$A$1:$H$63</definedName>
    <definedName name="RATES">'Client Rates and Roles'!$A$1:$F$433</definedName>
    <definedName name="removeAuto" localSheetId="32">#REF!</definedName>
    <definedName name="Role_1" localSheetId="2">'[1]Tasks and Estimates'!$C$157</definedName>
    <definedName name="Role_1">'Tasks and Estimates'!$C$155</definedName>
    <definedName name="ROLE_1_HOURS" localSheetId="9">TandE[[#All],[Role 1]]</definedName>
    <definedName name="ROLE_1_HOURS" localSheetId="21">TandE[[#All],[Role 1]]</definedName>
    <definedName name="ROLE_1_HOURS" localSheetId="2">[1]!TandE[[#All],[Role 1]]</definedName>
    <definedName name="ROLE_1_HOURS" localSheetId="5">TandE[[#All],[Role 1]]</definedName>
    <definedName name="ROLE_1_HOURS" localSheetId="11">TandE[[#All],[Role 1]]</definedName>
    <definedName name="ROLE_1_HOURS">TandE[[#All],[Role 1]]</definedName>
    <definedName name="Role_10" localSheetId="2">'[1]Tasks and Estimates'!$C$166</definedName>
    <definedName name="Role_10">'Tasks and Estimates'!$C$164</definedName>
    <definedName name="Role_11" localSheetId="2">'[1]Tasks and Estimates'!$C$167</definedName>
    <definedName name="Role_11">'Tasks and Estimates'!$C$165</definedName>
    <definedName name="Role_12" localSheetId="2">'[1]Tasks and Estimates'!$C$168</definedName>
    <definedName name="Role_12">'Tasks and Estimates'!$C$166</definedName>
    <definedName name="Role_13" localSheetId="2">'[1]Tasks and Estimates'!$C$169</definedName>
    <definedName name="Role_13">'Tasks and Estimates'!$C$167</definedName>
    <definedName name="Role_14" localSheetId="2">'[1]Tasks and Estimates'!$C$170</definedName>
    <definedName name="Role_14">'Tasks and Estimates'!$C$168</definedName>
    <definedName name="Role_15" localSheetId="2">'[1]Tasks and Estimates'!$C$171</definedName>
    <definedName name="Role_15">'Tasks and Estimates'!$C$169</definedName>
    <definedName name="Role_2" localSheetId="2">'[1]Tasks and Estimates'!$C$158</definedName>
    <definedName name="Role_2">'Tasks and Estimates'!$C$156</definedName>
    <definedName name="Role_3" localSheetId="2">'[1]Tasks and Estimates'!$C$159</definedName>
    <definedName name="Role_3">'Tasks and Estimates'!$C$157</definedName>
    <definedName name="Role_4" localSheetId="2">'[1]Tasks and Estimates'!$C$160</definedName>
    <definedName name="Role_4">'Tasks and Estimates'!$C$158</definedName>
    <definedName name="Role_5" localSheetId="2">'[1]Tasks and Estimates'!$C$161</definedName>
    <definedName name="Role_5">'Tasks and Estimates'!$C$159</definedName>
    <definedName name="Role_6" localSheetId="2">'[1]Tasks and Estimates'!$C$162</definedName>
    <definedName name="Role_6">'Tasks and Estimates'!$C$160</definedName>
    <definedName name="Role_7" localSheetId="2">'[1]Tasks and Estimates'!$C$163</definedName>
    <definedName name="Role_7">'Tasks and Estimates'!$C$161</definedName>
    <definedName name="Role_8" localSheetId="2">'[1]Tasks and Estimates'!$C$164</definedName>
    <definedName name="Role_8">'Tasks and Estimates'!$C$162</definedName>
    <definedName name="Role_9" localSheetId="2">'[1]Tasks and Estimates'!$C$165</definedName>
    <definedName name="Role_9">'Tasks and Estimates'!$C$163</definedName>
    <definedName name="Role1_OvSight" localSheetId="2">'[1]Tasks and Estimates'!$K$157,'[1]Tasks and Estimates'!$M$157,'[1]Tasks and Estimates'!$O$157,'[1]Tasks and Estimates'!$Q$157,'[1]Tasks and Estimates'!$S$157</definedName>
    <definedName name="Role1_OvSight">'Tasks and Estimates'!$K$155,'Tasks and Estimates'!$M$155,'Tasks and Estimates'!$O$155,'Tasks and Estimates'!$Q$155,'Tasks and Estimates'!$S$155</definedName>
    <definedName name="Role10_OvSight" localSheetId="2">'[1]Tasks and Estimates'!$K$166,'[1]Tasks and Estimates'!$M$166,'[1]Tasks and Estimates'!$O$166,'[1]Tasks and Estimates'!$Q$166,'[1]Tasks and Estimates'!$S$166</definedName>
    <definedName name="Role10_OvSight">'Tasks and Estimates'!$K$164,'Tasks and Estimates'!$M$164,'Tasks and Estimates'!$O$164,'Tasks and Estimates'!$Q$164,'Tasks and Estimates'!$S$164</definedName>
    <definedName name="Role11_OvSight" localSheetId="2">'[1]Tasks and Estimates'!$K$167,'[1]Tasks and Estimates'!$M$167,'[1]Tasks and Estimates'!$O$167,'[1]Tasks and Estimates'!$Q$167,'[1]Tasks and Estimates'!$S$167</definedName>
    <definedName name="Role11_OvSight">'Tasks and Estimates'!$K$165,'Tasks and Estimates'!$M$165,'Tasks and Estimates'!$O$165,'Tasks and Estimates'!$Q$165,'Tasks and Estimates'!$S$165</definedName>
    <definedName name="Role12_OvSight" localSheetId="2">'[1]Tasks and Estimates'!$K$168,'[1]Tasks and Estimates'!$M$168,'[1]Tasks and Estimates'!$O$168,'[1]Tasks and Estimates'!$Q$168,'[1]Tasks and Estimates'!$S$168</definedName>
    <definedName name="Role12_OvSight">'Tasks and Estimates'!$K$166,'Tasks and Estimates'!$M$166,'Tasks and Estimates'!$O$166,'Tasks and Estimates'!$Q$166,'Tasks and Estimates'!$S$166</definedName>
    <definedName name="Role13_OvSight" localSheetId="2">'[1]Tasks and Estimates'!$K$169,'[1]Tasks and Estimates'!$M$169,'[1]Tasks and Estimates'!$O$169,'[1]Tasks and Estimates'!$Q$169,'[1]Tasks and Estimates'!$S$169</definedName>
    <definedName name="Role13_OvSight">'Tasks and Estimates'!$K$167,'Tasks and Estimates'!$M$167,'Tasks and Estimates'!$O$167,'Tasks and Estimates'!$Q$167,'Tasks and Estimates'!$S$167</definedName>
    <definedName name="Role14_OvSight" localSheetId="2">'[1]Tasks and Estimates'!$K$170,'[1]Tasks and Estimates'!$M$170,'[1]Tasks and Estimates'!$O$170,'[1]Tasks and Estimates'!$Q$170,'[1]Tasks and Estimates'!$S$170</definedName>
    <definedName name="Role14_OvSight">'Tasks and Estimates'!$K$168,'Tasks and Estimates'!$M$168,'Tasks and Estimates'!$O$168,'Tasks and Estimates'!$Q$168,'Tasks and Estimates'!$S$168</definedName>
    <definedName name="Role15_OvSight" localSheetId="2">'[1]Tasks and Estimates'!$K$171,'[1]Tasks and Estimates'!$M$171,'[1]Tasks and Estimates'!$O$171,'[1]Tasks and Estimates'!$Q$171,'[1]Tasks and Estimates'!$S$171</definedName>
    <definedName name="Role15_OvSight">'Tasks and Estimates'!$K$169,'Tasks and Estimates'!$M$169,'Tasks and Estimates'!$O$169,'Tasks and Estimates'!$Q$169,'Tasks and Estimates'!$S$169</definedName>
    <definedName name="Role2_OvSight" localSheetId="2">'[1]Tasks and Estimates'!$K$158,'[1]Tasks and Estimates'!$M$158,'[1]Tasks and Estimates'!$O$158,'[1]Tasks and Estimates'!$Q$158,'[1]Tasks and Estimates'!$S$158</definedName>
    <definedName name="Role2_OvSight">'Tasks and Estimates'!$K$156,'Tasks and Estimates'!$M$156,'Tasks and Estimates'!$O$156,'Tasks and Estimates'!$Q$156,'Tasks and Estimates'!$S$156</definedName>
    <definedName name="Role3_OvSight" localSheetId="2">'[1]Tasks and Estimates'!$K$159,'[1]Tasks and Estimates'!$M$159,'[1]Tasks and Estimates'!$O$159,'[1]Tasks and Estimates'!$Q$159,'[1]Tasks and Estimates'!$S$159</definedName>
    <definedName name="Role3_OvSight">'Tasks and Estimates'!$K$157,'Tasks and Estimates'!$M$157,'Tasks and Estimates'!$O$157,'Tasks and Estimates'!$Q$157,'Tasks and Estimates'!$S$157</definedName>
    <definedName name="Role4_OvSight" localSheetId="2">'[1]Tasks and Estimates'!$K$160,'[1]Tasks and Estimates'!$M$160,'[1]Tasks and Estimates'!$O$160,'[1]Tasks and Estimates'!$Q$160,'[1]Tasks and Estimates'!$S$160</definedName>
    <definedName name="Role4_OvSight">'Tasks and Estimates'!$K$158,'Tasks and Estimates'!$M$158,'Tasks and Estimates'!$O$158,'Tasks and Estimates'!$Q$158,'Tasks and Estimates'!$S$158</definedName>
    <definedName name="Role5_OvSight" localSheetId="2">'[1]Tasks and Estimates'!$K$161,'[1]Tasks and Estimates'!$M$161,'[1]Tasks and Estimates'!$O$161,'[1]Tasks and Estimates'!$Q$161,'[1]Tasks and Estimates'!$S$161</definedName>
    <definedName name="Role5_OvSight">'Tasks and Estimates'!$K$159,'Tasks and Estimates'!$M$159,'Tasks and Estimates'!$O$159,'Tasks and Estimates'!$Q$159,'Tasks and Estimates'!$S$159</definedName>
    <definedName name="Role6_OvSight" localSheetId="2">'[1]Tasks and Estimates'!$K$162,'[1]Tasks and Estimates'!$M$162,'[1]Tasks and Estimates'!$O$162,'[1]Tasks and Estimates'!$Q$162,'[1]Tasks and Estimates'!$S$162</definedName>
    <definedName name="Role6_OvSight">'Tasks and Estimates'!$K$160,'Tasks and Estimates'!$M$160,'Tasks and Estimates'!$O$160,'Tasks and Estimates'!$Q$160,'Tasks and Estimates'!$S$160</definedName>
    <definedName name="Role7_OvSight" localSheetId="2">'[1]Tasks and Estimates'!$K$163,'[1]Tasks and Estimates'!$M$163,'[1]Tasks and Estimates'!$O$163,'[1]Tasks and Estimates'!$Q$163,'[1]Tasks and Estimates'!$S$163</definedName>
    <definedName name="Role7_OvSight">'Tasks and Estimates'!$K$161,'Tasks and Estimates'!$M$161,'Tasks and Estimates'!$O$161,'Tasks and Estimates'!$Q$161,'Tasks and Estimates'!$S$161</definedName>
    <definedName name="Role8_OvSight" localSheetId="2">'[1]Tasks and Estimates'!$K$164,'[1]Tasks and Estimates'!$M$164,'[1]Tasks and Estimates'!$O$164,'[1]Tasks and Estimates'!$Q$164,'[1]Tasks and Estimates'!$S$164</definedName>
    <definedName name="Role8_OvSight">'Tasks and Estimates'!$K$162,'Tasks and Estimates'!$M$162,'Tasks and Estimates'!$O$162,'Tasks and Estimates'!$Q$162,'Tasks and Estimates'!$S$162</definedName>
    <definedName name="Role9_OvSight" localSheetId="2">'[1]Tasks and Estimates'!$K$165,'[1]Tasks and Estimates'!$M$165,'[1]Tasks and Estimates'!$O$165,'[1]Tasks and Estimates'!$Q$165,'[1]Tasks and Estimates'!$S$165</definedName>
    <definedName name="Role9_OvSight">'Tasks and Estimates'!$K$163,'Tasks and Estimates'!$M$163,'Tasks and Estimates'!$O$163,'Tasks and Estimates'!$Q$163,'Tasks and Estimates'!$S$163</definedName>
    <definedName name="ROLES" localSheetId="2">[1]List!$J$2:$J$18</definedName>
    <definedName name="ROLES">List!$J$2:$J$18</definedName>
    <definedName name="Sales_Lead" localSheetId="2">'[1]Opportunity Details'!$C$8</definedName>
    <definedName name="Sales_Lead">'Opportunity Details'!$C$8</definedName>
    <definedName name="ScopingLookup_Answer">'[1]Scoping Baseline Estimates'!$C:$J</definedName>
    <definedName name="secondTotals" localSheetId="32">#REF!</definedName>
    <definedName name="SF_ID" localSheetId="2">'[1]Opportunity Details'!$C$3</definedName>
    <definedName name="SF_ID">'Opportunity Details'!$C$3</definedName>
    <definedName name="SKILLS" localSheetId="2">[1]Skills!$A:$A</definedName>
    <definedName name="SKILLS">Skills!$A:$A</definedName>
    <definedName name="StandardCosts" localSheetId="2">#REF!</definedName>
    <definedName name="StandardCosts" localSheetId="32">#REF!</definedName>
    <definedName name="StandardCosts">#REF!</definedName>
    <definedName name="StandardCostSheet" localSheetId="2">#REF!</definedName>
    <definedName name="StandardCostSheet" localSheetId="32">#REF!</definedName>
    <definedName name="StandardCostSheet">#REF!</definedName>
    <definedName name="TandE_Role_1" localSheetId="9">TandE[[#All],[Role 1]]</definedName>
    <definedName name="TandE_Role_1" localSheetId="21">TandE[[#All],[Role 1]]</definedName>
    <definedName name="TandE_Role_1" localSheetId="2">[1]!TandE[[#All],[Role 1]]</definedName>
    <definedName name="TandE_Role_1" localSheetId="5">TandE[[#All],[Role 1]]</definedName>
    <definedName name="TandE_Role_1" localSheetId="11">TandE[[#All],[Role 1]]</definedName>
    <definedName name="TandE_Role_1">TandE[[#All],[Role 1]]</definedName>
    <definedName name="templateRange" localSheetId="32">#REF!</definedName>
    <definedName name="totalsLines" localSheetId="32">#REF!</definedName>
    <definedName name="ValidCodes" localSheetId="2">#REF!</definedName>
    <definedName name="ValidCodes" localSheetId="32">#REF!</definedName>
    <definedName name="ValidCodes">#REF!</definedName>
    <definedName name="Varies">"Varies"</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2" i="47" l="1" a="1"/>
  <c r="C32" i="47" s="1"/>
  <c r="C33" i="47" a="1"/>
  <c r="C33" i="47" s="1"/>
  <c r="Z125" i="41"/>
  <c r="Z124" i="41"/>
  <c r="Z60" i="41"/>
  <c r="E13" i="47"/>
  <c r="E14" i="47"/>
  <c r="E18" i="47"/>
  <c r="C30" i="59" a="1"/>
  <c r="C30" i="59" s="1"/>
  <c r="C29" i="59"/>
  <c r="C29" i="59" a="1"/>
  <c r="C28" i="59" a="1"/>
  <c r="C28" i="59" s="1"/>
  <c r="C27" i="59"/>
  <c r="C27" i="59" a="1"/>
  <c r="A41" i="52" l="1"/>
  <c r="O501" i="50"/>
  <c r="O6" i="50"/>
  <c r="O7" i="50"/>
  <c r="O8" i="50"/>
  <c r="O9" i="50"/>
  <c r="O10" i="50"/>
  <c r="O11" i="50"/>
  <c r="O12" i="50"/>
  <c r="O13" i="50"/>
  <c r="O14" i="50"/>
  <c r="O15" i="50"/>
  <c r="O16" i="50"/>
  <c r="O17" i="50"/>
  <c r="O18" i="50"/>
  <c r="O19" i="50"/>
  <c r="O20" i="50"/>
  <c r="O21" i="50"/>
  <c r="O22" i="50"/>
  <c r="O23" i="50"/>
  <c r="O24" i="50"/>
  <c r="O25" i="50"/>
  <c r="O26" i="50"/>
  <c r="O27" i="50"/>
  <c r="O28" i="50"/>
  <c r="O29" i="50"/>
  <c r="O30" i="50"/>
  <c r="O31" i="50"/>
  <c r="O32" i="50"/>
  <c r="O33" i="50"/>
  <c r="O34" i="50"/>
  <c r="O35" i="50"/>
  <c r="O36" i="50"/>
  <c r="O37" i="50"/>
  <c r="O38" i="50"/>
  <c r="O39" i="50"/>
  <c r="O40" i="50"/>
  <c r="O41" i="50"/>
  <c r="O42" i="50"/>
  <c r="O43" i="50"/>
  <c r="O44" i="50"/>
  <c r="O45" i="50"/>
  <c r="O46" i="50"/>
  <c r="O47" i="50"/>
  <c r="O48" i="50"/>
  <c r="O49" i="50"/>
  <c r="O50" i="50"/>
  <c r="O51" i="50"/>
  <c r="O52" i="50"/>
  <c r="O53" i="50"/>
  <c r="O54" i="50"/>
  <c r="O55" i="50"/>
  <c r="O56" i="50"/>
  <c r="O57" i="50"/>
  <c r="O58" i="50"/>
  <c r="O59" i="50"/>
  <c r="O60" i="50"/>
  <c r="O61" i="50"/>
  <c r="O62" i="50"/>
  <c r="O63" i="50"/>
  <c r="O64" i="50"/>
  <c r="O65" i="50"/>
  <c r="O66" i="50"/>
  <c r="O67" i="50"/>
  <c r="O68" i="50"/>
  <c r="O69" i="50"/>
  <c r="O70" i="50"/>
  <c r="O71" i="50"/>
  <c r="O72" i="50"/>
  <c r="O73" i="50"/>
  <c r="O74" i="50"/>
  <c r="O75" i="50"/>
  <c r="O76" i="50"/>
  <c r="O77" i="50"/>
  <c r="O78" i="50"/>
  <c r="O79" i="50"/>
  <c r="O80" i="50"/>
  <c r="O81" i="50"/>
  <c r="O82" i="50"/>
  <c r="O83" i="50"/>
  <c r="O84" i="50"/>
  <c r="O85" i="50"/>
  <c r="O86" i="50"/>
  <c r="O87" i="50"/>
  <c r="O88" i="50"/>
  <c r="O89" i="50"/>
  <c r="O90" i="50"/>
  <c r="O91" i="50"/>
  <c r="O92" i="50"/>
  <c r="O93" i="50"/>
  <c r="O94" i="50"/>
  <c r="O95" i="50"/>
  <c r="O96" i="50"/>
  <c r="O97" i="50"/>
  <c r="O98" i="50"/>
  <c r="O99" i="50"/>
  <c r="O100" i="50"/>
  <c r="O101" i="50"/>
  <c r="O102" i="50"/>
  <c r="O103" i="50"/>
  <c r="O104" i="50"/>
  <c r="O105" i="50"/>
  <c r="O106" i="50"/>
  <c r="O107" i="50"/>
  <c r="O108" i="50"/>
  <c r="O109" i="50"/>
  <c r="O110" i="50"/>
  <c r="O111" i="50"/>
  <c r="O112" i="50"/>
  <c r="O113" i="50"/>
  <c r="O114" i="50"/>
  <c r="O115" i="50"/>
  <c r="O116" i="50"/>
  <c r="O117" i="50"/>
  <c r="O118" i="50"/>
  <c r="O119" i="50"/>
  <c r="O120" i="50"/>
  <c r="O121" i="50"/>
  <c r="O122" i="50"/>
  <c r="O123" i="50"/>
  <c r="O124" i="50"/>
  <c r="O125" i="50"/>
  <c r="O126" i="50"/>
  <c r="O127" i="50"/>
  <c r="O128" i="50"/>
  <c r="O129" i="50"/>
  <c r="O130" i="50"/>
  <c r="O131" i="50"/>
  <c r="O132" i="50"/>
  <c r="O133" i="50"/>
  <c r="O134" i="50"/>
  <c r="O135" i="50"/>
  <c r="O136" i="50"/>
  <c r="O137" i="50"/>
  <c r="O138" i="50"/>
  <c r="O139" i="50"/>
  <c r="O140" i="50"/>
  <c r="O141" i="50"/>
  <c r="O142" i="50"/>
  <c r="O143" i="50"/>
  <c r="O144" i="50"/>
  <c r="O145" i="50"/>
  <c r="O146" i="50"/>
  <c r="O147" i="50"/>
  <c r="O148" i="50"/>
  <c r="O149" i="50"/>
  <c r="O150" i="50"/>
  <c r="O151" i="50"/>
  <c r="O152" i="50"/>
  <c r="O153" i="50"/>
  <c r="O154" i="50"/>
  <c r="O155" i="50"/>
  <c r="O156" i="50"/>
  <c r="O157" i="50"/>
  <c r="O158" i="50"/>
  <c r="O159" i="50"/>
  <c r="O160" i="50"/>
  <c r="O161" i="50"/>
  <c r="O162" i="50"/>
  <c r="O163" i="50"/>
  <c r="O164" i="50"/>
  <c r="O165" i="50"/>
  <c r="O166" i="50"/>
  <c r="O167" i="50"/>
  <c r="O168" i="50"/>
  <c r="O169" i="50"/>
  <c r="O170" i="50"/>
  <c r="O171" i="50"/>
  <c r="O172" i="50"/>
  <c r="O173" i="50"/>
  <c r="O174" i="50"/>
  <c r="O175" i="50"/>
  <c r="O176" i="50"/>
  <c r="O177" i="50"/>
  <c r="O178" i="50"/>
  <c r="O179" i="50"/>
  <c r="O180" i="50"/>
  <c r="O181" i="50"/>
  <c r="O182" i="50"/>
  <c r="O183" i="50"/>
  <c r="O184" i="50"/>
  <c r="O185" i="50"/>
  <c r="O186" i="50"/>
  <c r="O187" i="50"/>
  <c r="O188" i="50"/>
  <c r="O189" i="50"/>
  <c r="O190" i="50"/>
  <c r="O191" i="50"/>
  <c r="O192" i="50"/>
  <c r="O193" i="50"/>
  <c r="O194" i="50"/>
  <c r="O195" i="50"/>
  <c r="O196" i="50"/>
  <c r="O197" i="50"/>
  <c r="O198" i="50"/>
  <c r="O199" i="50"/>
  <c r="O200" i="50"/>
  <c r="O201" i="50"/>
  <c r="O202" i="50"/>
  <c r="O203" i="50"/>
  <c r="O204" i="50"/>
  <c r="O205" i="50"/>
  <c r="O206" i="50"/>
  <c r="O207" i="50"/>
  <c r="O208" i="50"/>
  <c r="O209" i="50"/>
  <c r="O210" i="50"/>
  <c r="O211" i="50"/>
  <c r="O212" i="50"/>
  <c r="O213" i="50"/>
  <c r="O214" i="50"/>
  <c r="O215" i="50"/>
  <c r="O216" i="50"/>
  <c r="O217" i="50"/>
  <c r="O218" i="50"/>
  <c r="O219" i="50"/>
  <c r="O220" i="50"/>
  <c r="O221" i="50"/>
  <c r="O222" i="50"/>
  <c r="O223" i="50"/>
  <c r="O224" i="50"/>
  <c r="O225" i="50"/>
  <c r="O226" i="50"/>
  <c r="O227" i="50"/>
  <c r="O228" i="50"/>
  <c r="O229" i="50"/>
  <c r="O230" i="50"/>
  <c r="O231" i="50"/>
  <c r="O232" i="50"/>
  <c r="O233" i="50"/>
  <c r="O234" i="50"/>
  <c r="O235" i="50"/>
  <c r="O236" i="50"/>
  <c r="O237" i="50"/>
  <c r="O238" i="50"/>
  <c r="O239" i="50"/>
  <c r="O240" i="50"/>
  <c r="O241" i="50"/>
  <c r="O242" i="50"/>
  <c r="O243" i="50"/>
  <c r="O244" i="50"/>
  <c r="O245" i="50"/>
  <c r="O246" i="50"/>
  <c r="O247" i="50"/>
  <c r="O248" i="50"/>
  <c r="O249" i="50"/>
  <c r="O250" i="50"/>
  <c r="O251" i="50"/>
  <c r="O252" i="50"/>
  <c r="O253" i="50"/>
  <c r="O254" i="50"/>
  <c r="O255" i="50"/>
  <c r="O256" i="50"/>
  <c r="O257" i="50"/>
  <c r="O258" i="50"/>
  <c r="O259" i="50"/>
  <c r="O260" i="50"/>
  <c r="O261" i="50"/>
  <c r="O262" i="50"/>
  <c r="O263" i="50"/>
  <c r="O264" i="50"/>
  <c r="O265" i="50"/>
  <c r="O266" i="50"/>
  <c r="O267" i="50"/>
  <c r="O268" i="50"/>
  <c r="O269" i="50"/>
  <c r="O270" i="50"/>
  <c r="O271" i="50"/>
  <c r="O272" i="50"/>
  <c r="O273" i="50"/>
  <c r="O274" i="50"/>
  <c r="O275" i="50"/>
  <c r="O276" i="50"/>
  <c r="O277" i="50"/>
  <c r="O278" i="50"/>
  <c r="O279" i="50"/>
  <c r="O280" i="50"/>
  <c r="O281" i="50"/>
  <c r="O282" i="50"/>
  <c r="O283" i="50"/>
  <c r="O284" i="50"/>
  <c r="O285" i="50"/>
  <c r="O286" i="50"/>
  <c r="O287" i="50"/>
  <c r="O288" i="50"/>
  <c r="O289" i="50"/>
  <c r="O290" i="50"/>
  <c r="O291" i="50"/>
  <c r="O292" i="50"/>
  <c r="O293" i="50"/>
  <c r="O294" i="50"/>
  <c r="O295" i="50"/>
  <c r="O296" i="50"/>
  <c r="O297" i="50"/>
  <c r="O298" i="50"/>
  <c r="O299" i="50"/>
  <c r="O300" i="50"/>
  <c r="O301" i="50"/>
  <c r="O302" i="50"/>
  <c r="O303" i="50"/>
  <c r="O304" i="50"/>
  <c r="O305" i="50"/>
  <c r="O306" i="50"/>
  <c r="O307" i="50"/>
  <c r="O308" i="50"/>
  <c r="O309" i="50"/>
  <c r="O310" i="50"/>
  <c r="O311" i="50"/>
  <c r="O312" i="50"/>
  <c r="O313" i="50"/>
  <c r="O314" i="50"/>
  <c r="O315" i="50"/>
  <c r="O316" i="50"/>
  <c r="O317" i="50"/>
  <c r="O318" i="50"/>
  <c r="O319" i="50"/>
  <c r="O320" i="50"/>
  <c r="O321" i="50"/>
  <c r="O322" i="50"/>
  <c r="O323" i="50"/>
  <c r="O324" i="50"/>
  <c r="O325" i="50"/>
  <c r="O326" i="50"/>
  <c r="O327" i="50"/>
  <c r="O328" i="50"/>
  <c r="O329" i="50"/>
  <c r="O330" i="50"/>
  <c r="O331" i="50"/>
  <c r="O332" i="50"/>
  <c r="O333" i="50"/>
  <c r="O334" i="50"/>
  <c r="O335" i="50"/>
  <c r="O336" i="50"/>
  <c r="O337" i="50"/>
  <c r="O338" i="50"/>
  <c r="O339" i="50"/>
  <c r="O340" i="50"/>
  <c r="O341" i="50"/>
  <c r="O342" i="50"/>
  <c r="O343" i="50"/>
  <c r="O344" i="50"/>
  <c r="O345" i="50"/>
  <c r="O346" i="50"/>
  <c r="O347" i="50"/>
  <c r="O348" i="50"/>
  <c r="O349" i="50"/>
  <c r="O350" i="50"/>
  <c r="O351" i="50"/>
  <c r="O352" i="50"/>
  <c r="O353" i="50"/>
  <c r="O354" i="50"/>
  <c r="O355" i="50"/>
  <c r="O356" i="50"/>
  <c r="O357" i="50"/>
  <c r="O358" i="50"/>
  <c r="O359" i="50"/>
  <c r="O360" i="50"/>
  <c r="O361" i="50"/>
  <c r="O362" i="50"/>
  <c r="O363" i="50"/>
  <c r="O364" i="50"/>
  <c r="O365" i="50"/>
  <c r="O366" i="50"/>
  <c r="O367" i="50"/>
  <c r="O368" i="50"/>
  <c r="O369" i="50"/>
  <c r="O370" i="50"/>
  <c r="O371" i="50"/>
  <c r="O372" i="50"/>
  <c r="O373" i="50"/>
  <c r="O374" i="50"/>
  <c r="O375" i="50"/>
  <c r="O376" i="50"/>
  <c r="O377" i="50"/>
  <c r="O378" i="50"/>
  <c r="O379" i="50"/>
  <c r="O380" i="50"/>
  <c r="O381" i="50"/>
  <c r="O382" i="50"/>
  <c r="O383" i="50"/>
  <c r="O384" i="50"/>
  <c r="O385" i="50"/>
  <c r="O386" i="50"/>
  <c r="O387" i="50"/>
  <c r="O388" i="50"/>
  <c r="O389" i="50"/>
  <c r="O390" i="50"/>
  <c r="O391" i="50"/>
  <c r="O392" i="50"/>
  <c r="O393" i="50"/>
  <c r="O394" i="50"/>
  <c r="O395" i="50"/>
  <c r="O396" i="50"/>
  <c r="O397" i="50"/>
  <c r="O398" i="50"/>
  <c r="O399" i="50"/>
  <c r="O400" i="50"/>
  <c r="O401" i="50"/>
  <c r="O402" i="50"/>
  <c r="O403" i="50"/>
  <c r="O404" i="50"/>
  <c r="O405" i="50"/>
  <c r="O406" i="50"/>
  <c r="O407" i="50"/>
  <c r="O408" i="50"/>
  <c r="O409" i="50"/>
  <c r="O410" i="50"/>
  <c r="O411" i="50"/>
  <c r="O412" i="50"/>
  <c r="O413" i="50"/>
  <c r="O414" i="50"/>
  <c r="O415" i="50"/>
  <c r="O416" i="50"/>
  <c r="O417" i="50"/>
  <c r="O418" i="50"/>
  <c r="O419" i="50"/>
  <c r="O420" i="50"/>
  <c r="O421" i="50"/>
  <c r="O422" i="50"/>
  <c r="O423" i="50"/>
  <c r="O424" i="50"/>
  <c r="O425" i="50"/>
  <c r="O426" i="50"/>
  <c r="O427" i="50"/>
  <c r="O428" i="50"/>
  <c r="O429" i="50"/>
  <c r="O430" i="50"/>
  <c r="O431" i="50"/>
  <c r="O432" i="50"/>
  <c r="O433" i="50"/>
  <c r="O434" i="50"/>
  <c r="O435" i="50"/>
  <c r="O436" i="50"/>
  <c r="O437" i="50"/>
  <c r="O438" i="50"/>
  <c r="O439" i="50"/>
  <c r="O440" i="50"/>
  <c r="O441" i="50"/>
  <c r="O442" i="50"/>
  <c r="O443" i="50"/>
  <c r="O444" i="50"/>
  <c r="O445" i="50"/>
  <c r="O446" i="50"/>
  <c r="O447" i="50"/>
  <c r="O448" i="50"/>
  <c r="O449" i="50"/>
  <c r="O450" i="50"/>
  <c r="O451" i="50"/>
  <c r="O452" i="50"/>
  <c r="O453" i="50"/>
  <c r="O454" i="50"/>
  <c r="O455" i="50"/>
  <c r="O456" i="50"/>
  <c r="O457" i="50"/>
  <c r="O458" i="50"/>
  <c r="O459" i="50"/>
  <c r="O460" i="50"/>
  <c r="O461" i="50"/>
  <c r="O462" i="50"/>
  <c r="O463" i="50"/>
  <c r="O464" i="50"/>
  <c r="O465" i="50"/>
  <c r="O466" i="50"/>
  <c r="O467" i="50"/>
  <c r="O468" i="50"/>
  <c r="O469" i="50"/>
  <c r="O470" i="50"/>
  <c r="O471" i="50"/>
  <c r="O472" i="50"/>
  <c r="O473" i="50"/>
  <c r="O474" i="50"/>
  <c r="O475" i="50"/>
  <c r="O476" i="50"/>
  <c r="O477" i="50"/>
  <c r="O478" i="50"/>
  <c r="O479" i="50"/>
  <c r="O480" i="50"/>
  <c r="O481" i="50"/>
  <c r="O482" i="50"/>
  <c r="O483" i="50"/>
  <c r="O484" i="50"/>
  <c r="O485" i="50"/>
  <c r="O486" i="50"/>
  <c r="O487" i="50"/>
  <c r="O488" i="50"/>
  <c r="O489" i="50"/>
  <c r="O490" i="50"/>
  <c r="O491" i="50"/>
  <c r="O492" i="50"/>
  <c r="O493" i="50"/>
  <c r="O494" i="50"/>
  <c r="O495" i="50"/>
  <c r="O496" i="50"/>
  <c r="O497" i="50"/>
  <c r="O498" i="50"/>
  <c r="O499" i="50"/>
  <c r="O500" i="50"/>
  <c r="O3" i="50"/>
  <c r="O4" i="50"/>
  <c r="O5" i="50"/>
  <c r="O2" i="50"/>
  <c r="K452" i="50" a="1"/>
  <c r="K452" i="50" s="1"/>
  <c r="H452" i="50"/>
  <c r="I452" i="50"/>
  <c r="J452" i="50"/>
  <c r="M452" i="50" a="1"/>
  <c r="M452" i="50" s="1"/>
  <c r="N452" i="50" a="1"/>
  <c r="N452" i="50" s="1"/>
  <c r="H453" i="50"/>
  <c r="I453" i="50"/>
  <c r="J453" i="50"/>
  <c r="K453" i="50" a="1"/>
  <c r="K453" i="50" s="1"/>
  <c r="M453" i="50" a="1"/>
  <c r="M453" i="50" s="1"/>
  <c r="N453" i="50" a="1"/>
  <c r="N453" i="50"/>
  <c r="H454" i="50"/>
  <c r="I454" i="50"/>
  <c r="J454" i="50"/>
  <c r="K454" i="50" a="1"/>
  <c r="K454" i="50"/>
  <c r="M454" i="50" a="1"/>
  <c r="M454" i="50" s="1"/>
  <c r="N454" i="50" a="1"/>
  <c r="N454" i="50" s="1"/>
  <c r="H455" i="50"/>
  <c r="I455" i="50"/>
  <c r="J455" i="50"/>
  <c r="K455" i="50" a="1"/>
  <c r="K455" i="50"/>
  <c r="M455" i="50" a="1"/>
  <c r="M455" i="50" s="1"/>
  <c r="N455" i="50" a="1"/>
  <c r="N455" i="50" s="1"/>
  <c r="H456" i="50"/>
  <c r="I456" i="50"/>
  <c r="J456" i="50"/>
  <c r="K456" i="50" a="1"/>
  <c r="K456" i="50" s="1"/>
  <c r="M456" i="50" a="1"/>
  <c r="M456" i="50" s="1"/>
  <c r="N456" i="50" a="1"/>
  <c r="N456" i="50"/>
  <c r="H457" i="50"/>
  <c r="I457" i="50"/>
  <c r="J457" i="50"/>
  <c r="K457" i="50" a="1"/>
  <c r="K457" i="50" s="1"/>
  <c r="M457" i="50" a="1"/>
  <c r="M457" i="50" s="1"/>
  <c r="N457" i="50" a="1"/>
  <c r="N457" i="50"/>
  <c r="H458" i="50"/>
  <c r="I458" i="50"/>
  <c r="J458" i="50"/>
  <c r="K458" i="50" a="1"/>
  <c r="K458" i="50"/>
  <c r="M458" i="50" a="1"/>
  <c r="M458" i="50"/>
  <c r="N458" i="50" a="1"/>
  <c r="N458" i="50"/>
  <c r="H459" i="50"/>
  <c r="I459" i="50"/>
  <c r="J459" i="50"/>
  <c r="K459" i="50" a="1"/>
  <c r="K459" i="50" s="1"/>
  <c r="M459" i="50" a="1"/>
  <c r="M459" i="50" s="1"/>
  <c r="N459" i="50" a="1"/>
  <c r="N459" i="50"/>
  <c r="H460" i="50"/>
  <c r="I460" i="50"/>
  <c r="J460" i="50"/>
  <c r="K460" i="50" a="1"/>
  <c r="K460" i="50"/>
  <c r="M460" i="50" a="1"/>
  <c r="M460" i="50" s="1"/>
  <c r="N460" i="50" a="1"/>
  <c r="N460" i="50"/>
  <c r="H461" i="50"/>
  <c r="I461" i="50"/>
  <c r="J461" i="50"/>
  <c r="K461" i="50" a="1"/>
  <c r="K461" i="50" s="1"/>
  <c r="M461" i="50" a="1"/>
  <c r="M461" i="50" s="1"/>
  <c r="N461" i="50" a="1"/>
  <c r="N461" i="50" s="1"/>
  <c r="H462" i="50"/>
  <c r="I462" i="50"/>
  <c r="J462" i="50"/>
  <c r="K462" i="50" a="1"/>
  <c r="K462" i="50" s="1"/>
  <c r="M462" i="50" a="1"/>
  <c r="M462" i="50"/>
  <c r="N462" i="50" a="1"/>
  <c r="N462" i="50"/>
  <c r="H463" i="50"/>
  <c r="I463" i="50"/>
  <c r="J463" i="50"/>
  <c r="K463" i="50" a="1"/>
  <c r="K463" i="50"/>
  <c r="M463" i="50" a="1"/>
  <c r="M463" i="50" s="1"/>
  <c r="N463" i="50" a="1"/>
  <c r="N463" i="50"/>
  <c r="H464" i="50"/>
  <c r="I464" i="50"/>
  <c r="J464" i="50"/>
  <c r="K464" i="50" a="1"/>
  <c r="K464" i="50"/>
  <c r="M464" i="50" a="1"/>
  <c r="M464" i="50"/>
  <c r="N464" i="50" a="1"/>
  <c r="N464" i="50"/>
  <c r="H465" i="50"/>
  <c r="I465" i="50"/>
  <c r="J465" i="50"/>
  <c r="K465" i="50" a="1"/>
  <c r="K465" i="50"/>
  <c r="M465" i="50" a="1"/>
  <c r="M465" i="50" s="1"/>
  <c r="N465" i="50" a="1"/>
  <c r="N465" i="50"/>
  <c r="H466" i="50"/>
  <c r="I466" i="50"/>
  <c r="J466" i="50"/>
  <c r="K466" i="50" a="1"/>
  <c r="K466" i="50"/>
  <c r="M466" i="50" a="1"/>
  <c r="M466" i="50"/>
  <c r="N466" i="50" a="1"/>
  <c r="N466" i="50"/>
  <c r="H467" i="50"/>
  <c r="I467" i="50"/>
  <c r="J467" i="50"/>
  <c r="K467" i="50" a="1"/>
  <c r="K467" i="50"/>
  <c r="M467" i="50" a="1"/>
  <c r="M467" i="50"/>
  <c r="N467" i="50" a="1"/>
  <c r="N467" i="50" s="1"/>
  <c r="H468" i="50"/>
  <c r="I468" i="50"/>
  <c r="J468" i="50"/>
  <c r="K468" i="50" a="1"/>
  <c r="K468" i="50" s="1"/>
  <c r="M468" i="50" a="1"/>
  <c r="M468" i="50"/>
  <c r="N468" i="50" a="1"/>
  <c r="N468" i="50"/>
  <c r="H469" i="50"/>
  <c r="I469" i="50"/>
  <c r="J469" i="50"/>
  <c r="K469" i="50" a="1"/>
  <c r="K469" i="50"/>
  <c r="M469" i="50" a="1"/>
  <c r="M469" i="50"/>
  <c r="N469" i="50" a="1"/>
  <c r="N469" i="50"/>
  <c r="H470" i="50"/>
  <c r="I470" i="50"/>
  <c r="J470" i="50"/>
  <c r="K470" i="50" a="1"/>
  <c r="K470" i="50"/>
  <c r="M470" i="50" a="1"/>
  <c r="M470" i="50"/>
  <c r="N470" i="50" a="1"/>
  <c r="N470" i="50"/>
  <c r="H471" i="50"/>
  <c r="I471" i="50"/>
  <c r="J471" i="50"/>
  <c r="K471" i="50" a="1"/>
  <c r="K471" i="50"/>
  <c r="M471" i="50" a="1"/>
  <c r="M471" i="50" s="1"/>
  <c r="N471" i="50" a="1"/>
  <c r="N471" i="50"/>
  <c r="H472" i="50"/>
  <c r="I472" i="50"/>
  <c r="J472" i="50"/>
  <c r="K472" i="50" a="1"/>
  <c r="K472" i="50"/>
  <c r="M472" i="50" a="1"/>
  <c r="M472" i="50"/>
  <c r="N472" i="50" a="1"/>
  <c r="N472" i="50"/>
  <c r="H473" i="50"/>
  <c r="I473" i="50"/>
  <c r="J473" i="50"/>
  <c r="K473" i="50" a="1"/>
  <c r="K473" i="50"/>
  <c r="M473" i="50" a="1"/>
  <c r="M473" i="50"/>
  <c r="N473" i="50" a="1"/>
  <c r="N473" i="50" s="1"/>
  <c r="H474" i="50"/>
  <c r="I474" i="50"/>
  <c r="J474" i="50"/>
  <c r="K474" i="50" a="1"/>
  <c r="K474" i="50" s="1"/>
  <c r="M474" i="50" a="1"/>
  <c r="M474" i="50"/>
  <c r="N474" i="50" a="1"/>
  <c r="N474" i="50"/>
  <c r="H475" i="50"/>
  <c r="I475" i="50"/>
  <c r="J475" i="50"/>
  <c r="K475" i="50" a="1"/>
  <c r="K475" i="50"/>
  <c r="M475" i="50" a="1"/>
  <c r="M475" i="50"/>
  <c r="N475" i="50" a="1"/>
  <c r="N475" i="50"/>
  <c r="H476" i="50"/>
  <c r="I476" i="50"/>
  <c r="J476" i="50"/>
  <c r="K476" i="50" a="1"/>
  <c r="K476" i="50"/>
  <c r="M476" i="50" a="1"/>
  <c r="M476" i="50"/>
  <c r="N476" i="50" a="1"/>
  <c r="N476" i="50"/>
  <c r="H477" i="50"/>
  <c r="I477" i="50"/>
  <c r="J477" i="50"/>
  <c r="K477" i="50" a="1"/>
  <c r="K477" i="50"/>
  <c r="M477" i="50" a="1"/>
  <c r="M477" i="50" s="1"/>
  <c r="N477" i="50" a="1"/>
  <c r="N477" i="50"/>
  <c r="H478" i="50"/>
  <c r="I478" i="50"/>
  <c r="J478" i="50"/>
  <c r="K478" i="50" a="1"/>
  <c r="K478" i="50"/>
  <c r="M478" i="50" a="1"/>
  <c r="M478" i="50"/>
  <c r="N478" i="50" a="1"/>
  <c r="N478" i="50"/>
  <c r="H479" i="50"/>
  <c r="I479" i="50"/>
  <c r="J479" i="50"/>
  <c r="K479" i="50" a="1"/>
  <c r="K479" i="50"/>
  <c r="M479" i="50" a="1"/>
  <c r="M479" i="50"/>
  <c r="N479" i="50" a="1"/>
  <c r="N479" i="50" s="1"/>
  <c r="H480" i="50"/>
  <c r="I480" i="50"/>
  <c r="J480" i="50"/>
  <c r="K480" i="50" a="1"/>
  <c r="K480" i="50" s="1"/>
  <c r="M480" i="50" a="1"/>
  <c r="M480" i="50"/>
  <c r="N480" i="50" a="1"/>
  <c r="N480" i="50"/>
  <c r="H481" i="50"/>
  <c r="I481" i="50"/>
  <c r="J481" i="50"/>
  <c r="K481" i="50" a="1"/>
  <c r="K481" i="50"/>
  <c r="M481" i="50" a="1"/>
  <c r="M481" i="50"/>
  <c r="N481" i="50" a="1"/>
  <c r="N481" i="50"/>
  <c r="H482" i="50"/>
  <c r="I482" i="50"/>
  <c r="J482" i="50"/>
  <c r="K482" i="50" a="1"/>
  <c r="K482" i="50"/>
  <c r="M482" i="50" a="1"/>
  <c r="M482" i="50"/>
  <c r="N482" i="50" a="1"/>
  <c r="N482" i="50"/>
  <c r="H483" i="50"/>
  <c r="I483" i="50"/>
  <c r="J483" i="50"/>
  <c r="K483" i="50" a="1"/>
  <c r="K483" i="50"/>
  <c r="M483" i="50" a="1"/>
  <c r="M483" i="50" s="1"/>
  <c r="N483" i="50" a="1"/>
  <c r="N483" i="50"/>
  <c r="H484" i="50"/>
  <c r="I484" i="50"/>
  <c r="J484" i="50"/>
  <c r="K484" i="50" a="1"/>
  <c r="K484" i="50"/>
  <c r="M484" i="50" a="1"/>
  <c r="M484" i="50"/>
  <c r="N484" i="50" a="1"/>
  <c r="N484" i="50"/>
  <c r="H485" i="50"/>
  <c r="I485" i="50"/>
  <c r="J485" i="50"/>
  <c r="K485" i="50" a="1"/>
  <c r="K485" i="50"/>
  <c r="M485" i="50" a="1"/>
  <c r="M485" i="50"/>
  <c r="N485" i="50" a="1"/>
  <c r="N485" i="50" s="1"/>
  <c r="H486" i="50"/>
  <c r="I486" i="50"/>
  <c r="J486" i="50"/>
  <c r="K486" i="50" a="1"/>
  <c r="K486" i="50" s="1"/>
  <c r="M486" i="50" a="1"/>
  <c r="M486" i="50"/>
  <c r="N486" i="50" a="1"/>
  <c r="N486" i="50"/>
  <c r="H487" i="50"/>
  <c r="I487" i="50"/>
  <c r="J487" i="50"/>
  <c r="K487" i="50" a="1"/>
  <c r="K487" i="50"/>
  <c r="M487" i="50" a="1"/>
  <c r="M487" i="50"/>
  <c r="N487" i="50" a="1"/>
  <c r="N487" i="50"/>
  <c r="H488" i="50"/>
  <c r="I488" i="50"/>
  <c r="J488" i="50"/>
  <c r="K488" i="50" a="1"/>
  <c r="K488" i="50"/>
  <c r="M488" i="50" a="1"/>
  <c r="M488" i="50"/>
  <c r="N488" i="50" a="1"/>
  <c r="N488" i="50"/>
  <c r="H489" i="50"/>
  <c r="I489" i="50"/>
  <c r="J489" i="50"/>
  <c r="K489" i="50" a="1"/>
  <c r="K489" i="50"/>
  <c r="M489" i="50" a="1"/>
  <c r="M489" i="50" s="1"/>
  <c r="N489" i="50" a="1"/>
  <c r="N489" i="50"/>
  <c r="H490" i="50"/>
  <c r="I490" i="50"/>
  <c r="J490" i="50"/>
  <c r="K490" i="50" a="1"/>
  <c r="K490" i="50"/>
  <c r="M490" i="50" a="1"/>
  <c r="M490" i="50"/>
  <c r="N490" i="50" a="1"/>
  <c r="N490" i="50"/>
  <c r="H491" i="50"/>
  <c r="I491" i="50"/>
  <c r="J491" i="50"/>
  <c r="K491" i="50" a="1"/>
  <c r="K491" i="50"/>
  <c r="M491" i="50" a="1"/>
  <c r="M491" i="50"/>
  <c r="N491" i="50" a="1"/>
  <c r="N491" i="50" s="1"/>
  <c r="H492" i="50"/>
  <c r="I492" i="50"/>
  <c r="J492" i="50"/>
  <c r="K492" i="50" a="1"/>
  <c r="K492" i="50" s="1"/>
  <c r="M492" i="50" a="1"/>
  <c r="M492" i="50"/>
  <c r="N492" i="50" a="1"/>
  <c r="N492" i="50"/>
  <c r="H493" i="50"/>
  <c r="I493" i="50"/>
  <c r="J493" i="50"/>
  <c r="K493" i="50" a="1"/>
  <c r="K493" i="50"/>
  <c r="M493" i="50" a="1"/>
  <c r="M493" i="50"/>
  <c r="N493" i="50" a="1"/>
  <c r="N493" i="50"/>
  <c r="H494" i="50"/>
  <c r="I494" i="50"/>
  <c r="J494" i="50"/>
  <c r="K494" i="50" a="1"/>
  <c r="K494" i="50"/>
  <c r="M494" i="50" a="1"/>
  <c r="M494" i="50"/>
  <c r="N494" i="50" a="1"/>
  <c r="N494" i="50"/>
  <c r="H495" i="50"/>
  <c r="I495" i="50"/>
  <c r="J495" i="50"/>
  <c r="K495" i="50" a="1"/>
  <c r="K495" i="50"/>
  <c r="M495" i="50" a="1"/>
  <c r="M495" i="50" s="1"/>
  <c r="N495" i="50" a="1"/>
  <c r="N495" i="50"/>
  <c r="H496" i="50"/>
  <c r="I496" i="50"/>
  <c r="J496" i="50"/>
  <c r="K496" i="50" a="1"/>
  <c r="K496" i="50"/>
  <c r="M496" i="50" a="1"/>
  <c r="M496" i="50"/>
  <c r="N496" i="50" a="1"/>
  <c r="N496" i="50"/>
  <c r="H497" i="50"/>
  <c r="I497" i="50"/>
  <c r="J497" i="50"/>
  <c r="K497" i="50" a="1"/>
  <c r="K497" i="50"/>
  <c r="M497" i="50" a="1"/>
  <c r="M497" i="50"/>
  <c r="N497" i="50" a="1"/>
  <c r="N497" i="50" s="1"/>
  <c r="H498" i="50"/>
  <c r="I498" i="50"/>
  <c r="J498" i="50"/>
  <c r="K498" i="50" a="1"/>
  <c r="K498" i="50" s="1"/>
  <c r="M498" i="50" a="1"/>
  <c r="M498" i="50"/>
  <c r="N498" i="50" a="1"/>
  <c r="N498" i="50"/>
  <c r="H499" i="50"/>
  <c r="I499" i="50"/>
  <c r="J499" i="50"/>
  <c r="K499" i="50" a="1"/>
  <c r="K499" i="50"/>
  <c r="M499" i="50" a="1"/>
  <c r="M499" i="50"/>
  <c r="N499" i="50" a="1"/>
  <c r="N499" i="50"/>
  <c r="H500" i="50"/>
  <c r="I500" i="50"/>
  <c r="J500" i="50"/>
  <c r="K500" i="50" a="1"/>
  <c r="K500" i="50"/>
  <c r="M500" i="50" a="1"/>
  <c r="M500" i="50"/>
  <c r="N500" i="50" a="1"/>
  <c r="N500" i="50"/>
  <c r="H501" i="50"/>
  <c r="I501" i="50"/>
  <c r="J501" i="50"/>
  <c r="K501" i="50" a="1"/>
  <c r="K501" i="50"/>
  <c r="M501" i="50" a="1"/>
  <c r="M501" i="50" s="1"/>
  <c r="N501" i="50" a="1"/>
  <c r="N501" i="50"/>
  <c r="A76" i="52"/>
  <c r="I451" i="50"/>
  <c r="H451" i="50"/>
  <c r="S146" i="41" l="1"/>
  <c r="Z146" i="41" l="1"/>
  <c r="Y146" i="41"/>
  <c r="X146" i="41"/>
  <c r="W146" i="41"/>
  <c r="V146" i="41"/>
  <c r="U146" i="41"/>
  <c r="T146" i="41"/>
  <c r="R146" i="41"/>
  <c r="Q146" i="41"/>
  <c r="P146" i="41"/>
  <c r="O146" i="41"/>
  <c r="N146" i="41"/>
  <c r="M146" i="41"/>
  <c r="L146" i="41"/>
  <c r="G25" i="61" a="1"/>
  <c r="G25" i="61" s="1"/>
  <c r="K52" i="59"/>
  <c r="K55" i="59" s="1"/>
  <c r="C7" i="66"/>
  <c r="C5" i="66"/>
  <c r="C4" i="66"/>
  <c r="I43" i="66"/>
  <c r="I44" i="66"/>
  <c r="I45" i="66"/>
  <c r="I46" i="66"/>
  <c r="I47" i="66"/>
  <c r="I48" i="66"/>
  <c r="I49" i="66"/>
  <c r="I50" i="66"/>
  <c r="I51" i="66"/>
  <c r="I52" i="66"/>
  <c r="I53" i="66"/>
  <c r="I54" i="66"/>
  <c r="I55" i="66"/>
  <c r="I56" i="66"/>
  <c r="I42" i="66"/>
  <c r="H7" i="66"/>
  <c r="F20" i="66" l="1"/>
  <c r="F19" i="66"/>
  <c r="C47" i="66"/>
  <c r="C46" i="66"/>
  <c r="C44" i="66"/>
  <c r="C45" i="66"/>
  <c r="C43" i="66"/>
  <c r="N126" i="50" a="1"/>
  <c r="N126" i="50" s="1"/>
  <c r="M126" i="50" a="1"/>
  <c r="M126" i="50" s="1"/>
  <c r="K126" i="50" a="1"/>
  <c r="K126" i="50" s="1"/>
  <c r="J126" i="50"/>
  <c r="I126" i="50"/>
  <c r="H126" i="50"/>
  <c r="N125" i="50" a="1"/>
  <c r="N125" i="50" s="1"/>
  <c r="M125" i="50" a="1"/>
  <c r="M125" i="50" s="1"/>
  <c r="K125" i="50" a="1"/>
  <c r="K125" i="50" s="1"/>
  <c r="J125" i="50"/>
  <c r="I125" i="50"/>
  <c r="H125" i="50"/>
  <c r="N124" i="50" a="1"/>
  <c r="N124" i="50" s="1"/>
  <c r="M124" i="50" a="1"/>
  <c r="M124" i="50" s="1"/>
  <c r="K124" i="50" a="1"/>
  <c r="K124" i="50" s="1"/>
  <c r="J124" i="50"/>
  <c r="I124" i="50"/>
  <c r="H124" i="50"/>
  <c r="N123" i="50" a="1"/>
  <c r="N123" i="50" s="1"/>
  <c r="M123" i="50" a="1"/>
  <c r="M123" i="50" s="1"/>
  <c r="K123" i="50" a="1"/>
  <c r="K123" i="50" s="1"/>
  <c r="J123" i="50"/>
  <c r="I123" i="50"/>
  <c r="H123" i="50"/>
  <c r="N122" i="50" a="1"/>
  <c r="N122" i="50" s="1"/>
  <c r="M122" i="50" a="1"/>
  <c r="M122" i="50" s="1"/>
  <c r="K122" i="50" a="1"/>
  <c r="K122" i="50" s="1"/>
  <c r="J122" i="50"/>
  <c r="I122" i="50"/>
  <c r="H122" i="50"/>
  <c r="N121" i="50" a="1"/>
  <c r="N121" i="50" s="1"/>
  <c r="M121" i="50" a="1"/>
  <c r="M121" i="50" s="1"/>
  <c r="K121" i="50" a="1"/>
  <c r="K121" i="50" s="1"/>
  <c r="J121" i="50"/>
  <c r="I121" i="50"/>
  <c r="H121" i="50"/>
  <c r="N120" i="50" a="1"/>
  <c r="N120" i="50" s="1"/>
  <c r="M120" i="50" a="1"/>
  <c r="M120" i="50" s="1"/>
  <c r="K120" i="50" a="1"/>
  <c r="K120" i="50" s="1"/>
  <c r="J120" i="50"/>
  <c r="I120" i="50"/>
  <c r="H120" i="50"/>
  <c r="N119" i="50" a="1"/>
  <c r="N119" i="50" s="1"/>
  <c r="M119" i="50" a="1"/>
  <c r="M119" i="50" s="1"/>
  <c r="K119" i="50" a="1"/>
  <c r="K119" i="50" s="1"/>
  <c r="J119" i="50"/>
  <c r="I119" i="50"/>
  <c r="H119" i="50"/>
  <c r="N118" i="50" a="1"/>
  <c r="N118" i="50" s="1"/>
  <c r="M118" i="50" a="1"/>
  <c r="M118" i="50" s="1"/>
  <c r="K118" i="50" a="1"/>
  <c r="K118" i="50" s="1"/>
  <c r="J118" i="50"/>
  <c r="I118" i="50"/>
  <c r="H118" i="50"/>
  <c r="N117" i="50" a="1"/>
  <c r="N117" i="50" s="1"/>
  <c r="M117" i="50" a="1"/>
  <c r="M117" i="50" s="1"/>
  <c r="K117" i="50" a="1"/>
  <c r="K117" i="50" s="1"/>
  <c r="J117" i="50"/>
  <c r="I117" i="50"/>
  <c r="H117" i="50"/>
  <c r="N116" i="50" a="1"/>
  <c r="N116" i="50" s="1"/>
  <c r="M116" i="50" a="1"/>
  <c r="M116" i="50" s="1"/>
  <c r="K116" i="50" a="1"/>
  <c r="K116" i="50" s="1"/>
  <c r="J116" i="50"/>
  <c r="I116" i="50"/>
  <c r="H116" i="50"/>
  <c r="N115" i="50" a="1"/>
  <c r="N115" i="50" s="1"/>
  <c r="M115" i="50" a="1"/>
  <c r="M115" i="50" s="1"/>
  <c r="K115" i="50" a="1"/>
  <c r="K115" i="50" s="1"/>
  <c r="J115" i="50"/>
  <c r="I115" i="50"/>
  <c r="H115" i="50"/>
  <c r="N114" i="50" a="1"/>
  <c r="N114" i="50" s="1"/>
  <c r="M114" i="50"/>
  <c r="M114" i="50" a="1"/>
  <c r="K114" i="50" a="1"/>
  <c r="K114" i="50" s="1"/>
  <c r="J114" i="50"/>
  <c r="I114" i="50"/>
  <c r="H114" i="50"/>
  <c r="N113" i="50" a="1"/>
  <c r="N113" i="50" s="1"/>
  <c r="M113" i="50" a="1"/>
  <c r="M113" i="50" s="1"/>
  <c r="K113" i="50" a="1"/>
  <c r="K113" i="50" s="1"/>
  <c r="J113" i="50"/>
  <c r="I113" i="50"/>
  <c r="H113" i="50"/>
  <c r="N112" i="50" a="1"/>
  <c r="N112" i="50" s="1"/>
  <c r="M112" i="50" a="1"/>
  <c r="M112" i="50" s="1"/>
  <c r="K112" i="50"/>
  <c r="K112" i="50" a="1"/>
  <c r="J112" i="50"/>
  <c r="I112" i="50"/>
  <c r="H112" i="50"/>
  <c r="N111" i="50" a="1"/>
  <c r="N111" i="50" s="1"/>
  <c r="M111" i="50" a="1"/>
  <c r="M111" i="50" s="1"/>
  <c r="K111" i="50" a="1"/>
  <c r="K111" i="50" s="1"/>
  <c r="J111" i="50"/>
  <c r="I111" i="50"/>
  <c r="H111" i="50"/>
  <c r="N110" i="50" a="1"/>
  <c r="N110" i="50" s="1"/>
  <c r="M110" i="50" a="1"/>
  <c r="M110" i="50" s="1"/>
  <c r="K110" i="50" a="1"/>
  <c r="K110" i="50" s="1"/>
  <c r="J110" i="50"/>
  <c r="I110" i="50"/>
  <c r="H110" i="50"/>
  <c r="N109" i="50" a="1"/>
  <c r="N109" i="50" s="1"/>
  <c r="M109" i="50" a="1"/>
  <c r="M109" i="50" s="1"/>
  <c r="K109" i="50" a="1"/>
  <c r="K109" i="50" s="1"/>
  <c r="J109" i="50"/>
  <c r="I109" i="50"/>
  <c r="H109" i="50"/>
  <c r="N108" i="50" a="1"/>
  <c r="N108" i="50" s="1"/>
  <c r="M108" i="50" a="1"/>
  <c r="M108" i="50" s="1"/>
  <c r="K108" i="50" a="1"/>
  <c r="K108" i="50" s="1"/>
  <c r="J108" i="50"/>
  <c r="I108" i="50"/>
  <c r="H108" i="50"/>
  <c r="N107" i="50" a="1"/>
  <c r="N107" i="50" s="1"/>
  <c r="M107" i="50" a="1"/>
  <c r="M107" i="50" s="1"/>
  <c r="K107" i="50"/>
  <c r="K107" i="50" a="1"/>
  <c r="J107" i="50"/>
  <c r="I107" i="50"/>
  <c r="H107" i="50"/>
  <c r="N106" i="50" a="1"/>
  <c r="N106" i="50" s="1"/>
  <c r="M106" i="50" a="1"/>
  <c r="M106" i="50" s="1"/>
  <c r="K106" i="50" a="1"/>
  <c r="K106" i="50" s="1"/>
  <c r="J106" i="50"/>
  <c r="I106" i="50"/>
  <c r="H106" i="50"/>
  <c r="N105" i="50" a="1"/>
  <c r="N105" i="50" s="1"/>
  <c r="M105" i="50" a="1"/>
  <c r="M105" i="50" s="1"/>
  <c r="K105" i="50" a="1"/>
  <c r="K105" i="50" s="1"/>
  <c r="J105" i="50"/>
  <c r="I105" i="50"/>
  <c r="H105" i="50"/>
  <c r="N104" i="50" a="1"/>
  <c r="N104" i="50" s="1"/>
  <c r="M104" i="50" a="1"/>
  <c r="M104" i="50" s="1"/>
  <c r="K104" i="50" a="1"/>
  <c r="K104" i="50" s="1"/>
  <c r="J104" i="50"/>
  <c r="I104" i="50"/>
  <c r="H104" i="50"/>
  <c r="N103" i="50" a="1"/>
  <c r="N103" i="50" s="1"/>
  <c r="M103" i="50" a="1"/>
  <c r="M103" i="50" s="1"/>
  <c r="K103" i="50" a="1"/>
  <c r="K103" i="50" s="1"/>
  <c r="J103" i="50"/>
  <c r="I103" i="50"/>
  <c r="H103" i="50"/>
  <c r="N102" i="50"/>
  <c r="N102" i="50" a="1"/>
  <c r="M102" i="50" a="1"/>
  <c r="M102" i="50" s="1"/>
  <c r="K102" i="50" a="1"/>
  <c r="K102" i="50" s="1"/>
  <c r="J102" i="50"/>
  <c r="I102" i="50"/>
  <c r="H102" i="50"/>
  <c r="A51" i="52"/>
  <c r="A52" i="52"/>
  <c r="AA20" i="61" a="1"/>
  <c r="AA20" i="61" s="1"/>
  <c r="E11" i="62"/>
  <c r="I156" i="41"/>
  <c r="I157" i="41"/>
  <c r="I158" i="41"/>
  <c r="I159" i="41"/>
  <c r="I160" i="41"/>
  <c r="I161" i="41"/>
  <c r="I162" i="41"/>
  <c r="I163" i="41"/>
  <c r="I164" i="41"/>
  <c r="I165" i="41"/>
  <c r="I166" i="41"/>
  <c r="I167" i="41"/>
  <c r="I168" i="41"/>
  <c r="I169" i="41"/>
  <c r="I155" i="41"/>
  <c r="C48" i="66" l="1"/>
  <c r="E19" i="53"/>
  <c r="F19" i="53" s="1"/>
  <c r="C31" i="59" a="1"/>
  <c r="C31" i="59" s="1"/>
  <c r="C32" i="59" a="1"/>
  <c r="C32" i="59" s="1"/>
  <c r="C33" i="59" a="1"/>
  <c r="C33" i="59" s="1"/>
  <c r="C34" i="59" a="1"/>
  <c r="C34" i="59" s="1"/>
  <c r="C35" i="59" a="1"/>
  <c r="C35" i="59" s="1"/>
  <c r="C36" i="59" a="1"/>
  <c r="C36" i="59" s="1"/>
  <c r="C37" i="59" a="1"/>
  <c r="C37" i="59" s="1"/>
  <c r="C38" i="59" a="1"/>
  <c r="C38" i="59" s="1"/>
  <c r="C39" i="59" a="1"/>
  <c r="C39" i="59" s="1"/>
  <c r="C40" i="59" a="1"/>
  <c r="C40" i="59" s="1"/>
  <c r="C41" i="59" a="1"/>
  <c r="C41" i="59" s="1"/>
  <c r="C42" i="59" a="1"/>
  <c r="C42" i="59" s="1"/>
  <c r="C43" i="59" a="1"/>
  <c r="C43" i="59" s="1"/>
  <c r="C44" i="59" a="1"/>
  <c r="C44" i="59" s="1"/>
  <c r="C45" i="59" a="1"/>
  <c r="C45" i="59" s="1"/>
  <c r="C46" i="59" a="1"/>
  <c r="C46" i="59" s="1"/>
  <c r="C47" i="59" a="1"/>
  <c r="C47" i="59" s="1"/>
  <c r="C48" i="59" a="1"/>
  <c r="C48" i="59" s="1"/>
  <c r="C49" i="59" a="1"/>
  <c r="C49" i="59" s="1"/>
  <c r="C50" i="59" a="1"/>
  <c r="C50" i="59" s="1"/>
  <c r="C51" i="59" a="1"/>
  <c r="C51" i="59" s="1"/>
  <c r="C34" i="61" a="1"/>
  <c r="C34" i="61" s="1"/>
  <c r="C35" i="61" a="1"/>
  <c r="C35" i="61" s="1"/>
  <c r="C36" i="61" a="1"/>
  <c r="C36" i="61" s="1"/>
  <c r="C37" i="61" a="1"/>
  <c r="C37" i="61" s="1"/>
  <c r="C38" i="61" a="1"/>
  <c r="C38" i="61" s="1"/>
  <c r="C39" i="61" a="1"/>
  <c r="C39" i="61" s="1"/>
  <c r="C40" i="61" a="1"/>
  <c r="C40" i="61" s="1"/>
  <c r="C41" i="61" a="1"/>
  <c r="C41" i="61" s="1"/>
  <c r="C42" i="61" a="1"/>
  <c r="C42" i="61" s="1"/>
  <c r="C43" i="61" a="1"/>
  <c r="C43" i="61" s="1"/>
  <c r="C44" i="61" a="1"/>
  <c r="C44" i="61" s="1"/>
  <c r="C45" i="61" a="1"/>
  <c r="C45" i="61" s="1"/>
  <c r="C46" i="61" a="1"/>
  <c r="C46" i="61" s="1"/>
  <c r="C47" i="61" a="1"/>
  <c r="C47" i="61" s="1"/>
  <c r="C48" i="61" a="1"/>
  <c r="C48" i="61" s="1"/>
  <c r="C49" i="61" a="1"/>
  <c r="C49" i="61" s="1"/>
  <c r="C50" i="61" a="1"/>
  <c r="C50" i="61" s="1"/>
  <c r="C51" i="61" a="1"/>
  <c r="C51" i="61" s="1"/>
  <c r="C52" i="61" a="1"/>
  <c r="C52" i="61" s="1"/>
  <c r="C53" i="61" a="1"/>
  <c r="C53" i="61" s="1"/>
  <c r="C54" i="61" a="1"/>
  <c r="C54" i="61" s="1"/>
  <c r="C55" i="61" a="1"/>
  <c r="C55" i="61" s="1"/>
  <c r="C56" i="61" a="1"/>
  <c r="C56" i="61" s="1"/>
  <c r="C57" i="61" a="1"/>
  <c r="C57" i="61" s="1"/>
  <c r="C33" i="61" a="1"/>
  <c r="C33" i="61" s="1"/>
  <c r="C11" i="62" l="1"/>
  <c r="D11" i="62"/>
  <c r="B11" i="62"/>
  <c r="N246" i="50" l="1" a="1"/>
  <c r="N246" i="50" s="1"/>
  <c r="M246" i="50" a="1"/>
  <c r="M246" i="50" s="1"/>
  <c r="K246" i="50" a="1"/>
  <c r="K246" i="50" s="1"/>
  <c r="J246" i="50"/>
  <c r="I246" i="50"/>
  <c r="H246" i="50"/>
  <c r="N221" i="50" a="1"/>
  <c r="N221" i="50" s="1"/>
  <c r="M221" i="50" a="1"/>
  <c r="M221" i="50" s="1"/>
  <c r="K221" i="50" a="1"/>
  <c r="K221" i="50" s="1"/>
  <c r="J221" i="50"/>
  <c r="I221" i="50"/>
  <c r="H221" i="50"/>
  <c r="N271" i="50" a="1"/>
  <c r="N271" i="50" s="1"/>
  <c r="M271" i="50" a="1"/>
  <c r="M271" i="50" s="1"/>
  <c r="K271" i="50" a="1"/>
  <c r="K271" i="50" s="1"/>
  <c r="J271" i="50"/>
  <c r="I271" i="50"/>
  <c r="H271" i="50"/>
  <c r="N446" i="50" a="1"/>
  <c r="N446" i="50" s="1"/>
  <c r="M446" i="50" a="1"/>
  <c r="M446" i="50" s="1"/>
  <c r="K446" i="50" a="1"/>
  <c r="K446" i="50" s="1"/>
  <c r="J446" i="50"/>
  <c r="I446" i="50"/>
  <c r="H446" i="50"/>
  <c r="N421" i="50" a="1"/>
  <c r="N421" i="50" s="1"/>
  <c r="M421" i="50" a="1"/>
  <c r="M421" i="50" s="1"/>
  <c r="K421" i="50" a="1"/>
  <c r="K421" i="50" s="1"/>
  <c r="J421" i="50"/>
  <c r="I421" i="50"/>
  <c r="H421" i="50"/>
  <c r="N396" i="50" a="1"/>
  <c r="N396" i="50" s="1"/>
  <c r="M396" i="50" a="1"/>
  <c r="M396" i="50" s="1"/>
  <c r="K396" i="50" a="1"/>
  <c r="K396" i="50" s="1"/>
  <c r="J396" i="50"/>
  <c r="I396" i="50"/>
  <c r="H396" i="50"/>
  <c r="N346" i="50" a="1"/>
  <c r="N346" i="50" s="1"/>
  <c r="M346" i="50" a="1"/>
  <c r="M346" i="50" s="1"/>
  <c r="K346" i="50" a="1"/>
  <c r="K346" i="50" s="1"/>
  <c r="J346" i="50"/>
  <c r="I346" i="50"/>
  <c r="H346" i="50"/>
  <c r="N321" i="50" a="1"/>
  <c r="N321" i="50" s="1"/>
  <c r="M321" i="50" a="1"/>
  <c r="M321" i="50" s="1"/>
  <c r="K321" i="50" a="1"/>
  <c r="K321" i="50" s="1"/>
  <c r="J321" i="50"/>
  <c r="I321" i="50"/>
  <c r="H321" i="50"/>
  <c r="N371" i="50" a="1"/>
  <c r="N371" i="50" s="1"/>
  <c r="M371" i="50" a="1"/>
  <c r="M371" i="50" s="1"/>
  <c r="K371" i="50" a="1"/>
  <c r="K371" i="50" s="1"/>
  <c r="J371" i="50"/>
  <c r="I371" i="50"/>
  <c r="H371" i="50"/>
  <c r="N46" i="50" a="1"/>
  <c r="N46" i="50" s="1"/>
  <c r="M46" i="50" a="1"/>
  <c r="M46" i="50" s="1"/>
  <c r="K46" i="50" a="1"/>
  <c r="K46" i="50" s="1"/>
  <c r="J46" i="50"/>
  <c r="I46" i="50"/>
  <c r="H46" i="50"/>
  <c r="N196" i="50" a="1"/>
  <c r="N196" i="50" s="1"/>
  <c r="M196" i="50" a="1"/>
  <c r="M196" i="50" s="1"/>
  <c r="K196" i="50" a="1"/>
  <c r="K196" i="50" s="1"/>
  <c r="J196" i="50"/>
  <c r="I196" i="50"/>
  <c r="H196" i="50"/>
  <c r="N171" i="50" a="1"/>
  <c r="N171" i="50" s="1"/>
  <c r="M171" i="50" a="1"/>
  <c r="M171" i="50" s="1"/>
  <c r="K171" i="50" a="1"/>
  <c r="K171" i="50" s="1"/>
  <c r="J171" i="50"/>
  <c r="I171" i="50"/>
  <c r="H171" i="50"/>
  <c r="N146" i="50" a="1"/>
  <c r="N146" i="50" s="1"/>
  <c r="M146" i="50" a="1"/>
  <c r="M146" i="50" s="1"/>
  <c r="K146" i="50" a="1"/>
  <c r="K146" i="50" s="1"/>
  <c r="J146" i="50"/>
  <c r="I146" i="50"/>
  <c r="H146" i="50"/>
  <c r="N96" i="50" a="1"/>
  <c r="N96" i="50" s="1"/>
  <c r="M96" i="50" a="1"/>
  <c r="M96" i="50" s="1"/>
  <c r="K96" i="50" a="1"/>
  <c r="K96" i="50" s="1"/>
  <c r="J96" i="50"/>
  <c r="I96" i="50"/>
  <c r="H96" i="50"/>
  <c r="N296" i="50" a="1"/>
  <c r="N296" i="50" s="1"/>
  <c r="M296" i="50" a="1"/>
  <c r="M296" i="50" s="1"/>
  <c r="K296" i="50" a="1"/>
  <c r="K296" i="50" s="1"/>
  <c r="J296" i="50"/>
  <c r="I296" i="50"/>
  <c r="H296" i="50"/>
  <c r="N71" i="50" a="1"/>
  <c r="N71" i="50" s="1"/>
  <c r="M71" i="50" a="1"/>
  <c r="M71" i="50" s="1"/>
  <c r="K71" i="50" a="1"/>
  <c r="K71" i="50" s="1"/>
  <c r="J71" i="50"/>
  <c r="I71" i="50"/>
  <c r="H71" i="50"/>
  <c r="N21" i="50" a="1"/>
  <c r="N21" i="50" s="1"/>
  <c r="M21" i="50" a="1"/>
  <c r="M21" i="50" s="1"/>
  <c r="K21" i="50" a="1"/>
  <c r="K21" i="50" s="1"/>
  <c r="J21" i="50"/>
  <c r="I21" i="50"/>
  <c r="H21" i="50"/>
  <c r="N245" i="50" a="1"/>
  <c r="N245" i="50" s="1"/>
  <c r="M245" i="50" a="1"/>
  <c r="M245" i="50" s="1"/>
  <c r="K245" i="50" a="1"/>
  <c r="K245" i="50" s="1"/>
  <c r="J245" i="50"/>
  <c r="I245" i="50"/>
  <c r="H245" i="50"/>
  <c r="N220" i="50" a="1"/>
  <c r="N220" i="50" s="1"/>
  <c r="M220" i="50" a="1"/>
  <c r="M220" i="50" s="1"/>
  <c r="K220" i="50" a="1"/>
  <c r="K220" i="50" s="1"/>
  <c r="J220" i="50"/>
  <c r="I220" i="50"/>
  <c r="H220" i="50"/>
  <c r="N270" i="50" a="1"/>
  <c r="N270" i="50" s="1"/>
  <c r="M270" i="50" a="1"/>
  <c r="M270" i="50" s="1"/>
  <c r="K270" i="50" a="1"/>
  <c r="K270" i="50" s="1"/>
  <c r="J270" i="50"/>
  <c r="I270" i="50"/>
  <c r="H270" i="50"/>
  <c r="N445" i="50" a="1"/>
  <c r="N445" i="50" s="1"/>
  <c r="M445" i="50" a="1"/>
  <c r="M445" i="50" s="1"/>
  <c r="K445" i="50" a="1"/>
  <c r="K445" i="50" s="1"/>
  <c r="J445" i="50"/>
  <c r="I445" i="50"/>
  <c r="H445" i="50"/>
  <c r="N420" i="50" a="1"/>
  <c r="N420" i="50" s="1"/>
  <c r="M420" i="50" a="1"/>
  <c r="M420" i="50" s="1"/>
  <c r="K420" i="50" a="1"/>
  <c r="K420" i="50" s="1"/>
  <c r="J420" i="50"/>
  <c r="I420" i="50"/>
  <c r="H420" i="50"/>
  <c r="N395" i="50" a="1"/>
  <c r="N395" i="50" s="1"/>
  <c r="M395" i="50" a="1"/>
  <c r="M395" i="50" s="1"/>
  <c r="K395" i="50" a="1"/>
  <c r="K395" i="50" s="1"/>
  <c r="J395" i="50"/>
  <c r="I395" i="50"/>
  <c r="H395" i="50"/>
  <c r="N345" i="50" a="1"/>
  <c r="N345" i="50" s="1"/>
  <c r="M345" i="50" a="1"/>
  <c r="M345" i="50" s="1"/>
  <c r="K345" i="50" a="1"/>
  <c r="K345" i="50" s="1"/>
  <c r="J345" i="50"/>
  <c r="I345" i="50"/>
  <c r="H345" i="50"/>
  <c r="N320" i="50" a="1"/>
  <c r="N320" i="50" s="1"/>
  <c r="M320" i="50" a="1"/>
  <c r="M320" i="50" s="1"/>
  <c r="K320" i="50" a="1"/>
  <c r="K320" i="50" s="1"/>
  <c r="J320" i="50"/>
  <c r="I320" i="50"/>
  <c r="H320" i="50"/>
  <c r="N370" i="50" a="1"/>
  <c r="N370" i="50" s="1"/>
  <c r="M370" i="50" a="1"/>
  <c r="M370" i="50" s="1"/>
  <c r="K370" i="50" a="1"/>
  <c r="K370" i="50" s="1"/>
  <c r="J370" i="50"/>
  <c r="I370" i="50"/>
  <c r="H370" i="50"/>
  <c r="N45" i="50" a="1"/>
  <c r="N45" i="50" s="1"/>
  <c r="M45" i="50" a="1"/>
  <c r="M45" i="50" s="1"/>
  <c r="K45" i="50" a="1"/>
  <c r="K45" i="50" s="1"/>
  <c r="J45" i="50"/>
  <c r="I45" i="50"/>
  <c r="H45" i="50"/>
  <c r="N195" i="50" a="1"/>
  <c r="N195" i="50" s="1"/>
  <c r="M195" i="50" a="1"/>
  <c r="M195" i="50" s="1"/>
  <c r="K195" i="50" a="1"/>
  <c r="K195" i="50" s="1"/>
  <c r="J195" i="50"/>
  <c r="I195" i="50"/>
  <c r="H195" i="50"/>
  <c r="N170" i="50" a="1"/>
  <c r="N170" i="50" s="1"/>
  <c r="M170" i="50" a="1"/>
  <c r="M170" i="50" s="1"/>
  <c r="K170" i="50" a="1"/>
  <c r="K170" i="50" s="1"/>
  <c r="J170" i="50"/>
  <c r="I170" i="50"/>
  <c r="H170" i="50"/>
  <c r="N145" i="50" a="1"/>
  <c r="N145" i="50" s="1"/>
  <c r="M145" i="50" a="1"/>
  <c r="M145" i="50" s="1"/>
  <c r="K145" i="50" a="1"/>
  <c r="K145" i="50" s="1"/>
  <c r="J145" i="50"/>
  <c r="I145" i="50"/>
  <c r="H145" i="50"/>
  <c r="N95" i="50" a="1"/>
  <c r="N95" i="50" s="1"/>
  <c r="M95" i="50" a="1"/>
  <c r="M95" i="50" s="1"/>
  <c r="K95" i="50" a="1"/>
  <c r="K95" i="50" s="1"/>
  <c r="J95" i="50"/>
  <c r="I95" i="50"/>
  <c r="H95" i="50"/>
  <c r="N295" i="50" a="1"/>
  <c r="N295" i="50" s="1"/>
  <c r="M295" i="50" a="1"/>
  <c r="M295" i="50" s="1"/>
  <c r="K295" i="50" a="1"/>
  <c r="K295" i="50" s="1"/>
  <c r="J295" i="50"/>
  <c r="I295" i="50"/>
  <c r="H295" i="50"/>
  <c r="N70" i="50" a="1"/>
  <c r="N70" i="50" s="1"/>
  <c r="M70" i="50" a="1"/>
  <c r="M70" i="50" s="1"/>
  <c r="K70" i="50" a="1"/>
  <c r="K70" i="50" s="1"/>
  <c r="J70" i="50"/>
  <c r="I70" i="50"/>
  <c r="H70" i="50"/>
  <c r="N20" i="50" a="1"/>
  <c r="N20" i="50" s="1"/>
  <c r="M20" i="50" a="1"/>
  <c r="M20" i="50" s="1"/>
  <c r="K20" i="50" a="1"/>
  <c r="K20" i="50" s="1"/>
  <c r="J20" i="50"/>
  <c r="I20" i="50"/>
  <c r="H20" i="50"/>
  <c r="N244" i="50" a="1"/>
  <c r="N244" i="50" s="1"/>
  <c r="M244" i="50" a="1"/>
  <c r="M244" i="50" s="1"/>
  <c r="K244" i="50" a="1"/>
  <c r="K244" i="50" s="1"/>
  <c r="J244" i="50"/>
  <c r="I244" i="50"/>
  <c r="H244" i="50"/>
  <c r="N219" i="50" a="1"/>
  <c r="N219" i="50" s="1"/>
  <c r="M219" i="50" a="1"/>
  <c r="M219" i="50" s="1"/>
  <c r="K219" i="50" a="1"/>
  <c r="K219" i="50" s="1"/>
  <c r="J219" i="50"/>
  <c r="I219" i="50"/>
  <c r="H219" i="50"/>
  <c r="N269" i="50" a="1"/>
  <c r="N269" i="50" s="1"/>
  <c r="M269" i="50" a="1"/>
  <c r="M269" i="50" s="1"/>
  <c r="K269" i="50" a="1"/>
  <c r="K269" i="50" s="1"/>
  <c r="J269" i="50"/>
  <c r="I269" i="50"/>
  <c r="H269" i="50"/>
  <c r="N444" i="50" a="1"/>
  <c r="N444" i="50" s="1"/>
  <c r="M444" i="50" a="1"/>
  <c r="M444" i="50" s="1"/>
  <c r="K444" i="50" a="1"/>
  <c r="K444" i="50" s="1"/>
  <c r="J444" i="50"/>
  <c r="I444" i="50"/>
  <c r="H444" i="50"/>
  <c r="N419" i="50" a="1"/>
  <c r="N419" i="50" s="1"/>
  <c r="M419" i="50" a="1"/>
  <c r="M419" i="50" s="1"/>
  <c r="K419" i="50" a="1"/>
  <c r="K419" i="50" s="1"/>
  <c r="J419" i="50"/>
  <c r="I419" i="50"/>
  <c r="H419" i="50"/>
  <c r="N394" i="50" a="1"/>
  <c r="N394" i="50" s="1"/>
  <c r="M394" i="50" a="1"/>
  <c r="M394" i="50" s="1"/>
  <c r="K394" i="50" a="1"/>
  <c r="K394" i="50" s="1"/>
  <c r="J394" i="50"/>
  <c r="I394" i="50"/>
  <c r="H394" i="50"/>
  <c r="N344" i="50" a="1"/>
  <c r="N344" i="50" s="1"/>
  <c r="M344" i="50" a="1"/>
  <c r="M344" i="50" s="1"/>
  <c r="K344" i="50" a="1"/>
  <c r="K344" i="50" s="1"/>
  <c r="J344" i="50"/>
  <c r="I344" i="50"/>
  <c r="H344" i="50"/>
  <c r="N319" i="50" a="1"/>
  <c r="N319" i="50" s="1"/>
  <c r="M319" i="50" a="1"/>
  <c r="M319" i="50" s="1"/>
  <c r="K319" i="50" a="1"/>
  <c r="K319" i="50" s="1"/>
  <c r="J319" i="50"/>
  <c r="I319" i="50"/>
  <c r="H319" i="50"/>
  <c r="N369" i="50" a="1"/>
  <c r="N369" i="50" s="1"/>
  <c r="M369" i="50" a="1"/>
  <c r="M369" i="50" s="1"/>
  <c r="K369" i="50" a="1"/>
  <c r="K369" i="50" s="1"/>
  <c r="J369" i="50"/>
  <c r="I369" i="50"/>
  <c r="H369" i="50"/>
  <c r="N44" i="50" a="1"/>
  <c r="N44" i="50" s="1"/>
  <c r="M44" i="50" a="1"/>
  <c r="M44" i="50" s="1"/>
  <c r="K44" i="50" a="1"/>
  <c r="K44" i="50" s="1"/>
  <c r="J44" i="50"/>
  <c r="I44" i="50"/>
  <c r="H44" i="50"/>
  <c r="N194" i="50" a="1"/>
  <c r="N194" i="50" s="1"/>
  <c r="M194" i="50" a="1"/>
  <c r="M194" i="50" s="1"/>
  <c r="K194" i="50" a="1"/>
  <c r="K194" i="50" s="1"/>
  <c r="J194" i="50"/>
  <c r="I194" i="50"/>
  <c r="H194" i="50"/>
  <c r="N169" i="50" a="1"/>
  <c r="N169" i="50" s="1"/>
  <c r="M169" i="50" a="1"/>
  <c r="M169" i="50" s="1"/>
  <c r="K169" i="50" a="1"/>
  <c r="K169" i="50" s="1"/>
  <c r="J169" i="50"/>
  <c r="I169" i="50"/>
  <c r="H169" i="50"/>
  <c r="N144" i="50" a="1"/>
  <c r="N144" i="50" s="1"/>
  <c r="M144" i="50" a="1"/>
  <c r="M144" i="50" s="1"/>
  <c r="K144" i="50" a="1"/>
  <c r="K144" i="50" s="1"/>
  <c r="J144" i="50"/>
  <c r="I144" i="50"/>
  <c r="H144" i="50"/>
  <c r="N94" i="50" a="1"/>
  <c r="N94" i="50" s="1"/>
  <c r="M94" i="50" a="1"/>
  <c r="M94" i="50" s="1"/>
  <c r="K94" i="50" a="1"/>
  <c r="K94" i="50" s="1"/>
  <c r="J94" i="50"/>
  <c r="I94" i="50"/>
  <c r="H94" i="50"/>
  <c r="N294" i="50" a="1"/>
  <c r="N294" i="50" s="1"/>
  <c r="M294" i="50" a="1"/>
  <c r="M294" i="50" s="1"/>
  <c r="K294" i="50" a="1"/>
  <c r="K294" i="50" s="1"/>
  <c r="J294" i="50"/>
  <c r="I294" i="50"/>
  <c r="H294" i="50"/>
  <c r="N69" i="50" a="1"/>
  <c r="N69" i="50" s="1"/>
  <c r="M69" i="50" a="1"/>
  <c r="M69" i="50" s="1"/>
  <c r="K69" i="50" a="1"/>
  <c r="K69" i="50" s="1"/>
  <c r="J69" i="50"/>
  <c r="I69" i="50"/>
  <c r="H69" i="50"/>
  <c r="N19" i="50" a="1"/>
  <c r="N19" i="50" s="1"/>
  <c r="M19" i="50" a="1"/>
  <c r="M19" i="50" s="1"/>
  <c r="K19" i="50" a="1"/>
  <c r="K19" i="50" s="1"/>
  <c r="J19" i="50"/>
  <c r="I19" i="50"/>
  <c r="H19" i="50"/>
  <c r="N243" i="50" a="1"/>
  <c r="N243" i="50" s="1"/>
  <c r="M243" i="50" a="1"/>
  <c r="M243" i="50" s="1"/>
  <c r="K243" i="50" a="1"/>
  <c r="K243" i="50" s="1"/>
  <c r="J243" i="50"/>
  <c r="I243" i="50"/>
  <c r="H243" i="50"/>
  <c r="N218" i="50" a="1"/>
  <c r="N218" i="50" s="1"/>
  <c r="M218" i="50" a="1"/>
  <c r="M218" i="50" s="1"/>
  <c r="K218" i="50" a="1"/>
  <c r="K218" i="50" s="1"/>
  <c r="J218" i="50"/>
  <c r="I218" i="50"/>
  <c r="H218" i="50"/>
  <c r="N268" i="50" a="1"/>
  <c r="N268" i="50" s="1"/>
  <c r="M268" i="50" a="1"/>
  <c r="M268" i="50" s="1"/>
  <c r="K268" i="50" a="1"/>
  <c r="K268" i="50" s="1"/>
  <c r="J268" i="50"/>
  <c r="I268" i="50"/>
  <c r="H268" i="50"/>
  <c r="N443" i="50" a="1"/>
  <c r="N443" i="50" s="1"/>
  <c r="M443" i="50" a="1"/>
  <c r="M443" i="50" s="1"/>
  <c r="K443" i="50" a="1"/>
  <c r="K443" i="50" s="1"/>
  <c r="J443" i="50"/>
  <c r="I443" i="50"/>
  <c r="H443" i="50"/>
  <c r="N418" i="50" a="1"/>
  <c r="N418" i="50" s="1"/>
  <c r="M418" i="50" a="1"/>
  <c r="M418" i="50" s="1"/>
  <c r="K418" i="50" a="1"/>
  <c r="K418" i="50" s="1"/>
  <c r="J418" i="50"/>
  <c r="I418" i="50"/>
  <c r="H418" i="50"/>
  <c r="N393" i="50" a="1"/>
  <c r="N393" i="50" s="1"/>
  <c r="M393" i="50" a="1"/>
  <c r="M393" i="50" s="1"/>
  <c r="K393" i="50" a="1"/>
  <c r="K393" i="50" s="1"/>
  <c r="J393" i="50"/>
  <c r="I393" i="50"/>
  <c r="H393" i="50"/>
  <c r="N343" i="50" a="1"/>
  <c r="N343" i="50" s="1"/>
  <c r="M343" i="50" a="1"/>
  <c r="M343" i="50" s="1"/>
  <c r="K343" i="50" a="1"/>
  <c r="K343" i="50" s="1"/>
  <c r="J343" i="50"/>
  <c r="I343" i="50"/>
  <c r="H343" i="50"/>
  <c r="N318" i="50" a="1"/>
  <c r="N318" i="50" s="1"/>
  <c r="M318" i="50" a="1"/>
  <c r="M318" i="50" s="1"/>
  <c r="K318" i="50" a="1"/>
  <c r="K318" i="50" s="1"/>
  <c r="J318" i="50"/>
  <c r="I318" i="50"/>
  <c r="H318" i="50"/>
  <c r="N368" i="50" a="1"/>
  <c r="N368" i="50" s="1"/>
  <c r="M368" i="50" a="1"/>
  <c r="M368" i="50" s="1"/>
  <c r="K368" i="50" a="1"/>
  <c r="K368" i="50" s="1"/>
  <c r="J368" i="50"/>
  <c r="I368" i="50"/>
  <c r="H368" i="50"/>
  <c r="N43" i="50" a="1"/>
  <c r="N43" i="50" s="1"/>
  <c r="M43" i="50" a="1"/>
  <c r="M43" i="50" s="1"/>
  <c r="K43" i="50" a="1"/>
  <c r="K43" i="50" s="1"/>
  <c r="J43" i="50"/>
  <c r="I43" i="50"/>
  <c r="H43" i="50"/>
  <c r="N193" i="50" a="1"/>
  <c r="N193" i="50" s="1"/>
  <c r="M193" i="50" a="1"/>
  <c r="M193" i="50" s="1"/>
  <c r="K193" i="50" a="1"/>
  <c r="K193" i="50" s="1"/>
  <c r="J193" i="50"/>
  <c r="I193" i="50"/>
  <c r="H193" i="50"/>
  <c r="N168" i="50" a="1"/>
  <c r="N168" i="50" s="1"/>
  <c r="M168" i="50" a="1"/>
  <c r="M168" i="50" s="1"/>
  <c r="K168" i="50" a="1"/>
  <c r="K168" i="50" s="1"/>
  <c r="J168" i="50"/>
  <c r="I168" i="50"/>
  <c r="H168" i="50"/>
  <c r="N143" i="50" a="1"/>
  <c r="N143" i="50" s="1"/>
  <c r="M143" i="50" a="1"/>
  <c r="M143" i="50" s="1"/>
  <c r="K143" i="50" a="1"/>
  <c r="K143" i="50" s="1"/>
  <c r="J143" i="50"/>
  <c r="I143" i="50"/>
  <c r="H143" i="50"/>
  <c r="N93" i="50" a="1"/>
  <c r="N93" i="50" s="1"/>
  <c r="M93" i="50" a="1"/>
  <c r="M93" i="50" s="1"/>
  <c r="K93" i="50" a="1"/>
  <c r="K93" i="50" s="1"/>
  <c r="J93" i="50"/>
  <c r="I93" i="50"/>
  <c r="H93" i="50"/>
  <c r="N293" i="50" a="1"/>
  <c r="N293" i="50" s="1"/>
  <c r="M293" i="50" a="1"/>
  <c r="M293" i="50" s="1"/>
  <c r="K293" i="50" a="1"/>
  <c r="K293" i="50" s="1"/>
  <c r="J293" i="50"/>
  <c r="I293" i="50"/>
  <c r="H293" i="50"/>
  <c r="N68" i="50" a="1"/>
  <c r="N68" i="50" s="1"/>
  <c r="M68" i="50" a="1"/>
  <c r="M68" i="50" s="1"/>
  <c r="K68" i="50" a="1"/>
  <c r="K68" i="50" s="1"/>
  <c r="J68" i="50"/>
  <c r="I68" i="50"/>
  <c r="H68" i="50"/>
  <c r="N18" i="50" a="1"/>
  <c r="N18" i="50" s="1"/>
  <c r="M18" i="50" a="1"/>
  <c r="M18" i="50" s="1"/>
  <c r="K18" i="50" a="1"/>
  <c r="K18" i="50" s="1"/>
  <c r="J18" i="50"/>
  <c r="I18" i="50"/>
  <c r="H18" i="50"/>
  <c r="N242" i="50" a="1"/>
  <c r="N242" i="50" s="1"/>
  <c r="M242" i="50" a="1"/>
  <c r="M242" i="50" s="1"/>
  <c r="K242" i="50" a="1"/>
  <c r="K242" i="50" s="1"/>
  <c r="J242" i="50"/>
  <c r="I242" i="50"/>
  <c r="H242" i="50"/>
  <c r="N217" i="50" a="1"/>
  <c r="N217" i="50" s="1"/>
  <c r="M217" i="50" a="1"/>
  <c r="M217" i="50" s="1"/>
  <c r="K217" i="50" a="1"/>
  <c r="K217" i="50" s="1"/>
  <c r="J217" i="50"/>
  <c r="I217" i="50"/>
  <c r="H217" i="50"/>
  <c r="N267" i="50" a="1"/>
  <c r="N267" i="50" s="1"/>
  <c r="M267" i="50" a="1"/>
  <c r="M267" i="50" s="1"/>
  <c r="K267" i="50" a="1"/>
  <c r="K267" i="50" s="1"/>
  <c r="J267" i="50"/>
  <c r="I267" i="50"/>
  <c r="H267" i="50"/>
  <c r="N442" i="50" a="1"/>
  <c r="N442" i="50" s="1"/>
  <c r="M442" i="50" a="1"/>
  <c r="M442" i="50" s="1"/>
  <c r="K442" i="50" a="1"/>
  <c r="K442" i="50" s="1"/>
  <c r="J442" i="50"/>
  <c r="I442" i="50"/>
  <c r="H442" i="50"/>
  <c r="N417" i="50" a="1"/>
  <c r="N417" i="50" s="1"/>
  <c r="M417" i="50" a="1"/>
  <c r="M417" i="50" s="1"/>
  <c r="K417" i="50" a="1"/>
  <c r="K417" i="50" s="1"/>
  <c r="J417" i="50"/>
  <c r="I417" i="50"/>
  <c r="H417" i="50"/>
  <c r="N392" i="50" a="1"/>
  <c r="N392" i="50" s="1"/>
  <c r="M392" i="50" a="1"/>
  <c r="M392" i="50" s="1"/>
  <c r="K392" i="50" a="1"/>
  <c r="K392" i="50" s="1"/>
  <c r="J392" i="50"/>
  <c r="I392" i="50"/>
  <c r="H392" i="50"/>
  <c r="N342" i="50" a="1"/>
  <c r="N342" i="50" s="1"/>
  <c r="M342" i="50" a="1"/>
  <c r="M342" i="50" s="1"/>
  <c r="K342" i="50" a="1"/>
  <c r="K342" i="50" s="1"/>
  <c r="J342" i="50"/>
  <c r="I342" i="50"/>
  <c r="H342" i="50"/>
  <c r="N317" i="50" a="1"/>
  <c r="N317" i="50" s="1"/>
  <c r="M317" i="50" a="1"/>
  <c r="M317" i="50" s="1"/>
  <c r="K317" i="50" a="1"/>
  <c r="K317" i="50" s="1"/>
  <c r="J317" i="50"/>
  <c r="I317" i="50"/>
  <c r="H317" i="50"/>
  <c r="N367" i="50" a="1"/>
  <c r="N367" i="50" s="1"/>
  <c r="M367" i="50" a="1"/>
  <c r="M367" i="50" s="1"/>
  <c r="K367" i="50" a="1"/>
  <c r="K367" i="50" s="1"/>
  <c r="J367" i="50"/>
  <c r="I367" i="50"/>
  <c r="H367" i="50"/>
  <c r="N42" i="50" a="1"/>
  <c r="N42" i="50" s="1"/>
  <c r="M42" i="50" a="1"/>
  <c r="M42" i="50" s="1"/>
  <c r="K42" i="50" a="1"/>
  <c r="K42" i="50" s="1"/>
  <c r="J42" i="50"/>
  <c r="I42" i="50"/>
  <c r="H42" i="50"/>
  <c r="N192" i="50" a="1"/>
  <c r="N192" i="50" s="1"/>
  <c r="M192" i="50" a="1"/>
  <c r="M192" i="50" s="1"/>
  <c r="K192" i="50" a="1"/>
  <c r="K192" i="50" s="1"/>
  <c r="J192" i="50"/>
  <c r="I192" i="50"/>
  <c r="H192" i="50"/>
  <c r="N167" i="50" a="1"/>
  <c r="N167" i="50" s="1"/>
  <c r="M167" i="50" a="1"/>
  <c r="M167" i="50" s="1"/>
  <c r="K167" i="50" a="1"/>
  <c r="K167" i="50" s="1"/>
  <c r="J167" i="50"/>
  <c r="I167" i="50"/>
  <c r="H167" i="50"/>
  <c r="N142" i="50" a="1"/>
  <c r="N142" i="50" s="1"/>
  <c r="M142" i="50" a="1"/>
  <c r="M142" i="50" s="1"/>
  <c r="K142" i="50" a="1"/>
  <c r="K142" i="50" s="1"/>
  <c r="J142" i="50"/>
  <c r="I142" i="50"/>
  <c r="H142" i="50"/>
  <c r="N92" i="50" a="1"/>
  <c r="N92" i="50" s="1"/>
  <c r="M92" i="50" a="1"/>
  <c r="M92" i="50" s="1"/>
  <c r="K92" i="50" a="1"/>
  <c r="K92" i="50" s="1"/>
  <c r="J92" i="50"/>
  <c r="I92" i="50"/>
  <c r="H92" i="50"/>
  <c r="N292" i="50" a="1"/>
  <c r="N292" i="50" s="1"/>
  <c r="M292" i="50" a="1"/>
  <c r="M292" i="50" s="1"/>
  <c r="K292" i="50" a="1"/>
  <c r="K292" i="50" s="1"/>
  <c r="J292" i="50"/>
  <c r="I292" i="50"/>
  <c r="H292" i="50"/>
  <c r="N67" i="50" a="1"/>
  <c r="N67" i="50" s="1"/>
  <c r="M67" i="50" a="1"/>
  <c r="M67" i="50" s="1"/>
  <c r="K67" i="50" a="1"/>
  <c r="K67" i="50" s="1"/>
  <c r="J67" i="50"/>
  <c r="I67" i="50"/>
  <c r="H67" i="50"/>
  <c r="N17" i="50" a="1"/>
  <c r="N17" i="50" s="1"/>
  <c r="M17" i="50" a="1"/>
  <c r="M17" i="50" s="1"/>
  <c r="K17" i="50" a="1"/>
  <c r="K17" i="50" s="1"/>
  <c r="J17" i="50"/>
  <c r="I17" i="50"/>
  <c r="H17" i="50"/>
  <c r="F88" i="61"/>
  <c r="F82" i="61"/>
  <c r="F81" i="61"/>
  <c r="F80" i="61"/>
  <c r="F79" i="61"/>
  <c r="F78" i="61"/>
  <c r="F89" i="61"/>
  <c r="AB58" i="61"/>
  <c r="AA58" i="61"/>
  <c r="AQ57" i="61"/>
  <c r="AN57" i="61"/>
  <c r="AH57" i="61"/>
  <c r="AE57" i="61"/>
  <c r="AC57" i="61"/>
  <c r="AB57" i="61"/>
  <c r="AD57" i="61" s="1"/>
  <c r="AQ56" i="61"/>
  <c r="AN56" i="61"/>
  <c r="AH56" i="61"/>
  <c r="AE56" i="61"/>
  <c r="AC56" i="61"/>
  <c r="AB56" i="61"/>
  <c r="AD56" i="61" s="1"/>
  <c r="AQ55" i="61"/>
  <c r="AN55" i="61"/>
  <c r="AH55" i="61"/>
  <c r="AE55" i="61"/>
  <c r="AC55" i="61"/>
  <c r="AB55" i="61"/>
  <c r="AD55" i="61" s="1"/>
  <c r="AQ54" i="61"/>
  <c r="AN54" i="61"/>
  <c r="AH54" i="61"/>
  <c r="AE54" i="61"/>
  <c r="AC54" i="61"/>
  <c r="AB54" i="61"/>
  <c r="AD54" i="61" s="1"/>
  <c r="AQ53" i="61"/>
  <c r="AN53" i="61"/>
  <c r="AH53" i="61"/>
  <c r="AE53" i="61"/>
  <c r="AC53" i="61"/>
  <c r="AB53" i="61"/>
  <c r="AD53" i="61" s="1"/>
  <c r="AQ52" i="61"/>
  <c r="AN52" i="61"/>
  <c r="AH52" i="61"/>
  <c r="AE52" i="61"/>
  <c r="AC52" i="61"/>
  <c r="AB52" i="61"/>
  <c r="AD52" i="61" s="1"/>
  <c r="AQ51" i="61"/>
  <c r="AN51" i="61"/>
  <c r="AH51" i="61"/>
  <c r="AE51" i="61"/>
  <c r="AC51" i="61"/>
  <c r="AB51" i="61"/>
  <c r="AD51" i="61" s="1"/>
  <c r="AQ50" i="61"/>
  <c r="AN50" i="61"/>
  <c r="AH50" i="61"/>
  <c r="AE50" i="61"/>
  <c r="AC50" i="61"/>
  <c r="AB50" i="61"/>
  <c r="AD50" i="61" s="1"/>
  <c r="AQ49" i="61"/>
  <c r="AN49" i="61"/>
  <c r="AH49" i="61"/>
  <c r="AE49" i="61"/>
  <c r="AC49" i="61"/>
  <c r="AB49" i="61"/>
  <c r="AD49" i="61" s="1"/>
  <c r="AQ48" i="61"/>
  <c r="AN48" i="61"/>
  <c r="AH48" i="61"/>
  <c r="AE48" i="61"/>
  <c r="AC48" i="61"/>
  <c r="AB48" i="61"/>
  <c r="AD48" i="61" s="1"/>
  <c r="AQ47" i="61"/>
  <c r="AN47" i="61"/>
  <c r="AH47" i="61"/>
  <c r="AE47" i="61"/>
  <c r="AC47" i="61"/>
  <c r="AB47" i="61"/>
  <c r="AD47" i="61" s="1"/>
  <c r="AQ46" i="61"/>
  <c r="AN46" i="61"/>
  <c r="AH46" i="61"/>
  <c r="AE46" i="61"/>
  <c r="AC46" i="61"/>
  <c r="AB46" i="61"/>
  <c r="AD46" i="61" s="1"/>
  <c r="AQ45" i="61"/>
  <c r="AN45" i="61"/>
  <c r="AH45" i="61"/>
  <c r="AE45" i="61"/>
  <c r="AC45" i="61"/>
  <c r="AB45" i="61"/>
  <c r="AD45" i="61" s="1"/>
  <c r="AQ44" i="61"/>
  <c r="AN44" i="61"/>
  <c r="AH44" i="61"/>
  <c r="AE44" i="61"/>
  <c r="AC44" i="61"/>
  <c r="AB44" i="61"/>
  <c r="AD44" i="61" s="1"/>
  <c r="AQ43" i="61"/>
  <c r="AN43" i="61"/>
  <c r="AH43" i="61"/>
  <c r="AE43" i="61"/>
  <c r="AC43" i="61"/>
  <c r="AB43" i="61"/>
  <c r="AD43" i="61" s="1"/>
  <c r="AQ42" i="61"/>
  <c r="AN42" i="61"/>
  <c r="AH42" i="61"/>
  <c r="AE42" i="61"/>
  <c r="AC42" i="61"/>
  <c r="AB42" i="61"/>
  <c r="AD42" i="61" s="1"/>
  <c r="AQ41" i="61"/>
  <c r="AN41" i="61"/>
  <c r="AH41" i="61"/>
  <c r="AE41" i="61"/>
  <c r="AC41" i="61"/>
  <c r="AB41" i="61"/>
  <c r="AD41" i="61" s="1"/>
  <c r="AE40" i="61"/>
  <c r="AC40" i="61"/>
  <c r="AB40" i="61"/>
  <c r="AD40" i="61" s="1"/>
  <c r="AQ39" i="61"/>
  <c r="AN39" i="61"/>
  <c r="AH39" i="61"/>
  <c r="AE39" i="61"/>
  <c r="AC39" i="61"/>
  <c r="AB39" i="61"/>
  <c r="AD39" i="61" s="1"/>
  <c r="AQ38" i="61"/>
  <c r="AN38" i="61"/>
  <c r="AH38" i="61"/>
  <c r="AE38" i="61"/>
  <c r="AC38" i="61"/>
  <c r="AB38" i="61"/>
  <c r="AD38" i="61" s="1"/>
  <c r="AE37" i="61"/>
  <c r="AC37" i="61"/>
  <c r="AB37" i="61"/>
  <c r="AD37" i="61" s="1"/>
  <c r="AE36" i="61"/>
  <c r="AC36" i="61"/>
  <c r="AB36" i="61"/>
  <c r="AD36" i="61" s="1"/>
  <c r="AE35" i="61"/>
  <c r="AC35" i="61"/>
  <c r="AB35" i="61"/>
  <c r="AD35" i="61" s="1"/>
  <c r="AE34" i="61"/>
  <c r="AC34" i="61"/>
  <c r="AB34" i="61"/>
  <c r="AD34" i="61" s="1"/>
  <c r="AE33" i="61"/>
  <c r="AC33" i="61"/>
  <c r="AB33" i="61"/>
  <c r="AD33" i="61" s="1"/>
  <c r="G17" i="61"/>
  <c r="F83" i="61" s="1"/>
  <c r="X33" i="61" l="1" a="1"/>
  <c r="X33" i="61" s="1"/>
  <c r="J33" i="61" s="1"/>
  <c r="X38" i="61" a="1"/>
  <c r="X38" i="61" s="1"/>
  <c r="J38" i="61" s="1"/>
  <c r="X40" i="61" a="1"/>
  <c r="X40" i="61" s="1"/>
  <c r="J40" i="61" s="1"/>
  <c r="X39" i="61" a="1"/>
  <c r="X39" i="61" s="1"/>
  <c r="J39" i="61" s="1"/>
  <c r="X34" i="61" a="1"/>
  <c r="X34" i="61" s="1"/>
  <c r="J34" i="61" s="1"/>
  <c r="X35" i="61" a="1"/>
  <c r="X35" i="61" s="1"/>
  <c r="J35" i="61" s="1"/>
  <c r="X36" i="61" a="1"/>
  <c r="X36" i="61" s="1"/>
  <c r="J36" i="61" s="1"/>
  <c r="X37" i="61" a="1"/>
  <c r="X37" i="61" s="1"/>
  <c r="J37" i="61" s="1"/>
  <c r="O6" i="61"/>
  <c r="AA28" i="59"/>
  <c r="AC28" i="59" s="1"/>
  <c r="AB28" i="59"/>
  <c r="AD28" i="59"/>
  <c r="AA29" i="59"/>
  <c r="AC29" i="59" s="1"/>
  <c r="AB29" i="59"/>
  <c r="AD29" i="59"/>
  <c r="AA30" i="59"/>
  <c r="AC30" i="59" s="1"/>
  <c r="AB30" i="59"/>
  <c r="AD30" i="59"/>
  <c r="AG30" i="59"/>
  <c r="AM30" i="59"/>
  <c r="AP30" i="59"/>
  <c r="AA31" i="59"/>
  <c r="AC31" i="59" s="1"/>
  <c r="AB31" i="59"/>
  <c r="AD31" i="59"/>
  <c r="AG31" i="59"/>
  <c r="AM31" i="59"/>
  <c r="AP31" i="59"/>
  <c r="AA32" i="59"/>
  <c r="AC32" i="59" s="1"/>
  <c r="AB32" i="59"/>
  <c r="AD32" i="59"/>
  <c r="AG32" i="59"/>
  <c r="AM32" i="59"/>
  <c r="AP32" i="59"/>
  <c r="AA33" i="59"/>
  <c r="AC33" i="59" s="1"/>
  <c r="AB33" i="59"/>
  <c r="AD33" i="59"/>
  <c r="AG33" i="59"/>
  <c r="AM33" i="59"/>
  <c r="AP33" i="59"/>
  <c r="AA34" i="59"/>
  <c r="AC34" i="59" s="1"/>
  <c r="AB34" i="59"/>
  <c r="AD34" i="59"/>
  <c r="AG34" i="59"/>
  <c r="AM34" i="59"/>
  <c r="AP34" i="59"/>
  <c r="AA35" i="59"/>
  <c r="AC35" i="59" s="1"/>
  <c r="AB35" i="59"/>
  <c r="AD35" i="59"/>
  <c r="AG35" i="59"/>
  <c r="AM35" i="59"/>
  <c r="AP35" i="59"/>
  <c r="AA36" i="59"/>
  <c r="AC36" i="59" s="1"/>
  <c r="AB36" i="59"/>
  <c r="AD36" i="59"/>
  <c r="AG36" i="59"/>
  <c r="AM36" i="59"/>
  <c r="AP36" i="59"/>
  <c r="AA37" i="59"/>
  <c r="AC37" i="59" s="1"/>
  <c r="AB37" i="59"/>
  <c r="AD37" i="59"/>
  <c r="AG37" i="59"/>
  <c r="AM37" i="59"/>
  <c r="AP37" i="59"/>
  <c r="AA38" i="59"/>
  <c r="AC38" i="59" s="1"/>
  <c r="AB38" i="59"/>
  <c r="AD38" i="59"/>
  <c r="AG38" i="59"/>
  <c r="AM38" i="59"/>
  <c r="AP38" i="59"/>
  <c r="AA39" i="59"/>
  <c r="AC39" i="59" s="1"/>
  <c r="AB39" i="59"/>
  <c r="AD39" i="59"/>
  <c r="AG39" i="59"/>
  <c r="AM39" i="59"/>
  <c r="AP39" i="59"/>
  <c r="AA40" i="59"/>
  <c r="AC40" i="59" s="1"/>
  <c r="AB40" i="59"/>
  <c r="AD40" i="59"/>
  <c r="AG40" i="59"/>
  <c r="AM40" i="59"/>
  <c r="AP40" i="59"/>
  <c r="AA41" i="59"/>
  <c r="AC41" i="59" s="1"/>
  <c r="AB41" i="59"/>
  <c r="AD41" i="59"/>
  <c r="AG41" i="59"/>
  <c r="AM41" i="59"/>
  <c r="AP41" i="59"/>
  <c r="AA42" i="59"/>
  <c r="AC42" i="59" s="1"/>
  <c r="AB42" i="59"/>
  <c r="AD42" i="59"/>
  <c r="AG42" i="59"/>
  <c r="AM42" i="59"/>
  <c r="AP42" i="59"/>
  <c r="AA43" i="59"/>
  <c r="AC43" i="59" s="1"/>
  <c r="AB43" i="59"/>
  <c r="AD43" i="59"/>
  <c r="AG43" i="59"/>
  <c r="AM43" i="59"/>
  <c r="AP43" i="59"/>
  <c r="AA44" i="59"/>
  <c r="AC44" i="59" s="1"/>
  <c r="AB44" i="59"/>
  <c r="AD44" i="59"/>
  <c r="AG44" i="59"/>
  <c r="AM44" i="59"/>
  <c r="AP44" i="59"/>
  <c r="AA45" i="59"/>
  <c r="AC45" i="59" s="1"/>
  <c r="AB45" i="59"/>
  <c r="AD45" i="59"/>
  <c r="AG45" i="59"/>
  <c r="AM45" i="59"/>
  <c r="AP45" i="59"/>
  <c r="AA46" i="59"/>
  <c r="AC46" i="59" s="1"/>
  <c r="AB46" i="59"/>
  <c r="AD46" i="59"/>
  <c r="AA47" i="59"/>
  <c r="AC47" i="59" s="1"/>
  <c r="AB47" i="59"/>
  <c r="AD47" i="59"/>
  <c r="AG47" i="59"/>
  <c r="AM47" i="59"/>
  <c r="AP47" i="59"/>
  <c r="AA48" i="59"/>
  <c r="AC48" i="59" s="1"/>
  <c r="AB48" i="59"/>
  <c r="AD48" i="59"/>
  <c r="AG48" i="59"/>
  <c r="AM48" i="59"/>
  <c r="AP48" i="59"/>
  <c r="AA49" i="59"/>
  <c r="AC49" i="59" s="1"/>
  <c r="AB49" i="59"/>
  <c r="AD49" i="59"/>
  <c r="AG49" i="59"/>
  <c r="AM49" i="59"/>
  <c r="AP49" i="59"/>
  <c r="AA50" i="59"/>
  <c r="AC50" i="59" s="1"/>
  <c r="AB50" i="59"/>
  <c r="AD50" i="59"/>
  <c r="AG50" i="59"/>
  <c r="AM50" i="59"/>
  <c r="AP50" i="59"/>
  <c r="AA51" i="59"/>
  <c r="AC51" i="59" s="1"/>
  <c r="AB51" i="59"/>
  <c r="AD51" i="59"/>
  <c r="AG51" i="59"/>
  <c r="AM51" i="59"/>
  <c r="AP51" i="59"/>
  <c r="AT58" i="61" l="1"/>
  <c r="J58" i="61"/>
  <c r="AR58" i="61" s="1"/>
  <c r="AH37" i="61"/>
  <c r="F82" i="59"/>
  <c r="F76" i="59"/>
  <c r="F75" i="59"/>
  <c r="F83" i="59"/>
  <c r="AS52" i="59"/>
  <c r="AA52" i="59"/>
  <c r="Z52" i="59"/>
  <c r="AD27" i="59"/>
  <c r="O27" i="59" s="1"/>
  <c r="AB27" i="59"/>
  <c r="AA27" i="59"/>
  <c r="AC27" i="59" s="1"/>
  <c r="G17" i="59"/>
  <c r="O6" i="59" s="1"/>
  <c r="F74" i="59"/>
  <c r="F72" i="59"/>
  <c r="F73" i="59"/>
  <c r="AS58" i="61" l="1"/>
  <c r="AG28" i="59"/>
  <c r="AG46" i="59"/>
  <c r="F77" i="59"/>
  <c r="AN37" i="61" l="1"/>
  <c r="AQ37" i="61"/>
  <c r="N251" i="50" a="1"/>
  <c r="N251" i="50" s="1"/>
  <c r="M251" i="50" a="1"/>
  <c r="M251" i="50" s="1"/>
  <c r="K251" i="50" a="1"/>
  <c r="K251" i="50" s="1"/>
  <c r="J251" i="50"/>
  <c r="I251" i="50"/>
  <c r="H251" i="50"/>
  <c r="N226" i="50" a="1"/>
  <c r="N226" i="50" s="1"/>
  <c r="M226" i="50" a="1"/>
  <c r="M226" i="50" s="1"/>
  <c r="K226" i="50" a="1"/>
  <c r="K226" i="50" s="1"/>
  <c r="J226" i="50"/>
  <c r="I226" i="50"/>
  <c r="H226" i="50"/>
  <c r="N276" i="50" a="1"/>
  <c r="N276" i="50" s="1"/>
  <c r="M276" i="50" a="1"/>
  <c r="M276" i="50" s="1"/>
  <c r="K276" i="50" a="1"/>
  <c r="K276" i="50" s="1"/>
  <c r="J276" i="50"/>
  <c r="I276" i="50"/>
  <c r="H276" i="50"/>
  <c r="N451" i="50" a="1"/>
  <c r="N451" i="50" s="1"/>
  <c r="M451" i="50" a="1"/>
  <c r="M451" i="50" s="1"/>
  <c r="K451" i="50" a="1"/>
  <c r="K451" i="50" s="1"/>
  <c r="J451" i="50"/>
  <c r="N426" i="50" a="1"/>
  <c r="N426" i="50" s="1"/>
  <c r="M426" i="50" a="1"/>
  <c r="M426" i="50" s="1"/>
  <c r="K426" i="50" a="1"/>
  <c r="K426" i="50" s="1"/>
  <c r="J426" i="50"/>
  <c r="I426" i="50"/>
  <c r="H426" i="50"/>
  <c r="N401" i="50" a="1"/>
  <c r="N401" i="50" s="1"/>
  <c r="M401" i="50" a="1"/>
  <c r="M401" i="50" s="1"/>
  <c r="K401" i="50" a="1"/>
  <c r="K401" i="50" s="1"/>
  <c r="J401" i="50"/>
  <c r="I401" i="50"/>
  <c r="H401" i="50"/>
  <c r="N351" i="50" a="1"/>
  <c r="N351" i="50" s="1"/>
  <c r="M351" i="50" a="1"/>
  <c r="M351" i="50" s="1"/>
  <c r="K351" i="50" a="1"/>
  <c r="K351" i="50" s="1"/>
  <c r="J351" i="50"/>
  <c r="I351" i="50"/>
  <c r="H351" i="50"/>
  <c r="N326" i="50" a="1"/>
  <c r="N326" i="50" s="1"/>
  <c r="M326" i="50" a="1"/>
  <c r="M326" i="50" s="1"/>
  <c r="K326" i="50" a="1"/>
  <c r="K326" i="50" s="1"/>
  <c r="J326" i="50"/>
  <c r="I326" i="50"/>
  <c r="H326" i="50"/>
  <c r="N376" i="50" a="1"/>
  <c r="N376" i="50" s="1"/>
  <c r="M376" i="50" a="1"/>
  <c r="M376" i="50" s="1"/>
  <c r="K376" i="50" a="1"/>
  <c r="K376" i="50" s="1"/>
  <c r="J376" i="50"/>
  <c r="I376" i="50"/>
  <c r="H376" i="50"/>
  <c r="N51" i="50" a="1"/>
  <c r="N51" i="50" s="1"/>
  <c r="M51" i="50" a="1"/>
  <c r="M51" i="50" s="1"/>
  <c r="K51" i="50" a="1"/>
  <c r="K51" i="50" s="1"/>
  <c r="J51" i="50"/>
  <c r="I51" i="50"/>
  <c r="H51" i="50"/>
  <c r="N201" i="50" a="1"/>
  <c r="N201" i="50" s="1"/>
  <c r="M201" i="50" a="1"/>
  <c r="M201" i="50" s="1"/>
  <c r="K201" i="50" a="1"/>
  <c r="K201" i="50" s="1"/>
  <c r="J201" i="50"/>
  <c r="I201" i="50"/>
  <c r="H201" i="50"/>
  <c r="N176" i="50" a="1"/>
  <c r="N176" i="50" s="1"/>
  <c r="M176" i="50" a="1"/>
  <c r="M176" i="50" s="1"/>
  <c r="K176" i="50" a="1"/>
  <c r="K176" i="50" s="1"/>
  <c r="J176" i="50"/>
  <c r="I176" i="50"/>
  <c r="H176" i="50"/>
  <c r="N151" i="50" a="1"/>
  <c r="N151" i="50" s="1"/>
  <c r="M151" i="50" a="1"/>
  <c r="M151" i="50" s="1"/>
  <c r="K151" i="50" a="1"/>
  <c r="K151" i="50" s="1"/>
  <c r="J151" i="50"/>
  <c r="I151" i="50"/>
  <c r="H151" i="50"/>
  <c r="N101" i="50" a="1"/>
  <c r="N101" i="50" s="1"/>
  <c r="M101" i="50" a="1"/>
  <c r="M101" i="50" s="1"/>
  <c r="K101" i="50" a="1"/>
  <c r="K101" i="50" s="1"/>
  <c r="J101" i="50"/>
  <c r="I101" i="50"/>
  <c r="H101" i="50"/>
  <c r="N301" i="50" a="1"/>
  <c r="N301" i="50" s="1"/>
  <c r="M301" i="50" a="1"/>
  <c r="M301" i="50" s="1"/>
  <c r="K301" i="50" a="1"/>
  <c r="K301" i="50" s="1"/>
  <c r="J301" i="50"/>
  <c r="I301" i="50"/>
  <c r="H301" i="50"/>
  <c r="N76" i="50" a="1"/>
  <c r="N76" i="50" s="1"/>
  <c r="M76" i="50" a="1"/>
  <c r="M76" i="50" s="1"/>
  <c r="K76" i="50" a="1"/>
  <c r="K76" i="50" s="1"/>
  <c r="J76" i="50"/>
  <c r="I76" i="50"/>
  <c r="H76" i="50"/>
  <c r="N26" i="50" a="1"/>
  <c r="N26" i="50" s="1"/>
  <c r="M26" i="50" a="1"/>
  <c r="M26" i="50" s="1"/>
  <c r="K26" i="50" a="1"/>
  <c r="K26" i="50" s="1"/>
  <c r="J26" i="50"/>
  <c r="I26" i="50"/>
  <c r="H26" i="50"/>
  <c r="N250" i="50" a="1"/>
  <c r="N250" i="50" s="1"/>
  <c r="M250" i="50" a="1"/>
  <c r="M250" i="50" s="1"/>
  <c r="K250" i="50" a="1"/>
  <c r="K250" i="50" s="1"/>
  <c r="J250" i="50"/>
  <c r="I250" i="50"/>
  <c r="H250" i="50"/>
  <c r="N225" i="50" a="1"/>
  <c r="N225" i="50" s="1"/>
  <c r="M225" i="50" a="1"/>
  <c r="M225" i="50" s="1"/>
  <c r="K225" i="50" a="1"/>
  <c r="K225" i="50" s="1"/>
  <c r="J225" i="50"/>
  <c r="I225" i="50"/>
  <c r="H225" i="50"/>
  <c r="N275" i="50" a="1"/>
  <c r="N275" i="50" s="1"/>
  <c r="M275" i="50" a="1"/>
  <c r="M275" i="50" s="1"/>
  <c r="K275" i="50" a="1"/>
  <c r="K275" i="50" s="1"/>
  <c r="J275" i="50"/>
  <c r="I275" i="50"/>
  <c r="H275" i="50"/>
  <c r="N450" i="50" a="1"/>
  <c r="N450" i="50" s="1"/>
  <c r="M450" i="50" a="1"/>
  <c r="M450" i="50" s="1"/>
  <c r="K450" i="50" a="1"/>
  <c r="K450" i="50" s="1"/>
  <c r="J450" i="50"/>
  <c r="I450" i="50"/>
  <c r="H450" i="50"/>
  <c r="N425" i="50" a="1"/>
  <c r="N425" i="50" s="1"/>
  <c r="M425" i="50" a="1"/>
  <c r="M425" i="50" s="1"/>
  <c r="K425" i="50" a="1"/>
  <c r="K425" i="50" s="1"/>
  <c r="J425" i="50"/>
  <c r="I425" i="50"/>
  <c r="H425" i="50"/>
  <c r="N400" i="50" a="1"/>
  <c r="N400" i="50" s="1"/>
  <c r="M400" i="50" a="1"/>
  <c r="M400" i="50" s="1"/>
  <c r="K400" i="50" a="1"/>
  <c r="K400" i="50" s="1"/>
  <c r="J400" i="50"/>
  <c r="I400" i="50"/>
  <c r="H400" i="50"/>
  <c r="N350" i="50" a="1"/>
  <c r="N350" i="50" s="1"/>
  <c r="M350" i="50" a="1"/>
  <c r="M350" i="50" s="1"/>
  <c r="K350" i="50" a="1"/>
  <c r="K350" i="50" s="1"/>
  <c r="J350" i="50"/>
  <c r="I350" i="50"/>
  <c r="H350" i="50"/>
  <c r="N325" i="50" a="1"/>
  <c r="N325" i="50" s="1"/>
  <c r="M325" i="50" a="1"/>
  <c r="M325" i="50" s="1"/>
  <c r="K325" i="50" a="1"/>
  <c r="K325" i="50" s="1"/>
  <c r="J325" i="50"/>
  <c r="I325" i="50"/>
  <c r="H325" i="50"/>
  <c r="N375" i="50" a="1"/>
  <c r="N375" i="50" s="1"/>
  <c r="M375" i="50" a="1"/>
  <c r="M375" i="50" s="1"/>
  <c r="K375" i="50" a="1"/>
  <c r="K375" i="50" s="1"/>
  <c r="J375" i="50"/>
  <c r="I375" i="50"/>
  <c r="H375" i="50"/>
  <c r="N50" i="50" a="1"/>
  <c r="N50" i="50" s="1"/>
  <c r="M50" i="50" a="1"/>
  <c r="M50" i="50" s="1"/>
  <c r="K50" i="50" a="1"/>
  <c r="K50" i="50" s="1"/>
  <c r="J50" i="50"/>
  <c r="I50" i="50"/>
  <c r="H50" i="50"/>
  <c r="N200" i="50" a="1"/>
  <c r="N200" i="50" s="1"/>
  <c r="M200" i="50" a="1"/>
  <c r="M200" i="50" s="1"/>
  <c r="K200" i="50" a="1"/>
  <c r="K200" i="50" s="1"/>
  <c r="J200" i="50"/>
  <c r="I200" i="50"/>
  <c r="H200" i="50"/>
  <c r="N175" i="50" a="1"/>
  <c r="N175" i="50" s="1"/>
  <c r="M175" i="50" a="1"/>
  <c r="M175" i="50" s="1"/>
  <c r="K175" i="50" a="1"/>
  <c r="K175" i="50" s="1"/>
  <c r="J175" i="50"/>
  <c r="I175" i="50"/>
  <c r="H175" i="50"/>
  <c r="N150" i="50" a="1"/>
  <c r="N150" i="50" s="1"/>
  <c r="M150" i="50" a="1"/>
  <c r="M150" i="50" s="1"/>
  <c r="K150" i="50" a="1"/>
  <c r="K150" i="50" s="1"/>
  <c r="J150" i="50"/>
  <c r="I150" i="50"/>
  <c r="H150" i="50"/>
  <c r="N100" i="50" a="1"/>
  <c r="N100" i="50" s="1"/>
  <c r="M100" i="50" a="1"/>
  <c r="M100" i="50" s="1"/>
  <c r="K100" i="50" a="1"/>
  <c r="K100" i="50" s="1"/>
  <c r="J100" i="50"/>
  <c r="I100" i="50"/>
  <c r="H100" i="50"/>
  <c r="N300" i="50" a="1"/>
  <c r="N300" i="50" s="1"/>
  <c r="M300" i="50" a="1"/>
  <c r="M300" i="50" s="1"/>
  <c r="K300" i="50" a="1"/>
  <c r="K300" i="50" s="1"/>
  <c r="J300" i="50"/>
  <c r="I300" i="50"/>
  <c r="H300" i="50"/>
  <c r="N75" i="50" a="1"/>
  <c r="N75" i="50" s="1"/>
  <c r="M75" i="50" a="1"/>
  <c r="M75" i="50" s="1"/>
  <c r="K75" i="50" a="1"/>
  <c r="K75" i="50" s="1"/>
  <c r="J75" i="50"/>
  <c r="I75" i="50"/>
  <c r="H75" i="50"/>
  <c r="N25" i="50" a="1"/>
  <c r="N25" i="50" s="1"/>
  <c r="M25" i="50" a="1"/>
  <c r="M25" i="50" s="1"/>
  <c r="K25" i="50" a="1"/>
  <c r="K25" i="50" s="1"/>
  <c r="J25" i="50"/>
  <c r="I25" i="50"/>
  <c r="H25" i="50"/>
  <c r="N249" i="50" a="1"/>
  <c r="N249" i="50" s="1"/>
  <c r="M249" i="50" a="1"/>
  <c r="M249" i="50" s="1"/>
  <c r="K249" i="50" a="1"/>
  <c r="K249" i="50" s="1"/>
  <c r="J249" i="50"/>
  <c r="I249" i="50"/>
  <c r="H249" i="50"/>
  <c r="N224" i="50" a="1"/>
  <c r="N224" i="50" s="1"/>
  <c r="M224" i="50" a="1"/>
  <c r="M224" i="50" s="1"/>
  <c r="K224" i="50" a="1"/>
  <c r="K224" i="50" s="1"/>
  <c r="J224" i="50"/>
  <c r="I224" i="50"/>
  <c r="H224" i="50"/>
  <c r="N274" i="50" a="1"/>
  <c r="N274" i="50" s="1"/>
  <c r="M274" i="50" a="1"/>
  <c r="M274" i="50" s="1"/>
  <c r="K274" i="50" a="1"/>
  <c r="K274" i="50" s="1"/>
  <c r="J274" i="50"/>
  <c r="I274" i="50"/>
  <c r="H274" i="50"/>
  <c r="N449" i="50" a="1"/>
  <c r="N449" i="50" s="1"/>
  <c r="M449" i="50" a="1"/>
  <c r="M449" i="50" s="1"/>
  <c r="K449" i="50" a="1"/>
  <c r="K449" i="50" s="1"/>
  <c r="J449" i="50"/>
  <c r="I449" i="50"/>
  <c r="H449" i="50"/>
  <c r="N424" i="50" a="1"/>
  <c r="N424" i="50" s="1"/>
  <c r="M424" i="50" a="1"/>
  <c r="M424" i="50" s="1"/>
  <c r="K424" i="50" a="1"/>
  <c r="K424" i="50" s="1"/>
  <c r="J424" i="50"/>
  <c r="I424" i="50"/>
  <c r="H424" i="50"/>
  <c r="N399" i="50" a="1"/>
  <c r="N399" i="50" s="1"/>
  <c r="M399" i="50" a="1"/>
  <c r="M399" i="50" s="1"/>
  <c r="K399" i="50" a="1"/>
  <c r="K399" i="50" s="1"/>
  <c r="J399" i="50"/>
  <c r="I399" i="50"/>
  <c r="H399" i="50"/>
  <c r="N349" i="50" a="1"/>
  <c r="N349" i="50" s="1"/>
  <c r="M349" i="50" a="1"/>
  <c r="M349" i="50" s="1"/>
  <c r="K349" i="50" a="1"/>
  <c r="K349" i="50" s="1"/>
  <c r="J349" i="50"/>
  <c r="I349" i="50"/>
  <c r="H349" i="50"/>
  <c r="N324" i="50" a="1"/>
  <c r="N324" i="50" s="1"/>
  <c r="M324" i="50" a="1"/>
  <c r="M324" i="50" s="1"/>
  <c r="K324" i="50" a="1"/>
  <c r="K324" i="50" s="1"/>
  <c r="J324" i="50"/>
  <c r="I324" i="50"/>
  <c r="H324" i="50"/>
  <c r="N374" i="50" a="1"/>
  <c r="N374" i="50" s="1"/>
  <c r="M374" i="50" a="1"/>
  <c r="M374" i="50" s="1"/>
  <c r="K374" i="50" a="1"/>
  <c r="K374" i="50" s="1"/>
  <c r="J374" i="50"/>
  <c r="I374" i="50"/>
  <c r="H374" i="50"/>
  <c r="N49" i="50" a="1"/>
  <c r="N49" i="50" s="1"/>
  <c r="M49" i="50" a="1"/>
  <c r="M49" i="50" s="1"/>
  <c r="K49" i="50" a="1"/>
  <c r="K49" i="50" s="1"/>
  <c r="J49" i="50"/>
  <c r="I49" i="50"/>
  <c r="H49" i="50"/>
  <c r="N199" i="50" a="1"/>
  <c r="N199" i="50" s="1"/>
  <c r="M199" i="50" a="1"/>
  <c r="M199" i="50" s="1"/>
  <c r="K199" i="50" a="1"/>
  <c r="K199" i="50" s="1"/>
  <c r="J199" i="50"/>
  <c r="I199" i="50"/>
  <c r="H199" i="50"/>
  <c r="N174" i="50" a="1"/>
  <c r="N174" i="50" s="1"/>
  <c r="M174" i="50" a="1"/>
  <c r="M174" i="50" s="1"/>
  <c r="K174" i="50" a="1"/>
  <c r="K174" i="50" s="1"/>
  <c r="J174" i="50"/>
  <c r="I174" i="50"/>
  <c r="H174" i="50"/>
  <c r="N149" i="50" a="1"/>
  <c r="N149" i="50" s="1"/>
  <c r="M149" i="50" a="1"/>
  <c r="M149" i="50" s="1"/>
  <c r="K149" i="50" a="1"/>
  <c r="K149" i="50" s="1"/>
  <c r="J149" i="50"/>
  <c r="I149" i="50"/>
  <c r="H149" i="50"/>
  <c r="N99" i="50" a="1"/>
  <c r="N99" i="50" s="1"/>
  <c r="M99" i="50" a="1"/>
  <c r="M99" i="50" s="1"/>
  <c r="K99" i="50" a="1"/>
  <c r="K99" i="50" s="1"/>
  <c r="J99" i="50"/>
  <c r="I99" i="50"/>
  <c r="H99" i="50"/>
  <c r="N299" i="50" a="1"/>
  <c r="N299" i="50" s="1"/>
  <c r="M299" i="50" a="1"/>
  <c r="M299" i="50" s="1"/>
  <c r="K299" i="50" a="1"/>
  <c r="K299" i="50" s="1"/>
  <c r="J299" i="50"/>
  <c r="I299" i="50"/>
  <c r="H299" i="50"/>
  <c r="N74" i="50" a="1"/>
  <c r="N74" i="50" s="1"/>
  <c r="M74" i="50" a="1"/>
  <c r="M74" i="50" s="1"/>
  <c r="K74" i="50" a="1"/>
  <c r="K74" i="50" s="1"/>
  <c r="J74" i="50"/>
  <c r="I74" i="50"/>
  <c r="H74" i="50"/>
  <c r="N24" i="50" a="1"/>
  <c r="N24" i="50" s="1"/>
  <c r="M24" i="50" a="1"/>
  <c r="M24" i="50" s="1"/>
  <c r="K24" i="50" a="1"/>
  <c r="K24" i="50" s="1"/>
  <c r="J24" i="50"/>
  <c r="I24" i="50"/>
  <c r="H24" i="50"/>
  <c r="N248" i="50" a="1"/>
  <c r="N248" i="50" s="1"/>
  <c r="M248" i="50" a="1"/>
  <c r="M248" i="50" s="1"/>
  <c r="K248" i="50" a="1"/>
  <c r="K248" i="50" s="1"/>
  <c r="J248" i="50"/>
  <c r="I248" i="50"/>
  <c r="H248" i="50"/>
  <c r="N223" i="50" a="1"/>
  <c r="N223" i="50" s="1"/>
  <c r="M223" i="50" a="1"/>
  <c r="M223" i="50" s="1"/>
  <c r="K223" i="50" a="1"/>
  <c r="K223" i="50" s="1"/>
  <c r="J223" i="50"/>
  <c r="I223" i="50"/>
  <c r="H223" i="50"/>
  <c r="N273" i="50" a="1"/>
  <c r="N273" i="50" s="1"/>
  <c r="M273" i="50" a="1"/>
  <c r="M273" i="50" s="1"/>
  <c r="K273" i="50" a="1"/>
  <c r="K273" i="50" s="1"/>
  <c r="J273" i="50"/>
  <c r="I273" i="50"/>
  <c r="H273" i="50"/>
  <c r="N448" i="50" a="1"/>
  <c r="N448" i="50" s="1"/>
  <c r="M448" i="50" a="1"/>
  <c r="M448" i="50" s="1"/>
  <c r="K448" i="50" a="1"/>
  <c r="K448" i="50" s="1"/>
  <c r="J448" i="50"/>
  <c r="I448" i="50"/>
  <c r="H448" i="50"/>
  <c r="N423" i="50" a="1"/>
  <c r="N423" i="50" s="1"/>
  <c r="M423" i="50" a="1"/>
  <c r="M423" i="50" s="1"/>
  <c r="K423" i="50" a="1"/>
  <c r="K423" i="50" s="1"/>
  <c r="J423" i="50"/>
  <c r="I423" i="50"/>
  <c r="H423" i="50"/>
  <c r="N398" i="50" a="1"/>
  <c r="N398" i="50" s="1"/>
  <c r="M398" i="50" a="1"/>
  <c r="M398" i="50" s="1"/>
  <c r="K398" i="50" a="1"/>
  <c r="K398" i="50" s="1"/>
  <c r="J398" i="50"/>
  <c r="I398" i="50"/>
  <c r="H398" i="50"/>
  <c r="N348" i="50" a="1"/>
  <c r="N348" i="50" s="1"/>
  <c r="M348" i="50" a="1"/>
  <c r="M348" i="50" s="1"/>
  <c r="K348" i="50" a="1"/>
  <c r="K348" i="50" s="1"/>
  <c r="J348" i="50"/>
  <c r="I348" i="50"/>
  <c r="H348" i="50"/>
  <c r="N323" i="50" a="1"/>
  <c r="N323" i="50" s="1"/>
  <c r="M323" i="50" a="1"/>
  <c r="M323" i="50" s="1"/>
  <c r="K323" i="50" a="1"/>
  <c r="K323" i="50" s="1"/>
  <c r="J323" i="50"/>
  <c r="I323" i="50"/>
  <c r="H323" i="50"/>
  <c r="N373" i="50" a="1"/>
  <c r="N373" i="50" s="1"/>
  <c r="M373" i="50" a="1"/>
  <c r="M373" i="50" s="1"/>
  <c r="K373" i="50" a="1"/>
  <c r="K373" i="50" s="1"/>
  <c r="J373" i="50"/>
  <c r="I373" i="50"/>
  <c r="H373" i="50"/>
  <c r="N48" i="50" a="1"/>
  <c r="N48" i="50" s="1"/>
  <c r="M48" i="50" a="1"/>
  <c r="M48" i="50" s="1"/>
  <c r="K48" i="50" a="1"/>
  <c r="K48" i="50" s="1"/>
  <c r="J48" i="50"/>
  <c r="I48" i="50"/>
  <c r="H48" i="50"/>
  <c r="N198" i="50" a="1"/>
  <c r="N198" i="50" s="1"/>
  <c r="M198" i="50" a="1"/>
  <c r="M198" i="50" s="1"/>
  <c r="K198" i="50" a="1"/>
  <c r="K198" i="50" s="1"/>
  <c r="J198" i="50"/>
  <c r="I198" i="50"/>
  <c r="H198" i="50"/>
  <c r="N173" i="50" a="1"/>
  <c r="N173" i="50" s="1"/>
  <c r="M173" i="50" a="1"/>
  <c r="M173" i="50" s="1"/>
  <c r="K173" i="50" a="1"/>
  <c r="K173" i="50" s="1"/>
  <c r="J173" i="50"/>
  <c r="I173" i="50"/>
  <c r="H173" i="50"/>
  <c r="N148" i="50" a="1"/>
  <c r="N148" i="50" s="1"/>
  <c r="M148" i="50" a="1"/>
  <c r="M148" i="50" s="1"/>
  <c r="K148" i="50" a="1"/>
  <c r="K148" i="50" s="1"/>
  <c r="J148" i="50"/>
  <c r="I148" i="50"/>
  <c r="H148" i="50"/>
  <c r="N98" i="50" a="1"/>
  <c r="N98" i="50" s="1"/>
  <c r="M98" i="50" a="1"/>
  <c r="M98" i="50" s="1"/>
  <c r="K98" i="50" a="1"/>
  <c r="K98" i="50" s="1"/>
  <c r="J98" i="50"/>
  <c r="I98" i="50"/>
  <c r="H98" i="50"/>
  <c r="N298" i="50" a="1"/>
  <c r="N298" i="50" s="1"/>
  <c r="M298" i="50" a="1"/>
  <c r="M298" i="50" s="1"/>
  <c r="K298" i="50" a="1"/>
  <c r="K298" i="50" s="1"/>
  <c r="J298" i="50"/>
  <c r="I298" i="50"/>
  <c r="H298" i="50"/>
  <c r="N73" i="50" a="1"/>
  <c r="N73" i="50" s="1"/>
  <c r="M73" i="50" a="1"/>
  <c r="M73" i="50" s="1"/>
  <c r="K73" i="50" a="1"/>
  <c r="K73" i="50" s="1"/>
  <c r="J73" i="50"/>
  <c r="I73" i="50"/>
  <c r="H73" i="50"/>
  <c r="N23" i="50" a="1"/>
  <c r="N23" i="50" s="1"/>
  <c r="M23" i="50" a="1"/>
  <c r="M23" i="50" s="1"/>
  <c r="K23" i="50" a="1"/>
  <c r="K23" i="50" s="1"/>
  <c r="J23" i="50"/>
  <c r="I23" i="50"/>
  <c r="H23" i="50"/>
  <c r="N247" i="50" a="1"/>
  <c r="N247" i="50" s="1"/>
  <c r="M247" i="50" a="1"/>
  <c r="M247" i="50" s="1"/>
  <c r="K247" i="50" a="1"/>
  <c r="K247" i="50" s="1"/>
  <c r="J247" i="50"/>
  <c r="I247" i="50"/>
  <c r="H247" i="50"/>
  <c r="N222" i="50" a="1"/>
  <c r="N222" i="50" s="1"/>
  <c r="M222" i="50" a="1"/>
  <c r="M222" i="50" s="1"/>
  <c r="K222" i="50" a="1"/>
  <c r="K222" i="50" s="1"/>
  <c r="J222" i="50"/>
  <c r="I222" i="50"/>
  <c r="H222" i="50"/>
  <c r="N272" i="50" a="1"/>
  <c r="N272" i="50" s="1"/>
  <c r="M272" i="50" a="1"/>
  <c r="M272" i="50" s="1"/>
  <c r="K272" i="50" a="1"/>
  <c r="K272" i="50" s="1"/>
  <c r="J272" i="50"/>
  <c r="I272" i="50"/>
  <c r="H272" i="50"/>
  <c r="N447" i="50" a="1"/>
  <c r="N447" i="50" s="1"/>
  <c r="M447" i="50" a="1"/>
  <c r="M447" i="50" s="1"/>
  <c r="K447" i="50" a="1"/>
  <c r="K447" i="50" s="1"/>
  <c r="J447" i="50"/>
  <c r="I447" i="50"/>
  <c r="H447" i="50"/>
  <c r="N422" i="50" a="1"/>
  <c r="N422" i="50" s="1"/>
  <c r="M422" i="50" a="1"/>
  <c r="M422" i="50" s="1"/>
  <c r="K422" i="50" a="1"/>
  <c r="K422" i="50" s="1"/>
  <c r="J422" i="50"/>
  <c r="I422" i="50"/>
  <c r="H422" i="50"/>
  <c r="N397" i="50" a="1"/>
  <c r="N397" i="50" s="1"/>
  <c r="M397" i="50" a="1"/>
  <c r="M397" i="50" s="1"/>
  <c r="K397" i="50" a="1"/>
  <c r="K397" i="50" s="1"/>
  <c r="J397" i="50"/>
  <c r="I397" i="50"/>
  <c r="H397" i="50"/>
  <c r="N347" i="50" a="1"/>
  <c r="N347" i="50" s="1"/>
  <c r="M347" i="50" a="1"/>
  <c r="M347" i="50" s="1"/>
  <c r="K347" i="50" a="1"/>
  <c r="K347" i="50" s="1"/>
  <c r="J347" i="50"/>
  <c r="I347" i="50"/>
  <c r="H347" i="50"/>
  <c r="N322" i="50" a="1"/>
  <c r="N322" i="50" s="1"/>
  <c r="M322" i="50" a="1"/>
  <c r="M322" i="50" s="1"/>
  <c r="K322" i="50" a="1"/>
  <c r="K322" i="50" s="1"/>
  <c r="J322" i="50"/>
  <c r="I322" i="50"/>
  <c r="H322" i="50"/>
  <c r="N372" i="50" a="1"/>
  <c r="N372" i="50" s="1"/>
  <c r="M372" i="50" a="1"/>
  <c r="M372" i="50" s="1"/>
  <c r="K372" i="50" a="1"/>
  <c r="K372" i="50" s="1"/>
  <c r="J372" i="50"/>
  <c r="I372" i="50"/>
  <c r="H372" i="50"/>
  <c r="N47" i="50" a="1"/>
  <c r="N47" i="50" s="1"/>
  <c r="M47" i="50" a="1"/>
  <c r="M47" i="50" s="1"/>
  <c r="K47" i="50" a="1"/>
  <c r="K47" i="50" s="1"/>
  <c r="J47" i="50"/>
  <c r="I47" i="50"/>
  <c r="H47" i="50"/>
  <c r="N197" i="50" a="1"/>
  <c r="N197" i="50" s="1"/>
  <c r="M197" i="50" a="1"/>
  <c r="M197" i="50" s="1"/>
  <c r="K197" i="50" a="1"/>
  <c r="K197" i="50" s="1"/>
  <c r="J197" i="50"/>
  <c r="I197" i="50"/>
  <c r="H197" i="50"/>
  <c r="N172" i="50" a="1"/>
  <c r="N172" i="50" s="1"/>
  <c r="M172" i="50" a="1"/>
  <c r="M172" i="50" s="1"/>
  <c r="K172" i="50" a="1"/>
  <c r="K172" i="50" s="1"/>
  <c r="J172" i="50"/>
  <c r="I172" i="50"/>
  <c r="H172" i="50"/>
  <c r="N147" i="50" a="1"/>
  <c r="N147" i="50" s="1"/>
  <c r="M147" i="50" a="1"/>
  <c r="M147" i="50" s="1"/>
  <c r="K147" i="50" a="1"/>
  <c r="K147" i="50" s="1"/>
  <c r="J147" i="50"/>
  <c r="I147" i="50"/>
  <c r="H147" i="50"/>
  <c r="N97" i="50" a="1"/>
  <c r="N97" i="50" s="1"/>
  <c r="M97" i="50" a="1"/>
  <c r="M97" i="50" s="1"/>
  <c r="K97" i="50" a="1"/>
  <c r="K97" i="50" s="1"/>
  <c r="J97" i="50"/>
  <c r="I97" i="50"/>
  <c r="H97" i="50"/>
  <c r="N297" i="50" a="1"/>
  <c r="N297" i="50" s="1"/>
  <c r="M297" i="50" a="1"/>
  <c r="M297" i="50" s="1"/>
  <c r="K297" i="50" a="1"/>
  <c r="K297" i="50" s="1"/>
  <c r="J297" i="50"/>
  <c r="I297" i="50"/>
  <c r="H297" i="50"/>
  <c r="N72" i="50" a="1"/>
  <c r="N72" i="50" s="1"/>
  <c r="M72" i="50" a="1"/>
  <c r="M72" i="50" s="1"/>
  <c r="K72" i="50" a="1"/>
  <c r="K72" i="50" s="1"/>
  <c r="J72" i="50"/>
  <c r="I72" i="50"/>
  <c r="H72" i="50"/>
  <c r="N22" i="50" a="1"/>
  <c r="N22" i="50" s="1"/>
  <c r="M22" i="50" a="1"/>
  <c r="M22" i="50" s="1"/>
  <c r="K22" i="50" a="1"/>
  <c r="K22" i="50" s="1"/>
  <c r="J22" i="50"/>
  <c r="I22" i="50"/>
  <c r="H22" i="50"/>
  <c r="N241" i="50" a="1"/>
  <c r="N241" i="50" s="1"/>
  <c r="M241" i="50" a="1"/>
  <c r="M241" i="50" s="1"/>
  <c r="K241" i="50" a="1"/>
  <c r="K241" i="50" s="1"/>
  <c r="J241" i="50"/>
  <c r="I241" i="50"/>
  <c r="H241" i="50"/>
  <c r="N216" i="50" a="1"/>
  <c r="N216" i="50" s="1"/>
  <c r="M216" i="50" a="1"/>
  <c r="M216" i="50" s="1"/>
  <c r="K216" i="50" a="1"/>
  <c r="K216" i="50" s="1"/>
  <c r="J216" i="50"/>
  <c r="I216" i="50"/>
  <c r="H216" i="50"/>
  <c r="N266" i="50" a="1"/>
  <c r="N266" i="50" s="1"/>
  <c r="M266" i="50" a="1"/>
  <c r="M266" i="50" s="1"/>
  <c r="K266" i="50" a="1"/>
  <c r="K266" i="50" s="1"/>
  <c r="J266" i="50"/>
  <c r="I266" i="50"/>
  <c r="H266" i="50"/>
  <c r="N441" i="50" a="1"/>
  <c r="N441" i="50" s="1"/>
  <c r="M441" i="50" a="1"/>
  <c r="M441" i="50" s="1"/>
  <c r="K441" i="50" a="1"/>
  <c r="K441" i="50" s="1"/>
  <c r="J441" i="50"/>
  <c r="I441" i="50"/>
  <c r="H441" i="50"/>
  <c r="N416" i="50" a="1"/>
  <c r="N416" i="50" s="1"/>
  <c r="M416" i="50" a="1"/>
  <c r="M416" i="50" s="1"/>
  <c r="K416" i="50" a="1"/>
  <c r="K416" i="50" s="1"/>
  <c r="J416" i="50"/>
  <c r="I416" i="50"/>
  <c r="H416" i="50"/>
  <c r="N391" i="50" a="1"/>
  <c r="N391" i="50" s="1"/>
  <c r="M391" i="50" a="1"/>
  <c r="M391" i="50" s="1"/>
  <c r="K391" i="50" a="1"/>
  <c r="K391" i="50" s="1"/>
  <c r="J391" i="50"/>
  <c r="I391" i="50"/>
  <c r="H391" i="50"/>
  <c r="N341" i="50" a="1"/>
  <c r="N341" i="50" s="1"/>
  <c r="M341" i="50" a="1"/>
  <c r="M341" i="50" s="1"/>
  <c r="K341" i="50" a="1"/>
  <c r="K341" i="50" s="1"/>
  <c r="J341" i="50"/>
  <c r="I341" i="50"/>
  <c r="H341" i="50"/>
  <c r="N316" i="50" a="1"/>
  <c r="N316" i="50" s="1"/>
  <c r="M316" i="50" a="1"/>
  <c r="M316" i="50" s="1"/>
  <c r="K316" i="50" a="1"/>
  <c r="K316" i="50" s="1"/>
  <c r="J316" i="50"/>
  <c r="I316" i="50"/>
  <c r="H316" i="50"/>
  <c r="N366" i="50" a="1"/>
  <c r="N366" i="50" s="1"/>
  <c r="M366" i="50" a="1"/>
  <c r="M366" i="50" s="1"/>
  <c r="K366" i="50" a="1"/>
  <c r="K366" i="50" s="1"/>
  <c r="J366" i="50"/>
  <c r="I366" i="50"/>
  <c r="H366" i="50"/>
  <c r="N41" i="50" a="1"/>
  <c r="N41" i="50" s="1"/>
  <c r="M41" i="50" a="1"/>
  <c r="M41" i="50" s="1"/>
  <c r="K41" i="50" a="1"/>
  <c r="K41" i="50" s="1"/>
  <c r="J41" i="50"/>
  <c r="I41" i="50"/>
  <c r="H41" i="50"/>
  <c r="N191" i="50" a="1"/>
  <c r="N191" i="50" s="1"/>
  <c r="M191" i="50" a="1"/>
  <c r="M191" i="50" s="1"/>
  <c r="K191" i="50" a="1"/>
  <c r="K191" i="50" s="1"/>
  <c r="J191" i="50"/>
  <c r="I191" i="50"/>
  <c r="H191" i="50"/>
  <c r="N166" i="50" a="1"/>
  <c r="N166" i="50" s="1"/>
  <c r="M166" i="50" a="1"/>
  <c r="M166" i="50" s="1"/>
  <c r="K166" i="50" a="1"/>
  <c r="K166" i="50" s="1"/>
  <c r="J166" i="50"/>
  <c r="I166" i="50"/>
  <c r="H166" i="50"/>
  <c r="N141" i="50" a="1"/>
  <c r="N141" i="50" s="1"/>
  <c r="M141" i="50" a="1"/>
  <c r="M141" i="50" s="1"/>
  <c r="K141" i="50" a="1"/>
  <c r="K141" i="50" s="1"/>
  <c r="J141" i="50"/>
  <c r="I141" i="50"/>
  <c r="H141" i="50"/>
  <c r="N91" i="50" a="1"/>
  <c r="N91" i="50" s="1"/>
  <c r="M91" i="50" a="1"/>
  <c r="M91" i="50" s="1"/>
  <c r="K91" i="50" a="1"/>
  <c r="K91" i="50" s="1"/>
  <c r="J91" i="50"/>
  <c r="I91" i="50"/>
  <c r="H91" i="50"/>
  <c r="N291" i="50" a="1"/>
  <c r="N291" i="50" s="1"/>
  <c r="M291" i="50" a="1"/>
  <c r="M291" i="50" s="1"/>
  <c r="K291" i="50" a="1"/>
  <c r="K291" i="50" s="1"/>
  <c r="J291" i="50"/>
  <c r="I291" i="50"/>
  <c r="H291" i="50"/>
  <c r="N66" i="50" a="1"/>
  <c r="N66" i="50" s="1"/>
  <c r="M66" i="50" a="1"/>
  <c r="M66" i="50" s="1"/>
  <c r="K66" i="50" a="1"/>
  <c r="K66" i="50" s="1"/>
  <c r="J66" i="50"/>
  <c r="I66" i="50"/>
  <c r="H66" i="50"/>
  <c r="N16" i="50" a="1"/>
  <c r="N16" i="50" s="1"/>
  <c r="M16" i="50" a="1"/>
  <c r="M16" i="50" s="1"/>
  <c r="K16" i="50" a="1"/>
  <c r="K16" i="50" s="1"/>
  <c r="J16" i="50"/>
  <c r="I16" i="50"/>
  <c r="H16" i="50"/>
  <c r="N240" i="50" a="1"/>
  <c r="N240" i="50" s="1"/>
  <c r="M240" i="50" a="1"/>
  <c r="M240" i="50" s="1"/>
  <c r="K240" i="50" a="1"/>
  <c r="K240" i="50" s="1"/>
  <c r="J240" i="50"/>
  <c r="I240" i="50"/>
  <c r="H240" i="50"/>
  <c r="N215" i="50" a="1"/>
  <c r="N215" i="50" s="1"/>
  <c r="M215" i="50" a="1"/>
  <c r="M215" i="50" s="1"/>
  <c r="K215" i="50" a="1"/>
  <c r="K215" i="50" s="1"/>
  <c r="J215" i="50"/>
  <c r="I215" i="50"/>
  <c r="H215" i="50"/>
  <c r="N265" i="50" a="1"/>
  <c r="N265" i="50" s="1"/>
  <c r="M265" i="50" a="1"/>
  <c r="M265" i="50" s="1"/>
  <c r="K265" i="50" a="1"/>
  <c r="K265" i="50" s="1"/>
  <c r="J265" i="50"/>
  <c r="I265" i="50"/>
  <c r="H265" i="50"/>
  <c r="N440" i="50" a="1"/>
  <c r="N440" i="50" s="1"/>
  <c r="M440" i="50" a="1"/>
  <c r="M440" i="50" s="1"/>
  <c r="K440" i="50" a="1"/>
  <c r="K440" i="50" s="1"/>
  <c r="J440" i="50"/>
  <c r="I440" i="50"/>
  <c r="H440" i="50"/>
  <c r="N415" i="50" a="1"/>
  <c r="N415" i="50" s="1"/>
  <c r="M415" i="50" a="1"/>
  <c r="M415" i="50" s="1"/>
  <c r="K415" i="50" a="1"/>
  <c r="K415" i="50" s="1"/>
  <c r="J415" i="50"/>
  <c r="I415" i="50"/>
  <c r="H415" i="50"/>
  <c r="N390" i="50" a="1"/>
  <c r="N390" i="50" s="1"/>
  <c r="M390" i="50" a="1"/>
  <c r="M390" i="50" s="1"/>
  <c r="K390" i="50" a="1"/>
  <c r="K390" i="50" s="1"/>
  <c r="J390" i="50"/>
  <c r="I390" i="50"/>
  <c r="H390" i="50"/>
  <c r="N340" i="50" a="1"/>
  <c r="N340" i="50" s="1"/>
  <c r="M340" i="50" a="1"/>
  <c r="M340" i="50" s="1"/>
  <c r="K340" i="50" a="1"/>
  <c r="K340" i="50" s="1"/>
  <c r="J340" i="50"/>
  <c r="I340" i="50"/>
  <c r="H340" i="50"/>
  <c r="N315" i="50" a="1"/>
  <c r="N315" i="50" s="1"/>
  <c r="M315" i="50" a="1"/>
  <c r="M315" i="50" s="1"/>
  <c r="K315" i="50" a="1"/>
  <c r="K315" i="50" s="1"/>
  <c r="J315" i="50"/>
  <c r="I315" i="50"/>
  <c r="H315" i="50"/>
  <c r="N365" i="50" a="1"/>
  <c r="N365" i="50" s="1"/>
  <c r="M365" i="50" a="1"/>
  <c r="M365" i="50" s="1"/>
  <c r="K365" i="50" a="1"/>
  <c r="K365" i="50" s="1"/>
  <c r="J365" i="50"/>
  <c r="I365" i="50"/>
  <c r="H365" i="50"/>
  <c r="N40" i="50" a="1"/>
  <c r="N40" i="50" s="1"/>
  <c r="M40" i="50" a="1"/>
  <c r="M40" i="50" s="1"/>
  <c r="K40" i="50" a="1"/>
  <c r="K40" i="50" s="1"/>
  <c r="J40" i="50"/>
  <c r="I40" i="50"/>
  <c r="H40" i="50"/>
  <c r="N190" i="50" a="1"/>
  <c r="N190" i="50" s="1"/>
  <c r="M190" i="50" a="1"/>
  <c r="M190" i="50" s="1"/>
  <c r="K190" i="50" a="1"/>
  <c r="K190" i="50" s="1"/>
  <c r="J190" i="50"/>
  <c r="I190" i="50"/>
  <c r="H190" i="50"/>
  <c r="N165" i="50" a="1"/>
  <c r="N165" i="50" s="1"/>
  <c r="M165" i="50" a="1"/>
  <c r="M165" i="50" s="1"/>
  <c r="K165" i="50" a="1"/>
  <c r="K165" i="50" s="1"/>
  <c r="J165" i="50"/>
  <c r="I165" i="50"/>
  <c r="H165" i="50"/>
  <c r="N140" i="50" a="1"/>
  <c r="N140" i="50" s="1"/>
  <c r="M140" i="50" a="1"/>
  <c r="M140" i="50" s="1"/>
  <c r="K140" i="50" a="1"/>
  <c r="K140" i="50" s="1"/>
  <c r="J140" i="50"/>
  <c r="I140" i="50"/>
  <c r="H140" i="50"/>
  <c r="N90" i="50" a="1"/>
  <c r="N90" i="50" s="1"/>
  <c r="M90" i="50" a="1"/>
  <c r="M90" i="50" s="1"/>
  <c r="K90" i="50" a="1"/>
  <c r="K90" i="50" s="1"/>
  <c r="J90" i="50"/>
  <c r="I90" i="50"/>
  <c r="H90" i="50"/>
  <c r="N290" i="50" a="1"/>
  <c r="N290" i="50" s="1"/>
  <c r="M290" i="50" a="1"/>
  <c r="M290" i="50" s="1"/>
  <c r="K290" i="50" a="1"/>
  <c r="K290" i="50" s="1"/>
  <c r="J290" i="50"/>
  <c r="I290" i="50"/>
  <c r="H290" i="50"/>
  <c r="N65" i="50" a="1"/>
  <c r="N65" i="50" s="1"/>
  <c r="M65" i="50" a="1"/>
  <c r="M65" i="50" s="1"/>
  <c r="K65" i="50" a="1"/>
  <c r="K65" i="50" s="1"/>
  <c r="J65" i="50"/>
  <c r="I65" i="50"/>
  <c r="H65" i="50"/>
  <c r="N15" i="50" a="1"/>
  <c r="N15" i="50" s="1"/>
  <c r="M15" i="50" a="1"/>
  <c r="M15" i="50" s="1"/>
  <c r="K15" i="50" a="1"/>
  <c r="K15" i="50" s="1"/>
  <c r="J15" i="50"/>
  <c r="I15" i="50"/>
  <c r="H15" i="50"/>
  <c r="N239" i="50" a="1"/>
  <c r="N239" i="50" s="1"/>
  <c r="M239" i="50" a="1"/>
  <c r="M239" i="50" s="1"/>
  <c r="K239" i="50" a="1"/>
  <c r="K239" i="50" s="1"/>
  <c r="J239" i="50"/>
  <c r="I239" i="50"/>
  <c r="H239" i="50"/>
  <c r="N214" i="50" a="1"/>
  <c r="N214" i="50" s="1"/>
  <c r="M214" i="50" a="1"/>
  <c r="M214" i="50" s="1"/>
  <c r="K214" i="50" a="1"/>
  <c r="K214" i="50" s="1"/>
  <c r="J214" i="50"/>
  <c r="I214" i="50"/>
  <c r="H214" i="50"/>
  <c r="N264" i="50" a="1"/>
  <c r="N264" i="50" s="1"/>
  <c r="M264" i="50" a="1"/>
  <c r="M264" i="50" s="1"/>
  <c r="K264" i="50" a="1"/>
  <c r="K264" i="50" s="1"/>
  <c r="J264" i="50"/>
  <c r="I264" i="50"/>
  <c r="H264" i="50"/>
  <c r="N439" i="50" a="1"/>
  <c r="N439" i="50" s="1"/>
  <c r="M439" i="50" a="1"/>
  <c r="M439" i="50" s="1"/>
  <c r="K439" i="50" a="1"/>
  <c r="K439" i="50" s="1"/>
  <c r="J439" i="50"/>
  <c r="I439" i="50"/>
  <c r="H439" i="50"/>
  <c r="N414" i="50" a="1"/>
  <c r="N414" i="50" s="1"/>
  <c r="M414" i="50" a="1"/>
  <c r="M414" i="50" s="1"/>
  <c r="K414" i="50" a="1"/>
  <c r="K414" i="50" s="1"/>
  <c r="J414" i="50"/>
  <c r="I414" i="50"/>
  <c r="H414" i="50"/>
  <c r="N389" i="50" a="1"/>
  <c r="N389" i="50" s="1"/>
  <c r="M389" i="50" a="1"/>
  <c r="M389" i="50" s="1"/>
  <c r="K389" i="50" a="1"/>
  <c r="K389" i="50" s="1"/>
  <c r="J389" i="50"/>
  <c r="I389" i="50"/>
  <c r="H389" i="50"/>
  <c r="N339" i="50" a="1"/>
  <c r="N339" i="50" s="1"/>
  <c r="M339" i="50" a="1"/>
  <c r="M339" i="50" s="1"/>
  <c r="K339" i="50" a="1"/>
  <c r="K339" i="50" s="1"/>
  <c r="J339" i="50"/>
  <c r="I339" i="50"/>
  <c r="H339" i="50"/>
  <c r="N314" i="50" a="1"/>
  <c r="N314" i="50" s="1"/>
  <c r="M314" i="50" a="1"/>
  <c r="M314" i="50" s="1"/>
  <c r="K314" i="50" a="1"/>
  <c r="K314" i="50" s="1"/>
  <c r="J314" i="50"/>
  <c r="I314" i="50"/>
  <c r="H314" i="50"/>
  <c r="N364" i="50" a="1"/>
  <c r="N364" i="50" s="1"/>
  <c r="M364" i="50" a="1"/>
  <c r="M364" i="50" s="1"/>
  <c r="K364" i="50" a="1"/>
  <c r="K364" i="50" s="1"/>
  <c r="J364" i="50"/>
  <c r="I364" i="50"/>
  <c r="H364" i="50"/>
  <c r="N39" i="50" a="1"/>
  <c r="N39" i="50" s="1"/>
  <c r="M39" i="50" a="1"/>
  <c r="M39" i="50" s="1"/>
  <c r="K39" i="50" a="1"/>
  <c r="K39" i="50" s="1"/>
  <c r="J39" i="50"/>
  <c r="I39" i="50"/>
  <c r="H39" i="50"/>
  <c r="N189" i="50" a="1"/>
  <c r="N189" i="50" s="1"/>
  <c r="M189" i="50" a="1"/>
  <c r="M189" i="50" s="1"/>
  <c r="K189" i="50" a="1"/>
  <c r="K189" i="50" s="1"/>
  <c r="J189" i="50"/>
  <c r="I189" i="50"/>
  <c r="H189" i="50"/>
  <c r="N164" i="50" a="1"/>
  <c r="N164" i="50" s="1"/>
  <c r="M164" i="50" a="1"/>
  <c r="M164" i="50" s="1"/>
  <c r="K164" i="50" a="1"/>
  <c r="K164" i="50" s="1"/>
  <c r="J164" i="50"/>
  <c r="I164" i="50"/>
  <c r="H164" i="50"/>
  <c r="N139" i="50" a="1"/>
  <c r="N139" i="50" s="1"/>
  <c r="M139" i="50" a="1"/>
  <c r="M139" i="50" s="1"/>
  <c r="K139" i="50" a="1"/>
  <c r="K139" i="50" s="1"/>
  <c r="J139" i="50"/>
  <c r="I139" i="50"/>
  <c r="H139" i="50"/>
  <c r="N89" i="50" a="1"/>
  <c r="N89" i="50" s="1"/>
  <c r="M89" i="50" a="1"/>
  <c r="M89" i="50" s="1"/>
  <c r="K89" i="50" a="1"/>
  <c r="K89" i="50" s="1"/>
  <c r="J89" i="50"/>
  <c r="I89" i="50"/>
  <c r="H89" i="50"/>
  <c r="N289" i="50" a="1"/>
  <c r="N289" i="50" s="1"/>
  <c r="M289" i="50" a="1"/>
  <c r="M289" i="50" s="1"/>
  <c r="K289" i="50" a="1"/>
  <c r="K289" i="50" s="1"/>
  <c r="J289" i="50"/>
  <c r="I289" i="50"/>
  <c r="H289" i="50"/>
  <c r="N64" i="50" a="1"/>
  <c r="N64" i="50" s="1"/>
  <c r="M64" i="50" a="1"/>
  <c r="M64" i="50" s="1"/>
  <c r="K64" i="50" a="1"/>
  <c r="K64" i="50" s="1"/>
  <c r="J64" i="50"/>
  <c r="I64" i="50"/>
  <c r="H64" i="50"/>
  <c r="N14" i="50" a="1"/>
  <c r="N14" i="50" s="1"/>
  <c r="M14" i="50" a="1"/>
  <c r="M14" i="50" s="1"/>
  <c r="K14" i="50" a="1"/>
  <c r="K14" i="50" s="1"/>
  <c r="J14" i="50"/>
  <c r="I14" i="50"/>
  <c r="H14" i="50"/>
  <c r="N238" i="50" a="1"/>
  <c r="N238" i="50" s="1"/>
  <c r="M238" i="50" a="1"/>
  <c r="M238" i="50" s="1"/>
  <c r="K238" i="50" a="1"/>
  <c r="K238" i="50" s="1"/>
  <c r="J238" i="50"/>
  <c r="I238" i="50"/>
  <c r="H238" i="50"/>
  <c r="N213" i="50" a="1"/>
  <c r="N213" i="50" s="1"/>
  <c r="M213" i="50" a="1"/>
  <c r="M213" i="50" s="1"/>
  <c r="K213" i="50" a="1"/>
  <c r="K213" i="50" s="1"/>
  <c r="J213" i="50"/>
  <c r="I213" i="50"/>
  <c r="H213" i="50"/>
  <c r="N263" i="50" a="1"/>
  <c r="N263" i="50" s="1"/>
  <c r="M263" i="50" a="1"/>
  <c r="M263" i="50" s="1"/>
  <c r="K263" i="50" a="1"/>
  <c r="K263" i="50" s="1"/>
  <c r="J263" i="50"/>
  <c r="I263" i="50"/>
  <c r="H263" i="50"/>
  <c r="N438" i="50" a="1"/>
  <c r="N438" i="50" s="1"/>
  <c r="M438" i="50" a="1"/>
  <c r="M438" i="50" s="1"/>
  <c r="K438" i="50" a="1"/>
  <c r="K438" i="50" s="1"/>
  <c r="J438" i="50"/>
  <c r="I438" i="50"/>
  <c r="H438" i="50"/>
  <c r="N413" i="50" a="1"/>
  <c r="N413" i="50" s="1"/>
  <c r="M413" i="50" a="1"/>
  <c r="M413" i="50" s="1"/>
  <c r="K413" i="50" a="1"/>
  <c r="K413" i="50" s="1"/>
  <c r="J413" i="50"/>
  <c r="I413" i="50"/>
  <c r="H413" i="50"/>
  <c r="N388" i="50" a="1"/>
  <c r="N388" i="50" s="1"/>
  <c r="M388" i="50" a="1"/>
  <c r="M388" i="50" s="1"/>
  <c r="K388" i="50" a="1"/>
  <c r="K388" i="50" s="1"/>
  <c r="J388" i="50"/>
  <c r="I388" i="50"/>
  <c r="H388" i="50"/>
  <c r="N338" i="50" a="1"/>
  <c r="N338" i="50" s="1"/>
  <c r="M338" i="50" a="1"/>
  <c r="M338" i="50" s="1"/>
  <c r="K338" i="50" a="1"/>
  <c r="K338" i="50" s="1"/>
  <c r="J338" i="50"/>
  <c r="I338" i="50"/>
  <c r="H338" i="50"/>
  <c r="N313" i="50" a="1"/>
  <c r="N313" i="50" s="1"/>
  <c r="M313" i="50" a="1"/>
  <c r="M313" i="50" s="1"/>
  <c r="K313" i="50" a="1"/>
  <c r="K313" i="50" s="1"/>
  <c r="J313" i="50"/>
  <c r="I313" i="50"/>
  <c r="H313" i="50"/>
  <c r="N363" i="50" a="1"/>
  <c r="N363" i="50" s="1"/>
  <c r="M363" i="50" a="1"/>
  <c r="M363" i="50" s="1"/>
  <c r="K363" i="50" a="1"/>
  <c r="K363" i="50" s="1"/>
  <c r="J363" i="50"/>
  <c r="I363" i="50"/>
  <c r="H363" i="50"/>
  <c r="N38" i="50" a="1"/>
  <c r="N38" i="50" s="1"/>
  <c r="M38" i="50" a="1"/>
  <c r="M38" i="50" s="1"/>
  <c r="K38" i="50" a="1"/>
  <c r="K38" i="50" s="1"/>
  <c r="J38" i="50"/>
  <c r="I38" i="50"/>
  <c r="H38" i="50"/>
  <c r="N188" i="50" a="1"/>
  <c r="N188" i="50" s="1"/>
  <c r="M188" i="50" a="1"/>
  <c r="M188" i="50" s="1"/>
  <c r="K188" i="50" a="1"/>
  <c r="K188" i="50" s="1"/>
  <c r="J188" i="50"/>
  <c r="I188" i="50"/>
  <c r="H188" i="50"/>
  <c r="N163" i="50" a="1"/>
  <c r="N163" i="50" s="1"/>
  <c r="M163" i="50" a="1"/>
  <c r="M163" i="50" s="1"/>
  <c r="K163" i="50" a="1"/>
  <c r="K163" i="50" s="1"/>
  <c r="J163" i="50"/>
  <c r="I163" i="50"/>
  <c r="H163" i="50"/>
  <c r="N138" i="50" a="1"/>
  <c r="N138" i="50" s="1"/>
  <c r="M138" i="50" a="1"/>
  <c r="M138" i="50" s="1"/>
  <c r="K138" i="50" a="1"/>
  <c r="K138" i="50" s="1"/>
  <c r="J138" i="50"/>
  <c r="I138" i="50"/>
  <c r="H138" i="50"/>
  <c r="N88" i="50" a="1"/>
  <c r="N88" i="50" s="1"/>
  <c r="M88" i="50" a="1"/>
  <c r="M88" i="50" s="1"/>
  <c r="K88" i="50" a="1"/>
  <c r="K88" i="50" s="1"/>
  <c r="J88" i="50"/>
  <c r="I88" i="50"/>
  <c r="H88" i="50"/>
  <c r="N288" i="50" a="1"/>
  <c r="N288" i="50" s="1"/>
  <c r="M288" i="50" a="1"/>
  <c r="M288" i="50" s="1"/>
  <c r="K288" i="50" a="1"/>
  <c r="K288" i="50" s="1"/>
  <c r="J288" i="50"/>
  <c r="I288" i="50"/>
  <c r="H288" i="50"/>
  <c r="N63" i="50" a="1"/>
  <c r="N63" i="50" s="1"/>
  <c r="M63" i="50" a="1"/>
  <c r="M63" i="50" s="1"/>
  <c r="K63" i="50" a="1"/>
  <c r="K63" i="50" s="1"/>
  <c r="J63" i="50"/>
  <c r="I63" i="50"/>
  <c r="H63" i="50"/>
  <c r="N13" i="50" a="1"/>
  <c r="N13" i="50" s="1"/>
  <c r="M13" i="50" a="1"/>
  <c r="M13" i="50" s="1"/>
  <c r="K13" i="50" a="1"/>
  <c r="K13" i="50" s="1"/>
  <c r="J13" i="50"/>
  <c r="I13" i="50"/>
  <c r="H13" i="50"/>
  <c r="N237" i="50" a="1"/>
  <c r="N237" i="50" s="1"/>
  <c r="M237" i="50" a="1"/>
  <c r="M237" i="50" s="1"/>
  <c r="K237" i="50" a="1"/>
  <c r="K237" i="50" s="1"/>
  <c r="J237" i="50"/>
  <c r="I237" i="50"/>
  <c r="H237" i="50"/>
  <c r="N212" i="50" a="1"/>
  <c r="N212" i="50" s="1"/>
  <c r="M212" i="50" a="1"/>
  <c r="M212" i="50" s="1"/>
  <c r="K212" i="50" a="1"/>
  <c r="K212" i="50" s="1"/>
  <c r="J212" i="50"/>
  <c r="I212" i="50"/>
  <c r="H212" i="50"/>
  <c r="N262" i="50" a="1"/>
  <c r="N262" i="50" s="1"/>
  <c r="M262" i="50" a="1"/>
  <c r="M262" i="50" s="1"/>
  <c r="K262" i="50" a="1"/>
  <c r="K262" i="50" s="1"/>
  <c r="J262" i="50"/>
  <c r="I262" i="50"/>
  <c r="H262" i="50"/>
  <c r="N437" i="50" a="1"/>
  <c r="N437" i="50" s="1"/>
  <c r="M437" i="50" a="1"/>
  <c r="M437" i="50" s="1"/>
  <c r="K437" i="50" a="1"/>
  <c r="K437" i="50" s="1"/>
  <c r="J437" i="50"/>
  <c r="I437" i="50"/>
  <c r="H437" i="50"/>
  <c r="N412" i="50" a="1"/>
  <c r="N412" i="50" s="1"/>
  <c r="M412" i="50" a="1"/>
  <c r="M412" i="50" s="1"/>
  <c r="K412" i="50" a="1"/>
  <c r="K412" i="50" s="1"/>
  <c r="J412" i="50"/>
  <c r="I412" i="50"/>
  <c r="H412" i="50"/>
  <c r="N387" i="50" a="1"/>
  <c r="N387" i="50" s="1"/>
  <c r="M387" i="50" a="1"/>
  <c r="M387" i="50" s="1"/>
  <c r="K387" i="50" a="1"/>
  <c r="K387" i="50" s="1"/>
  <c r="J387" i="50"/>
  <c r="I387" i="50"/>
  <c r="H387" i="50"/>
  <c r="N337" i="50" a="1"/>
  <c r="N337" i="50" s="1"/>
  <c r="M337" i="50" a="1"/>
  <c r="M337" i="50" s="1"/>
  <c r="K337" i="50" a="1"/>
  <c r="K337" i="50" s="1"/>
  <c r="J337" i="50"/>
  <c r="I337" i="50"/>
  <c r="H337" i="50"/>
  <c r="N312" i="50" a="1"/>
  <c r="N312" i="50" s="1"/>
  <c r="M312" i="50" a="1"/>
  <c r="M312" i="50" s="1"/>
  <c r="K312" i="50" a="1"/>
  <c r="K312" i="50" s="1"/>
  <c r="J312" i="50"/>
  <c r="I312" i="50"/>
  <c r="H312" i="50"/>
  <c r="N362" i="50" a="1"/>
  <c r="N362" i="50" s="1"/>
  <c r="M362" i="50" a="1"/>
  <c r="M362" i="50" s="1"/>
  <c r="K362" i="50" a="1"/>
  <c r="K362" i="50" s="1"/>
  <c r="J362" i="50"/>
  <c r="I362" i="50"/>
  <c r="H362" i="50"/>
  <c r="N37" i="50" a="1"/>
  <c r="N37" i="50" s="1"/>
  <c r="M37" i="50" a="1"/>
  <c r="M37" i="50" s="1"/>
  <c r="K37" i="50" a="1"/>
  <c r="K37" i="50" s="1"/>
  <c r="J37" i="50"/>
  <c r="I37" i="50"/>
  <c r="H37" i="50"/>
  <c r="N187" i="50" a="1"/>
  <c r="N187" i="50" s="1"/>
  <c r="M187" i="50" a="1"/>
  <c r="M187" i="50" s="1"/>
  <c r="K187" i="50" a="1"/>
  <c r="K187" i="50" s="1"/>
  <c r="J187" i="50"/>
  <c r="I187" i="50"/>
  <c r="H187" i="50"/>
  <c r="N162" i="50" a="1"/>
  <c r="N162" i="50" s="1"/>
  <c r="M162" i="50" a="1"/>
  <c r="M162" i="50" s="1"/>
  <c r="K162" i="50" a="1"/>
  <c r="K162" i="50" s="1"/>
  <c r="J162" i="50"/>
  <c r="I162" i="50"/>
  <c r="H162" i="50"/>
  <c r="N137" i="50" a="1"/>
  <c r="N137" i="50" s="1"/>
  <c r="M137" i="50" a="1"/>
  <c r="M137" i="50" s="1"/>
  <c r="K137" i="50" a="1"/>
  <c r="K137" i="50" s="1"/>
  <c r="J137" i="50"/>
  <c r="I137" i="50"/>
  <c r="H137" i="50"/>
  <c r="N87" i="50" a="1"/>
  <c r="N87" i="50" s="1"/>
  <c r="M87" i="50" a="1"/>
  <c r="M87" i="50" s="1"/>
  <c r="K87" i="50" a="1"/>
  <c r="K87" i="50" s="1"/>
  <c r="J87" i="50"/>
  <c r="I87" i="50"/>
  <c r="H87" i="50"/>
  <c r="N287" i="50" a="1"/>
  <c r="N287" i="50" s="1"/>
  <c r="M287" i="50" a="1"/>
  <c r="M287" i="50" s="1"/>
  <c r="K287" i="50" a="1"/>
  <c r="K287" i="50" s="1"/>
  <c r="J287" i="50"/>
  <c r="I287" i="50"/>
  <c r="H287" i="50"/>
  <c r="N62" i="50" a="1"/>
  <c r="N62" i="50" s="1"/>
  <c r="M62" i="50" a="1"/>
  <c r="M62" i="50" s="1"/>
  <c r="K62" i="50" a="1"/>
  <c r="K62" i="50" s="1"/>
  <c r="J62" i="50"/>
  <c r="I62" i="50"/>
  <c r="H62" i="50"/>
  <c r="N12" i="50" a="1"/>
  <c r="N12" i="50" s="1"/>
  <c r="M12" i="50" a="1"/>
  <c r="M12" i="50" s="1"/>
  <c r="K12" i="50" a="1"/>
  <c r="K12" i="50" s="1"/>
  <c r="J12" i="50"/>
  <c r="I12" i="50"/>
  <c r="H12" i="50"/>
  <c r="N236" i="50" a="1"/>
  <c r="N236" i="50" s="1"/>
  <c r="M236" i="50" a="1"/>
  <c r="M236" i="50" s="1"/>
  <c r="K236" i="50" a="1"/>
  <c r="K236" i="50" s="1"/>
  <c r="J236" i="50"/>
  <c r="I236" i="50"/>
  <c r="H236" i="50"/>
  <c r="N211" i="50" a="1"/>
  <c r="N211" i="50" s="1"/>
  <c r="M211" i="50" a="1"/>
  <c r="M211" i="50" s="1"/>
  <c r="K211" i="50" a="1"/>
  <c r="K211" i="50" s="1"/>
  <c r="J211" i="50"/>
  <c r="I211" i="50"/>
  <c r="H211" i="50"/>
  <c r="N261" i="50" a="1"/>
  <c r="N261" i="50" s="1"/>
  <c r="M261" i="50" a="1"/>
  <c r="M261" i="50" s="1"/>
  <c r="K261" i="50" a="1"/>
  <c r="K261" i="50" s="1"/>
  <c r="J261" i="50"/>
  <c r="I261" i="50"/>
  <c r="H261" i="50"/>
  <c r="N436" i="50" a="1"/>
  <c r="N436" i="50" s="1"/>
  <c r="M436" i="50" a="1"/>
  <c r="M436" i="50" s="1"/>
  <c r="K436" i="50" a="1"/>
  <c r="K436" i="50" s="1"/>
  <c r="J436" i="50"/>
  <c r="I436" i="50"/>
  <c r="H436" i="50"/>
  <c r="N411" i="50" a="1"/>
  <c r="N411" i="50" s="1"/>
  <c r="M411" i="50" a="1"/>
  <c r="M411" i="50" s="1"/>
  <c r="K411" i="50" a="1"/>
  <c r="K411" i="50" s="1"/>
  <c r="J411" i="50"/>
  <c r="I411" i="50"/>
  <c r="H411" i="50"/>
  <c r="N386" i="50" a="1"/>
  <c r="N386" i="50" s="1"/>
  <c r="M386" i="50" a="1"/>
  <c r="M386" i="50" s="1"/>
  <c r="K386" i="50" a="1"/>
  <c r="K386" i="50" s="1"/>
  <c r="J386" i="50"/>
  <c r="I386" i="50"/>
  <c r="H386" i="50"/>
  <c r="N336" i="50" a="1"/>
  <c r="N336" i="50" s="1"/>
  <c r="M336" i="50" a="1"/>
  <c r="M336" i="50" s="1"/>
  <c r="K336" i="50" a="1"/>
  <c r="K336" i="50" s="1"/>
  <c r="J336" i="50"/>
  <c r="I336" i="50"/>
  <c r="H336" i="50"/>
  <c r="N311" i="50" a="1"/>
  <c r="N311" i="50" s="1"/>
  <c r="M311" i="50" a="1"/>
  <c r="M311" i="50" s="1"/>
  <c r="K311" i="50" a="1"/>
  <c r="K311" i="50" s="1"/>
  <c r="J311" i="50"/>
  <c r="I311" i="50"/>
  <c r="H311" i="50"/>
  <c r="N361" i="50" a="1"/>
  <c r="N361" i="50" s="1"/>
  <c r="M361" i="50" a="1"/>
  <c r="M361" i="50" s="1"/>
  <c r="K361" i="50" a="1"/>
  <c r="K361" i="50" s="1"/>
  <c r="J361" i="50"/>
  <c r="I361" i="50"/>
  <c r="H361" i="50"/>
  <c r="N36" i="50" a="1"/>
  <c r="N36" i="50" s="1"/>
  <c r="M36" i="50" a="1"/>
  <c r="M36" i="50" s="1"/>
  <c r="K36" i="50" a="1"/>
  <c r="K36" i="50" s="1"/>
  <c r="J36" i="50"/>
  <c r="I36" i="50"/>
  <c r="H36" i="50"/>
  <c r="N186" i="50" a="1"/>
  <c r="N186" i="50" s="1"/>
  <c r="M186" i="50" a="1"/>
  <c r="M186" i="50" s="1"/>
  <c r="K186" i="50" a="1"/>
  <c r="K186" i="50" s="1"/>
  <c r="J186" i="50"/>
  <c r="I186" i="50"/>
  <c r="H186" i="50"/>
  <c r="N161" i="50" a="1"/>
  <c r="N161" i="50" s="1"/>
  <c r="M161" i="50" a="1"/>
  <c r="M161" i="50" s="1"/>
  <c r="K161" i="50" a="1"/>
  <c r="K161" i="50" s="1"/>
  <c r="J161" i="50"/>
  <c r="I161" i="50"/>
  <c r="H161" i="50"/>
  <c r="N136" i="50" a="1"/>
  <c r="N136" i="50" s="1"/>
  <c r="M136" i="50" a="1"/>
  <c r="M136" i="50" s="1"/>
  <c r="K136" i="50" a="1"/>
  <c r="K136" i="50" s="1"/>
  <c r="J136" i="50"/>
  <c r="I136" i="50"/>
  <c r="H136" i="50"/>
  <c r="N86" i="50" a="1"/>
  <c r="N86" i="50" s="1"/>
  <c r="M86" i="50" a="1"/>
  <c r="M86" i="50" s="1"/>
  <c r="K86" i="50" a="1"/>
  <c r="K86" i="50" s="1"/>
  <c r="J86" i="50"/>
  <c r="I86" i="50"/>
  <c r="H86" i="50"/>
  <c r="N286" i="50" a="1"/>
  <c r="N286" i="50" s="1"/>
  <c r="M286" i="50" a="1"/>
  <c r="M286" i="50" s="1"/>
  <c r="K286" i="50" a="1"/>
  <c r="K286" i="50" s="1"/>
  <c r="J286" i="50"/>
  <c r="I286" i="50"/>
  <c r="H286" i="50"/>
  <c r="N61" i="50" a="1"/>
  <c r="N61" i="50" s="1"/>
  <c r="M61" i="50" a="1"/>
  <c r="M61" i="50" s="1"/>
  <c r="K61" i="50" a="1"/>
  <c r="K61" i="50" s="1"/>
  <c r="J61" i="50"/>
  <c r="I61" i="50"/>
  <c r="H61" i="50"/>
  <c r="N11" i="50" a="1"/>
  <c r="N11" i="50" s="1"/>
  <c r="M11" i="50" a="1"/>
  <c r="M11" i="50" s="1"/>
  <c r="K11" i="50" a="1"/>
  <c r="K11" i="50" s="1"/>
  <c r="J11" i="50"/>
  <c r="I11" i="50"/>
  <c r="H11" i="50"/>
  <c r="N235" i="50" a="1"/>
  <c r="N235" i="50" s="1"/>
  <c r="M235" i="50" a="1"/>
  <c r="M235" i="50" s="1"/>
  <c r="K235" i="50" a="1"/>
  <c r="K235" i="50" s="1"/>
  <c r="J235" i="50"/>
  <c r="I235" i="50"/>
  <c r="H235" i="50"/>
  <c r="N210" i="50" a="1"/>
  <c r="N210" i="50" s="1"/>
  <c r="M210" i="50" a="1"/>
  <c r="M210" i="50" s="1"/>
  <c r="K210" i="50" a="1"/>
  <c r="K210" i="50" s="1"/>
  <c r="J210" i="50"/>
  <c r="I210" i="50"/>
  <c r="H210" i="50"/>
  <c r="N260" i="50" a="1"/>
  <c r="N260" i="50" s="1"/>
  <c r="M260" i="50" a="1"/>
  <c r="M260" i="50" s="1"/>
  <c r="K260" i="50" a="1"/>
  <c r="K260" i="50" s="1"/>
  <c r="J260" i="50"/>
  <c r="I260" i="50"/>
  <c r="H260" i="50"/>
  <c r="N435" i="50" a="1"/>
  <c r="N435" i="50" s="1"/>
  <c r="M435" i="50" a="1"/>
  <c r="M435" i="50" s="1"/>
  <c r="K435" i="50" a="1"/>
  <c r="K435" i="50" s="1"/>
  <c r="J435" i="50"/>
  <c r="I435" i="50"/>
  <c r="H435" i="50"/>
  <c r="N410" i="50" a="1"/>
  <c r="N410" i="50" s="1"/>
  <c r="M410" i="50" a="1"/>
  <c r="M410" i="50" s="1"/>
  <c r="K410" i="50" a="1"/>
  <c r="K410" i="50" s="1"/>
  <c r="J410" i="50"/>
  <c r="I410" i="50"/>
  <c r="H410" i="50"/>
  <c r="N385" i="50" a="1"/>
  <c r="N385" i="50" s="1"/>
  <c r="M385" i="50" a="1"/>
  <c r="M385" i="50" s="1"/>
  <c r="K385" i="50" a="1"/>
  <c r="K385" i="50" s="1"/>
  <c r="J385" i="50"/>
  <c r="I385" i="50"/>
  <c r="H385" i="50"/>
  <c r="N335" i="50" a="1"/>
  <c r="N335" i="50" s="1"/>
  <c r="M335" i="50" a="1"/>
  <c r="M335" i="50" s="1"/>
  <c r="K335" i="50" a="1"/>
  <c r="K335" i="50" s="1"/>
  <c r="J335" i="50"/>
  <c r="I335" i="50"/>
  <c r="H335" i="50"/>
  <c r="N310" i="50" a="1"/>
  <c r="N310" i="50" s="1"/>
  <c r="M310" i="50" a="1"/>
  <c r="M310" i="50" s="1"/>
  <c r="K310" i="50" a="1"/>
  <c r="K310" i="50" s="1"/>
  <c r="J310" i="50"/>
  <c r="I310" i="50"/>
  <c r="H310" i="50"/>
  <c r="N360" i="50" a="1"/>
  <c r="N360" i="50" s="1"/>
  <c r="M360" i="50" a="1"/>
  <c r="M360" i="50" s="1"/>
  <c r="K360" i="50" a="1"/>
  <c r="K360" i="50" s="1"/>
  <c r="J360" i="50"/>
  <c r="I360" i="50"/>
  <c r="H360" i="50"/>
  <c r="N35" i="50" a="1"/>
  <c r="N35" i="50" s="1"/>
  <c r="M35" i="50" a="1"/>
  <c r="M35" i="50" s="1"/>
  <c r="K35" i="50" a="1"/>
  <c r="K35" i="50" s="1"/>
  <c r="J35" i="50"/>
  <c r="I35" i="50"/>
  <c r="H35" i="50"/>
  <c r="N185" i="50" a="1"/>
  <c r="N185" i="50" s="1"/>
  <c r="M185" i="50" a="1"/>
  <c r="M185" i="50" s="1"/>
  <c r="K185" i="50" a="1"/>
  <c r="K185" i="50" s="1"/>
  <c r="J185" i="50"/>
  <c r="I185" i="50"/>
  <c r="H185" i="50"/>
  <c r="N160" i="50" a="1"/>
  <c r="N160" i="50" s="1"/>
  <c r="M160" i="50" a="1"/>
  <c r="M160" i="50" s="1"/>
  <c r="K160" i="50" a="1"/>
  <c r="K160" i="50" s="1"/>
  <c r="J160" i="50"/>
  <c r="I160" i="50"/>
  <c r="H160" i="50"/>
  <c r="N135" i="50" a="1"/>
  <c r="N135" i="50" s="1"/>
  <c r="M135" i="50" a="1"/>
  <c r="M135" i="50" s="1"/>
  <c r="K135" i="50" a="1"/>
  <c r="K135" i="50" s="1"/>
  <c r="J135" i="50"/>
  <c r="I135" i="50"/>
  <c r="H135" i="50"/>
  <c r="N85" i="50" a="1"/>
  <c r="N85" i="50" s="1"/>
  <c r="M85" i="50" a="1"/>
  <c r="M85" i="50" s="1"/>
  <c r="K85" i="50" a="1"/>
  <c r="K85" i="50" s="1"/>
  <c r="J85" i="50"/>
  <c r="I85" i="50"/>
  <c r="H85" i="50"/>
  <c r="N285" i="50" a="1"/>
  <c r="N285" i="50" s="1"/>
  <c r="M285" i="50" a="1"/>
  <c r="M285" i="50" s="1"/>
  <c r="K285" i="50" a="1"/>
  <c r="K285" i="50" s="1"/>
  <c r="J285" i="50"/>
  <c r="I285" i="50"/>
  <c r="H285" i="50"/>
  <c r="N60" i="50" a="1"/>
  <c r="N60" i="50" s="1"/>
  <c r="M60" i="50" a="1"/>
  <c r="M60" i="50" s="1"/>
  <c r="K60" i="50" a="1"/>
  <c r="K60" i="50" s="1"/>
  <c r="J60" i="50"/>
  <c r="I60" i="50"/>
  <c r="H60" i="50"/>
  <c r="N10" i="50" a="1"/>
  <c r="N10" i="50" s="1"/>
  <c r="M10" i="50" a="1"/>
  <c r="M10" i="50" s="1"/>
  <c r="K10" i="50" a="1"/>
  <c r="K10" i="50" s="1"/>
  <c r="J10" i="50"/>
  <c r="I10" i="50"/>
  <c r="H10" i="50"/>
  <c r="N234" i="50" a="1"/>
  <c r="N234" i="50" s="1"/>
  <c r="M234" i="50" a="1"/>
  <c r="M234" i="50" s="1"/>
  <c r="K234" i="50" a="1"/>
  <c r="K234" i="50" s="1"/>
  <c r="J234" i="50"/>
  <c r="I234" i="50"/>
  <c r="H234" i="50"/>
  <c r="N209" i="50" a="1"/>
  <c r="N209" i="50" s="1"/>
  <c r="M209" i="50" a="1"/>
  <c r="M209" i="50" s="1"/>
  <c r="K209" i="50" a="1"/>
  <c r="K209" i="50" s="1"/>
  <c r="J209" i="50"/>
  <c r="I209" i="50"/>
  <c r="H209" i="50"/>
  <c r="N259" i="50" a="1"/>
  <c r="N259" i="50" s="1"/>
  <c r="M259" i="50" a="1"/>
  <c r="M259" i="50" s="1"/>
  <c r="K259" i="50" a="1"/>
  <c r="K259" i="50" s="1"/>
  <c r="J259" i="50"/>
  <c r="I259" i="50"/>
  <c r="H259" i="50"/>
  <c r="N434" i="50" a="1"/>
  <c r="N434" i="50" s="1"/>
  <c r="M434" i="50" a="1"/>
  <c r="M434" i="50" s="1"/>
  <c r="K434" i="50" a="1"/>
  <c r="K434" i="50" s="1"/>
  <c r="J434" i="50"/>
  <c r="I434" i="50"/>
  <c r="H434" i="50"/>
  <c r="N409" i="50" a="1"/>
  <c r="N409" i="50" s="1"/>
  <c r="M409" i="50" a="1"/>
  <c r="M409" i="50" s="1"/>
  <c r="K409" i="50" a="1"/>
  <c r="K409" i="50" s="1"/>
  <c r="J409" i="50"/>
  <c r="I409" i="50"/>
  <c r="H409" i="50"/>
  <c r="N384" i="50" a="1"/>
  <c r="N384" i="50" s="1"/>
  <c r="M384" i="50" a="1"/>
  <c r="M384" i="50" s="1"/>
  <c r="K384" i="50" a="1"/>
  <c r="K384" i="50" s="1"/>
  <c r="J384" i="50"/>
  <c r="I384" i="50"/>
  <c r="H384" i="50"/>
  <c r="N334" i="50" a="1"/>
  <c r="N334" i="50" s="1"/>
  <c r="M334" i="50" a="1"/>
  <c r="M334" i="50" s="1"/>
  <c r="K334" i="50" a="1"/>
  <c r="K334" i="50" s="1"/>
  <c r="J334" i="50"/>
  <c r="I334" i="50"/>
  <c r="H334" i="50"/>
  <c r="N309" i="50" a="1"/>
  <c r="N309" i="50" s="1"/>
  <c r="M309" i="50" a="1"/>
  <c r="M309" i="50" s="1"/>
  <c r="K309" i="50" a="1"/>
  <c r="K309" i="50" s="1"/>
  <c r="J309" i="50"/>
  <c r="I309" i="50"/>
  <c r="H309" i="50"/>
  <c r="N359" i="50" a="1"/>
  <c r="N359" i="50" s="1"/>
  <c r="M359" i="50" a="1"/>
  <c r="M359" i="50" s="1"/>
  <c r="K359" i="50" a="1"/>
  <c r="K359" i="50" s="1"/>
  <c r="J359" i="50"/>
  <c r="I359" i="50"/>
  <c r="H359" i="50"/>
  <c r="N34" i="50" a="1"/>
  <c r="N34" i="50" s="1"/>
  <c r="M34" i="50" a="1"/>
  <c r="M34" i="50" s="1"/>
  <c r="K34" i="50" a="1"/>
  <c r="K34" i="50" s="1"/>
  <c r="J34" i="50"/>
  <c r="I34" i="50"/>
  <c r="H34" i="50"/>
  <c r="N184" i="50" a="1"/>
  <c r="N184" i="50" s="1"/>
  <c r="M184" i="50" a="1"/>
  <c r="M184" i="50" s="1"/>
  <c r="K184" i="50" a="1"/>
  <c r="K184" i="50" s="1"/>
  <c r="J184" i="50"/>
  <c r="I184" i="50"/>
  <c r="H184" i="50"/>
  <c r="N159" i="50" a="1"/>
  <c r="N159" i="50" s="1"/>
  <c r="M159" i="50" a="1"/>
  <c r="M159" i="50" s="1"/>
  <c r="K159" i="50" a="1"/>
  <c r="K159" i="50" s="1"/>
  <c r="J159" i="50"/>
  <c r="I159" i="50"/>
  <c r="H159" i="50"/>
  <c r="N134" i="50" a="1"/>
  <c r="N134" i="50" s="1"/>
  <c r="M134" i="50" a="1"/>
  <c r="M134" i="50" s="1"/>
  <c r="K134" i="50" a="1"/>
  <c r="K134" i="50" s="1"/>
  <c r="J134" i="50"/>
  <c r="I134" i="50"/>
  <c r="H134" i="50"/>
  <c r="N84" i="50" a="1"/>
  <c r="N84" i="50" s="1"/>
  <c r="M84" i="50" a="1"/>
  <c r="M84" i="50" s="1"/>
  <c r="K84" i="50" a="1"/>
  <c r="K84" i="50" s="1"/>
  <c r="J84" i="50"/>
  <c r="I84" i="50"/>
  <c r="H84" i="50"/>
  <c r="N284" i="50" a="1"/>
  <c r="N284" i="50" s="1"/>
  <c r="M284" i="50" a="1"/>
  <c r="M284" i="50" s="1"/>
  <c r="K284" i="50" a="1"/>
  <c r="K284" i="50" s="1"/>
  <c r="J284" i="50"/>
  <c r="I284" i="50"/>
  <c r="H284" i="50"/>
  <c r="N59" i="50" a="1"/>
  <c r="N59" i="50" s="1"/>
  <c r="M59" i="50" a="1"/>
  <c r="M59" i="50" s="1"/>
  <c r="K59" i="50" a="1"/>
  <c r="K59" i="50" s="1"/>
  <c r="J59" i="50"/>
  <c r="I59" i="50"/>
  <c r="H59" i="50"/>
  <c r="N9" i="50" a="1"/>
  <c r="N9" i="50" s="1"/>
  <c r="M9" i="50" a="1"/>
  <c r="M9" i="50" s="1"/>
  <c r="K9" i="50" a="1"/>
  <c r="K9" i="50" s="1"/>
  <c r="J9" i="50"/>
  <c r="I9" i="50"/>
  <c r="H9" i="50"/>
  <c r="N233" i="50" a="1"/>
  <c r="N233" i="50" s="1"/>
  <c r="M233" i="50" a="1"/>
  <c r="M233" i="50" s="1"/>
  <c r="K233" i="50" a="1"/>
  <c r="K233" i="50" s="1"/>
  <c r="J233" i="50"/>
  <c r="I233" i="50"/>
  <c r="H233" i="50"/>
  <c r="N208" i="50" a="1"/>
  <c r="N208" i="50" s="1"/>
  <c r="M208" i="50" a="1"/>
  <c r="M208" i="50" s="1"/>
  <c r="K208" i="50" a="1"/>
  <c r="K208" i="50" s="1"/>
  <c r="J208" i="50"/>
  <c r="I208" i="50"/>
  <c r="H208" i="50"/>
  <c r="N258" i="50" a="1"/>
  <c r="N258" i="50" s="1"/>
  <c r="M258" i="50" a="1"/>
  <c r="M258" i="50" s="1"/>
  <c r="K258" i="50" a="1"/>
  <c r="K258" i="50" s="1"/>
  <c r="J258" i="50"/>
  <c r="I258" i="50"/>
  <c r="H258" i="50"/>
  <c r="N433" i="50" a="1"/>
  <c r="N433" i="50" s="1"/>
  <c r="M433" i="50" a="1"/>
  <c r="M433" i="50" s="1"/>
  <c r="K433" i="50" a="1"/>
  <c r="K433" i="50" s="1"/>
  <c r="J433" i="50"/>
  <c r="I433" i="50"/>
  <c r="H433" i="50"/>
  <c r="N408" i="50" a="1"/>
  <c r="N408" i="50" s="1"/>
  <c r="M408" i="50" a="1"/>
  <c r="M408" i="50" s="1"/>
  <c r="K408" i="50" a="1"/>
  <c r="K408" i="50" s="1"/>
  <c r="J408" i="50"/>
  <c r="I408" i="50"/>
  <c r="H408" i="50"/>
  <c r="N383" i="50" a="1"/>
  <c r="N383" i="50" s="1"/>
  <c r="M383" i="50" a="1"/>
  <c r="M383" i="50" s="1"/>
  <c r="K383" i="50" a="1"/>
  <c r="K383" i="50" s="1"/>
  <c r="J383" i="50"/>
  <c r="I383" i="50"/>
  <c r="H383" i="50"/>
  <c r="N333" i="50" a="1"/>
  <c r="N333" i="50" s="1"/>
  <c r="M333" i="50" a="1"/>
  <c r="M333" i="50" s="1"/>
  <c r="K333" i="50" a="1"/>
  <c r="K333" i="50" s="1"/>
  <c r="J333" i="50"/>
  <c r="I333" i="50"/>
  <c r="H333" i="50"/>
  <c r="N308" i="50" a="1"/>
  <c r="N308" i="50" s="1"/>
  <c r="M308" i="50" a="1"/>
  <c r="M308" i="50" s="1"/>
  <c r="K308" i="50" a="1"/>
  <c r="K308" i="50" s="1"/>
  <c r="J308" i="50"/>
  <c r="I308" i="50"/>
  <c r="H308" i="50"/>
  <c r="N358" i="50" a="1"/>
  <c r="N358" i="50" s="1"/>
  <c r="M358" i="50" a="1"/>
  <c r="M358" i="50" s="1"/>
  <c r="K358" i="50" a="1"/>
  <c r="K358" i="50" s="1"/>
  <c r="J358" i="50"/>
  <c r="I358" i="50"/>
  <c r="H358" i="50"/>
  <c r="N33" i="50" a="1"/>
  <c r="N33" i="50" s="1"/>
  <c r="M33" i="50" a="1"/>
  <c r="M33" i="50" s="1"/>
  <c r="K33" i="50" a="1"/>
  <c r="K33" i="50" s="1"/>
  <c r="J33" i="50"/>
  <c r="I33" i="50"/>
  <c r="H33" i="50"/>
  <c r="N183" i="50" a="1"/>
  <c r="N183" i="50" s="1"/>
  <c r="M183" i="50" a="1"/>
  <c r="M183" i="50" s="1"/>
  <c r="K183" i="50" a="1"/>
  <c r="K183" i="50" s="1"/>
  <c r="J183" i="50"/>
  <c r="I183" i="50"/>
  <c r="H183" i="50"/>
  <c r="N158" i="50" a="1"/>
  <c r="N158" i="50" s="1"/>
  <c r="M158" i="50" a="1"/>
  <c r="M158" i="50" s="1"/>
  <c r="K158" i="50" a="1"/>
  <c r="K158" i="50" s="1"/>
  <c r="J158" i="50"/>
  <c r="I158" i="50"/>
  <c r="H158" i="50"/>
  <c r="N133" i="50" a="1"/>
  <c r="N133" i="50" s="1"/>
  <c r="M133" i="50" a="1"/>
  <c r="M133" i="50" s="1"/>
  <c r="K133" i="50" a="1"/>
  <c r="K133" i="50" s="1"/>
  <c r="J133" i="50"/>
  <c r="I133" i="50"/>
  <c r="H133" i="50"/>
  <c r="N83" i="50" a="1"/>
  <c r="N83" i="50" s="1"/>
  <c r="M83" i="50" a="1"/>
  <c r="M83" i="50" s="1"/>
  <c r="K83" i="50" a="1"/>
  <c r="K83" i="50" s="1"/>
  <c r="J83" i="50"/>
  <c r="I83" i="50"/>
  <c r="H83" i="50"/>
  <c r="N283" i="50" a="1"/>
  <c r="N283" i="50" s="1"/>
  <c r="M283" i="50" a="1"/>
  <c r="M283" i="50" s="1"/>
  <c r="K283" i="50" a="1"/>
  <c r="K283" i="50" s="1"/>
  <c r="J283" i="50"/>
  <c r="I283" i="50"/>
  <c r="H283" i="50"/>
  <c r="N58" i="50" a="1"/>
  <c r="N58" i="50" s="1"/>
  <c r="M58" i="50" a="1"/>
  <c r="M58" i="50" s="1"/>
  <c r="K58" i="50" a="1"/>
  <c r="K58" i="50" s="1"/>
  <c r="J58" i="50"/>
  <c r="I58" i="50"/>
  <c r="H58" i="50"/>
  <c r="N8" i="50" a="1"/>
  <c r="N8" i="50" s="1"/>
  <c r="M8" i="50" a="1"/>
  <c r="M8" i="50" s="1"/>
  <c r="K8" i="50" a="1"/>
  <c r="K8" i="50" s="1"/>
  <c r="J8" i="50"/>
  <c r="I8" i="50"/>
  <c r="H8" i="50"/>
  <c r="N232" i="50" a="1"/>
  <c r="N232" i="50" s="1"/>
  <c r="M232" i="50" a="1"/>
  <c r="M232" i="50" s="1"/>
  <c r="K232" i="50" a="1"/>
  <c r="K232" i="50" s="1"/>
  <c r="J232" i="50"/>
  <c r="I232" i="50"/>
  <c r="H232" i="50"/>
  <c r="N207" i="50" a="1"/>
  <c r="N207" i="50" s="1"/>
  <c r="M207" i="50" a="1"/>
  <c r="M207" i="50" s="1"/>
  <c r="K207" i="50" a="1"/>
  <c r="K207" i="50" s="1"/>
  <c r="J207" i="50"/>
  <c r="I207" i="50"/>
  <c r="H207" i="50"/>
  <c r="N257" i="50" a="1"/>
  <c r="N257" i="50" s="1"/>
  <c r="M257" i="50" a="1"/>
  <c r="M257" i="50" s="1"/>
  <c r="K257" i="50" a="1"/>
  <c r="K257" i="50" s="1"/>
  <c r="J257" i="50"/>
  <c r="I257" i="50"/>
  <c r="H257" i="50"/>
  <c r="N432" i="50" a="1"/>
  <c r="N432" i="50" s="1"/>
  <c r="M432" i="50" a="1"/>
  <c r="M432" i="50" s="1"/>
  <c r="K432" i="50" a="1"/>
  <c r="K432" i="50" s="1"/>
  <c r="J432" i="50"/>
  <c r="I432" i="50"/>
  <c r="H432" i="50"/>
  <c r="N407" i="50" a="1"/>
  <c r="N407" i="50" s="1"/>
  <c r="M407" i="50" a="1"/>
  <c r="M407" i="50" s="1"/>
  <c r="K407" i="50" a="1"/>
  <c r="K407" i="50" s="1"/>
  <c r="J407" i="50"/>
  <c r="I407" i="50"/>
  <c r="H407" i="50"/>
  <c r="N382" i="50" a="1"/>
  <c r="N382" i="50" s="1"/>
  <c r="M382" i="50" a="1"/>
  <c r="M382" i="50" s="1"/>
  <c r="K382" i="50" a="1"/>
  <c r="K382" i="50" s="1"/>
  <c r="J382" i="50"/>
  <c r="I382" i="50"/>
  <c r="H382" i="50"/>
  <c r="N332" i="50" a="1"/>
  <c r="N332" i="50" s="1"/>
  <c r="M332" i="50" a="1"/>
  <c r="M332" i="50" s="1"/>
  <c r="K332" i="50" a="1"/>
  <c r="K332" i="50" s="1"/>
  <c r="J332" i="50"/>
  <c r="I332" i="50"/>
  <c r="H332" i="50"/>
  <c r="N307" i="50" a="1"/>
  <c r="N307" i="50" s="1"/>
  <c r="M307" i="50" a="1"/>
  <c r="M307" i="50" s="1"/>
  <c r="K307" i="50" a="1"/>
  <c r="K307" i="50" s="1"/>
  <c r="J307" i="50"/>
  <c r="I307" i="50"/>
  <c r="H307" i="50"/>
  <c r="N357" i="50" a="1"/>
  <c r="N357" i="50" s="1"/>
  <c r="M357" i="50" a="1"/>
  <c r="M357" i="50" s="1"/>
  <c r="K357" i="50" a="1"/>
  <c r="K357" i="50" s="1"/>
  <c r="J357" i="50"/>
  <c r="I357" i="50"/>
  <c r="H357" i="50"/>
  <c r="N32" i="50" a="1"/>
  <c r="N32" i="50" s="1"/>
  <c r="M32" i="50" a="1"/>
  <c r="M32" i="50" s="1"/>
  <c r="K32" i="50" a="1"/>
  <c r="K32" i="50" s="1"/>
  <c r="J32" i="50"/>
  <c r="I32" i="50"/>
  <c r="H32" i="50"/>
  <c r="N182" i="50" a="1"/>
  <c r="N182" i="50" s="1"/>
  <c r="M182" i="50" a="1"/>
  <c r="M182" i="50" s="1"/>
  <c r="K182" i="50" a="1"/>
  <c r="K182" i="50" s="1"/>
  <c r="J182" i="50"/>
  <c r="I182" i="50"/>
  <c r="H182" i="50"/>
  <c r="N157" i="50" a="1"/>
  <c r="N157" i="50" s="1"/>
  <c r="M157" i="50" a="1"/>
  <c r="M157" i="50" s="1"/>
  <c r="K157" i="50" a="1"/>
  <c r="K157" i="50" s="1"/>
  <c r="J157" i="50"/>
  <c r="I157" i="50"/>
  <c r="H157" i="50"/>
  <c r="N132" i="50" a="1"/>
  <c r="N132" i="50" s="1"/>
  <c r="M132" i="50" a="1"/>
  <c r="M132" i="50" s="1"/>
  <c r="K132" i="50" a="1"/>
  <c r="K132" i="50" s="1"/>
  <c r="J132" i="50"/>
  <c r="I132" i="50"/>
  <c r="H132" i="50"/>
  <c r="N82" i="50" a="1"/>
  <c r="N82" i="50" s="1"/>
  <c r="M82" i="50" a="1"/>
  <c r="M82" i="50" s="1"/>
  <c r="K82" i="50" a="1"/>
  <c r="K82" i="50" s="1"/>
  <c r="J82" i="50"/>
  <c r="I82" i="50"/>
  <c r="H82" i="50"/>
  <c r="N282" i="50" a="1"/>
  <c r="N282" i="50" s="1"/>
  <c r="M282" i="50" a="1"/>
  <c r="M282" i="50" s="1"/>
  <c r="K282" i="50" a="1"/>
  <c r="K282" i="50" s="1"/>
  <c r="J282" i="50"/>
  <c r="I282" i="50"/>
  <c r="H282" i="50"/>
  <c r="N57" i="50" a="1"/>
  <c r="N57" i="50" s="1"/>
  <c r="M57" i="50" a="1"/>
  <c r="M57" i="50" s="1"/>
  <c r="K57" i="50" a="1"/>
  <c r="K57" i="50" s="1"/>
  <c r="J57" i="50"/>
  <c r="I57" i="50"/>
  <c r="H57" i="50"/>
  <c r="N7" i="50" a="1"/>
  <c r="N7" i="50" s="1"/>
  <c r="M7" i="50" a="1"/>
  <c r="M7" i="50" s="1"/>
  <c r="K7" i="50" a="1"/>
  <c r="K7" i="50" s="1"/>
  <c r="J7" i="50"/>
  <c r="I7" i="50"/>
  <c r="H7" i="50"/>
  <c r="N281" i="50" a="1"/>
  <c r="N281" i="50" s="1"/>
  <c r="M281" i="50" a="1"/>
  <c r="M281" i="50" s="1"/>
  <c r="K281" i="50" a="1"/>
  <c r="K281" i="50" s="1"/>
  <c r="J281" i="50"/>
  <c r="I281" i="50"/>
  <c r="H281" i="50"/>
  <c r="N280" i="50" a="1"/>
  <c r="N280" i="50" s="1"/>
  <c r="M280" i="50" a="1"/>
  <c r="M280" i="50" s="1"/>
  <c r="K280" i="50" a="1"/>
  <c r="K280" i="50" s="1"/>
  <c r="J280" i="50"/>
  <c r="I280" i="50"/>
  <c r="H280" i="50"/>
  <c r="N279" i="50" a="1"/>
  <c r="N279" i="50" s="1"/>
  <c r="M279" i="50" a="1"/>
  <c r="M279" i="50" s="1"/>
  <c r="K279" i="50" a="1"/>
  <c r="K279" i="50" s="1"/>
  <c r="J279" i="50"/>
  <c r="I279" i="50"/>
  <c r="H279" i="50"/>
  <c r="N53" i="50" a="1"/>
  <c r="N53" i="50" s="1"/>
  <c r="M53" i="50" a="1"/>
  <c r="M53" i="50" s="1"/>
  <c r="K53" i="50" a="1"/>
  <c r="K53" i="50" s="1"/>
  <c r="J53" i="50"/>
  <c r="I53" i="50"/>
  <c r="H53" i="50"/>
  <c r="N277" i="50" a="1"/>
  <c r="N277" i="50" s="1"/>
  <c r="M277" i="50" a="1"/>
  <c r="M277" i="50" s="1"/>
  <c r="K277" i="50" a="1"/>
  <c r="K277" i="50" s="1"/>
  <c r="J277" i="50"/>
  <c r="I277" i="50"/>
  <c r="H277" i="50"/>
  <c r="N231" i="50" a="1"/>
  <c r="N231" i="50" s="1"/>
  <c r="N206" i="50" a="1"/>
  <c r="N206" i="50" s="1"/>
  <c r="N256" i="50" a="1"/>
  <c r="N256" i="50" s="1"/>
  <c r="N431" i="50" a="1"/>
  <c r="N431" i="50" s="1"/>
  <c r="N406" i="50" a="1"/>
  <c r="N406" i="50" s="1"/>
  <c r="N381" i="50" a="1"/>
  <c r="N381" i="50" s="1"/>
  <c r="N331" i="50" a="1"/>
  <c r="N331" i="50" s="1"/>
  <c r="N306" i="50" a="1"/>
  <c r="N306" i="50" s="1"/>
  <c r="N356" i="50" a="1"/>
  <c r="N356" i="50" s="1"/>
  <c r="N31" i="50" a="1"/>
  <c r="N31" i="50" s="1"/>
  <c r="N181" i="50" a="1"/>
  <c r="N181" i="50" s="1"/>
  <c r="N156" i="50" a="1"/>
  <c r="N156" i="50" s="1"/>
  <c r="N131" i="50" a="1"/>
  <c r="N131" i="50" s="1"/>
  <c r="N81" i="50" a="1"/>
  <c r="N81" i="50" s="1"/>
  <c r="N56" i="50" a="1"/>
  <c r="N56" i="50" s="1"/>
  <c r="N6" i="50" a="1"/>
  <c r="N6" i="50" s="1"/>
  <c r="N230" i="50" a="1"/>
  <c r="N230" i="50" s="1"/>
  <c r="N205" i="50" a="1"/>
  <c r="N205" i="50" s="1"/>
  <c r="N255" i="50" a="1"/>
  <c r="N255" i="50" s="1"/>
  <c r="N430" i="50" a="1"/>
  <c r="N430" i="50" s="1"/>
  <c r="N405" i="50" a="1"/>
  <c r="N405" i="50" s="1"/>
  <c r="N380" i="50" a="1"/>
  <c r="N380" i="50" s="1"/>
  <c r="N330" i="50" a="1"/>
  <c r="N330" i="50" s="1"/>
  <c r="N305" i="50" a="1"/>
  <c r="N305" i="50" s="1"/>
  <c r="N355" i="50" a="1"/>
  <c r="N355" i="50" s="1"/>
  <c r="N30" i="50" a="1"/>
  <c r="N30" i="50" s="1"/>
  <c r="N180" i="50" a="1"/>
  <c r="N180" i="50" s="1"/>
  <c r="N155" i="50" a="1"/>
  <c r="N155" i="50" s="1"/>
  <c r="N130" i="50" a="1"/>
  <c r="N130" i="50" s="1"/>
  <c r="N80" i="50" a="1"/>
  <c r="N80" i="50" s="1"/>
  <c r="N55" i="50" a="1"/>
  <c r="N55" i="50" s="1"/>
  <c r="N5" i="50" a="1"/>
  <c r="N5" i="50" s="1"/>
  <c r="N229" i="50" a="1"/>
  <c r="N229" i="50" s="1"/>
  <c r="N204" i="50" a="1"/>
  <c r="N204" i="50" s="1"/>
  <c r="N254" i="50" a="1"/>
  <c r="N254" i="50" s="1"/>
  <c r="N429" i="50" a="1"/>
  <c r="N429" i="50" s="1"/>
  <c r="N404" i="50" a="1"/>
  <c r="N404" i="50" s="1"/>
  <c r="N379" i="50" a="1"/>
  <c r="N379" i="50" s="1"/>
  <c r="N329" i="50" a="1"/>
  <c r="N329" i="50" s="1"/>
  <c r="N304" i="50" a="1"/>
  <c r="N304" i="50" s="1"/>
  <c r="N354" i="50" a="1"/>
  <c r="N354" i="50" s="1"/>
  <c r="N29" i="50" a="1"/>
  <c r="N29" i="50" s="1"/>
  <c r="N179" i="50" a="1"/>
  <c r="N179" i="50" s="1"/>
  <c r="N154" i="50" a="1"/>
  <c r="N154" i="50" s="1"/>
  <c r="N129" i="50" a="1"/>
  <c r="N129" i="50" s="1"/>
  <c r="N79" i="50" a="1"/>
  <c r="N79" i="50" s="1"/>
  <c r="N54" i="50" a="1"/>
  <c r="N54" i="50" s="1"/>
  <c r="N4" i="50" a="1"/>
  <c r="N4" i="50" s="1"/>
  <c r="N228" i="50" a="1"/>
  <c r="N228" i="50" s="1"/>
  <c r="N203" i="50" a="1"/>
  <c r="N203" i="50" s="1"/>
  <c r="N253" i="50" a="1"/>
  <c r="N253" i="50" s="1"/>
  <c r="N428" i="50" a="1"/>
  <c r="N428" i="50" s="1"/>
  <c r="N403" i="50" a="1"/>
  <c r="N403" i="50" s="1"/>
  <c r="N378" i="50" a="1"/>
  <c r="N378" i="50" s="1"/>
  <c r="N328" i="50" a="1"/>
  <c r="N328" i="50" s="1"/>
  <c r="N303" i="50" a="1"/>
  <c r="N303" i="50" s="1"/>
  <c r="N353" i="50" a="1"/>
  <c r="N353" i="50" s="1"/>
  <c r="N28" i="50" a="1"/>
  <c r="N28" i="50" s="1"/>
  <c r="N178" i="50" a="1"/>
  <c r="N178" i="50" s="1"/>
  <c r="N153" i="50" a="1"/>
  <c r="N153" i="50" s="1"/>
  <c r="N128" i="50" a="1"/>
  <c r="N128" i="50" s="1"/>
  <c r="N78" i="50" a="1"/>
  <c r="N78" i="50" s="1"/>
  <c r="N278" i="50" a="1"/>
  <c r="N278" i="50" s="1"/>
  <c r="N3" i="50" a="1"/>
  <c r="N3" i="50" s="1"/>
  <c r="N227" i="50" a="1"/>
  <c r="N227" i="50" s="1"/>
  <c r="N202" i="50" a="1"/>
  <c r="N202" i="50" s="1"/>
  <c r="N252" i="50" a="1"/>
  <c r="N252" i="50" s="1"/>
  <c r="N427" i="50" a="1"/>
  <c r="N427" i="50" s="1"/>
  <c r="N402" i="50" a="1"/>
  <c r="N402" i="50" s="1"/>
  <c r="N377" i="50" a="1"/>
  <c r="N377" i="50" s="1"/>
  <c r="N327" i="50" a="1"/>
  <c r="N327" i="50" s="1"/>
  <c r="N302" i="50" a="1"/>
  <c r="N302" i="50" s="1"/>
  <c r="N352" i="50" a="1"/>
  <c r="N352" i="50" s="1"/>
  <c r="N27" i="50" a="1"/>
  <c r="N27" i="50" s="1"/>
  <c r="N177" i="50" a="1"/>
  <c r="N177" i="50" s="1"/>
  <c r="N152" i="50" a="1"/>
  <c r="N152" i="50" s="1"/>
  <c r="N127" i="50" a="1"/>
  <c r="N127" i="50" s="1"/>
  <c r="N77" i="50" a="1"/>
  <c r="N77" i="50" s="1"/>
  <c r="N52" i="50" a="1"/>
  <c r="N52" i="50" s="1"/>
  <c r="N2" i="50" a="1"/>
  <c r="N2" i="50" s="1"/>
  <c r="M230" i="50" a="1"/>
  <c r="M230" i="50" s="1"/>
  <c r="K230" i="50" a="1"/>
  <c r="K230" i="50" s="1"/>
  <c r="J230" i="50"/>
  <c r="I230" i="50"/>
  <c r="H230" i="50"/>
  <c r="M205" i="50" a="1"/>
  <c r="M205" i="50" s="1"/>
  <c r="K205" i="50" a="1"/>
  <c r="K205" i="50" s="1"/>
  <c r="J205" i="50"/>
  <c r="I205" i="50"/>
  <c r="H205" i="50"/>
  <c r="M255" i="50" a="1"/>
  <c r="M255" i="50" s="1"/>
  <c r="K255" i="50" a="1"/>
  <c r="K255" i="50" s="1"/>
  <c r="J255" i="50"/>
  <c r="I255" i="50"/>
  <c r="H255" i="50"/>
  <c r="M430" i="50" a="1"/>
  <c r="M430" i="50" s="1"/>
  <c r="K430" i="50" a="1"/>
  <c r="K430" i="50" s="1"/>
  <c r="J430" i="50"/>
  <c r="I430" i="50"/>
  <c r="H430" i="50"/>
  <c r="M405" i="50" a="1"/>
  <c r="M405" i="50" s="1"/>
  <c r="K405" i="50" a="1"/>
  <c r="K405" i="50" s="1"/>
  <c r="J405" i="50"/>
  <c r="I405" i="50"/>
  <c r="H405" i="50"/>
  <c r="M380" i="50" a="1"/>
  <c r="M380" i="50" s="1"/>
  <c r="K380" i="50" a="1"/>
  <c r="K380" i="50" s="1"/>
  <c r="J380" i="50"/>
  <c r="I380" i="50"/>
  <c r="H380" i="50"/>
  <c r="M330" i="50" a="1"/>
  <c r="M330" i="50" s="1"/>
  <c r="K330" i="50" a="1"/>
  <c r="K330" i="50" s="1"/>
  <c r="J330" i="50"/>
  <c r="I330" i="50"/>
  <c r="H330" i="50"/>
  <c r="M305" i="50" a="1"/>
  <c r="M305" i="50" s="1"/>
  <c r="K305" i="50" a="1"/>
  <c r="K305" i="50" s="1"/>
  <c r="J305" i="50"/>
  <c r="I305" i="50"/>
  <c r="H305" i="50"/>
  <c r="M355" i="50" a="1"/>
  <c r="M355" i="50" s="1"/>
  <c r="K355" i="50" a="1"/>
  <c r="K355" i="50" s="1"/>
  <c r="J355" i="50"/>
  <c r="I355" i="50"/>
  <c r="H355" i="50"/>
  <c r="M30" i="50" a="1"/>
  <c r="M30" i="50" s="1"/>
  <c r="K30" i="50" a="1"/>
  <c r="K30" i="50" s="1"/>
  <c r="J30" i="50"/>
  <c r="I30" i="50"/>
  <c r="H30" i="50"/>
  <c r="M180" i="50" a="1"/>
  <c r="M180" i="50" s="1"/>
  <c r="K180" i="50" a="1"/>
  <c r="K180" i="50" s="1"/>
  <c r="J180" i="50"/>
  <c r="I180" i="50"/>
  <c r="H180" i="50"/>
  <c r="M155" i="50" a="1"/>
  <c r="M155" i="50" s="1"/>
  <c r="K155" i="50" a="1"/>
  <c r="K155" i="50" s="1"/>
  <c r="J155" i="50"/>
  <c r="I155" i="50"/>
  <c r="H155" i="50"/>
  <c r="M130" i="50" a="1"/>
  <c r="M130" i="50" s="1"/>
  <c r="K130" i="50" a="1"/>
  <c r="K130" i="50" s="1"/>
  <c r="J130" i="50"/>
  <c r="I130" i="50"/>
  <c r="H130" i="50"/>
  <c r="M80" i="50" a="1"/>
  <c r="M80" i="50" s="1"/>
  <c r="K80" i="50" a="1"/>
  <c r="K80" i="50" s="1"/>
  <c r="J80" i="50"/>
  <c r="I80" i="50"/>
  <c r="H80" i="50"/>
  <c r="M55" i="50" a="1"/>
  <c r="M55" i="50" s="1"/>
  <c r="K55" i="50" a="1"/>
  <c r="K55" i="50" s="1"/>
  <c r="J55" i="50"/>
  <c r="I55" i="50"/>
  <c r="H55" i="50"/>
  <c r="M5" i="50" a="1"/>
  <c r="M5" i="50" s="1"/>
  <c r="K5" i="50" a="1"/>
  <c r="K5" i="50" s="1"/>
  <c r="J5" i="50"/>
  <c r="I5" i="50"/>
  <c r="H5" i="50"/>
  <c r="M229" i="50" a="1"/>
  <c r="M229" i="50" s="1"/>
  <c r="K229" i="50" a="1"/>
  <c r="K229" i="50" s="1"/>
  <c r="J229" i="50"/>
  <c r="I229" i="50"/>
  <c r="H229" i="50"/>
  <c r="M204" i="50" a="1"/>
  <c r="M204" i="50" s="1"/>
  <c r="K204" i="50" a="1"/>
  <c r="K204" i="50" s="1"/>
  <c r="J204" i="50"/>
  <c r="I204" i="50"/>
  <c r="H204" i="50"/>
  <c r="M254" i="50" a="1"/>
  <c r="M254" i="50" s="1"/>
  <c r="K254" i="50" a="1"/>
  <c r="K254" i="50" s="1"/>
  <c r="J254" i="50"/>
  <c r="I254" i="50"/>
  <c r="H254" i="50"/>
  <c r="M429" i="50" a="1"/>
  <c r="M429" i="50" s="1"/>
  <c r="K429" i="50" a="1"/>
  <c r="K429" i="50" s="1"/>
  <c r="J429" i="50"/>
  <c r="I429" i="50"/>
  <c r="H429" i="50"/>
  <c r="M404" i="50" a="1"/>
  <c r="M404" i="50" s="1"/>
  <c r="K404" i="50" a="1"/>
  <c r="K404" i="50" s="1"/>
  <c r="J404" i="50"/>
  <c r="I404" i="50"/>
  <c r="H404" i="50"/>
  <c r="M379" i="50" a="1"/>
  <c r="M379" i="50" s="1"/>
  <c r="K379" i="50" a="1"/>
  <c r="K379" i="50" s="1"/>
  <c r="J379" i="50"/>
  <c r="I379" i="50"/>
  <c r="H379" i="50"/>
  <c r="M329" i="50" a="1"/>
  <c r="M329" i="50" s="1"/>
  <c r="K329" i="50" a="1"/>
  <c r="K329" i="50" s="1"/>
  <c r="J329" i="50"/>
  <c r="I329" i="50"/>
  <c r="H329" i="50"/>
  <c r="M304" i="50" a="1"/>
  <c r="M304" i="50" s="1"/>
  <c r="K304" i="50" a="1"/>
  <c r="K304" i="50" s="1"/>
  <c r="J304" i="50"/>
  <c r="I304" i="50"/>
  <c r="H304" i="50"/>
  <c r="M354" i="50" a="1"/>
  <c r="M354" i="50" s="1"/>
  <c r="K354" i="50" a="1"/>
  <c r="K354" i="50" s="1"/>
  <c r="J354" i="50"/>
  <c r="I354" i="50"/>
  <c r="H354" i="50"/>
  <c r="M29" i="50" a="1"/>
  <c r="M29" i="50" s="1"/>
  <c r="K29" i="50" a="1"/>
  <c r="K29" i="50" s="1"/>
  <c r="J29" i="50"/>
  <c r="I29" i="50"/>
  <c r="H29" i="50"/>
  <c r="M179" i="50" a="1"/>
  <c r="M179" i="50" s="1"/>
  <c r="K179" i="50" a="1"/>
  <c r="K179" i="50" s="1"/>
  <c r="J179" i="50"/>
  <c r="I179" i="50"/>
  <c r="H179" i="50"/>
  <c r="M154" i="50" a="1"/>
  <c r="M154" i="50" s="1"/>
  <c r="K154" i="50" a="1"/>
  <c r="K154" i="50" s="1"/>
  <c r="J154" i="50"/>
  <c r="I154" i="50"/>
  <c r="H154" i="50"/>
  <c r="M129" i="50" a="1"/>
  <c r="M129" i="50" s="1"/>
  <c r="K129" i="50" a="1"/>
  <c r="K129" i="50" s="1"/>
  <c r="J129" i="50"/>
  <c r="I129" i="50"/>
  <c r="H129" i="50"/>
  <c r="M79" i="50" a="1"/>
  <c r="M79" i="50" s="1"/>
  <c r="K79" i="50" a="1"/>
  <c r="K79" i="50" s="1"/>
  <c r="J79" i="50"/>
  <c r="I79" i="50"/>
  <c r="H79" i="50"/>
  <c r="M54" i="50" a="1"/>
  <c r="M54" i="50" s="1"/>
  <c r="K54" i="50" a="1"/>
  <c r="K54" i="50" s="1"/>
  <c r="J54" i="50"/>
  <c r="I54" i="50"/>
  <c r="H54" i="50"/>
  <c r="M4" i="50" a="1"/>
  <c r="M4" i="50" s="1"/>
  <c r="K4" i="50" a="1"/>
  <c r="K4" i="50" s="1"/>
  <c r="J4" i="50"/>
  <c r="I4" i="50"/>
  <c r="H4" i="50"/>
  <c r="M228" i="50" a="1"/>
  <c r="M228" i="50" s="1"/>
  <c r="K228" i="50" a="1"/>
  <c r="K228" i="50" s="1"/>
  <c r="J228" i="50"/>
  <c r="I228" i="50"/>
  <c r="H228" i="50"/>
  <c r="M203" i="50" a="1"/>
  <c r="M203" i="50" s="1"/>
  <c r="K203" i="50" a="1"/>
  <c r="K203" i="50" s="1"/>
  <c r="J203" i="50"/>
  <c r="I203" i="50"/>
  <c r="H203" i="50"/>
  <c r="M253" i="50" a="1"/>
  <c r="M253" i="50" s="1"/>
  <c r="K253" i="50" a="1"/>
  <c r="K253" i="50" s="1"/>
  <c r="J253" i="50"/>
  <c r="I253" i="50"/>
  <c r="H253" i="50"/>
  <c r="M428" i="50" a="1"/>
  <c r="M428" i="50" s="1"/>
  <c r="K428" i="50" a="1"/>
  <c r="K428" i="50" s="1"/>
  <c r="J428" i="50"/>
  <c r="I428" i="50"/>
  <c r="H428" i="50"/>
  <c r="M403" i="50" a="1"/>
  <c r="M403" i="50" s="1"/>
  <c r="K403" i="50" a="1"/>
  <c r="K403" i="50" s="1"/>
  <c r="J403" i="50"/>
  <c r="I403" i="50"/>
  <c r="H403" i="50"/>
  <c r="M378" i="50" a="1"/>
  <c r="M378" i="50" s="1"/>
  <c r="K378" i="50" a="1"/>
  <c r="K378" i="50" s="1"/>
  <c r="J378" i="50"/>
  <c r="I378" i="50"/>
  <c r="H378" i="50"/>
  <c r="M328" i="50" a="1"/>
  <c r="M328" i="50" s="1"/>
  <c r="K328" i="50" a="1"/>
  <c r="K328" i="50" s="1"/>
  <c r="J328" i="50"/>
  <c r="I328" i="50"/>
  <c r="H328" i="50"/>
  <c r="M303" i="50" a="1"/>
  <c r="M303" i="50" s="1"/>
  <c r="K303" i="50" a="1"/>
  <c r="K303" i="50" s="1"/>
  <c r="J303" i="50"/>
  <c r="I303" i="50"/>
  <c r="H303" i="50"/>
  <c r="M353" i="50" a="1"/>
  <c r="M353" i="50" s="1"/>
  <c r="K353" i="50" a="1"/>
  <c r="K353" i="50" s="1"/>
  <c r="J353" i="50"/>
  <c r="I353" i="50"/>
  <c r="H353" i="50"/>
  <c r="M28" i="50" a="1"/>
  <c r="M28" i="50" s="1"/>
  <c r="K28" i="50" a="1"/>
  <c r="K28" i="50" s="1"/>
  <c r="J28" i="50"/>
  <c r="I28" i="50"/>
  <c r="H28" i="50"/>
  <c r="M178" i="50" a="1"/>
  <c r="M178" i="50" s="1"/>
  <c r="K178" i="50" a="1"/>
  <c r="K178" i="50" s="1"/>
  <c r="J178" i="50"/>
  <c r="I178" i="50"/>
  <c r="H178" i="50"/>
  <c r="M153" i="50" a="1"/>
  <c r="M153" i="50" s="1"/>
  <c r="K153" i="50" a="1"/>
  <c r="K153" i="50" s="1"/>
  <c r="J153" i="50"/>
  <c r="I153" i="50"/>
  <c r="H153" i="50"/>
  <c r="M128" i="50" a="1"/>
  <c r="M128" i="50" s="1"/>
  <c r="K128" i="50" a="1"/>
  <c r="K128" i="50" s="1"/>
  <c r="J128" i="50"/>
  <c r="I128" i="50"/>
  <c r="H128" i="50"/>
  <c r="M78" i="50" a="1"/>
  <c r="M78" i="50" s="1"/>
  <c r="K78" i="50" a="1"/>
  <c r="K78" i="50" s="1"/>
  <c r="J78" i="50"/>
  <c r="I78" i="50"/>
  <c r="H78" i="50"/>
  <c r="M278" i="50" a="1"/>
  <c r="M278" i="50" s="1"/>
  <c r="K278" i="50" a="1"/>
  <c r="K278" i="50" s="1"/>
  <c r="J278" i="50"/>
  <c r="I278" i="50"/>
  <c r="H278" i="50"/>
  <c r="M3" i="50" a="1"/>
  <c r="M3" i="50" s="1"/>
  <c r="K3" i="50" a="1"/>
  <c r="K3" i="50" s="1"/>
  <c r="J3" i="50"/>
  <c r="I3" i="50"/>
  <c r="H3" i="50"/>
  <c r="J575" i="56"/>
  <c r="I575" i="56"/>
  <c r="J574" i="56"/>
  <c r="I574" i="56"/>
  <c r="J573" i="56"/>
  <c r="I573" i="56"/>
  <c r="J572" i="56"/>
  <c r="I572" i="56"/>
  <c r="J571" i="56"/>
  <c r="I571" i="56"/>
  <c r="J570" i="56"/>
  <c r="I570" i="56"/>
  <c r="J569" i="56"/>
  <c r="I569" i="56"/>
  <c r="J568" i="56"/>
  <c r="I568" i="56"/>
  <c r="J567" i="56"/>
  <c r="I567" i="56"/>
  <c r="J566" i="56"/>
  <c r="I566" i="56"/>
  <c r="J565" i="56"/>
  <c r="I565" i="56"/>
  <c r="J564" i="56"/>
  <c r="I564" i="56"/>
  <c r="J563" i="56"/>
  <c r="I563" i="56"/>
  <c r="J562" i="56"/>
  <c r="I562" i="56"/>
  <c r="J561" i="56"/>
  <c r="I561" i="56"/>
  <c r="J560" i="56"/>
  <c r="I560" i="56"/>
  <c r="J559" i="56"/>
  <c r="I559" i="56"/>
  <c r="J558" i="56"/>
  <c r="I558" i="56"/>
  <c r="J557" i="56"/>
  <c r="I557" i="56"/>
  <c r="J556" i="56"/>
  <c r="I556" i="56"/>
  <c r="J555" i="56"/>
  <c r="I555" i="56"/>
  <c r="J554" i="56"/>
  <c r="I554" i="56"/>
  <c r="J553" i="56"/>
  <c r="I553" i="56"/>
  <c r="J552" i="56"/>
  <c r="I552" i="56"/>
  <c r="J551" i="56"/>
  <c r="I551" i="56"/>
  <c r="J550" i="56"/>
  <c r="I550" i="56"/>
  <c r="J549" i="56"/>
  <c r="I549" i="56"/>
  <c r="J548" i="56"/>
  <c r="I548" i="56"/>
  <c r="J547" i="56"/>
  <c r="I547" i="56"/>
  <c r="J546" i="56"/>
  <c r="I546" i="56"/>
  <c r="J545" i="56"/>
  <c r="I545" i="56"/>
  <c r="J544" i="56"/>
  <c r="I544" i="56"/>
  <c r="J543" i="56"/>
  <c r="I543" i="56"/>
  <c r="J542" i="56"/>
  <c r="I542" i="56"/>
  <c r="J541" i="56"/>
  <c r="I541" i="56"/>
  <c r="J540" i="56"/>
  <c r="I540" i="56"/>
  <c r="J539" i="56"/>
  <c r="I539" i="56"/>
  <c r="J538" i="56"/>
  <c r="I538" i="56"/>
  <c r="J537" i="56"/>
  <c r="I537" i="56"/>
  <c r="J536" i="56"/>
  <c r="I536" i="56"/>
  <c r="J535" i="56"/>
  <c r="I535" i="56"/>
  <c r="J534" i="56"/>
  <c r="I534" i="56"/>
  <c r="J533" i="56"/>
  <c r="I533" i="56"/>
  <c r="J532" i="56"/>
  <c r="I532" i="56"/>
  <c r="J531" i="56"/>
  <c r="I531" i="56"/>
  <c r="J530" i="56"/>
  <c r="I530" i="56"/>
  <c r="J529" i="56"/>
  <c r="I529" i="56"/>
  <c r="J528" i="56"/>
  <c r="I528" i="56"/>
  <c r="J527" i="56"/>
  <c r="I527" i="56"/>
  <c r="J526" i="56"/>
  <c r="I526" i="56"/>
  <c r="J525" i="56"/>
  <c r="I525" i="56"/>
  <c r="J524" i="56"/>
  <c r="I524" i="56"/>
  <c r="J523" i="56"/>
  <c r="I523" i="56"/>
  <c r="J522" i="56"/>
  <c r="I522" i="56"/>
  <c r="J521" i="56"/>
  <c r="I521" i="56"/>
  <c r="J520" i="56"/>
  <c r="I520" i="56"/>
  <c r="J519" i="56"/>
  <c r="I519" i="56"/>
  <c r="J518" i="56"/>
  <c r="I518" i="56"/>
  <c r="J517" i="56"/>
  <c r="I517" i="56"/>
  <c r="J516" i="56"/>
  <c r="I516" i="56"/>
  <c r="J515" i="56"/>
  <c r="I515" i="56"/>
  <c r="J514" i="56"/>
  <c r="I514" i="56"/>
  <c r="J513" i="56"/>
  <c r="I513" i="56"/>
  <c r="J512" i="56"/>
  <c r="I512" i="56"/>
  <c r="J511" i="56"/>
  <c r="I511" i="56"/>
  <c r="J510" i="56"/>
  <c r="I510" i="56"/>
  <c r="J509" i="56"/>
  <c r="I509" i="56"/>
  <c r="J508" i="56"/>
  <c r="I508" i="56"/>
  <c r="J507" i="56"/>
  <c r="I507" i="56"/>
  <c r="J506" i="56"/>
  <c r="I506" i="56"/>
  <c r="J505" i="56"/>
  <c r="I505" i="56"/>
  <c r="J504" i="56"/>
  <c r="I504" i="56"/>
  <c r="J503" i="56"/>
  <c r="I503" i="56"/>
  <c r="J502" i="56"/>
  <c r="I502" i="56"/>
  <c r="J501" i="56"/>
  <c r="I501" i="56"/>
  <c r="J500" i="56"/>
  <c r="I500" i="56"/>
  <c r="J499" i="56"/>
  <c r="I499" i="56"/>
  <c r="J498" i="56"/>
  <c r="I498" i="56"/>
  <c r="J497" i="56"/>
  <c r="I497" i="56"/>
  <c r="J496" i="56"/>
  <c r="I496" i="56"/>
  <c r="J495" i="56"/>
  <c r="I495" i="56"/>
  <c r="J494" i="56"/>
  <c r="I494" i="56"/>
  <c r="J493" i="56"/>
  <c r="I493" i="56"/>
  <c r="J492" i="56"/>
  <c r="I492" i="56"/>
  <c r="J491" i="56"/>
  <c r="I491" i="56"/>
  <c r="J490" i="56"/>
  <c r="I490" i="56"/>
  <c r="J489" i="56"/>
  <c r="I489" i="56"/>
  <c r="J488" i="56"/>
  <c r="I488" i="56"/>
  <c r="J487" i="56"/>
  <c r="I487" i="56"/>
  <c r="J486" i="56"/>
  <c r="I486" i="56"/>
  <c r="J485" i="56"/>
  <c r="I485" i="56"/>
  <c r="J484" i="56"/>
  <c r="I484" i="56"/>
  <c r="J483" i="56"/>
  <c r="I483" i="56"/>
  <c r="J482" i="56"/>
  <c r="I482" i="56"/>
  <c r="J481" i="56"/>
  <c r="I481" i="56"/>
  <c r="J480" i="56"/>
  <c r="I480" i="56"/>
  <c r="J479" i="56"/>
  <c r="I479" i="56"/>
  <c r="J478" i="56"/>
  <c r="I478" i="56"/>
  <c r="J477" i="56"/>
  <c r="I477" i="56"/>
  <c r="J476" i="56"/>
  <c r="I476" i="56"/>
  <c r="J475" i="56"/>
  <c r="I475" i="56"/>
  <c r="J474" i="56"/>
  <c r="I474" i="56"/>
  <c r="J473" i="56"/>
  <c r="I473" i="56"/>
  <c r="J472" i="56"/>
  <c r="I472" i="56"/>
  <c r="J471" i="56"/>
  <c r="I471" i="56"/>
  <c r="J470" i="56"/>
  <c r="I470" i="56"/>
  <c r="J469" i="56"/>
  <c r="I469" i="56"/>
  <c r="J468" i="56"/>
  <c r="I468" i="56"/>
  <c r="J467" i="56"/>
  <c r="I467" i="56"/>
  <c r="J466" i="56"/>
  <c r="I466" i="56"/>
  <c r="J465" i="56"/>
  <c r="I465" i="56"/>
  <c r="J464" i="56"/>
  <c r="I464" i="56"/>
  <c r="J463" i="56"/>
  <c r="I463" i="56"/>
  <c r="J462" i="56"/>
  <c r="I462" i="56"/>
  <c r="J461" i="56"/>
  <c r="I461" i="56"/>
  <c r="J460" i="56"/>
  <c r="I460" i="56"/>
  <c r="J459" i="56"/>
  <c r="I459" i="56"/>
  <c r="J458" i="56"/>
  <c r="I458" i="56"/>
  <c r="J457" i="56"/>
  <c r="I457" i="56"/>
  <c r="J456" i="56"/>
  <c r="I456" i="56"/>
  <c r="J455" i="56"/>
  <c r="I455" i="56"/>
  <c r="J454" i="56"/>
  <c r="I454" i="56"/>
  <c r="J453" i="56"/>
  <c r="I453" i="56"/>
  <c r="J452" i="56"/>
  <c r="I452" i="56"/>
  <c r="J451" i="56"/>
  <c r="I451" i="56"/>
  <c r="J450" i="56"/>
  <c r="I450" i="56"/>
  <c r="J449" i="56"/>
  <c r="I449" i="56"/>
  <c r="J448" i="56"/>
  <c r="I448" i="56"/>
  <c r="J447" i="56"/>
  <c r="I447" i="56"/>
  <c r="J446" i="56"/>
  <c r="I446" i="56"/>
  <c r="J445" i="56"/>
  <c r="I445" i="56"/>
  <c r="J444" i="56"/>
  <c r="I444" i="56"/>
  <c r="J443" i="56"/>
  <c r="I443" i="56"/>
  <c r="J442" i="56"/>
  <c r="I442" i="56"/>
  <c r="J441" i="56"/>
  <c r="I441" i="56"/>
  <c r="J440" i="56"/>
  <c r="I440" i="56"/>
  <c r="J439" i="56"/>
  <c r="I439" i="56"/>
  <c r="J438" i="56"/>
  <c r="I438" i="56"/>
  <c r="J437" i="56"/>
  <c r="I437" i="56"/>
  <c r="J436" i="56"/>
  <c r="I436" i="56"/>
  <c r="J435" i="56"/>
  <c r="I435" i="56"/>
  <c r="J434" i="56"/>
  <c r="I434" i="56"/>
  <c r="J433" i="56"/>
  <c r="I433" i="56"/>
  <c r="J432" i="56"/>
  <c r="I432" i="56"/>
  <c r="J431" i="56"/>
  <c r="I431" i="56"/>
  <c r="J430" i="56"/>
  <c r="I430" i="56"/>
  <c r="J429" i="56"/>
  <c r="I429" i="56"/>
  <c r="J428" i="56"/>
  <c r="I428" i="56"/>
  <c r="J427" i="56"/>
  <c r="I427" i="56"/>
  <c r="J426" i="56"/>
  <c r="I426" i="56"/>
  <c r="J425" i="56"/>
  <c r="I425" i="56"/>
  <c r="J424" i="56"/>
  <c r="I424" i="56"/>
  <c r="J423" i="56"/>
  <c r="I423" i="56"/>
  <c r="J422" i="56"/>
  <c r="I422" i="56"/>
  <c r="J421" i="56"/>
  <c r="I421" i="56"/>
  <c r="J420" i="56"/>
  <c r="I420" i="56"/>
  <c r="J419" i="56"/>
  <c r="I419" i="56"/>
  <c r="J418" i="56"/>
  <c r="I418" i="56"/>
  <c r="J417" i="56"/>
  <c r="I417" i="56"/>
  <c r="J416" i="56"/>
  <c r="I416" i="56"/>
  <c r="J415" i="56"/>
  <c r="I415" i="56"/>
  <c r="J414" i="56"/>
  <c r="I414" i="56"/>
  <c r="J413" i="56"/>
  <c r="I413" i="56"/>
  <c r="J412" i="56"/>
  <c r="I412" i="56"/>
  <c r="J411" i="56"/>
  <c r="I411" i="56"/>
  <c r="J410" i="56"/>
  <c r="I410" i="56"/>
  <c r="J409" i="56"/>
  <c r="I409" i="56"/>
  <c r="J408" i="56"/>
  <c r="I408" i="56"/>
  <c r="J407" i="56"/>
  <c r="I407" i="56"/>
  <c r="J406" i="56"/>
  <c r="I406" i="56"/>
  <c r="J405" i="56"/>
  <c r="I405" i="56"/>
  <c r="J404" i="56"/>
  <c r="I404" i="56"/>
  <c r="J403" i="56"/>
  <c r="I403" i="56"/>
  <c r="J402" i="56"/>
  <c r="I402" i="56"/>
  <c r="J401" i="56"/>
  <c r="I401" i="56"/>
  <c r="J400" i="56"/>
  <c r="I400" i="56"/>
  <c r="J399" i="56"/>
  <c r="I399" i="56"/>
  <c r="J398" i="56"/>
  <c r="I398" i="56"/>
  <c r="J397" i="56"/>
  <c r="I397" i="56"/>
  <c r="J396" i="56"/>
  <c r="I396" i="56"/>
  <c r="J395" i="56"/>
  <c r="I395" i="56"/>
  <c r="J394" i="56"/>
  <c r="I394" i="56"/>
  <c r="J393" i="56"/>
  <c r="I393" i="56"/>
  <c r="J392" i="56"/>
  <c r="I392" i="56"/>
  <c r="J391" i="56"/>
  <c r="I391" i="56"/>
  <c r="J390" i="56"/>
  <c r="I390" i="56"/>
  <c r="J389" i="56"/>
  <c r="I389" i="56"/>
  <c r="J388" i="56"/>
  <c r="I388" i="56"/>
  <c r="J387" i="56"/>
  <c r="I387" i="56"/>
  <c r="J386" i="56"/>
  <c r="I386" i="56"/>
  <c r="J385" i="56"/>
  <c r="I385" i="56"/>
  <c r="J384" i="56"/>
  <c r="I384" i="56"/>
  <c r="J383" i="56"/>
  <c r="I383" i="56"/>
  <c r="J382" i="56"/>
  <c r="I382" i="56"/>
  <c r="J381" i="56"/>
  <c r="I381" i="56"/>
  <c r="J380" i="56"/>
  <c r="I380" i="56"/>
  <c r="J379" i="56"/>
  <c r="I379" i="56"/>
  <c r="J378" i="56"/>
  <c r="I378" i="56"/>
  <c r="J377" i="56"/>
  <c r="I377" i="56"/>
  <c r="J376" i="56"/>
  <c r="I376" i="56"/>
  <c r="J375" i="56"/>
  <c r="I375" i="56"/>
  <c r="J374" i="56"/>
  <c r="I374" i="56"/>
  <c r="J373" i="56"/>
  <c r="I373" i="56"/>
  <c r="J372" i="56"/>
  <c r="I372" i="56"/>
  <c r="J371" i="56"/>
  <c r="I371" i="56"/>
  <c r="J370" i="56"/>
  <c r="I370" i="56"/>
  <c r="J369" i="56"/>
  <c r="I369" i="56"/>
  <c r="J368" i="56"/>
  <c r="I368" i="56"/>
  <c r="J367" i="56"/>
  <c r="I367" i="56"/>
  <c r="J366" i="56"/>
  <c r="I366" i="56"/>
  <c r="J365" i="56"/>
  <c r="I365" i="56"/>
  <c r="J364" i="56"/>
  <c r="I364" i="56"/>
  <c r="J363" i="56"/>
  <c r="I363" i="56"/>
  <c r="J362" i="56"/>
  <c r="I362" i="56"/>
  <c r="J361" i="56"/>
  <c r="I361" i="56"/>
  <c r="J360" i="56"/>
  <c r="I360" i="56"/>
  <c r="J359" i="56"/>
  <c r="I359" i="56"/>
  <c r="J358" i="56"/>
  <c r="I358" i="56"/>
  <c r="J357" i="56"/>
  <c r="I357" i="56"/>
  <c r="J356" i="56"/>
  <c r="I356" i="56"/>
  <c r="J355" i="56"/>
  <c r="I355" i="56"/>
  <c r="J354" i="56"/>
  <c r="I354" i="56"/>
  <c r="J353" i="56"/>
  <c r="I353" i="56"/>
  <c r="J352" i="56"/>
  <c r="I352" i="56"/>
  <c r="J351" i="56"/>
  <c r="I351" i="56"/>
  <c r="J350" i="56"/>
  <c r="I350" i="56"/>
  <c r="J349" i="56"/>
  <c r="I349" i="56"/>
  <c r="J348" i="56"/>
  <c r="I348" i="56"/>
  <c r="J347" i="56"/>
  <c r="I347" i="56"/>
  <c r="J346" i="56"/>
  <c r="I346" i="56"/>
  <c r="J345" i="56"/>
  <c r="I345" i="56"/>
  <c r="J344" i="56"/>
  <c r="I344" i="56"/>
  <c r="J343" i="56"/>
  <c r="I343" i="56"/>
  <c r="J342" i="56"/>
  <c r="I342" i="56"/>
  <c r="J341" i="56"/>
  <c r="I341" i="56"/>
  <c r="J340" i="56"/>
  <c r="I340" i="56"/>
  <c r="J339" i="56"/>
  <c r="I339" i="56"/>
  <c r="J338" i="56"/>
  <c r="I338" i="56"/>
  <c r="J337" i="56"/>
  <c r="I337" i="56"/>
  <c r="J336" i="56"/>
  <c r="I336" i="56"/>
  <c r="J335" i="56"/>
  <c r="I335" i="56"/>
  <c r="J334" i="56"/>
  <c r="I334" i="56"/>
  <c r="J333" i="56"/>
  <c r="I333" i="56"/>
  <c r="J332" i="56"/>
  <c r="I332" i="56"/>
  <c r="J331" i="56"/>
  <c r="I331" i="56"/>
  <c r="J330" i="56"/>
  <c r="I330" i="56"/>
  <c r="J329" i="56"/>
  <c r="I329" i="56"/>
  <c r="J328" i="56"/>
  <c r="I328" i="56"/>
  <c r="J327" i="56"/>
  <c r="I327" i="56"/>
  <c r="J326" i="56"/>
  <c r="I326" i="56"/>
  <c r="J325" i="56"/>
  <c r="I325" i="56"/>
  <c r="J324" i="56"/>
  <c r="I324" i="56"/>
  <c r="J323" i="56"/>
  <c r="I323" i="56"/>
  <c r="J322" i="56"/>
  <c r="I322" i="56"/>
  <c r="J321" i="56"/>
  <c r="I321" i="56"/>
  <c r="J320" i="56"/>
  <c r="I320" i="56"/>
  <c r="J319" i="56"/>
  <c r="I319" i="56"/>
  <c r="J318" i="56"/>
  <c r="I318" i="56"/>
  <c r="J317" i="56"/>
  <c r="I317" i="56"/>
  <c r="J316" i="56"/>
  <c r="I316" i="56"/>
  <c r="J315" i="56"/>
  <c r="I315" i="56"/>
  <c r="J314" i="56"/>
  <c r="I314" i="56"/>
  <c r="J313" i="56"/>
  <c r="I313" i="56"/>
  <c r="J312" i="56"/>
  <c r="I312" i="56"/>
  <c r="J311" i="56"/>
  <c r="I311" i="56"/>
  <c r="J310" i="56"/>
  <c r="I310" i="56"/>
  <c r="J309" i="56"/>
  <c r="I309" i="56"/>
  <c r="J308" i="56"/>
  <c r="I308" i="56"/>
  <c r="J307" i="56"/>
  <c r="I307" i="56"/>
  <c r="J306" i="56"/>
  <c r="I306" i="56"/>
  <c r="J305" i="56"/>
  <c r="I305" i="56"/>
  <c r="J304" i="56"/>
  <c r="I304" i="56"/>
  <c r="J303" i="56"/>
  <c r="I303" i="56"/>
  <c r="J302" i="56"/>
  <c r="I302" i="56"/>
  <c r="J301" i="56"/>
  <c r="I301" i="56"/>
  <c r="J300" i="56"/>
  <c r="I300" i="56"/>
  <c r="J299" i="56"/>
  <c r="I299" i="56"/>
  <c r="J298" i="56"/>
  <c r="I298" i="56"/>
  <c r="J297" i="56"/>
  <c r="I297" i="56"/>
  <c r="J296" i="56"/>
  <c r="I296" i="56"/>
  <c r="J295" i="56"/>
  <c r="I295" i="56"/>
  <c r="J294" i="56"/>
  <c r="I294" i="56"/>
  <c r="J293" i="56"/>
  <c r="I293" i="56"/>
  <c r="J292" i="56"/>
  <c r="I292" i="56"/>
  <c r="J291" i="56"/>
  <c r="I291" i="56"/>
  <c r="J290" i="56"/>
  <c r="I290" i="56"/>
  <c r="J289" i="56"/>
  <c r="I289" i="56"/>
  <c r="J288" i="56"/>
  <c r="I288" i="56"/>
  <c r="J287" i="56"/>
  <c r="I287" i="56"/>
  <c r="J286" i="56"/>
  <c r="I286" i="56"/>
  <c r="J285" i="56"/>
  <c r="I285" i="56"/>
  <c r="J284" i="56"/>
  <c r="I284" i="56"/>
  <c r="J283" i="56"/>
  <c r="I283" i="56"/>
  <c r="J282" i="56"/>
  <c r="I282" i="56"/>
  <c r="J281" i="56"/>
  <c r="I281" i="56"/>
  <c r="J280" i="56"/>
  <c r="I280" i="56"/>
  <c r="J279" i="56"/>
  <c r="I279" i="56"/>
  <c r="J278" i="56"/>
  <c r="I278" i="56"/>
  <c r="J277" i="56"/>
  <c r="I277" i="56"/>
  <c r="J276" i="56"/>
  <c r="I276" i="56"/>
  <c r="J275" i="56"/>
  <c r="I275" i="56"/>
  <c r="J274" i="56"/>
  <c r="I274" i="56"/>
  <c r="J273" i="56"/>
  <c r="I273" i="56"/>
  <c r="J272" i="56"/>
  <c r="I272" i="56"/>
  <c r="J271" i="56"/>
  <c r="I271" i="56"/>
  <c r="J270" i="56"/>
  <c r="I270" i="56"/>
  <c r="J269" i="56"/>
  <c r="I269" i="56"/>
  <c r="J268" i="56"/>
  <c r="I268" i="56"/>
  <c r="J267" i="56"/>
  <c r="I267" i="56"/>
  <c r="J266" i="56"/>
  <c r="I266" i="56"/>
  <c r="J265" i="56"/>
  <c r="I265" i="56"/>
  <c r="J264" i="56"/>
  <c r="I264" i="56"/>
  <c r="J263" i="56"/>
  <c r="I263" i="56"/>
  <c r="J262" i="56"/>
  <c r="I262" i="56"/>
  <c r="J261" i="56"/>
  <c r="I261" i="56"/>
  <c r="J260" i="56"/>
  <c r="I260" i="56"/>
  <c r="J259" i="56"/>
  <c r="I259" i="56"/>
  <c r="J258" i="56"/>
  <c r="I258" i="56"/>
  <c r="J257" i="56"/>
  <c r="I257" i="56"/>
  <c r="J256" i="56"/>
  <c r="I256" i="56"/>
  <c r="J255" i="56"/>
  <c r="I255" i="56"/>
  <c r="J254" i="56"/>
  <c r="I254" i="56"/>
  <c r="J253" i="56"/>
  <c r="I253" i="56"/>
  <c r="J252" i="56"/>
  <c r="I252" i="56"/>
  <c r="J251" i="56"/>
  <c r="I251" i="56"/>
  <c r="J250" i="56"/>
  <c r="I250" i="56"/>
  <c r="J249" i="56"/>
  <c r="I249" i="56"/>
  <c r="J248" i="56"/>
  <c r="I248" i="56"/>
  <c r="J247" i="56"/>
  <c r="I247" i="56"/>
  <c r="J246" i="56"/>
  <c r="I246" i="56"/>
  <c r="J245" i="56"/>
  <c r="I245" i="56"/>
  <c r="J244" i="56"/>
  <c r="I244" i="56"/>
  <c r="J243" i="56"/>
  <c r="I243" i="56"/>
  <c r="J242" i="56"/>
  <c r="I242" i="56"/>
  <c r="J241" i="56"/>
  <c r="I241" i="56"/>
  <c r="J240" i="56"/>
  <c r="I240" i="56"/>
  <c r="J239" i="56"/>
  <c r="I239" i="56"/>
  <c r="J238" i="56"/>
  <c r="I238" i="56"/>
  <c r="J237" i="56"/>
  <c r="I237" i="56"/>
  <c r="J236" i="56"/>
  <c r="I236" i="56"/>
  <c r="J235" i="56"/>
  <c r="I235" i="56"/>
  <c r="J234" i="56"/>
  <c r="I234" i="56"/>
  <c r="J233" i="56"/>
  <c r="I233" i="56"/>
  <c r="J232" i="56"/>
  <c r="I232" i="56"/>
  <c r="J231" i="56"/>
  <c r="I231" i="56"/>
  <c r="J230" i="56"/>
  <c r="I230" i="56"/>
  <c r="J229" i="56"/>
  <c r="I229" i="56"/>
  <c r="J228" i="56"/>
  <c r="I228" i="56"/>
  <c r="J227" i="56"/>
  <c r="I227" i="56"/>
  <c r="J226" i="56"/>
  <c r="I226" i="56"/>
  <c r="J225" i="56"/>
  <c r="I225" i="56"/>
  <c r="J224" i="56"/>
  <c r="I224" i="56"/>
  <c r="J223" i="56"/>
  <c r="I223" i="56"/>
  <c r="J222" i="56"/>
  <c r="I222" i="56"/>
  <c r="J221" i="56"/>
  <c r="I221" i="56"/>
  <c r="J220" i="56"/>
  <c r="I220" i="56"/>
  <c r="J219" i="56"/>
  <c r="I219" i="56"/>
  <c r="J218" i="56"/>
  <c r="I218" i="56"/>
  <c r="J217" i="56"/>
  <c r="I217" i="56"/>
  <c r="J216" i="56"/>
  <c r="I216" i="56"/>
  <c r="J215" i="56"/>
  <c r="I215" i="56"/>
  <c r="J214" i="56"/>
  <c r="I214" i="56"/>
  <c r="J213" i="56"/>
  <c r="I213" i="56"/>
  <c r="J212" i="56"/>
  <c r="I212" i="56"/>
  <c r="J211" i="56"/>
  <c r="I211" i="56"/>
  <c r="J210" i="56"/>
  <c r="I210" i="56"/>
  <c r="J209" i="56"/>
  <c r="I209" i="56"/>
  <c r="J208" i="56"/>
  <c r="I208" i="56"/>
  <c r="J207" i="56"/>
  <c r="I207" i="56"/>
  <c r="J206" i="56"/>
  <c r="I206" i="56"/>
  <c r="J205" i="56"/>
  <c r="I205" i="56"/>
  <c r="J204" i="56"/>
  <c r="I204" i="56"/>
  <c r="J203" i="56"/>
  <c r="I203" i="56"/>
  <c r="J202" i="56"/>
  <c r="I202" i="56"/>
  <c r="J201" i="56"/>
  <c r="I201" i="56"/>
  <c r="J200" i="56"/>
  <c r="I200" i="56"/>
  <c r="J199" i="56"/>
  <c r="I199" i="56"/>
  <c r="J198" i="56"/>
  <c r="I198" i="56"/>
  <c r="J197" i="56"/>
  <c r="I197" i="56"/>
  <c r="J196" i="56"/>
  <c r="I196" i="56"/>
  <c r="J195" i="56"/>
  <c r="I195" i="56"/>
  <c r="J194" i="56"/>
  <c r="I194" i="56"/>
  <c r="J193" i="56"/>
  <c r="I193" i="56"/>
  <c r="J192" i="56"/>
  <c r="I192" i="56"/>
  <c r="J191" i="56"/>
  <c r="I191" i="56"/>
  <c r="J190" i="56"/>
  <c r="I190" i="56"/>
  <c r="J189" i="56"/>
  <c r="I189" i="56"/>
  <c r="J188" i="56"/>
  <c r="I188" i="56"/>
  <c r="J187" i="56"/>
  <c r="I187" i="56"/>
  <c r="J186" i="56"/>
  <c r="I186" i="56"/>
  <c r="J185" i="56"/>
  <c r="I185" i="56"/>
  <c r="J184" i="56"/>
  <c r="I184" i="56"/>
  <c r="J183" i="56"/>
  <c r="I183" i="56"/>
  <c r="J182" i="56"/>
  <c r="I182" i="56"/>
  <c r="J181" i="56"/>
  <c r="I181" i="56"/>
  <c r="J180" i="56"/>
  <c r="I180" i="56"/>
  <c r="J179" i="56"/>
  <c r="I179" i="56"/>
  <c r="J178" i="56"/>
  <c r="I178" i="56"/>
  <c r="J177" i="56"/>
  <c r="I177" i="56"/>
  <c r="J176" i="56"/>
  <c r="I176" i="56"/>
  <c r="J175" i="56"/>
  <c r="I175" i="56"/>
  <c r="J174" i="56"/>
  <c r="I174" i="56"/>
  <c r="J173" i="56"/>
  <c r="I173" i="56"/>
  <c r="J172" i="56"/>
  <c r="I172" i="56"/>
  <c r="J171" i="56"/>
  <c r="I171" i="56"/>
  <c r="J170" i="56"/>
  <c r="I170" i="56"/>
  <c r="J169" i="56"/>
  <c r="I169" i="56"/>
  <c r="J168" i="56"/>
  <c r="I168" i="56"/>
  <c r="J167" i="56"/>
  <c r="I167" i="56"/>
  <c r="J166" i="56"/>
  <c r="I166" i="56"/>
  <c r="J165" i="56"/>
  <c r="I165" i="56"/>
  <c r="J164" i="56"/>
  <c r="I164" i="56"/>
  <c r="J163" i="56"/>
  <c r="I163" i="56"/>
  <c r="J162" i="56"/>
  <c r="I162" i="56"/>
  <c r="J161" i="56"/>
  <c r="I161" i="56"/>
  <c r="J160" i="56"/>
  <c r="I160" i="56"/>
  <c r="J159" i="56"/>
  <c r="I159" i="56"/>
  <c r="J158" i="56"/>
  <c r="I158" i="56"/>
  <c r="J157" i="56"/>
  <c r="I157" i="56"/>
  <c r="J156" i="56"/>
  <c r="I156" i="56"/>
  <c r="J155" i="56"/>
  <c r="I155" i="56"/>
  <c r="J154" i="56"/>
  <c r="I154" i="56"/>
  <c r="J153" i="56"/>
  <c r="I153" i="56"/>
  <c r="J152" i="56"/>
  <c r="I152" i="56"/>
  <c r="J151" i="56"/>
  <c r="I151" i="56"/>
  <c r="J150" i="56"/>
  <c r="I150" i="56"/>
  <c r="J149" i="56"/>
  <c r="I149" i="56"/>
  <c r="J148" i="56"/>
  <c r="I148" i="56"/>
  <c r="J147" i="56"/>
  <c r="I147" i="56"/>
  <c r="J146" i="56"/>
  <c r="I146" i="56"/>
  <c r="J145" i="56"/>
  <c r="I145" i="56"/>
  <c r="N144" i="56" a="1"/>
  <c r="N144" i="56" s="1"/>
  <c r="M144" i="56"/>
  <c r="O144" i="56" s="1"/>
  <c r="M144" i="56" a="1"/>
  <c r="K144" i="56" a="1"/>
  <c r="K144" i="56" s="1"/>
  <c r="J144" i="56"/>
  <c r="I144" i="56"/>
  <c r="H144" i="56"/>
  <c r="N143" i="56"/>
  <c r="N143" i="56" a="1"/>
  <c r="M143" i="56" a="1"/>
  <c r="M143" i="56" s="1"/>
  <c r="O143" i="56" s="1"/>
  <c r="K143" i="56" a="1"/>
  <c r="K143" i="56" s="1"/>
  <c r="J143" i="56"/>
  <c r="I143" i="56"/>
  <c r="H143" i="56"/>
  <c r="N142" i="56" a="1"/>
  <c r="N142" i="56" s="1"/>
  <c r="M142" i="56" a="1"/>
  <c r="M142" i="56" s="1"/>
  <c r="K142" i="56"/>
  <c r="K142" i="56" a="1"/>
  <c r="J142" i="56"/>
  <c r="I142" i="56"/>
  <c r="N141" i="56" a="1"/>
  <c r="N141" i="56" s="1"/>
  <c r="M141" i="56" a="1"/>
  <c r="M141" i="56" s="1"/>
  <c r="O141" i="56" s="1"/>
  <c r="K141" i="56" a="1"/>
  <c r="K141" i="56" s="1"/>
  <c r="J141" i="56"/>
  <c r="I141" i="56"/>
  <c r="H141" i="56"/>
  <c r="N140" i="56"/>
  <c r="N140" i="56" a="1"/>
  <c r="M140" i="56" a="1"/>
  <c r="M140" i="56" s="1"/>
  <c r="O140" i="56" s="1"/>
  <c r="K140" i="56" a="1"/>
  <c r="K140" i="56" s="1"/>
  <c r="J140" i="56"/>
  <c r="I140" i="56"/>
  <c r="H140" i="56"/>
  <c r="N139" i="56" a="1"/>
  <c r="N139" i="56" s="1"/>
  <c r="M139" i="56" a="1"/>
  <c r="M139" i="56" s="1"/>
  <c r="O139" i="56" s="1"/>
  <c r="K139" i="56"/>
  <c r="K139" i="56" a="1"/>
  <c r="J139" i="56"/>
  <c r="I139" i="56"/>
  <c r="H139" i="56"/>
  <c r="N138" i="56" a="1"/>
  <c r="N138" i="56" s="1"/>
  <c r="M138" i="56"/>
  <c r="M138" i="56" a="1"/>
  <c r="K138" i="56" a="1"/>
  <c r="K138" i="56" s="1"/>
  <c r="J138" i="56"/>
  <c r="I138" i="56"/>
  <c r="H138" i="56"/>
  <c r="N137" i="56"/>
  <c r="N137" i="56" a="1"/>
  <c r="M137" i="56" a="1"/>
  <c r="M137" i="56" s="1"/>
  <c r="O137" i="56" s="1"/>
  <c r="K137" i="56" a="1"/>
  <c r="K137" i="56" s="1"/>
  <c r="J137" i="56"/>
  <c r="I137" i="56"/>
  <c r="H137" i="56"/>
  <c r="N136" i="56" a="1"/>
  <c r="N136" i="56" s="1"/>
  <c r="M136" i="56" a="1"/>
  <c r="M136" i="56" s="1"/>
  <c r="O136" i="56" s="1"/>
  <c r="K136" i="56"/>
  <c r="K136" i="56" a="1"/>
  <c r="J136" i="56"/>
  <c r="I136" i="56"/>
  <c r="H136" i="56"/>
  <c r="N135" i="56" a="1"/>
  <c r="N135" i="56" s="1"/>
  <c r="O135" i="56" s="1"/>
  <c r="M135" i="56"/>
  <c r="M135" i="56" a="1"/>
  <c r="K135" i="56" a="1"/>
  <c r="K135" i="56" s="1"/>
  <c r="J135" i="56"/>
  <c r="I135" i="56"/>
  <c r="H135" i="56"/>
  <c r="N134" i="56" a="1"/>
  <c r="N134" i="56" s="1"/>
  <c r="M134" i="56" a="1"/>
  <c r="M134" i="56" s="1"/>
  <c r="K134" i="56" a="1"/>
  <c r="K134" i="56" s="1"/>
  <c r="J134" i="56"/>
  <c r="I134" i="56"/>
  <c r="H134" i="56"/>
  <c r="N133" i="56" a="1"/>
  <c r="N133" i="56" s="1"/>
  <c r="M133" i="56" a="1"/>
  <c r="M133" i="56" s="1"/>
  <c r="O133" i="56" s="1"/>
  <c r="K133" i="56" a="1"/>
  <c r="K133" i="56" s="1"/>
  <c r="J133" i="56"/>
  <c r="I133" i="56"/>
  <c r="H133" i="56"/>
  <c r="N132" i="56"/>
  <c r="N132" i="56" a="1"/>
  <c r="M132" i="56" a="1"/>
  <c r="M132" i="56" s="1"/>
  <c r="O132" i="56" s="1"/>
  <c r="K132" i="56" a="1"/>
  <c r="K132" i="56" s="1"/>
  <c r="J132" i="56"/>
  <c r="I132" i="56"/>
  <c r="H132" i="56"/>
  <c r="N131" i="56" a="1"/>
  <c r="N131" i="56" s="1"/>
  <c r="M131" i="56" a="1"/>
  <c r="M131" i="56" s="1"/>
  <c r="O131" i="56" s="1"/>
  <c r="K131" i="56"/>
  <c r="K131" i="56" a="1"/>
  <c r="J131" i="56"/>
  <c r="I131" i="56"/>
  <c r="H131" i="56"/>
  <c r="N130" i="56" a="1"/>
  <c r="N130" i="56" s="1"/>
  <c r="M130" i="56"/>
  <c r="O130" i="56" s="1"/>
  <c r="M130" i="56" a="1"/>
  <c r="K130" i="56" a="1"/>
  <c r="K130" i="56" s="1"/>
  <c r="J130" i="56"/>
  <c r="I130" i="56"/>
  <c r="H130" i="56"/>
  <c r="N129" i="56"/>
  <c r="N129" i="56" a="1"/>
  <c r="M129" i="56" a="1"/>
  <c r="M129" i="56" s="1"/>
  <c r="O129" i="56" s="1"/>
  <c r="K129" i="56" a="1"/>
  <c r="K129" i="56" s="1"/>
  <c r="J129" i="56"/>
  <c r="I129" i="56"/>
  <c r="H129" i="56"/>
  <c r="N128" i="56" a="1"/>
  <c r="N128" i="56" s="1"/>
  <c r="M128" i="56" a="1"/>
  <c r="M128" i="56" s="1"/>
  <c r="K128" i="56"/>
  <c r="K128" i="56" a="1"/>
  <c r="J128" i="56"/>
  <c r="I128" i="56"/>
  <c r="H128" i="56"/>
  <c r="N127" i="56" a="1"/>
  <c r="N127" i="56" s="1"/>
  <c r="O127" i="56" s="1"/>
  <c r="M127" i="56"/>
  <c r="M127" i="56" a="1"/>
  <c r="K127" i="56" a="1"/>
  <c r="K127" i="56" s="1"/>
  <c r="J127" i="56"/>
  <c r="I127" i="56"/>
  <c r="H127" i="56"/>
  <c r="N126" i="56" a="1"/>
  <c r="N126" i="56" s="1"/>
  <c r="M126" i="56" a="1"/>
  <c r="M126" i="56" s="1"/>
  <c r="O126" i="56" s="1"/>
  <c r="K126" i="56" a="1"/>
  <c r="K126" i="56" s="1"/>
  <c r="J126" i="56"/>
  <c r="I126" i="56"/>
  <c r="H126" i="56"/>
  <c r="N125" i="56" a="1"/>
  <c r="N125" i="56" s="1"/>
  <c r="M125" i="56" a="1"/>
  <c r="M125" i="56" s="1"/>
  <c r="K125" i="56" a="1"/>
  <c r="K125" i="56" s="1"/>
  <c r="J125" i="56"/>
  <c r="I125" i="56"/>
  <c r="H125" i="56"/>
  <c r="N124" i="56"/>
  <c r="N124" i="56" a="1"/>
  <c r="M124" i="56" a="1"/>
  <c r="M124" i="56" s="1"/>
  <c r="O124" i="56" s="1"/>
  <c r="K124" i="56" a="1"/>
  <c r="K124" i="56" s="1"/>
  <c r="J124" i="56"/>
  <c r="I124" i="56"/>
  <c r="H124" i="56"/>
  <c r="N123" i="56" a="1"/>
  <c r="N123" i="56" s="1"/>
  <c r="M123" i="56" a="1"/>
  <c r="M123" i="56" s="1"/>
  <c r="O123" i="56" s="1"/>
  <c r="K123" i="56"/>
  <c r="K123" i="56" a="1"/>
  <c r="J123" i="56"/>
  <c r="I123" i="56"/>
  <c r="H123" i="56"/>
  <c r="N122" i="56" a="1"/>
  <c r="N122" i="56" s="1"/>
  <c r="M122" i="56"/>
  <c r="O122" i="56" s="1"/>
  <c r="M122" i="56" a="1"/>
  <c r="K122" i="56" a="1"/>
  <c r="K122" i="56" s="1"/>
  <c r="J122" i="56"/>
  <c r="I122" i="56"/>
  <c r="H122" i="56"/>
  <c r="N121" i="56"/>
  <c r="N121" i="56" a="1"/>
  <c r="M121" i="56" a="1"/>
  <c r="M121" i="56" s="1"/>
  <c r="O121" i="56" s="1"/>
  <c r="K121" i="56" a="1"/>
  <c r="K121" i="56" s="1"/>
  <c r="J121" i="56"/>
  <c r="I121" i="56"/>
  <c r="H121" i="56"/>
  <c r="N120" i="56" a="1"/>
  <c r="N120" i="56" s="1"/>
  <c r="M120" i="56" a="1"/>
  <c r="M120" i="56" s="1"/>
  <c r="O120" i="56" s="1"/>
  <c r="K120" i="56"/>
  <c r="K120" i="56" a="1"/>
  <c r="J120" i="56"/>
  <c r="I120" i="56"/>
  <c r="H120" i="56"/>
  <c r="N119" i="56" a="1"/>
  <c r="N119" i="56" s="1"/>
  <c r="O119" i="56" s="1"/>
  <c r="M119" i="56"/>
  <c r="M119" i="56" a="1"/>
  <c r="K119" i="56" a="1"/>
  <c r="K119" i="56" s="1"/>
  <c r="J119" i="56"/>
  <c r="I119" i="56"/>
  <c r="H119" i="56"/>
  <c r="N118" i="56" a="1"/>
  <c r="N118" i="56" s="1"/>
  <c r="M118" i="56" a="1"/>
  <c r="M118" i="56" s="1"/>
  <c r="O118" i="56" s="1"/>
  <c r="K118" i="56" a="1"/>
  <c r="K118" i="56" s="1"/>
  <c r="J118" i="56"/>
  <c r="I118" i="56"/>
  <c r="H118" i="56"/>
  <c r="N117" i="56" a="1"/>
  <c r="N117" i="56" s="1"/>
  <c r="M117" i="56" a="1"/>
  <c r="M117" i="56" s="1"/>
  <c r="O117" i="56" s="1"/>
  <c r="K117" i="56" a="1"/>
  <c r="K117" i="56" s="1"/>
  <c r="J117" i="56"/>
  <c r="I117" i="56"/>
  <c r="H117" i="56"/>
  <c r="N116" i="56"/>
  <c r="N116" i="56" a="1"/>
  <c r="M116" i="56" a="1"/>
  <c r="M116" i="56" s="1"/>
  <c r="O116" i="56" s="1"/>
  <c r="K116" i="56" a="1"/>
  <c r="K116" i="56" s="1"/>
  <c r="J116" i="56"/>
  <c r="I116" i="56"/>
  <c r="H116" i="56"/>
  <c r="N115" i="56" a="1"/>
  <c r="N115" i="56" s="1"/>
  <c r="M115" i="56" a="1"/>
  <c r="M115" i="56" s="1"/>
  <c r="O115" i="56" s="1"/>
  <c r="K115" i="56"/>
  <c r="K115" i="56" a="1"/>
  <c r="J115" i="56"/>
  <c r="I115" i="56"/>
  <c r="H115" i="56"/>
  <c r="N114" i="56" a="1"/>
  <c r="N114" i="56" s="1"/>
  <c r="M114" i="56"/>
  <c r="M114" i="56" a="1"/>
  <c r="K114" i="56" a="1"/>
  <c r="K114" i="56" s="1"/>
  <c r="J114" i="56"/>
  <c r="I114" i="56"/>
  <c r="H114" i="56"/>
  <c r="N113" i="56"/>
  <c r="N113" i="56" a="1"/>
  <c r="M113" i="56" a="1"/>
  <c r="M113" i="56" s="1"/>
  <c r="O113" i="56" s="1"/>
  <c r="K113" i="56" a="1"/>
  <c r="K113" i="56" s="1"/>
  <c r="J113" i="56"/>
  <c r="I113" i="56"/>
  <c r="H113" i="56"/>
  <c r="N112" i="56" a="1"/>
  <c r="N112" i="56" s="1"/>
  <c r="M112" i="56" a="1"/>
  <c r="M112" i="56" s="1"/>
  <c r="O112" i="56" s="1"/>
  <c r="K112" i="56"/>
  <c r="K112" i="56" a="1"/>
  <c r="J112" i="56"/>
  <c r="I112" i="56"/>
  <c r="H112" i="56"/>
  <c r="N111" i="56" a="1"/>
  <c r="N111" i="56" s="1"/>
  <c r="O111" i="56" s="1"/>
  <c r="M111" i="56"/>
  <c r="M111" i="56" a="1"/>
  <c r="K111" i="56" a="1"/>
  <c r="K111" i="56" s="1"/>
  <c r="J111" i="56"/>
  <c r="I111" i="56"/>
  <c r="H111" i="56"/>
  <c r="N110" i="56" a="1"/>
  <c r="N110" i="56" s="1"/>
  <c r="M110" i="56" a="1"/>
  <c r="M110" i="56" s="1"/>
  <c r="K110" i="56" a="1"/>
  <c r="K110" i="56" s="1"/>
  <c r="J110" i="56"/>
  <c r="I110" i="56"/>
  <c r="H110" i="56"/>
  <c r="J109" i="56"/>
  <c r="I109" i="56"/>
  <c r="J108" i="56"/>
  <c r="I108" i="56"/>
  <c r="J107" i="56"/>
  <c r="I107" i="56"/>
  <c r="J106" i="56"/>
  <c r="I106" i="56"/>
  <c r="J105" i="56"/>
  <c r="I105" i="56"/>
  <c r="J104" i="56"/>
  <c r="I104" i="56"/>
  <c r="J103" i="56"/>
  <c r="I103" i="56"/>
  <c r="J102" i="56"/>
  <c r="I102" i="56"/>
  <c r="J101" i="56"/>
  <c r="I101" i="56"/>
  <c r="J100" i="56"/>
  <c r="I100" i="56"/>
  <c r="J99" i="56"/>
  <c r="I99" i="56"/>
  <c r="J98" i="56"/>
  <c r="I98" i="56"/>
  <c r="J97" i="56"/>
  <c r="I97" i="56"/>
  <c r="J96" i="56"/>
  <c r="I96" i="56"/>
  <c r="J95" i="56"/>
  <c r="I95" i="56"/>
  <c r="J94" i="56"/>
  <c r="I94" i="56"/>
  <c r="J93" i="56"/>
  <c r="I93" i="56"/>
  <c r="J92" i="56"/>
  <c r="I92" i="56"/>
  <c r="J91" i="56"/>
  <c r="I91" i="56"/>
  <c r="J90" i="56"/>
  <c r="I90" i="56"/>
  <c r="J89" i="56"/>
  <c r="I89" i="56"/>
  <c r="J88" i="56"/>
  <c r="I88" i="56"/>
  <c r="J87" i="56"/>
  <c r="I87" i="56"/>
  <c r="J86" i="56"/>
  <c r="I86" i="56"/>
  <c r="J85" i="56"/>
  <c r="I85" i="56"/>
  <c r="J84" i="56"/>
  <c r="I84" i="56"/>
  <c r="J83" i="56"/>
  <c r="I83" i="56"/>
  <c r="J82" i="56"/>
  <c r="I82" i="56"/>
  <c r="J81" i="56"/>
  <c r="I81" i="56"/>
  <c r="J80" i="56"/>
  <c r="I80" i="56"/>
  <c r="J79" i="56"/>
  <c r="I79" i="56"/>
  <c r="J78" i="56"/>
  <c r="I78" i="56"/>
  <c r="J77" i="56"/>
  <c r="I77" i="56"/>
  <c r="J76" i="56"/>
  <c r="I76" i="56"/>
  <c r="J75" i="56"/>
  <c r="I75" i="56"/>
  <c r="J74" i="56"/>
  <c r="I74" i="56"/>
  <c r="J73" i="56"/>
  <c r="I73" i="56"/>
  <c r="J72" i="56"/>
  <c r="I72" i="56"/>
  <c r="J71" i="56"/>
  <c r="I71" i="56"/>
  <c r="J70" i="56"/>
  <c r="I70" i="56"/>
  <c r="J69" i="56"/>
  <c r="I69" i="56"/>
  <c r="J68" i="56"/>
  <c r="I68" i="56"/>
  <c r="J67" i="56"/>
  <c r="I67" i="56"/>
  <c r="J66" i="56"/>
  <c r="I66" i="56"/>
  <c r="J65" i="56"/>
  <c r="I65" i="56"/>
  <c r="J64" i="56"/>
  <c r="I64" i="56"/>
  <c r="J63" i="56"/>
  <c r="I63" i="56"/>
  <c r="J62" i="56"/>
  <c r="I62" i="56"/>
  <c r="J61" i="56"/>
  <c r="I61" i="56"/>
  <c r="J60" i="56"/>
  <c r="I60" i="56"/>
  <c r="J59" i="56"/>
  <c r="I59" i="56"/>
  <c r="J58" i="56"/>
  <c r="I58" i="56"/>
  <c r="J57" i="56"/>
  <c r="I57" i="56"/>
  <c r="J56" i="56"/>
  <c r="I56" i="56"/>
  <c r="J55" i="56"/>
  <c r="I55" i="56"/>
  <c r="J54" i="56"/>
  <c r="I54" i="56"/>
  <c r="J53" i="56"/>
  <c r="I53" i="56"/>
  <c r="J52" i="56"/>
  <c r="I52" i="56"/>
  <c r="J51" i="56"/>
  <c r="I51" i="56"/>
  <c r="J50" i="56"/>
  <c r="I50" i="56"/>
  <c r="J49" i="56"/>
  <c r="I49" i="56"/>
  <c r="J48" i="56"/>
  <c r="I48" i="56"/>
  <c r="J47" i="56"/>
  <c r="I47" i="56"/>
  <c r="J46" i="56"/>
  <c r="I46" i="56"/>
  <c r="J45" i="56"/>
  <c r="I45" i="56"/>
  <c r="J44" i="56"/>
  <c r="I44" i="56"/>
  <c r="J43" i="56"/>
  <c r="I43" i="56"/>
  <c r="J42" i="56"/>
  <c r="I42" i="56"/>
  <c r="J41" i="56"/>
  <c r="I41" i="56"/>
  <c r="J40" i="56"/>
  <c r="I40" i="56"/>
  <c r="J39" i="56"/>
  <c r="I39" i="56"/>
  <c r="J38" i="56"/>
  <c r="I38" i="56"/>
  <c r="J37" i="56"/>
  <c r="I37" i="56"/>
  <c r="J36" i="56"/>
  <c r="I36" i="56"/>
  <c r="J35" i="56"/>
  <c r="I35" i="56"/>
  <c r="J34" i="56"/>
  <c r="I34" i="56"/>
  <c r="J33" i="56"/>
  <c r="I33" i="56"/>
  <c r="J32" i="56"/>
  <c r="I32" i="56"/>
  <c r="J31" i="56"/>
  <c r="I31" i="56"/>
  <c r="J30" i="56"/>
  <c r="I30" i="56"/>
  <c r="J29" i="56"/>
  <c r="I29" i="56"/>
  <c r="J28" i="56"/>
  <c r="I28" i="56"/>
  <c r="J27" i="56"/>
  <c r="I27" i="56"/>
  <c r="J26" i="56"/>
  <c r="I26" i="56"/>
  <c r="J25" i="56"/>
  <c r="I25" i="56"/>
  <c r="J24" i="56"/>
  <c r="I24" i="56"/>
  <c r="J23" i="56"/>
  <c r="I23" i="56"/>
  <c r="J22" i="56"/>
  <c r="I22" i="56"/>
  <c r="J21" i="56"/>
  <c r="I21" i="56"/>
  <c r="J20" i="56"/>
  <c r="I20" i="56"/>
  <c r="J19" i="56"/>
  <c r="I19" i="56"/>
  <c r="J18" i="56"/>
  <c r="I18" i="56"/>
  <c r="J17" i="56"/>
  <c r="I17" i="56"/>
  <c r="J16" i="56"/>
  <c r="I16" i="56"/>
  <c r="J15" i="56"/>
  <c r="I15" i="56"/>
  <c r="J14" i="56"/>
  <c r="I14" i="56"/>
  <c r="J13" i="56"/>
  <c r="I13" i="56"/>
  <c r="J12" i="56"/>
  <c r="I12" i="56"/>
  <c r="J11" i="56"/>
  <c r="I11" i="56"/>
  <c r="J10" i="56"/>
  <c r="I10" i="56"/>
  <c r="J9" i="56"/>
  <c r="I9" i="56"/>
  <c r="J8" i="56"/>
  <c r="I8" i="56"/>
  <c r="J7" i="56"/>
  <c r="I7" i="56"/>
  <c r="J6" i="56"/>
  <c r="I6" i="56"/>
  <c r="J5" i="56"/>
  <c r="I5" i="56"/>
  <c r="J4" i="56"/>
  <c r="I4" i="56"/>
  <c r="J3" i="56"/>
  <c r="I3" i="56"/>
  <c r="N2" i="56" a="1"/>
  <c r="N2" i="56" s="1"/>
  <c r="M2" i="56" a="1"/>
  <c r="M2" i="56" s="1"/>
  <c r="O2" i="56" s="1"/>
  <c r="J2" i="56"/>
  <c r="I2" i="56"/>
  <c r="E11" i="53"/>
  <c r="E3" i="53"/>
  <c r="E4" i="53"/>
  <c r="K52" i="50" a="1"/>
  <c r="K52" i="50" s="1"/>
  <c r="K77" i="50" a="1"/>
  <c r="K77" i="50" s="1"/>
  <c r="K127" i="50" a="1"/>
  <c r="K127" i="50" s="1"/>
  <c r="K152" i="50" a="1"/>
  <c r="K152" i="50" s="1"/>
  <c r="K177" i="50" a="1"/>
  <c r="K177" i="50" s="1"/>
  <c r="K27" i="50" a="1"/>
  <c r="K27" i="50" s="1"/>
  <c r="K352" i="50" a="1"/>
  <c r="K352" i="50" s="1"/>
  <c r="K302" i="50" a="1"/>
  <c r="K302" i="50" s="1"/>
  <c r="K327" i="50" a="1"/>
  <c r="K327" i="50" s="1"/>
  <c r="K377" i="50" a="1"/>
  <c r="K377" i="50" s="1"/>
  <c r="K402" i="50" a="1"/>
  <c r="K402" i="50" s="1"/>
  <c r="K427" i="50" a="1"/>
  <c r="K427" i="50" s="1"/>
  <c r="K252" i="50" a="1"/>
  <c r="K252" i="50" s="1"/>
  <c r="K202" i="50" a="1"/>
  <c r="K202" i="50" s="1"/>
  <c r="K227" i="50" a="1"/>
  <c r="K227" i="50" s="1"/>
  <c r="K6" i="50" a="1"/>
  <c r="K6" i="50" s="1"/>
  <c r="K56" i="50" a="1"/>
  <c r="K56" i="50" s="1"/>
  <c r="K81" i="50" a="1"/>
  <c r="K81" i="50" s="1"/>
  <c r="K131" i="50" a="1"/>
  <c r="K131" i="50" s="1"/>
  <c r="K156" i="50" a="1"/>
  <c r="K156" i="50" s="1"/>
  <c r="K181" i="50" a="1"/>
  <c r="K181" i="50" s="1"/>
  <c r="K31" i="50" a="1"/>
  <c r="K31" i="50" s="1"/>
  <c r="K356" i="50" a="1"/>
  <c r="K356" i="50" s="1"/>
  <c r="K306" i="50" a="1"/>
  <c r="K306" i="50" s="1"/>
  <c r="K331" i="50" a="1"/>
  <c r="K331" i="50" s="1"/>
  <c r="K381" i="50" a="1"/>
  <c r="K381" i="50" s="1"/>
  <c r="K406" i="50" a="1"/>
  <c r="K406" i="50" s="1"/>
  <c r="K431" i="50" a="1"/>
  <c r="K431" i="50" s="1"/>
  <c r="K256" i="50" a="1"/>
  <c r="K256" i="50" s="1"/>
  <c r="K206" i="50" a="1"/>
  <c r="K206" i="50" s="1"/>
  <c r="K231" i="50" a="1"/>
  <c r="K231" i="50" s="1"/>
  <c r="K2" i="50" a="1"/>
  <c r="K2" i="50" s="1"/>
  <c r="O114" i="56" l="1"/>
  <c r="O128" i="56"/>
  <c r="O134" i="56"/>
  <c r="O110" i="56"/>
  <c r="O125" i="56"/>
  <c r="O138" i="56"/>
  <c r="H2" i="50" l="1"/>
  <c r="A44" i="52"/>
  <c r="A43" i="52"/>
  <c r="A42" i="52"/>
  <c r="A45" i="52"/>
  <c r="A46" i="52"/>
  <c r="A47" i="52"/>
  <c r="A48" i="52"/>
  <c r="A49" i="52"/>
  <c r="A50" i="52"/>
  <c r="A53" i="52"/>
  <c r="A54" i="52"/>
  <c r="A55" i="52"/>
  <c r="A56" i="52"/>
  <c r="A57" i="52"/>
  <c r="A58" i="52"/>
  <c r="A59" i="52"/>
  <c r="A60" i="52"/>
  <c r="A61" i="52"/>
  <c r="A62" i="52"/>
  <c r="A63" i="52"/>
  <c r="A64" i="52"/>
  <c r="A65" i="52"/>
  <c r="A66" i="52"/>
  <c r="A67" i="52"/>
  <c r="A68" i="52"/>
  <c r="A69" i="52"/>
  <c r="A70" i="52"/>
  <c r="A71" i="52"/>
  <c r="A72" i="52"/>
  <c r="A73" i="52"/>
  <c r="A74" i="52"/>
  <c r="A75" i="52"/>
  <c r="A77" i="52"/>
  <c r="A78" i="52"/>
  <c r="A79" i="52"/>
  <c r="A80" i="52"/>
  <c r="A81" i="52"/>
  <c r="A82" i="52"/>
  <c r="A83" i="52"/>
  <c r="H52" i="50"/>
  <c r="H77" i="50"/>
  <c r="H127" i="50"/>
  <c r="H152" i="50"/>
  <c r="H177" i="50"/>
  <c r="H27" i="50"/>
  <c r="H352" i="50"/>
  <c r="H302" i="50"/>
  <c r="H327" i="50"/>
  <c r="H377" i="50"/>
  <c r="H402" i="50"/>
  <c r="H427" i="50"/>
  <c r="H252" i="50"/>
  <c r="H202" i="50"/>
  <c r="H227" i="50"/>
  <c r="H6" i="50"/>
  <c r="H56" i="50"/>
  <c r="H81" i="50"/>
  <c r="H131" i="50"/>
  <c r="H156" i="50"/>
  <c r="H181" i="50"/>
  <c r="H31" i="50"/>
  <c r="H356" i="50"/>
  <c r="H306" i="50"/>
  <c r="H331" i="50"/>
  <c r="H381" i="50"/>
  <c r="H406" i="50"/>
  <c r="H431" i="50"/>
  <c r="H256" i="50"/>
  <c r="H206" i="50"/>
  <c r="H231" i="50"/>
  <c r="I52" i="50"/>
  <c r="I77" i="50"/>
  <c r="I127" i="50"/>
  <c r="I152" i="50"/>
  <c r="I177" i="50"/>
  <c r="I27" i="50"/>
  <c r="I352" i="50"/>
  <c r="I302" i="50"/>
  <c r="I327" i="50"/>
  <c r="I377" i="50"/>
  <c r="I402" i="50"/>
  <c r="I427" i="50"/>
  <c r="I252" i="50"/>
  <c r="I202" i="50"/>
  <c r="I227" i="50"/>
  <c r="I6" i="50"/>
  <c r="I56" i="50"/>
  <c r="I81" i="50"/>
  <c r="I131" i="50"/>
  <c r="I156" i="50"/>
  <c r="I181" i="50"/>
  <c r="I31" i="50"/>
  <c r="I356" i="50"/>
  <c r="I306" i="50"/>
  <c r="I331" i="50"/>
  <c r="I381" i="50"/>
  <c r="I406" i="50"/>
  <c r="I431" i="50"/>
  <c r="I256" i="50"/>
  <c r="I206" i="50"/>
  <c r="I231" i="50"/>
  <c r="I2" i="50"/>
  <c r="M231" i="50" a="1"/>
  <c r="M231" i="50" s="1"/>
  <c r="M206" i="50" a="1"/>
  <c r="M206" i="50" s="1"/>
  <c r="M256" i="50" a="1"/>
  <c r="M256" i="50" s="1"/>
  <c r="M431" i="50" a="1"/>
  <c r="M431" i="50" s="1"/>
  <c r="M406" i="50" a="1"/>
  <c r="M406" i="50" s="1"/>
  <c r="M381" i="50" a="1"/>
  <c r="M381" i="50" s="1"/>
  <c r="M331" i="50" a="1"/>
  <c r="M331" i="50" s="1"/>
  <c r="M306" i="50" a="1"/>
  <c r="M306" i="50" s="1"/>
  <c r="M356" i="50" a="1"/>
  <c r="M356" i="50" s="1"/>
  <c r="M31" i="50" a="1"/>
  <c r="M31" i="50" s="1"/>
  <c r="M181" i="50" a="1"/>
  <c r="M181" i="50" s="1"/>
  <c r="M156" i="50" a="1"/>
  <c r="M156" i="50" s="1"/>
  <c r="M131" i="50" a="1"/>
  <c r="M131" i="50" s="1"/>
  <c r="M81" i="50" a="1"/>
  <c r="M81" i="50" s="1"/>
  <c r="M56" i="50" a="1"/>
  <c r="M56" i="50" s="1"/>
  <c r="M6" i="50" a="1"/>
  <c r="M6" i="50" s="1"/>
  <c r="M227" i="50" a="1"/>
  <c r="M227" i="50" s="1"/>
  <c r="M202" i="50" a="1"/>
  <c r="M202" i="50" s="1"/>
  <c r="M252" i="50" a="1"/>
  <c r="M252" i="50" s="1"/>
  <c r="M427" i="50" a="1"/>
  <c r="M427" i="50" s="1"/>
  <c r="M402" i="50" a="1"/>
  <c r="M402" i="50" s="1"/>
  <c r="M377" i="50" a="1"/>
  <c r="M377" i="50" s="1"/>
  <c r="M327" i="50" a="1"/>
  <c r="M327" i="50" s="1"/>
  <c r="M302" i="50" a="1"/>
  <c r="M302" i="50" s="1"/>
  <c r="M352" i="50" a="1"/>
  <c r="M352" i="50" s="1"/>
  <c r="M27" i="50" a="1"/>
  <c r="M27" i="50" s="1"/>
  <c r="M177" i="50" a="1"/>
  <c r="M177" i="50" s="1"/>
  <c r="M152" i="50" a="1"/>
  <c r="M152" i="50" s="1"/>
  <c r="M127" i="50" a="1"/>
  <c r="M127" i="50" s="1"/>
  <c r="M77" i="50" a="1"/>
  <c r="M77" i="50" s="1"/>
  <c r="M52" i="50" a="1"/>
  <c r="M52" i="50" s="1"/>
  <c r="M2" i="50" a="1"/>
  <c r="M2" i="50" s="1"/>
  <c r="J31" i="50"/>
  <c r="J356" i="50"/>
  <c r="J306" i="50"/>
  <c r="J331" i="50"/>
  <c r="J381" i="50"/>
  <c r="D155" i="41"/>
  <c r="D156" i="41"/>
  <c r="D157" i="41"/>
  <c r="D158" i="41"/>
  <c r="D159" i="41"/>
  <c r="D160" i="41"/>
  <c r="D161" i="41"/>
  <c r="D162" i="41"/>
  <c r="D163" i="41"/>
  <c r="D164" i="41"/>
  <c r="D165" i="41"/>
  <c r="D166" i="41"/>
  <c r="D167" i="41"/>
  <c r="D168" i="41"/>
  <c r="D169" i="41"/>
  <c r="F155" i="41"/>
  <c r="F156" i="41"/>
  <c r="F157" i="41"/>
  <c r="F158" i="41"/>
  <c r="F159" i="41"/>
  <c r="F160" i="41"/>
  <c r="F161" i="41"/>
  <c r="F162" i="41"/>
  <c r="F163" i="41"/>
  <c r="F164" i="41"/>
  <c r="F165" i="41"/>
  <c r="F166" i="41"/>
  <c r="F167" i="41"/>
  <c r="F168" i="41"/>
  <c r="F169" i="41"/>
  <c r="E155" i="41"/>
  <c r="E156" i="41"/>
  <c r="E157" i="41"/>
  <c r="E158" i="41"/>
  <c r="E159" i="41"/>
  <c r="E160" i="41"/>
  <c r="E161" i="41"/>
  <c r="E162" i="41"/>
  <c r="E163" i="41"/>
  <c r="E164" i="41"/>
  <c r="E165" i="41"/>
  <c r="E166" i="41"/>
  <c r="E167" i="41"/>
  <c r="E168" i="41"/>
  <c r="E169" i="41"/>
  <c r="L494" i="50" l="1"/>
  <c r="L476" i="50"/>
  <c r="L482" i="50"/>
  <c r="L464" i="50"/>
  <c r="L500" i="50"/>
  <c r="L455" i="50"/>
  <c r="L470" i="50"/>
  <c r="L488" i="50"/>
  <c r="L452" i="50"/>
  <c r="L484" i="50"/>
  <c r="L497" i="50"/>
  <c r="L460" i="50"/>
  <c r="L467" i="50"/>
  <c r="L480" i="50"/>
  <c r="L478" i="50"/>
  <c r="L490" i="50"/>
  <c r="L496" i="50"/>
  <c r="L456" i="50"/>
  <c r="L466" i="50"/>
  <c r="L485" i="50"/>
  <c r="L477" i="50"/>
  <c r="L493" i="50"/>
  <c r="L463" i="50"/>
  <c r="L486" i="50"/>
  <c r="L479" i="50"/>
  <c r="L475" i="50"/>
  <c r="L499" i="50"/>
  <c r="L461" i="50"/>
  <c r="L458" i="50"/>
  <c r="L453" i="50"/>
  <c r="L501" i="50"/>
  <c r="L498" i="50"/>
  <c r="L495" i="50"/>
  <c r="L471" i="50"/>
  <c r="L491" i="50"/>
  <c r="L468" i="50"/>
  <c r="L492" i="50"/>
  <c r="L489" i="50"/>
  <c r="L465" i="50"/>
  <c r="L472" i="50"/>
  <c r="L454" i="50"/>
  <c r="L483" i="50"/>
  <c r="L474" i="50"/>
  <c r="L487" i="50"/>
  <c r="L459" i="50"/>
  <c r="L462" i="50"/>
  <c r="L473" i="50"/>
  <c r="L469" i="50"/>
  <c r="L457" i="50"/>
  <c r="L481" i="50"/>
  <c r="L112" i="50"/>
  <c r="L121" i="50"/>
  <c r="L111" i="50"/>
  <c r="L124" i="50"/>
  <c r="L103" i="50"/>
  <c r="L102" i="50"/>
  <c r="L122" i="50"/>
  <c r="L116" i="50"/>
  <c r="L104" i="50"/>
  <c r="L120" i="50"/>
  <c r="L119" i="50"/>
  <c r="L113" i="50"/>
  <c r="L109" i="50"/>
  <c r="L108" i="50"/>
  <c r="L106" i="50"/>
  <c r="L117" i="50"/>
  <c r="L110" i="50"/>
  <c r="L107" i="50"/>
  <c r="L126" i="50"/>
  <c r="L115" i="50"/>
  <c r="L123" i="50"/>
  <c r="L105" i="50"/>
  <c r="L114" i="50"/>
  <c r="L118" i="50"/>
  <c r="L125" i="50"/>
  <c r="L68" i="50"/>
  <c r="L267" i="50"/>
  <c r="L367" i="50"/>
  <c r="L192" i="50"/>
  <c r="L194" i="50"/>
  <c r="L420" i="50"/>
  <c r="L43" i="50"/>
  <c r="L143" i="50"/>
  <c r="L195" i="50"/>
  <c r="L319" i="50"/>
  <c r="L421" i="50"/>
  <c r="L93" i="50"/>
  <c r="L294" i="50"/>
  <c r="L96" i="50"/>
  <c r="L18" i="50"/>
  <c r="L69" i="50"/>
  <c r="L318" i="50"/>
  <c r="L145" i="50"/>
  <c r="L42" i="50"/>
  <c r="L70" i="50"/>
  <c r="L144" i="50"/>
  <c r="L393" i="50"/>
  <c r="L218" i="50"/>
  <c r="L95" i="50"/>
  <c r="L445" i="50"/>
  <c r="L292" i="50"/>
  <c r="L221" i="50"/>
  <c r="L343" i="50"/>
  <c r="L171" i="50"/>
  <c r="L44" i="50"/>
  <c r="L370" i="50"/>
  <c r="L371" i="50"/>
  <c r="L71" i="50"/>
  <c r="L17" i="50"/>
  <c r="L220" i="50"/>
  <c r="L369" i="50"/>
  <c r="L269" i="50"/>
  <c r="L245" i="50"/>
  <c r="L268" i="50"/>
  <c r="L20" i="50"/>
  <c r="L345" i="50"/>
  <c r="L167" i="50"/>
  <c r="L396" i="50"/>
  <c r="L45" i="50"/>
  <c r="L168" i="50"/>
  <c r="L368" i="50"/>
  <c r="L321" i="50"/>
  <c r="L419" i="50"/>
  <c r="L270" i="50"/>
  <c r="L246" i="50"/>
  <c r="L317" i="50"/>
  <c r="L342" i="50"/>
  <c r="L217" i="50"/>
  <c r="L444" i="50"/>
  <c r="L446" i="50"/>
  <c r="L219" i="50"/>
  <c r="L344" i="50"/>
  <c r="L170" i="50"/>
  <c r="L243" i="50"/>
  <c r="L244" i="50"/>
  <c r="L67" i="50"/>
  <c r="L295" i="50"/>
  <c r="L442" i="50"/>
  <c r="L92" i="50"/>
  <c r="L94" i="50"/>
  <c r="L392" i="50"/>
  <c r="L296" i="50"/>
  <c r="L242" i="50"/>
  <c r="L193" i="50"/>
  <c r="L169" i="50"/>
  <c r="L443" i="50"/>
  <c r="L346" i="50"/>
  <c r="L271" i="50"/>
  <c r="L142" i="50"/>
  <c r="L418" i="50"/>
  <c r="L146" i="50"/>
  <c r="L293" i="50"/>
  <c r="L196" i="50"/>
  <c r="L320" i="50"/>
  <c r="L394" i="50"/>
  <c r="L21" i="50"/>
  <c r="L19" i="50"/>
  <c r="L395" i="50"/>
  <c r="L46" i="50"/>
  <c r="L417" i="50"/>
  <c r="L331" i="50"/>
  <c r="L56" i="50"/>
  <c r="L327" i="50"/>
  <c r="L52" i="50"/>
  <c r="L90" i="50"/>
  <c r="L149" i="50"/>
  <c r="L120" i="56"/>
  <c r="L100" i="50"/>
  <c r="L390" i="50"/>
  <c r="L142" i="56"/>
  <c r="L128" i="56"/>
  <c r="L136" i="56"/>
  <c r="L112" i="56"/>
  <c r="L140" i="56"/>
  <c r="L286" i="50"/>
  <c r="L166" i="50"/>
  <c r="L282" i="50"/>
  <c r="L36" i="50"/>
  <c r="L40" i="50"/>
  <c r="L334" i="50"/>
  <c r="L188" i="50"/>
  <c r="L248" i="50"/>
  <c r="L123" i="56"/>
  <c r="L209" i="50"/>
  <c r="L214" i="50"/>
  <c r="L449" i="50"/>
  <c r="L133" i="56"/>
  <c r="L310" i="50"/>
  <c r="L273" i="50"/>
  <c r="L113" i="56"/>
  <c r="L187" i="50"/>
  <c r="L272" i="50"/>
  <c r="L126" i="56"/>
  <c r="L260" i="50"/>
  <c r="L140" i="50"/>
  <c r="L351" i="50"/>
  <c r="L86" i="50"/>
  <c r="L247" i="50"/>
  <c r="L249" i="50"/>
  <c r="L201" i="50"/>
  <c r="L274" i="50"/>
  <c r="L376" i="50"/>
  <c r="L41" i="50"/>
  <c r="L387" i="50"/>
  <c r="L232" i="50"/>
  <c r="L259" i="50"/>
  <c r="L285" i="50"/>
  <c r="L133" i="50"/>
  <c r="L304" i="50"/>
  <c r="L128" i="50"/>
  <c r="L355" i="50"/>
  <c r="L55" i="50"/>
  <c r="L305" i="50"/>
  <c r="L79" i="50"/>
  <c r="L403" i="50"/>
  <c r="L110" i="56"/>
  <c r="L337" i="50"/>
  <c r="L391" i="50"/>
  <c r="L132" i="50"/>
  <c r="L287" i="50"/>
  <c r="L341" i="50"/>
  <c r="L135" i="50"/>
  <c r="L263" i="50"/>
  <c r="L425" i="50"/>
  <c r="L129" i="56"/>
  <c r="L85" i="50"/>
  <c r="L190" i="50"/>
  <c r="L150" i="50"/>
  <c r="L32" i="50"/>
  <c r="L174" i="50"/>
  <c r="L125" i="56"/>
  <c r="L412" i="50"/>
  <c r="L423" i="50"/>
  <c r="L138" i="56"/>
  <c r="L161" i="50"/>
  <c r="L315" i="50"/>
  <c r="L451" i="50"/>
  <c r="L336" i="50"/>
  <c r="L275" i="50"/>
  <c r="L374" i="50"/>
  <c r="L51" i="50"/>
  <c r="L37" i="50"/>
  <c r="L75" i="50"/>
  <c r="L389" i="50"/>
  <c r="L66" i="50"/>
  <c r="L87" i="50"/>
  <c r="L38" i="50"/>
  <c r="L58" i="50"/>
  <c r="L61" i="50"/>
  <c r="L160" i="50"/>
  <c r="L384" i="50"/>
  <c r="L311" i="50"/>
  <c r="L153" i="50"/>
  <c r="L405" i="50"/>
  <c r="L329" i="50"/>
  <c r="L4" i="50"/>
  <c r="L3" i="50"/>
  <c r="L114" i="56"/>
  <c r="L237" i="50"/>
  <c r="L241" i="50"/>
  <c r="L357" i="50"/>
  <c r="L437" i="50"/>
  <c r="L198" i="50"/>
  <c r="L210" i="50"/>
  <c r="L290" i="50"/>
  <c r="L141" i="56"/>
  <c r="L435" i="50"/>
  <c r="L291" i="50"/>
  <c r="L350" i="50"/>
  <c r="L307" i="50"/>
  <c r="L49" i="50"/>
  <c r="L262" i="50"/>
  <c r="L424" i="50"/>
  <c r="L182" i="50"/>
  <c r="L191" i="50"/>
  <c r="L183" i="50"/>
  <c r="L397" i="50"/>
  <c r="L298" i="50"/>
  <c r="L99" i="50"/>
  <c r="L338" i="50"/>
  <c r="L288" i="50"/>
  <c r="L84" i="50"/>
  <c r="L136" i="50"/>
  <c r="L7" i="50"/>
  <c r="L360" i="50"/>
  <c r="L53" i="50"/>
  <c r="L428" i="50"/>
  <c r="L430" i="50"/>
  <c r="L229" i="50"/>
  <c r="L278" i="50"/>
  <c r="L404" i="50"/>
  <c r="L332" i="50"/>
  <c r="L363" i="50"/>
  <c r="L147" i="50"/>
  <c r="L158" i="50"/>
  <c r="L13" i="50"/>
  <c r="L224" i="50"/>
  <c r="L11" i="50"/>
  <c r="L165" i="50"/>
  <c r="L426" i="50"/>
  <c r="L143" i="56"/>
  <c r="L62" i="50"/>
  <c r="L366" i="50"/>
  <c r="L250" i="50"/>
  <c r="L432" i="50"/>
  <c r="L364" i="50"/>
  <c r="L399" i="50"/>
  <c r="L57" i="50"/>
  <c r="L88" i="50"/>
  <c r="L375" i="50"/>
  <c r="L9" i="50"/>
  <c r="L313" i="50"/>
  <c r="L197" i="50"/>
  <c r="L333" i="50"/>
  <c r="L63" i="50"/>
  <c r="L24" i="50"/>
  <c r="L175" i="50"/>
  <c r="L297" i="50"/>
  <c r="L148" i="50"/>
  <c r="L324" i="50"/>
  <c r="L340" i="50"/>
  <c r="L162" i="50"/>
  <c r="L64" i="50"/>
  <c r="L189" i="50"/>
  <c r="L365" i="50"/>
  <c r="L184" i="50"/>
  <c r="L132" i="56"/>
  <c r="L301" i="50"/>
  <c r="L212" i="50"/>
  <c r="L134" i="56"/>
  <c r="L236" i="50"/>
  <c r="L137" i="50"/>
  <c r="L151" i="50"/>
  <c r="L22" i="50"/>
  <c r="L407" i="50"/>
  <c r="L372" i="50"/>
  <c r="L139" i="50"/>
  <c r="L186" i="50"/>
  <c r="L251" i="50"/>
  <c r="L163" i="50"/>
  <c r="L276" i="50"/>
  <c r="L415" i="50"/>
  <c r="L157" i="50"/>
  <c r="L176" i="50"/>
  <c r="L213" i="50"/>
  <c r="L208" i="50"/>
  <c r="L450" i="50"/>
  <c r="L48" i="50"/>
  <c r="L12" i="50"/>
  <c r="L141" i="50"/>
  <c r="L359" i="50"/>
  <c r="L80" i="50"/>
  <c r="L154" i="50"/>
  <c r="L130" i="50"/>
  <c r="L54" i="50"/>
  <c r="L353" i="50"/>
  <c r="L284" i="50"/>
  <c r="L73" i="50"/>
  <c r="L413" i="50"/>
  <c r="L97" i="50"/>
  <c r="L25" i="50"/>
  <c r="L91" i="50"/>
  <c r="L283" i="50"/>
  <c r="L322" i="50"/>
  <c r="L358" i="50"/>
  <c r="L400" i="50"/>
  <c r="L439" i="50"/>
  <c r="L34" i="50"/>
  <c r="L98" i="50"/>
  <c r="L238" i="50"/>
  <c r="L447" i="50"/>
  <c r="L26" i="50"/>
  <c r="L74" i="50"/>
  <c r="L349" i="50"/>
  <c r="L416" i="50"/>
  <c r="L33" i="50"/>
  <c r="L261" i="50"/>
  <c r="L281" i="50"/>
  <c r="L203" i="50"/>
  <c r="L379" i="50"/>
  <c r="L378" i="50"/>
  <c r="L135" i="56"/>
  <c r="L440" i="50"/>
  <c r="L385" i="50"/>
  <c r="L258" i="50"/>
  <c r="L23" i="50"/>
  <c r="L408" i="50"/>
  <c r="L222" i="50"/>
  <c r="L433" i="50"/>
  <c r="L401" i="50"/>
  <c r="L16" i="50"/>
  <c r="L409" i="50"/>
  <c r="L373" i="50"/>
  <c r="L216" i="50"/>
  <c r="L348" i="50"/>
  <c r="L347" i="50"/>
  <c r="L335" i="50"/>
  <c r="L411" i="50"/>
  <c r="L382" i="50"/>
  <c r="L280" i="50"/>
  <c r="L204" i="50"/>
  <c r="L129" i="50"/>
  <c r="L130" i="56"/>
  <c r="L235" i="50"/>
  <c r="L134" i="50"/>
  <c r="L434" i="50"/>
  <c r="L131" i="56"/>
  <c r="L448" i="50"/>
  <c r="L76" i="50"/>
  <c r="L15" i="50"/>
  <c r="L59" i="50"/>
  <c r="L380" i="50"/>
  <c r="L30" i="50"/>
  <c r="L253" i="50"/>
  <c r="L8" i="50"/>
  <c r="L101" i="50"/>
  <c r="L339" i="50"/>
  <c r="L361" i="50"/>
  <c r="L118" i="56"/>
  <c r="L388" i="50"/>
  <c r="L226" i="50"/>
  <c r="L240" i="50"/>
  <c r="L257" i="50"/>
  <c r="L326" i="50"/>
  <c r="L39" i="50"/>
  <c r="L234" i="50"/>
  <c r="L225" i="50"/>
  <c r="L323" i="50"/>
  <c r="L35" i="50"/>
  <c r="L155" i="50"/>
  <c r="L429" i="50"/>
  <c r="L330" i="50"/>
  <c r="L303" i="50"/>
  <c r="L254" i="50"/>
  <c r="L328" i="50"/>
  <c r="L383" i="50"/>
  <c r="L124" i="56"/>
  <c r="L264" i="50"/>
  <c r="L436" i="50"/>
  <c r="L116" i="56"/>
  <c r="L438" i="50"/>
  <c r="L115" i="56"/>
  <c r="L72" i="50"/>
  <c r="L386" i="50"/>
  <c r="L119" i="56"/>
  <c r="L414" i="50"/>
  <c r="L60" i="50"/>
  <c r="L50" i="50"/>
  <c r="L223" i="50"/>
  <c r="L362" i="50"/>
  <c r="L127" i="56"/>
  <c r="L185" i="50"/>
  <c r="L139" i="56"/>
  <c r="L239" i="50"/>
  <c r="L312" i="50"/>
  <c r="L111" i="56"/>
  <c r="L289" i="50"/>
  <c r="L121" i="56"/>
  <c r="L47" i="50"/>
  <c r="L211" i="50"/>
  <c r="L117" i="56"/>
  <c r="L65" i="50"/>
  <c r="L410" i="50"/>
  <c r="L199" i="50"/>
  <c r="L299" i="50"/>
  <c r="L300" i="50"/>
  <c r="L138" i="50"/>
  <c r="L255" i="50"/>
  <c r="L180" i="50"/>
  <c r="L179" i="50"/>
  <c r="L164" i="50"/>
  <c r="L159" i="50"/>
  <c r="L200" i="50"/>
  <c r="L265" i="50"/>
  <c r="L207" i="50"/>
  <c r="L266" i="50"/>
  <c r="L83" i="50"/>
  <c r="L325" i="50"/>
  <c r="L14" i="50"/>
  <c r="L308" i="50"/>
  <c r="L277" i="50"/>
  <c r="L230" i="50"/>
  <c r="L205" i="50"/>
  <c r="L29" i="50"/>
  <c r="L122" i="56"/>
  <c r="L354" i="50"/>
  <c r="L5" i="50"/>
  <c r="L228" i="50"/>
  <c r="L28" i="50"/>
  <c r="L215" i="50"/>
  <c r="L233" i="50"/>
  <c r="L398" i="50"/>
  <c r="L173" i="50"/>
  <c r="L441" i="50"/>
  <c r="L10" i="50"/>
  <c r="L422" i="50"/>
  <c r="L316" i="50"/>
  <c r="L82" i="50"/>
  <c r="L279" i="50"/>
  <c r="L78" i="50"/>
  <c r="L144" i="56"/>
  <c r="L172" i="50"/>
  <c r="L89" i="50"/>
  <c r="L178" i="50"/>
  <c r="L314" i="50"/>
  <c r="L309" i="50"/>
  <c r="L137" i="56"/>
  <c r="L306" i="50"/>
  <c r="L6" i="50"/>
  <c r="L302" i="50"/>
  <c r="L2" i="50"/>
  <c r="L231" i="50"/>
  <c r="L356" i="50"/>
  <c r="L227" i="50"/>
  <c r="L352" i="50"/>
  <c r="L206" i="50"/>
  <c r="L31" i="50"/>
  <c r="L202" i="50"/>
  <c r="L27" i="50"/>
  <c r="L256" i="50"/>
  <c r="L181" i="50"/>
  <c r="L252" i="50"/>
  <c r="L177" i="50"/>
  <c r="L431" i="50"/>
  <c r="L156" i="50"/>
  <c r="L427" i="50"/>
  <c r="L152" i="50"/>
  <c r="L406" i="50"/>
  <c r="L131" i="50"/>
  <c r="L402" i="50"/>
  <c r="L127" i="50"/>
  <c r="L381" i="50"/>
  <c r="L81" i="50"/>
  <c r="L377" i="50"/>
  <c r="L77" i="50"/>
  <c r="J406" i="50" l="1"/>
  <c r="J431" i="50"/>
  <c r="J256" i="50"/>
  <c r="J206" i="50"/>
  <c r="J231" i="50"/>
  <c r="J181" i="50"/>
  <c r="J156" i="50"/>
  <c r="J131" i="50"/>
  <c r="J81" i="50"/>
  <c r="J56" i="50"/>
  <c r="J6" i="50"/>
  <c r="J227" i="50"/>
  <c r="J202" i="50"/>
  <c r="J252" i="50"/>
  <c r="J427" i="50"/>
  <c r="J402" i="50"/>
  <c r="J377" i="50"/>
  <c r="J327" i="50"/>
  <c r="J302" i="50"/>
  <c r="J352" i="50"/>
  <c r="J27" i="50"/>
  <c r="J177" i="50"/>
  <c r="J152" i="50"/>
  <c r="J127" i="50"/>
  <c r="J77" i="50"/>
  <c r="E126" i="51" l="1"/>
  <c r="E125" i="51"/>
  <c r="G126" i="51" a="1"/>
  <c r="G126" i="51" s="1"/>
  <c r="F126" i="51" a="1"/>
  <c r="F126" i="51" s="1"/>
  <c r="H126" i="51" s="1"/>
  <c r="G125" i="51" a="1"/>
  <c r="G125" i="51" s="1"/>
  <c r="F125" i="51" a="1"/>
  <c r="F125" i="51" s="1"/>
  <c r="H125" i="51" s="1"/>
  <c r="J52" i="50"/>
  <c r="J2" i="50"/>
  <c r="AL28" i="47"/>
  <c r="AL29" i="47"/>
  <c r="AL30" i="47"/>
  <c r="AL31" i="47"/>
  <c r="AL32" i="47"/>
  <c r="AL33" i="47"/>
  <c r="AL34" i="47"/>
  <c r="AL35" i="47"/>
  <c r="AL36" i="47"/>
  <c r="AL37" i="47"/>
  <c r="AL38" i="47"/>
  <c r="AL39" i="47"/>
  <c r="AL40" i="47"/>
  <c r="AL41" i="47"/>
  <c r="AL27" i="47"/>
  <c r="O43" i="61" l="1"/>
  <c r="Q43" i="61" s="1"/>
  <c r="L40" i="61"/>
  <c r="M40" i="61" s="1"/>
  <c r="O52" i="61"/>
  <c r="Q52" i="61" s="1"/>
  <c r="O51" i="61"/>
  <c r="Q51" i="61" s="1"/>
  <c r="O37" i="61"/>
  <c r="Q37" i="61" s="1"/>
  <c r="O38" i="61"/>
  <c r="Q38" i="61" s="1"/>
  <c r="L57" i="61"/>
  <c r="O54" i="61"/>
  <c r="Q54" i="61" s="1"/>
  <c r="L44" i="61"/>
  <c r="L56" i="61"/>
  <c r="L54" i="61"/>
  <c r="L47" i="61"/>
  <c r="L41" i="61"/>
  <c r="L43" i="61"/>
  <c r="O53" i="61"/>
  <c r="Q53" i="61" s="1"/>
  <c r="L35" i="61"/>
  <c r="M35" i="61" s="1"/>
  <c r="L55" i="61"/>
  <c r="L45" i="61"/>
  <c r="L39" i="61"/>
  <c r="L37" i="61"/>
  <c r="M37" i="61" s="1"/>
  <c r="O33" i="61"/>
  <c r="Q33" i="61" s="1"/>
  <c r="L36" i="61"/>
  <c r="O34" i="61"/>
  <c r="Q34" i="61" s="1"/>
  <c r="L49" i="61"/>
  <c r="O44" i="61"/>
  <c r="Q44" i="61" s="1"/>
  <c r="O39" i="61"/>
  <c r="Q39" i="61" s="1"/>
  <c r="O50" i="61"/>
  <c r="Q50" i="61" s="1"/>
  <c r="O48" i="61"/>
  <c r="Q48" i="61" s="1"/>
  <c r="O40" i="61"/>
  <c r="Q40" i="61" s="1"/>
  <c r="L53" i="61"/>
  <c r="O49" i="61"/>
  <c r="Q49" i="61" s="1"/>
  <c r="L38" i="61"/>
  <c r="M38" i="61" s="1"/>
  <c r="O55" i="61"/>
  <c r="Q55" i="61" s="1"/>
  <c r="L51" i="61"/>
  <c r="O42" i="61"/>
  <c r="Q42" i="61" s="1"/>
  <c r="L33" i="61"/>
  <c r="M33" i="61" s="1"/>
  <c r="L42" i="61"/>
  <c r="O41" i="61"/>
  <c r="Q41" i="61" s="1"/>
  <c r="O36" i="61"/>
  <c r="Q36" i="61" s="1"/>
  <c r="O57" i="61"/>
  <c r="Q57" i="61" s="1"/>
  <c r="O46" i="61"/>
  <c r="Q46" i="61" s="1"/>
  <c r="L46" i="61"/>
  <c r="L48" i="61"/>
  <c r="O47" i="61"/>
  <c r="Q47" i="61" s="1"/>
  <c r="L34" i="61"/>
  <c r="M34" i="61" s="1"/>
  <c r="O35" i="61"/>
  <c r="Q35" i="61" s="1"/>
  <c r="L50" i="61"/>
  <c r="O45" i="61"/>
  <c r="Q45" i="61" s="1"/>
  <c r="L52" i="61"/>
  <c r="O56" i="61"/>
  <c r="Q56" i="61" s="1"/>
  <c r="L46" i="59"/>
  <c r="L34" i="59"/>
  <c r="L40" i="59"/>
  <c r="O31" i="59"/>
  <c r="Q31" i="59" s="1"/>
  <c r="O33" i="59"/>
  <c r="Q33" i="59" s="1"/>
  <c r="L33" i="59"/>
  <c r="O44" i="59"/>
  <c r="Q44" i="59" s="1"/>
  <c r="O36" i="59"/>
  <c r="Q36" i="59" s="1"/>
  <c r="O29" i="59"/>
  <c r="L39" i="59"/>
  <c r="O32" i="59"/>
  <c r="Q32" i="59" s="1"/>
  <c r="L29" i="59"/>
  <c r="L43" i="59"/>
  <c r="L36" i="59"/>
  <c r="L42" i="59"/>
  <c r="L49" i="59"/>
  <c r="O37" i="59"/>
  <c r="Q37" i="59" s="1"/>
  <c r="O40" i="59"/>
  <c r="Q40" i="59" s="1"/>
  <c r="O46" i="59"/>
  <c r="Q46" i="59" s="1"/>
  <c r="O30" i="59"/>
  <c r="O50" i="59"/>
  <c r="Q50" i="59" s="1"/>
  <c r="L32" i="59"/>
  <c r="L45" i="59"/>
  <c r="L31" i="59"/>
  <c r="L51" i="59"/>
  <c r="O42" i="59"/>
  <c r="Q42" i="59" s="1"/>
  <c r="L37" i="59"/>
  <c r="O49" i="59"/>
  <c r="Q49" i="59" s="1"/>
  <c r="L38" i="59"/>
  <c r="L48" i="59"/>
  <c r="L35" i="59"/>
  <c r="O48" i="59"/>
  <c r="Q48" i="59" s="1"/>
  <c r="L50" i="59"/>
  <c r="L41" i="59"/>
  <c r="O28" i="59"/>
  <c r="O39" i="59"/>
  <c r="Q39" i="59" s="1"/>
  <c r="O51" i="59"/>
  <c r="Q51" i="59" s="1"/>
  <c r="L47" i="59"/>
  <c r="O45" i="59"/>
  <c r="Q45" i="59" s="1"/>
  <c r="O38" i="59"/>
  <c r="Q38" i="59" s="1"/>
  <c r="L28" i="59"/>
  <c r="O35" i="59"/>
  <c r="Q35" i="59" s="1"/>
  <c r="O47" i="59"/>
  <c r="Q47" i="59" s="1"/>
  <c r="O43" i="59"/>
  <c r="Q43" i="59" s="1"/>
  <c r="O41" i="59"/>
  <c r="Q41" i="59" s="1"/>
  <c r="L44" i="59"/>
  <c r="O34" i="59"/>
  <c r="Q34" i="59" s="1"/>
  <c r="L27" i="59"/>
  <c r="N27" i="59" s="1"/>
  <c r="L30" i="59"/>
  <c r="E16" i="47"/>
  <c r="C41" i="47" s="1" a="1"/>
  <c r="C41" i="47" s="1"/>
  <c r="C28" i="47" l="1" a="1"/>
  <c r="C28" i="47" s="1"/>
  <c r="C37" i="47" a="1"/>
  <c r="C37" i="47" s="1"/>
  <c r="AJ42" i="47"/>
  <c r="C38" i="47" a="1"/>
  <c r="C38" i="47" s="1"/>
  <c r="C39" i="47" a="1"/>
  <c r="C39" i="47" s="1"/>
  <c r="C36" i="47" a="1"/>
  <c r="C36" i="47" s="1"/>
  <c r="C29" i="47" a="1"/>
  <c r="C29" i="47" s="1"/>
  <c r="C34" i="47" a="1"/>
  <c r="C34" i="47" s="1"/>
  <c r="C30" i="47" a="1"/>
  <c r="C30" i="47" s="1"/>
  <c r="C35" i="47" a="1"/>
  <c r="C35" i="47" s="1"/>
  <c r="C31" i="47" a="1"/>
  <c r="C31" i="47" s="1"/>
  <c r="C40" i="47" a="1"/>
  <c r="C40" i="47" s="1"/>
  <c r="N47" i="59"/>
  <c r="P47" i="59" s="1"/>
  <c r="R47" i="59" s="1"/>
  <c r="S47" i="59" s="1"/>
  <c r="AE47" i="59"/>
  <c r="AF47" i="59" s="1"/>
  <c r="N32" i="59"/>
  <c r="P32" i="59" s="1"/>
  <c r="R32" i="59" s="1"/>
  <c r="S32" i="59" s="1"/>
  <c r="AE32" i="59"/>
  <c r="AF32" i="59" s="1"/>
  <c r="N33" i="59"/>
  <c r="P33" i="59" s="1"/>
  <c r="R33" i="59" s="1"/>
  <c r="S33" i="59" s="1"/>
  <c r="AE33" i="59"/>
  <c r="AF33" i="59" s="1"/>
  <c r="N38" i="61"/>
  <c r="P38" i="61" s="1"/>
  <c r="AF38" i="61"/>
  <c r="AG38" i="61" s="1"/>
  <c r="N49" i="61"/>
  <c r="P49" i="61" s="1"/>
  <c r="AF49" i="61"/>
  <c r="AG49" i="61" s="1"/>
  <c r="AF35" i="61"/>
  <c r="AH35" i="61" s="1"/>
  <c r="AG35" i="61" s="1"/>
  <c r="N35" i="61"/>
  <c r="P35" i="61" s="1"/>
  <c r="AE44" i="59"/>
  <c r="AF44" i="59" s="1"/>
  <c r="N44" i="59"/>
  <c r="P44" i="59" s="1"/>
  <c r="R44" i="59" s="1"/>
  <c r="S44" i="59" s="1"/>
  <c r="AE36" i="59"/>
  <c r="AF36" i="59" s="1"/>
  <c r="N36" i="59"/>
  <c r="P36" i="59" s="1"/>
  <c r="R36" i="59" s="1"/>
  <c r="S36" i="59" s="1"/>
  <c r="AE38" i="59"/>
  <c r="AF38" i="59" s="1"/>
  <c r="N38" i="59"/>
  <c r="P38" i="59" s="1"/>
  <c r="R38" i="59" s="1"/>
  <c r="S38" i="59" s="1"/>
  <c r="AF57" i="61"/>
  <c r="AG57" i="61" s="1"/>
  <c r="N57" i="61"/>
  <c r="P57" i="61" s="1"/>
  <c r="N29" i="59"/>
  <c r="AE29" i="59"/>
  <c r="AF53" i="61"/>
  <c r="AG53" i="61" s="1"/>
  <c r="N53" i="61"/>
  <c r="P53" i="61" s="1"/>
  <c r="N36" i="61"/>
  <c r="P36" i="61" s="1"/>
  <c r="AF36" i="61"/>
  <c r="AF43" i="61"/>
  <c r="AG43" i="61" s="1"/>
  <c r="N43" i="61"/>
  <c r="P43" i="61" s="1"/>
  <c r="N48" i="59"/>
  <c r="P48" i="59" s="1"/>
  <c r="R48" i="59" s="1"/>
  <c r="S48" i="59" s="1"/>
  <c r="AE48" i="59"/>
  <c r="AF48" i="59" s="1"/>
  <c r="N43" i="59"/>
  <c r="P43" i="59" s="1"/>
  <c r="R43" i="59" s="1"/>
  <c r="S43" i="59" s="1"/>
  <c r="AE43" i="59"/>
  <c r="AF43" i="59" s="1"/>
  <c r="N50" i="61"/>
  <c r="P50" i="61" s="1"/>
  <c r="AF50" i="61"/>
  <c r="AG50" i="61" s="1"/>
  <c r="AE37" i="59"/>
  <c r="AF37" i="59" s="1"/>
  <c r="N37" i="59"/>
  <c r="P37" i="59" s="1"/>
  <c r="R37" i="59" s="1"/>
  <c r="S37" i="59" s="1"/>
  <c r="N34" i="61"/>
  <c r="P34" i="61" s="1"/>
  <c r="AF34" i="61"/>
  <c r="AF41" i="61"/>
  <c r="AG41" i="61" s="1"/>
  <c r="N41" i="61"/>
  <c r="P41" i="61" s="1"/>
  <c r="AE30" i="59"/>
  <c r="AF30" i="59" s="1"/>
  <c r="N30" i="59"/>
  <c r="N41" i="59"/>
  <c r="P41" i="59" s="1"/>
  <c r="R41" i="59" s="1"/>
  <c r="S41" i="59" s="1"/>
  <c r="AE41" i="59"/>
  <c r="AF41" i="59" s="1"/>
  <c r="N39" i="59"/>
  <c r="P39" i="59" s="1"/>
  <c r="R39" i="59" s="1"/>
  <c r="S39" i="59" s="1"/>
  <c r="AE39" i="59"/>
  <c r="AF39" i="59" s="1"/>
  <c r="N34" i="59"/>
  <c r="P34" i="59" s="1"/>
  <c r="R34" i="59" s="1"/>
  <c r="S34" i="59" s="1"/>
  <c r="AE34" i="59"/>
  <c r="AF34" i="59" s="1"/>
  <c r="AF33" i="61"/>
  <c r="N33" i="61"/>
  <c r="P33" i="61" s="1"/>
  <c r="AF37" i="61"/>
  <c r="AG37" i="61" s="1"/>
  <c r="N37" i="61"/>
  <c r="P37" i="61" s="1"/>
  <c r="N47" i="61"/>
  <c r="P47" i="61" s="1"/>
  <c r="AF47" i="61"/>
  <c r="AG47" i="61" s="1"/>
  <c r="N42" i="61"/>
  <c r="P42" i="61" s="1"/>
  <c r="AF42" i="61"/>
  <c r="AG42" i="61" s="1"/>
  <c r="AE28" i="59"/>
  <c r="AF28" i="59" s="1"/>
  <c r="N28" i="59"/>
  <c r="N50" i="59"/>
  <c r="P50" i="59" s="1"/>
  <c r="R50" i="59" s="1"/>
  <c r="S50" i="59" s="1"/>
  <c r="AE50" i="59"/>
  <c r="AF50" i="59" s="1"/>
  <c r="AE51" i="59"/>
  <c r="AF51" i="59" s="1"/>
  <c r="N51" i="59"/>
  <c r="P51" i="59" s="1"/>
  <c r="R51" i="59" s="1"/>
  <c r="S51" i="59" s="1"/>
  <c r="AE46" i="59"/>
  <c r="AF46" i="59" s="1"/>
  <c r="N46" i="59"/>
  <c r="P46" i="59" s="1"/>
  <c r="R46" i="59" s="1"/>
  <c r="S46" i="59" s="1"/>
  <c r="AF48" i="61"/>
  <c r="AG48" i="61" s="1"/>
  <c r="N48" i="61"/>
  <c r="P48" i="61" s="1"/>
  <c r="N39" i="61"/>
  <c r="P39" i="61" s="1"/>
  <c r="AF39" i="61"/>
  <c r="AG39" i="61" s="1"/>
  <c r="N54" i="61"/>
  <c r="P54" i="61" s="1"/>
  <c r="AF54" i="61"/>
  <c r="AG54" i="61" s="1"/>
  <c r="AE40" i="59"/>
  <c r="AF40" i="59" s="1"/>
  <c r="N40" i="59"/>
  <c r="P40" i="59" s="1"/>
  <c r="R40" i="59" s="1"/>
  <c r="S40" i="59" s="1"/>
  <c r="Q58" i="61"/>
  <c r="N31" i="59"/>
  <c r="P31" i="59" s="1"/>
  <c r="R31" i="59" s="1"/>
  <c r="S31" i="59" s="1"/>
  <c r="AE31" i="59"/>
  <c r="AF31" i="59" s="1"/>
  <c r="N49" i="59"/>
  <c r="P49" i="59" s="1"/>
  <c r="R49" i="59" s="1"/>
  <c r="S49" i="59" s="1"/>
  <c r="AE49" i="59"/>
  <c r="AF49" i="59" s="1"/>
  <c r="N46" i="61"/>
  <c r="P46" i="61" s="1"/>
  <c r="AF46" i="61"/>
  <c r="AG46" i="61" s="1"/>
  <c r="AF51" i="61"/>
  <c r="AG51" i="61" s="1"/>
  <c r="N51" i="61"/>
  <c r="P51" i="61" s="1"/>
  <c r="AF45" i="61"/>
  <c r="AG45" i="61" s="1"/>
  <c r="N45" i="61"/>
  <c r="P45" i="61" s="1"/>
  <c r="N56" i="61"/>
  <c r="P56" i="61" s="1"/>
  <c r="AF56" i="61"/>
  <c r="AG56" i="61" s="1"/>
  <c r="AF40" i="61"/>
  <c r="N40" i="61"/>
  <c r="P40" i="61" s="1"/>
  <c r="N35" i="59"/>
  <c r="P35" i="59" s="1"/>
  <c r="R35" i="59" s="1"/>
  <c r="S35" i="59" s="1"/>
  <c r="AE35" i="59"/>
  <c r="AF35" i="59" s="1"/>
  <c r="AE45" i="59"/>
  <c r="AF45" i="59" s="1"/>
  <c r="N45" i="59"/>
  <c r="P45" i="59" s="1"/>
  <c r="R45" i="59" s="1"/>
  <c r="S45" i="59" s="1"/>
  <c r="AE42" i="59"/>
  <c r="AF42" i="59" s="1"/>
  <c r="N42" i="59"/>
  <c r="P42" i="59" s="1"/>
  <c r="R42" i="59" s="1"/>
  <c r="S42" i="59" s="1"/>
  <c r="AF52" i="61"/>
  <c r="AG52" i="61" s="1"/>
  <c r="N52" i="61"/>
  <c r="P52" i="61" s="1"/>
  <c r="AF55" i="61"/>
  <c r="AG55" i="61" s="1"/>
  <c r="N55" i="61"/>
  <c r="P55" i="61" s="1"/>
  <c r="AF44" i="61"/>
  <c r="AG44" i="61" s="1"/>
  <c r="N44" i="61"/>
  <c r="P44" i="61" s="1"/>
  <c r="AN39" i="47"/>
  <c r="AN31" i="47"/>
  <c r="AN37" i="47"/>
  <c r="AN32" i="47"/>
  <c r="AN38" i="47"/>
  <c r="AN30" i="47"/>
  <c r="AN29" i="47"/>
  <c r="AN33" i="47"/>
  <c r="AN36" i="47"/>
  <c r="AN28" i="47"/>
  <c r="AN35" i="47"/>
  <c r="AN27" i="47"/>
  <c r="O27" i="47" s="1"/>
  <c r="AN34" i="47"/>
  <c r="AN41" i="47"/>
  <c r="AN40" i="47"/>
  <c r="I33" i="42"/>
  <c r="J33" i="42"/>
  <c r="AB26" i="47"/>
  <c r="AA26" i="47"/>
  <c r="Z26" i="47"/>
  <c r="Y26" i="47"/>
  <c r="X26" i="47"/>
  <c r="AG26" i="47"/>
  <c r="AF26" i="47"/>
  <c r="AE26" i="47"/>
  <c r="AD26" i="47"/>
  <c r="AC26" i="47"/>
  <c r="AG29" i="59" l="1"/>
  <c r="AF29" i="59" s="1"/>
  <c r="AH40" i="61"/>
  <c r="AG40" i="61" s="1"/>
  <c r="AH34" i="61"/>
  <c r="AG34" i="61" s="1"/>
  <c r="AH36" i="61"/>
  <c r="AG36" i="61" s="1"/>
  <c r="R53" i="61"/>
  <c r="S53" i="61" s="1"/>
  <c r="R45" i="61"/>
  <c r="S45" i="61" s="1"/>
  <c r="R34" i="61"/>
  <c r="S34" i="61" s="1"/>
  <c r="R38" i="61"/>
  <c r="S38" i="61" s="1"/>
  <c r="R54" i="61"/>
  <c r="S54" i="61" s="1"/>
  <c r="R33" i="61"/>
  <c r="P58" i="61"/>
  <c r="R46" i="61"/>
  <c r="S46" i="61" s="1"/>
  <c r="R47" i="61"/>
  <c r="S47" i="61" s="1"/>
  <c r="R56" i="61"/>
  <c r="S56" i="61" s="1"/>
  <c r="R37" i="61"/>
  <c r="S37" i="61" s="1"/>
  <c r="R52" i="61"/>
  <c r="S52" i="61" s="1"/>
  <c r="R51" i="61"/>
  <c r="S51" i="61" s="1"/>
  <c r="R42" i="61"/>
  <c r="S42" i="61" s="1"/>
  <c r="AF58" i="61"/>
  <c r="P15" i="61" s="1"/>
  <c r="AH33" i="61"/>
  <c r="R43" i="61"/>
  <c r="S43" i="61" s="1"/>
  <c r="R35" i="61"/>
  <c r="S35" i="61" s="1"/>
  <c r="R40" i="61"/>
  <c r="S40" i="61" s="1"/>
  <c r="R39" i="61"/>
  <c r="S39" i="61" s="1"/>
  <c r="R50" i="61"/>
  <c r="S50" i="61" s="1"/>
  <c r="R55" i="61"/>
  <c r="S55" i="61" s="1"/>
  <c r="R48" i="61"/>
  <c r="S48" i="61" s="1"/>
  <c r="R44" i="61"/>
  <c r="S44" i="61" s="1"/>
  <c r="R41" i="61"/>
  <c r="S41" i="61" s="1"/>
  <c r="R57" i="61"/>
  <c r="S57" i="61" s="1"/>
  <c r="R36" i="61"/>
  <c r="S36" i="61" s="1"/>
  <c r="R49" i="61"/>
  <c r="S49" i="61" s="1"/>
  <c r="L59" i="41"/>
  <c r="R20" i="61" l="1"/>
  <c r="R22" i="61" s="1"/>
  <c r="AI45" i="61"/>
  <c r="AH58" i="61"/>
  <c r="R15" i="61" s="1"/>
  <c r="AI57" i="61"/>
  <c r="AI48" i="61"/>
  <c r="AG33" i="61"/>
  <c r="AG58" i="61" s="1"/>
  <c r="Q15" i="61" s="1"/>
  <c r="AI42" i="61"/>
  <c r="AI56" i="61"/>
  <c r="AI49" i="61"/>
  <c r="AI55" i="61"/>
  <c r="AI54" i="61"/>
  <c r="AI41" i="61"/>
  <c r="AK36" i="61"/>
  <c r="AK44" i="61"/>
  <c r="AK50" i="61"/>
  <c r="AI33" i="61"/>
  <c r="AK34" i="61"/>
  <c r="AI40" i="61"/>
  <c r="AK41" i="61"/>
  <c r="AK40" i="61"/>
  <c r="AK49" i="61"/>
  <c r="AK55" i="61"/>
  <c r="AI47" i="61"/>
  <c r="AK52" i="61"/>
  <c r="AK38" i="61"/>
  <c r="AI52" i="61"/>
  <c r="AI44" i="61"/>
  <c r="AK57" i="61"/>
  <c r="AI39" i="61"/>
  <c r="AI37" i="61"/>
  <c r="AK33" i="61"/>
  <c r="AI36" i="61"/>
  <c r="AK35" i="61"/>
  <c r="AK51" i="61"/>
  <c r="AK56" i="61"/>
  <c r="AI35" i="61"/>
  <c r="AK42" i="61"/>
  <c r="AK47" i="61"/>
  <c r="AK45" i="61"/>
  <c r="AK48" i="61"/>
  <c r="AK39" i="61"/>
  <c r="AI43" i="61"/>
  <c r="AK37" i="61"/>
  <c r="AI46" i="61"/>
  <c r="AK53" i="61"/>
  <c r="AK43" i="61"/>
  <c r="AI51" i="61"/>
  <c r="AK46" i="61"/>
  <c r="AI38" i="61"/>
  <c r="AI50" i="61"/>
  <c r="P61" i="61"/>
  <c r="G5" i="66" s="1"/>
  <c r="J59" i="61"/>
  <c r="AI53" i="61"/>
  <c r="S33" i="61"/>
  <c r="R58" i="61"/>
  <c r="S58" i="61" s="1"/>
  <c r="Q59" i="61" s="1"/>
  <c r="AK54" i="61"/>
  <c r="AI34" i="61"/>
  <c r="AL45" i="61" l="1"/>
  <c r="AM45" i="61" s="1"/>
  <c r="AL43" i="61"/>
  <c r="AM43" i="61" s="1"/>
  <c r="AL33" i="61"/>
  <c r="AN33" i="61" s="1"/>
  <c r="AM33" i="61" s="1"/>
  <c r="AL41" i="61"/>
  <c r="AM41" i="61" s="1"/>
  <c r="AL57" i="61"/>
  <c r="AM57" i="61" s="1"/>
  <c r="AL34" i="61"/>
  <c r="AL38" i="61"/>
  <c r="AM38" i="61" s="1"/>
  <c r="AL48" i="61"/>
  <c r="AM48" i="61" s="1"/>
  <c r="AL52" i="61"/>
  <c r="AM52" i="61" s="1"/>
  <c r="AL42" i="61"/>
  <c r="AM42" i="61" s="1"/>
  <c r="AL44" i="61"/>
  <c r="AM44" i="61" s="1"/>
  <c r="AL35" i="61"/>
  <c r="AN35" i="61" s="1"/>
  <c r="AM35" i="61" s="1"/>
  <c r="AL50" i="61"/>
  <c r="AM50" i="61" s="1"/>
  <c r="AL37" i="61"/>
  <c r="AM37" i="61" s="1"/>
  <c r="AL56" i="61"/>
  <c r="AM56" i="61" s="1"/>
  <c r="AL53" i="61"/>
  <c r="AM53" i="61" s="1"/>
  <c r="AL40" i="61"/>
  <c r="AL55" i="61"/>
  <c r="AM55" i="61" s="1"/>
  <c r="AL39" i="61"/>
  <c r="AM39" i="61" s="1"/>
  <c r="AL47" i="61"/>
  <c r="AM47" i="61" s="1"/>
  <c r="AL36" i="61"/>
  <c r="AL49" i="61"/>
  <c r="AM49" i="61" s="1"/>
  <c r="AL51" i="61"/>
  <c r="AM51" i="61" s="1"/>
  <c r="AL46" i="61"/>
  <c r="AM46" i="61" s="1"/>
  <c r="AK58" i="61"/>
  <c r="J61" i="61"/>
  <c r="P12" i="61" s="1"/>
  <c r="P13" i="61" s="1"/>
  <c r="AV58" i="61"/>
  <c r="R12" i="61" s="1"/>
  <c r="AU58" i="61"/>
  <c r="Q12" i="61" s="1"/>
  <c r="AL54" i="61"/>
  <c r="AM54" i="61" s="1"/>
  <c r="AI58" i="61"/>
  <c r="R59" i="61"/>
  <c r="S59" i="61" s="1"/>
  <c r="AJ42" i="61"/>
  <c r="AO42" i="61" s="1"/>
  <c r="AP42" i="61" s="1"/>
  <c r="AJ48" i="61"/>
  <c r="AO48" i="61" s="1"/>
  <c r="AP48" i="61" s="1"/>
  <c r="AJ37" i="61"/>
  <c r="AO37" i="61" s="1"/>
  <c r="AP37" i="61" s="1"/>
  <c r="AJ51" i="61"/>
  <c r="AO51" i="61" s="1"/>
  <c r="AP51" i="61" s="1"/>
  <c r="AJ33" i="61"/>
  <c r="AJ40" i="61"/>
  <c r="AO40" i="61" s="1"/>
  <c r="AJ43" i="61"/>
  <c r="AO43" i="61" s="1"/>
  <c r="AP43" i="61" s="1"/>
  <c r="AJ55" i="61"/>
  <c r="AO55" i="61" s="1"/>
  <c r="AP55" i="61" s="1"/>
  <c r="AJ45" i="61"/>
  <c r="AO45" i="61" s="1"/>
  <c r="AP45" i="61" s="1"/>
  <c r="AJ46" i="61"/>
  <c r="AO46" i="61" s="1"/>
  <c r="AP46" i="61" s="1"/>
  <c r="AJ49" i="61"/>
  <c r="AO49" i="61" s="1"/>
  <c r="AP49" i="61" s="1"/>
  <c r="AJ41" i="61"/>
  <c r="AO41" i="61" s="1"/>
  <c r="AP41" i="61" s="1"/>
  <c r="AJ52" i="61"/>
  <c r="AO52" i="61" s="1"/>
  <c r="AP52" i="61" s="1"/>
  <c r="AJ44" i="61"/>
  <c r="AO44" i="61" s="1"/>
  <c r="AP44" i="61" s="1"/>
  <c r="AJ53" i="61"/>
  <c r="AO53" i="61" s="1"/>
  <c r="AP53" i="61" s="1"/>
  <c r="AJ56" i="61"/>
  <c r="AO56" i="61" s="1"/>
  <c r="AP56" i="61" s="1"/>
  <c r="AJ47" i="61"/>
  <c r="AO47" i="61" s="1"/>
  <c r="AP47" i="61" s="1"/>
  <c r="AJ36" i="61"/>
  <c r="AO36" i="61" s="1"/>
  <c r="AJ50" i="61"/>
  <c r="AO50" i="61" s="1"/>
  <c r="AP50" i="61" s="1"/>
  <c r="AJ54" i="61"/>
  <c r="AO54" i="61" s="1"/>
  <c r="AP54" i="61" s="1"/>
  <c r="Q61" i="61"/>
  <c r="R61" i="61" s="1"/>
  <c r="S61" i="61" s="1"/>
  <c r="AJ57" i="61"/>
  <c r="AO57" i="61" s="1"/>
  <c r="AP57" i="61" s="1"/>
  <c r="AJ34" i="61"/>
  <c r="AO34" i="61" s="1"/>
  <c r="AJ39" i="61"/>
  <c r="AO39" i="61" s="1"/>
  <c r="AP39" i="61" s="1"/>
  <c r="AJ38" i="61"/>
  <c r="AO38" i="61" s="1"/>
  <c r="AP38" i="61" s="1"/>
  <c r="AJ35" i="61"/>
  <c r="AO35" i="61" s="1"/>
  <c r="AQ35" i="61" s="1"/>
  <c r="AP35" i="61" s="1"/>
  <c r="Z139" i="41"/>
  <c r="Y139" i="41"/>
  <c r="X139" i="41"/>
  <c r="W139" i="41"/>
  <c r="V139" i="41"/>
  <c r="U139" i="41"/>
  <c r="T139" i="41"/>
  <c r="S139" i="41"/>
  <c r="R139" i="41"/>
  <c r="Q139" i="41"/>
  <c r="P139" i="41"/>
  <c r="O139" i="41"/>
  <c r="N139" i="41"/>
  <c r="M139" i="41"/>
  <c r="L139" i="41"/>
  <c r="Z123" i="41"/>
  <c r="Y123" i="41"/>
  <c r="X123" i="41"/>
  <c r="W123" i="41"/>
  <c r="V123" i="41"/>
  <c r="U123" i="41"/>
  <c r="T123" i="41"/>
  <c r="S123" i="41"/>
  <c r="R123" i="41"/>
  <c r="Q123" i="41"/>
  <c r="P123" i="41"/>
  <c r="O123" i="41"/>
  <c r="N123" i="41"/>
  <c r="M123" i="41"/>
  <c r="L123" i="41"/>
  <c r="Z59" i="41"/>
  <c r="Y59" i="41"/>
  <c r="X59" i="41"/>
  <c r="W59" i="41"/>
  <c r="V59" i="41"/>
  <c r="U59" i="41"/>
  <c r="T59" i="41"/>
  <c r="S59" i="41"/>
  <c r="R59" i="41"/>
  <c r="Q59" i="41"/>
  <c r="P59" i="41"/>
  <c r="O59" i="41"/>
  <c r="N59" i="41"/>
  <c r="M59" i="41"/>
  <c r="L13" i="41"/>
  <c r="Z13" i="41"/>
  <c r="Y13" i="41"/>
  <c r="X13" i="41"/>
  <c r="W13" i="41"/>
  <c r="V13" i="41"/>
  <c r="U13" i="41"/>
  <c r="T13" i="41"/>
  <c r="S13" i="41"/>
  <c r="R13" i="41"/>
  <c r="Q13" i="41"/>
  <c r="P13" i="41"/>
  <c r="O13" i="41"/>
  <c r="N13" i="41"/>
  <c r="M13" i="41"/>
  <c r="AN40" i="61" l="1"/>
  <c r="AM40" i="61" s="1"/>
  <c r="AQ40" i="61"/>
  <c r="AP40" i="61" s="1"/>
  <c r="AN34" i="61"/>
  <c r="AM34" i="61" s="1"/>
  <c r="AQ34" i="61"/>
  <c r="AP34" i="61" s="1"/>
  <c r="AN36" i="61"/>
  <c r="AM36" i="61" s="1"/>
  <c r="AQ36" i="61"/>
  <c r="AP36" i="61" s="1"/>
  <c r="Q13" i="61"/>
  <c r="AJ58" i="61"/>
  <c r="AO33" i="61"/>
  <c r="AL58" i="61"/>
  <c r="P8" i="61" s="1"/>
  <c r="R13" i="61"/>
  <c r="E33" i="42"/>
  <c r="F3" i="51" a="1"/>
  <c r="F3" i="51" s="1"/>
  <c r="F4" i="51" a="1"/>
  <c r="F4" i="51" s="1"/>
  <c r="F5" i="51" a="1"/>
  <c r="F5" i="51" s="1"/>
  <c r="F6" i="51" a="1"/>
  <c r="F6" i="51" s="1"/>
  <c r="F7" i="51" a="1"/>
  <c r="F7" i="51" s="1"/>
  <c r="F8" i="51" a="1"/>
  <c r="F8" i="51" s="1"/>
  <c r="F9" i="51" a="1"/>
  <c r="F9" i="51" s="1"/>
  <c r="F10" i="51" a="1"/>
  <c r="F10" i="51" s="1"/>
  <c r="F11" i="51" a="1"/>
  <c r="F11" i="51" s="1"/>
  <c r="F12" i="51" a="1"/>
  <c r="F12" i="51" s="1"/>
  <c r="F13" i="51" a="1"/>
  <c r="F13" i="51" s="1"/>
  <c r="F14" i="51" a="1"/>
  <c r="F14" i="51" s="1"/>
  <c r="F15" i="51" a="1"/>
  <c r="F15" i="51" s="1"/>
  <c r="F16" i="51" a="1"/>
  <c r="F16" i="51" s="1"/>
  <c r="F17" i="51" a="1"/>
  <c r="F17" i="51" s="1"/>
  <c r="F18" i="51" a="1"/>
  <c r="F18" i="51" s="1"/>
  <c r="F19" i="51" a="1"/>
  <c r="F19" i="51" s="1"/>
  <c r="F20" i="51" a="1"/>
  <c r="F20" i="51" s="1"/>
  <c r="F21" i="51" a="1"/>
  <c r="F21" i="51" s="1"/>
  <c r="F22" i="51" a="1"/>
  <c r="F22" i="51" s="1"/>
  <c r="F23" i="51" a="1"/>
  <c r="F23" i="51" s="1"/>
  <c r="F24" i="51" a="1"/>
  <c r="F24" i="51" s="1"/>
  <c r="F25" i="51" a="1"/>
  <c r="F25" i="51" s="1"/>
  <c r="F26" i="51" a="1"/>
  <c r="F26" i="51" s="1"/>
  <c r="F27" i="51" a="1"/>
  <c r="F27" i="51" s="1"/>
  <c r="F28" i="51" a="1"/>
  <c r="F28" i="51" s="1"/>
  <c r="F29" i="51" a="1"/>
  <c r="F29" i="51" s="1"/>
  <c r="F30" i="51" a="1"/>
  <c r="F30" i="51" s="1"/>
  <c r="F31" i="51" a="1"/>
  <c r="F31" i="51" s="1"/>
  <c r="F32" i="51" a="1"/>
  <c r="F32" i="51" s="1"/>
  <c r="F33" i="51" a="1"/>
  <c r="F33" i="51" s="1"/>
  <c r="F34" i="51" a="1"/>
  <c r="F34" i="51" s="1"/>
  <c r="F35" i="51" a="1"/>
  <c r="F35" i="51" s="1"/>
  <c r="F36" i="51" a="1"/>
  <c r="F36" i="51" s="1"/>
  <c r="F37" i="51" a="1"/>
  <c r="F37" i="51" s="1"/>
  <c r="F38" i="51" a="1"/>
  <c r="F38" i="51" s="1"/>
  <c r="F39" i="51" a="1"/>
  <c r="F39" i="51" s="1"/>
  <c r="F40" i="51" a="1"/>
  <c r="F40" i="51" s="1"/>
  <c r="F41" i="51" a="1"/>
  <c r="F41" i="51" s="1"/>
  <c r="F42" i="51" a="1"/>
  <c r="F42" i="51" s="1"/>
  <c r="F43" i="51" a="1"/>
  <c r="F43" i="51" s="1"/>
  <c r="F44" i="51" a="1"/>
  <c r="F44" i="51" s="1"/>
  <c r="F45" i="51" a="1"/>
  <c r="F45" i="51" s="1"/>
  <c r="F46" i="51" a="1"/>
  <c r="F46" i="51" s="1"/>
  <c r="F47" i="51" a="1"/>
  <c r="F47" i="51" s="1"/>
  <c r="F48" i="51" a="1"/>
  <c r="F48" i="51" s="1"/>
  <c r="F49" i="51" a="1"/>
  <c r="F49" i="51" s="1"/>
  <c r="F50" i="51" a="1"/>
  <c r="F50" i="51" s="1"/>
  <c r="F51" i="51" a="1"/>
  <c r="F51" i="51" s="1"/>
  <c r="F52" i="51" a="1"/>
  <c r="F52" i="51" s="1"/>
  <c r="F53" i="51" a="1"/>
  <c r="F53" i="51" s="1"/>
  <c r="F54" i="51" a="1"/>
  <c r="F54" i="51" s="1"/>
  <c r="F55" i="51" a="1"/>
  <c r="F55" i="51" s="1"/>
  <c r="F56" i="51" a="1"/>
  <c r="F56" i="51" s="1"/>
  <c r="F57" i="51" a="1"/>
  <c r="F57" i="51" s="1"/>
  <c r="F58" i="51" a="1"/>
  <c r="F58" i="51" s="1"/>
  <c r="F59" i="51" a="1"/>
  <c r="F59" i="51" s="1"/>
  <c r="F60" i="51" a="1"/>
  <c r="F60" i="51" s="1"/>
  <c r="F61" i="51" a="1"/>
  <c r="F61" i="51" s="1"/>
  <c r="F62" i="51" a="1"/>
  <c r="F62" i="51" s="1"/>
  <c r="F63" i="51" a="1"/>
  <c r="F63" i="51" s="1"/>
  <c r="F64" i="51" a="1"/>
  <c r="F64" i="51" s="1"/>
  <c r="F65" i="51" a="1"/>
  <c r="F65" i="51" s="1"/>
  <c r="F66" i="51" a="1"/>
  <c r="F66" i="51" s="1"/>
  <c r="F67" i="51" a="1"/>
  <c r="F67" i="51" s="1"/>
  <c r="F68" i="51" a="1"/>
  <c r="F68" i="51" s="1"/>
  <c r="F69" i="51" a="1"/>
  <c r="F69" i="51" s="1"/>
  <c r="F70" i="51" a="1"/>
  <c r="F70" i="51" s="1"/>
  <c r="F71" i="51" a="1"/>
  <c r="F71" i="51" s="1"/>
  <c r="F72" i="51" a="1"/>
  <c r="F72" i="51" s="1"/>
  <c r="F73" i="51" a="1"/>
  <c r="F73" i="51" s="1"/>
  <c r="F74" i="51" a="1"/>
  <c r="F74" i="51" s="1"/>
  <c r="F75" i="51" a="1"/>
  <c r="F75" i="51" s="1"/>
  <c r="F76" i="51" a="1"/>
  <c r="F76" i="51" s="1"/>
  <c r="F77" i="51" a="1"/>
  <c r="F77" i="51" s="1"/>
  <c r="F78" i="51" a="1"/>
  <c r="F78" i="51" s="1"/>
  <c r="F79" i="51" a="1"/>
  <c r="F79" i="51" s="1"/>
  <c r="F80" i="51" a="1"/>
  <c r="F80" i="51" s="1"/>
  <c r="F81" i="51" a="1"/>
  <c r="F81" i="51" s="1"/>
  <c r="F82" i="51" a="1"/>
  <c r="F82" i="51" s="1"/>
  <c r="F83" i="51" a="1"/>
  <c r="F83" i="51" s="1"/>
  <c r="F84" i="51" a="1"/>
  <c r="F84" i="51" s="1"/>
  <c r="F85" i="51" a="1"/>
  <c r="F85" i="51" s="1"/>
  <c r="F86" i="51" a="1"/>
  <c r="F86" i="51" s="1"/>
  <c r="F87" i="51" a="1"/>
  <c r="F87" i="51" s="1"/>
  <c r="F88" i="51" a="1"/>
  <c r="F88" i="51" s="1"/>
  <c r="F89" i="51" a="1"/>
  <c r="F89" i="51" s="1"/>
  <c r="F90" i="51" a="1"/>
  <c r="F90" i="51" s="1"/>
  <c r="F91" i="51" a="1"/>
  <c r="F91" i="51" s="1"/>
  <c r="F92" i="51" a="1"/>
  <c r="F92" i="51" s="1"/>
  <c r="F93" i="51" a="1"/>
  <c r="F93" i="51" s="1"/>
  <c r="F94" i="51" a="1"/>
  <c r="F94" i="51" s="1"/>
  <c r="F95" i="51" a="1"/>
  <c r="F95" i="51" s="1"/>
  <c r="F96" i="51" a="1"/>
  <c r="F96" i="51" s="1"/>
  <c r="F97" i="51" a="1"/>
  <c r="F97" i="51" s="1"/>
  <c r="F98" i="51" a="1"/>
  <c r="F98" i="51" s="1"/>
  <c r="F99" i="51" a="1"/>
  <c r="F99" i="51" s="1"/>
  <c r="F100" i="51" a="1"/>
  <c r="F100" i="51" s="1"/>
  <c r="F101" i="51" a="1"/>
  <c r="F101" i="51" s="1"/>
  <c r="F102" i="51" a="1"/>
  <c r="F102" i="51" s="1"/>
  <c r="F103" i="51" a="1"/>
  <c r="F103" i="51" s="1"/>
  <c r="F104" i="51" a="1"/>
  <c r="F104" i="51" s="1"/>
  <c r="F105" i="51" a="1"/>
  <c r="F105" i="51" s="1"/>
  <c r="F106" i="51" a="1"/>
  <c r="F106" i="51" s="1"/>
  <c r="F107" i="51" a="1"/>
  <c r="F107" i="51" s="1"/>
  <c r="F108" i="51" a="1"/>
  <c r="F108" i="51" s="1"/>
  <c r="F109" i="51" a="1"/>
  <c r="F109" i="51" s="1"/>
  <c r="F110" i="51" a="1"/>
  <c r="F110" i="51" s="1"/>
  <c r="F111" i="51" a="1"/>
  <c r="F111" i="51" s="1"/>
  <c r="F112" i="51" a="1"/>
  <c r="F112" i="51" s="1"/>
  <c r="F113" i="51" a="1"/>
  <c r="F113" i="51" s="1"/>
  <c r="F114" i="51" a="1"/>
  <c r="F114" i="51" s="1"/>
  <c r="F115" i="51" a="1"/>
  <c r="F115" i="51" s="1"/>
  <c r="F116" i="51" a="1"/>
  <c r="F116" i="51" s="1"/>
  <c r="F117" i="51" a="1"/>
  <c r="F117" i="51" s="1"/>
  <c r="F118" i="51" a="1"/>
  <c r="F118" i="51" s="1"/>
  <c r="F119" i="51" a="1"/>
  <c r="F119" i="51" s="1"/>
  <c r="F120" i="51" a="1"/>
  <c r="F120" i="51" s="1"/>
  <c r="F121" i="51" a="1"/>
  <c r="F121" i="51" s="1"/>
  <c r="F122" i="51" a="1"/>
  <c r="F122" i="51" s="1"/>
  <c r="F123" i="51" a="1"/>
  <c r="F123" i="51" s="1"/>
  <c r="F124" i="51" a="1"/>
  <c r="F124" i="51" s="1"/>
  <c r="F147" i="51" a="1"/>
  <c r="F147" i="51" s="1"/>
  <c r="F148" i="51" a="1"/>
  <c r="F148" i="51" s="1"/>
  <c r="F149" i="51" a="1"/>
  <c r="F149" i="51" s="1"/>
  <c r="F150" i="51" a="1"/>
  <c r="F150" i="51" s="1"/>
  <c r="F151" i="51" a="1"/>
  <c r="F151" i="51" s="1"/>
  <c r="F152" i="51" a="1"/>
  <c r="F152" i="51" s="1"/>
  <c r="F153" i="51" a="1"/>
  <c r="F153" i="51" s="1"/>
  <c r="F154" i="51" a="1"/>
  <c r="F154" i="51" s="1"/>
  <c r="F155" i="51" a="1"/>
  <c r="F155" i="51" s="1"/>
  <c r="F156" i="51" a="1"/>
  <c r="F156" i="51" s="1"/>
  <c r="F157" i="51" a="1"/>
  <c r="F157" i="51" s="1"/>
  <c r="F158" i="51" a="1"/>
  <c r="F158" i="51" s="1"/>
  <c r="F159" i="51" a="1"/>
  <c r="F159" i="51" s="1"/>
  <c r="F160" i="51" a="1"/>
  <c r="F160" i="51" s="1"/>
  <c r="F161" i="51" a="1"/>
  <c r="F161" i="51" s="1"/>
  <c r="F162" i="51" a="1"/>
  <c r="F162" i="51" s="1"/>
  <c r="F163" i="51" a="1"/>
  <c r="F163" i="51" s="1"/>
  <c r="F164" i="51" a="1"/>
  <c r="F164" i="51" s="1"/>
  <c r="F165" i="51" a="1"/>
  <c r="F165" i="51" s="1"/>
  <c r="F166" i="51" a="1"/>
  <c r="F166" i="51" s="1"/>
  <c r="F167" i="51" a="1"/>
  <c r="F167" i="51" s="1"/>
  <c r="F168" i="51" a="1"/>
  <c r="F168" i="51" s="1"/>
  <c r="F169" i="51" a="1"/>
  <c r="F169" i="51" s="1"/>
  <c r="F170" i="51" a="1"/>
  <c r="F170" i="51" s="1"/>
  <c r="F2" i="51" a="1"/>
  <c r="F2" i="51" s="1"/>
  <c r="AM58" i="61" l="1"/>
  <c r="Q8" i="61" s="1"/>
  <c r="Q14" i="61" s="1"/>
  <c r="Q16" i="61" s="1"/>
  <c r="Q17" i="61" s="1"/>
  <c r="AN58" i="61"/>
  <c r="R8" i="61" s="1"/>
  <c r="R14" i="61" s="1"/>
  <c r="R16" i="61" s="1"/>
  <c r="R17" i="61" s="1"/>
  <c r="F90" i="61"/>
  <c r="AA11" i="61"/>
  <c r="F84" i="61"/>
  <c r="P14" i="61"/>
  <c r="AO58" i="61"/>
  <c r="P9" i="61" s="1"/>
  <c r="P10" i="61" s="1"/>
  <c r="R21" i="61" s="1"/>
  <c r="AQ33" i="61"/>
  <c r="AQ58" i="61" s="1"/>
  <c r="R9" i="61" s="1"/>
  <c r="AF3" i="42"/>
  <c r="D147" i="41" s="1"/>
  <c r="R10" i="61" l="1"/>
  <c r="R18" i="61" s="1"/>
  <c r="AP33" i="61"/>
  <c r="AP58" i="61" s="1"/>
  <c r="Q9" i="61" s="1"/>
  <c r="Q10" i="61" s="1"/>
  <c r="P11" i="61"/>
  <c r="F85" i="61" s="1"/>
  <c r="P18" i="61"/>
  <c r="P16" i="61"/>
  <c r="P17" i="61" s="1"/>
  <c r="F87" i="61" s="1"/>
  <c r="F86" i="61"/>
  <c r="D3" i="41"/>
  <c r="D4" i="41"/>
  <c r="D5" i="41"/>
  <c r="D12" i="41"/>
  <c r="D9" i="41"/>
  <c r="D8" i="41"/>
  <c r="D11" i="41"/>
  <c r="D10" i="41"/>
  <c r="D13" i="41"/>
  <c r="D7" i="41"/>
  <c r="D6" i="41"/>
  <c r="AE4" i="42"/>
  <c r="C148" i="41" s="1"/>
  <c r="AF4" i="42"/>
  <c r="D148" i="41" s="1"/>
  <c r="G156" i="41"/>
  <c r="F79" i="42" s="1"/>
  <c r="H156" i="41"/>
  <c r="G157" i="41"/>
  <c r="H157" i="41"/>
  <c r="G158" i="41"/>
  <c r="H158" i="41"/>
  <c r="G159" i="41"/>
  <c r="H159" i="41"/>
  <c r="G160" i="41"/>
  <c r="H160" i="41"/>
  <c r="G161" i="41"/>
  <c r="H161" i="41"/>
  <c r="G162" i="41"/>
  <c r="H162" i="41"/>
  <c r="G163" i="41"/>
  <c r="H163" i="41"/>
  <c r="G86" i="42" s="1"/>
  <c r="G164" i="41"/>
  <c r="H164" i="41"/>
  <c r="G165" i="41"/>
  <c r="F88" i="42" s="1"/>
  <c r="H165" i="41"/>
  <c r="G166" i="41"/>
  <c r="H166" i="41"/>
  <c r="G167" i="41"/>
  <c r="H167" i="41"/>
  <c r="G168" i="41"/>
  <c r="H168" i="41"/>
  <c r="G169" i="41"/>
  <c r="H169" i="41"/>
  <c r="G155" i="41"/>
  <c r="H155" i="41"/>
  <c r="G78" i="42" s="1"/>
  <c r="E80" i="42"/>
  <c r="E81" i="42"/>
  <c r="E88" i="42"/>
  <c r="E89" i="42"/>
  <c r="R11" i="61" l="1"/>
  <c r="Q11" i="61"/>
  <c r="Q18" i="61"/>
  <c r="C51" i="41"/>
  <c r="C52" i="41"/>
  <c r="C20" i="41"/>
  <c r="C21" i="41"/>
  <c r="C22" i="41"/>
  <c r="C23" i="41"/>
  <c r="D52" i="41"/>
  <c r="D51" i="41"/>
  <c r="F37" i="42"/>
  <c r="G35" i="42"/>
  <c r="F44" i="42"/>
  <c r="C16" i="41"/>
  <c r="C14" i="41"/>
  <c r="C19" i="41"/>
  <c r="C17" i="41"/>
  <c r="C18" i="41"/>
  <c r="C15" i="41"/>
  <c r="D18" i="41"/>
  <c r="D19" i="41"/>
  <c r="D16" i="41"/>
  <c r="D20" i="41"/>
  <c r="D17" i="41"/>
  <c r="D21" i="41"/>
  <c r="D14" i="41"/>
  <c r="D22" i="41"/>
  <c r="D15" i="41"/>
  <c r="D23" i="41"/>
  <c r="C54" i="41"/>
  <c r="C46" i="41"/>
  <c r="C38" i="41"/>
  <c r="C30" i="41"/>
  <c r="C58" i="41"/>
  <c r="C26" i="41"/>
  <c r="C49" i="41"/>
  <c r="C53" i="41"/>
  <c r="C45" i="41"/>
  <c r="C37" i="41"/>
  <c r="C29" i="41"/>
  <c r="C42" i="41"/>
  <c r="C41" i="41"/>
  <c r="C44" i="41"/>
  <c r="C36" i="41"/>
  <c r="C28" i="41"/>
  <c r="C50" i="41"/>
  <c r="C57" i="41"/>
  <c r="C25" i="41"/>
  <c r="C59" i="41"/>
  <c r="C43" i="41"/>
  <c r="C35" i="41"/>
  <c r="C27" i="41"/>
  <c r="C34" i="41"/>
  <c r="C33" i="41"/>
  <c r="C56" i="41"/>
  <c r="C48" i="41"/>
  <c r="C40" i="41"/>
  <c r="C32" i="41"/>
  <c r="C24" i="41"/>
  <c r="C55" i="41"/>
  <c r="C47" i="41"/>
  <c r="C39" i="41"/>
  <c r="C31" i="41"/>
  <c r="D59" i="41"/>
  <c r="D55" i="41"/>
  <c r="D47" i="41"/>
  <c r="D43" i="41"/>
  <c r="D39" i="41"/>
  <c r="D58" i="41"/>
  <c r="D50" i="41"/>
  <c r="D46" i="41"/>
  <c r="D42" i="41"/>
  <c r="D34" i="41"/>
  <c r="D26" i="41"/>
  <c r="D54" i="41"/>
  <c r="D38" i="41"/>
  <c r="D30" i="41"/>
  <c r="D57" i="41"/>
  <c r="D53" i="41"/>
  <c r="D49" i="41"/>
  <c r="D45" i="41"/>
  <c r="D41" i="41"/>
  <c r="D37" i="41"/>
  <c r="D33" i="41"/>
  <c r="D29" i="41"/>
  <c r="D25" i="41"/>
  <c r="D27" i="41"/>
  <c r="D31" i="41"/>
  <c r="D56" i="41"/>
  <c r="D48" i="41"/>
  <c r="D44" i="41"/>
  <c r="D40" i="41"/>
  <c r="D36" i="41"/>
  <c r="D32" i="41"/>
  <c r="D28" i="41"/>
  <c r="D24" i="41"/>
  <c r="D35" i="41"/>
  <c r="C60" i="41"/>
  <c r="D60" i="41"/>
  <c r="AF5" i="42"/>
  <c r="D149" i="41" s="1"/>
  <c r="F43" i="42"/>
  <c r="E87" i="42"/>
  <c r="G42" i="42"/>
  <c r="F86" i="42"/>
  <c r="H41" i="42"/>
  <c r="G85" i="42"/>
  <c r="F34" i="42"/>
  <c r="E78" i="42"/>
  <c r="F41" i="42"/>
  <c r="E85" i="42"/>
  <c r="G45" i="42"/>
  <c r="F89" i="42"/>
  <c r="G41" i="42"/>
  <c r="F85" i="42"/>
  <c r="G37" i="42"/>
  <c r="F81" i="42"/>
  <c r="F36" i="42"/>
  <c r="G46" i="42"/>
  <c r="F90" i="42"/>
  <c r="F42" i="42"/>
  <c r="E86" i="42"/>
  <c r="H45" i="42"/>
  <c r="G89" i="42"/>
  <c r="H37" i="42"/>
  <c r="G81" i="42"/>
  <c r="G34" i="42"/>
  <c r="F78" i="42"/>
  <c r="F48" i="42"/>
  <c r="E92" i="42"/>
  <c r="F40" i="42"/>
  <c r="E84" i="42"/>
  <c r="H48" i="42"/>
  <c r="G92" i="42"/>
  <c r="H44" i="42"/>
  <c r="G88" i="42"/>
  <c r="H40" i="42"/>
  <c r="G84" i="42"/>
  <c r="H36" i="42"/>
  <c r="G80" i="42"/>
  <c r="G44" i="42"/>
  <c r="F39" i="42"/>
  <c r="E83" i="42"/>
  <c r="G48" i="42"/>
  <c r="F92" i="42"/>
  <c r="G40" i="42"/>
  <c r="F84" i="42"/>
  <c r="G36" i="42"/>
  <c r="F80" i="42"/>
  <c r="F46" i="42"/>
  <c r="E90" i="42"/>
  <c r="F38" i="42"/>
  <c r="E82" i="42"/>
  <c r="H47" i="42"/>
  <c r="G91" i="42"/>
  <c r="H43" i="42"/>
  <c r="G87" i="42"/>
  <c r="H39" i="42"/>
  <c r="G83" i="42"/>
  <c r="H35" i="42"/>
  <c r="G79" i="42"/>
  <c r="H42" i="42"/>
  <c r="F47" i="42"/>
  <c r="E91" i="42"/>
  <c r="G47" i="42"/>
  <c r="F91" i="42"/>
  <c r="G43" i="42"/>
  <c r="F87" i="42"/>
  <c r="G39" i="42"/>
  <c r="F83" i="42"/>
  <c r="H34" i="42"/>
  <c r="F35" i="42"/>
  <c r="E79" i="42"/>
  <c r="G38" i="42"/>
  <c r="F82" i="42"/>
  <c r="H46" i="42"/>
  <c r="G90" i="42"/>
  <c r="H38" i="42"/>
  <c r="G82" i="42"/>
  <c r="F45" i="42"/>
  <c r="AE5" i="42"/>
  <c r="C121" i="41" l="1"/>
  <c r="C149" i="41"/>
  <c r="C120" i="41"/>
  <c r="C67" i="41"/>
  <c r="C66" i="41"/>
  <c r="C65" i="41"/>
  <c r="C64" i="41"/>
  <c r="C68" i="41"/>
  <c r="C111" i="41"/>
  <c r="C87" i="41"/>
  <c r="C63" i="41"/>
  <c r="C122" i="41"/>
  <c r="C118" i="41"/>
  <c r="C110" i="41"/>
  <c r="C102" i="41"/>
  <c r="C98" i="41"/>
  <c r="C90" i="41"/>
  <c r="C82" i="41"/>
  <c r="C78" i="41"/>
  <c r="C70" i="41"/>
  <c r="C62" i="41"/>
  <c r="C95" i="41"/>
  <c r="C114" i="41"/>
  <c r="C106" i="41"/>
  <c r="C94" i="41"/>
  <c r="C86" i="41"/>
  <c r="C74" i="41"/>
  <c r="C79" i="41"/>
  <c r="C105" i="41"/>
  <c r="C93" i="41"/>
  <c r="C85" i="41"/>
  <c r="C77" i="41"/>
  <c r="C69" i="41"/>
  <c r="C61" i="41"/>
  <c r="C83" i="41"/>
  <c r="C123" i="41"/>
  <c r="C117" i="41"/>
  <c r="C113" i="41"/>
  <c r="C109" i="41"/>
  <c r="C101" i="41"/>
  <c r="C97" i="41"/>
  <c r="C89" i="41"/>
  <c r="C81" i="41"/>
  <c r="C73" i="41"/>
  <c r="C99" i="41"/>
  <c r="C84" i="41"/>
  <c r="C115" i="41"/>
  <c r="C103" i="41"/>
  <c r="C75" i="41"/>
  <c r="C116" i="41"/>
  <c r="C112" i="41"/>
  <c r="C108" i="41"/>
  <c r="C104" i="41"/>
  <c r="C100" i="41"/>
  <c r="C96" i="41"/>
  <c r="C92" i="41"/>
  <c r="C88" i="41"/>
  <c r="C80" i="41"/>
  <c r="C76" i="41"/>
  <c r="C72" i="41"/>
  <c r="C119" i="41"/>
  <c r="C107" i="41"/>
  <c r="C91" i="41"/>
  <c r="C71" i="41"/>
  <c r="D122" i="41"/>
  <c r="D118" i="41"/>
  <c r="D114" i="41"/>
  <c r="D110" i="41"/>
  <c r="D106" i="41"/>
  <c r="D102" i="41"/>
  <c r="D98" i="41"/>
  <c r="D94" i="41"/>
  <c r="D90" i="41"/>
  <c r="D86" i="41"/>
  <c r="D82" i="41"/>
  <c r="D78" i="41"/>
  <c r="D74" i="41"/>
  <c r="D70" i="41"/>
  <c r="D66" i="41"/>
  <c r="D62" i="41"/>
  <c r="D123" i="41"/>
  <c r="D121" i="41"/>
  <c r="D117" i="41"/>
  <c r="D113" i="41"/>
  <c r="D109" i="41"/>
  <c r="D105" i="41"/>
  <c r="D101" i="41"/>
  <c r="D97" i="41"/>
  <c r="D93" i="41"/>
  <c r="D89" i="41"/>
  <c r="D85" i="41"/>
  <c r="D81" i="41"/>
  <c r="D77" i="41"/>
  <c r="D73" i="41"/>
  <c r="D69" i="41"/>
  <c r="D65" i="41"/>
  <c r="D61" i="41"/>
  <c r="D120" i="41"/>
  <c r="D116" i="41"/>
  <c r="D112" i="41"/>
  <c r="D108" i="41"/>
  <c r="D104" i="41"/>
  <c r="D100" i="41"/>
  <c r="D96" i="41"/>
  <c r="D92" i="41"/>
  <c r="D88" i="41"/>
  <c r="D84" i="41"/>
  <c r="D80" i="41"/>
  <c r="D76" i="41"/>
  <c r="D72" i="41"/>
  <c r="D68" i="41"/>
  <c r="D64" i="41"/>
  <c r="D115" i="41"/>
  <c r="D107" i="41"/>
  <c r="D95" i="41"/>
  <c r="D87" i="41"/>
  <c r="D79" i="41"/>
  <c r="D71" i="41"/>
  <c r="D63" i="41"/>
  <c r="D119" i="41"/>
  <c r="D111" i="41"/>
  <c r="D103" i="41"/>
  <c r="D99" i="41"/>
  <c r="D91" i="41"/>
  <c r="D83" i="41"/>
  <c r="D75" i="41"/>
  <c r="D67" i="41"/>
  <c r="C124" i="41"/>
  <c r="AF6" i="42"/>
  <c r="D150" i="41" s="1"/>
  <c r="D124" i="41"/>
  <c r="AE6" i="42"/>
  <c r="C150" i="41" s="1"/>
  <c r="K13" i="45"/>
  <c r="D126" i="41" l="1"/>
  <c r="D127" i="41"/>
  <c r="D136" i="41"/>
  <c r="D132" i="41"/>
  <c r="D128" i="41"/>
  <c r="D135" i="41"/>
  <c r="D131" i="41"/>
  <c r="D139" i="41"/>
  <c r="D138" i="41"/>
  <c r="D134" i="41"/>
  <c r="D130" i="41"/>
  <c r="D137" i="41"/>
  <c r="D133" i="41"/>
  <c r="D129" i="41"/>
  <c r="C136" i="41"/>
  <c r="C132" i="41"/>
  <c r="C128" i="41"/>
  <c r="C135" i="41"/>
  <c r="C131" i="41"/>
  <c r="C127" i="41"/>
  <c r="C139" i="41"/>
  <c r="C138" i="41"/>
  <c r="C134" i="41"/>
  <c r="C130" i="41"/>
  <c r="C126" i="41"/>
  <c r="C137" i="41"/>
  <c r="C133" i="41"/>
  <c r="C129" i="41"/>
  <c r="AE7" i="42"/>
  <c r="C125" i="41"/>
  <c r="AF7" i="42"/>
  <c r="D125" i="41"/>
  <c r="AK28" i="47"/>
  <c r="AM28" i="47" s="1"/>
  <c r="AK29" i="47"/>
  <c r="AM29" i="47" s="1"/>
  <c r="AK30" i="47"/>
  <c r="AM30" i="47" s="1"/>
  <c r="AK31" i="47"/>
  <c r="AM31" i="47" s="1"/>
  <c r="AK32" i="47"/>
  <c r="AM32" i="47" s="1"/>
  <c r="AK33" i="47"/>
  <c r="AM33" i="47" s="1"/>
  <c r="AK34" i="47"/>
  <c r="AM34" i="47" s="1"/>
  <c r="AK35" i="47"/>
  <c r="AM35" i="47" s="1"/>
  <c r="AK36" i="47"/>
  <c r="AM36" i="47" s="1"/>
  <c r="AK37" i="47"/>
  <c r="AM37" i="47" s="1"/>
  <c r="AK38" i="47"/>
  <c r="AM38" i="47" s="1"/>
  <c r="AK39" i="47"/>
  <c r="AM39" i="47" s="1"/>
  <c r="AK40" i="47"/>
  <c r="AM40" i="47" s="1"/>
  <c r="AK41" i="47"/>
  <c r="AM41" i="47" s="1"/>
  <c r="G170" i="51" a="1"/>
  <c r="G170" i="51" s="1"/>
  <c r="H170" i="51" s="1"/>
  <c r="E170" i="51"/>
  <c r="G169" i="51" a="1"/>
  <c r="G169" i="51" s="1"/>
  <c r="H169" i="51" s="1"/>
  <c r="E169" i="51"/>
  <c r="G168" i="51" a="1"/>
  <c r="G168" i="51" s="1"/>
  <c r="H168" i="51" s="1"/>
  <c r="E168" i="51"/>
  <c r="G167" i="51" a="1"/>
  <c r="G167" i="51" s="1"/>
  <c r="H167" i="51" s="1"/>
  <c r="E167" i="51"/>
  <c r="G166" i="51" a="1"/>
  <c r="G166" i="51" s="1"/>
  <c r="H166" i="51" s="1"/>
  <c r="E166" i="51"/>
  <c r="G165" i="51" a="1"/>
  <c r="G165" i="51" s="1"/>
  <c r="H165" i="51" s="1"/>
  <c r="E165" i="51"/>
  <c r="G164" i="51" a="1"/>
  <c r="G164" i="51" s="1"/>
  <c r="H164" i="51" s="1"/>
  <c r="E164" i="51"/>
  <c r="G163" i="51" a="1"/>
  <c r="G163" i="51" s="1"/>
  <c r="H163" i="51" s="1"/>
  <c r="E163" i="51"/>
  <c r="G162" i="51" a="1"/>
  <c r="G162" i="51" s="1"/>
  <c r="H162" i="51" s="1"/>
  <c r="E162" i="51"/>
  <c r="G161" i="51" a="1"/>
  <c r="G161" i="51" s="1"/>
  <c r="H161" i="51" s="1"/>
  <c r="E161" i="51"/>
  <c r="G160" i="51" a="1"/>
  <c r="G160" i="51" s="1"/>
  <c r="H160" i="51" s="1"/>
  <c r="E160" i="51"/>
  <c r="G159" i="51" a="1"/>
  <c r="G159" i="51" s="1"/>
  <c r="H159" i="51" s="1"/>
  <c r="E159" i="51"/>
  <c r="G158" i="51" a="1"/>
  <c r="G158" i="51" s="1"/>
  <c r="H158" i="51" s="1"/>
  <c r="E158" i="51"/>
  <c r="G157" i="51" a="1"/>
  <c r="G157" i="51" s="1"/>
  <c r="H157" i="51" s="1"/>
  <c r="E157" i="51"/>
  <c r="G156" i="51" a="1"/>
  <c r="G156" i="51" s="1"/>
  <c r="H156" i="51" s="1"/>
  <c r="E156" i="51"/>
  <c r="G155" i="51" a="1"/>
  <c r="G155" i="51" s="1"/>
  <c r="H155" i="51" s="1"/>
  <c r="E155" i="51"/>
  <c r="G154" i="51" a="1"/>
  <c r="G154" i="51" s="1"/>
  <c r="H154" i="51" s="1"/>
  <c r="E154" i="51"/>
  <c r="G153" i="51" a="1"/>
  <c r="G153" i="51" s="1"/>
  <c r="H153" i="51" s="1"/>
  <c r="E153" i="51"/>
  <c r="G152" i="51" a="1"/>
  <c r="G152" i="51" s="1"/>
  <c r="H152" i="51" s="1"/>
  <c r="E152" i="51"/>
  <c r="G151" i="51" a="1"/>
  <c r="G151" i="51" s="1"/>
  <c r="H151" i="51" s="1"/>
  <c r="E151" i="51"/>
  <c r="G150" i="51" a="1"/>
  <c r="G150" i="51" s="1"/>
  <c r="H150" i="51" s="1"/>
  <c r="E150" i="51"/>
  <c r="G149" i="51" a="1"/>
  <c r="G149" i="51" s="1"/>
  <c r="H149" i="51" s="1"/>
  <c r="E149" i="51"/>
  <c r="G148" i="51" a="1"/>
  <c r="G148" i="51" s="1"/>
  <c r="H148" i="51" s="1"/>
  <c r="E148" i="51"/>
  <c r="G147" i="51" a="1"/>
  <c r="G147" i="51" s="1"/>
  <c r="H147" i="51" s="1"/>
  <c r="E147" i="51"/>
  <c r="G124" i="51" a="1"/>
  <c r="G124" i="51" s="1"/>
  <c r="H124" i="51" s="1"/>
  <c r="E124" i="51"/>
  <c r="G123" i="51" a="1"/>
  <c r="G123" i="51" s="1"/>
  <c r="H123" i="51" s="1"/>
  <c r="E123" i="51"/>
  <c r="G122" i="51" a="1"/>
  <c r="G122" i="51" s="1"/>
  <c r="H122" i="51" s="1"/>
  <c r="E122" i="51"/>
  <c r="G121" i="51" a="1"/>
  <c r="G121" i="51" s="1"/>
  <c r="H121" i="51" s="1"/>
  <c r="E121" i="51"/>
  <c r="G120" i="51" a="1"/>
  <c r="G120" i="51" s="1"/>
  <c r="H120" i="51" s="1"/>
  <c r="E120" i="51"/>
  <c r="G119" i="51" a="1"/>
  <c r="G119" i="51" s="1"/>
  <c r="H119" i="51" s="1"/>
  <c r="E119" i="51"/>
  <c r="G118" i="51" a="1"/>
  <c r="G118" i="51" s="1"/>
  <c r="H118" i="51" s="1"/>
  <c r="E118" i="51"/>
  <c r="G117" i="51" a="1"/>
  <c r="G117" i="51" s="1"/>
  <c r="H117" i="51" s="1"/>
  <c r="E117" i="51"/>
  <c r="G116" i="51" a="1"/>
  <c r="G116" i="51" s="1"/>
  <c r="H116" i="51" s="1"/>
  <c r="E116" i="51"/>
  <c r="G115" i="51" a="1"/>
  <c r="G115" i="51" s="1"/>
  <c r="H115" i="51" s="1"/>
  <c r="E115" i="51"/>
  <c r="G114" i="51" a="1"/>
  <c r="G114" i="51" s="1"/>
  <c r="H114" i="51" s="1"/>
  <c r="E114" i="51"/>
  <c r="G113" i="51" a="1"/>
  <c r="G113" i="51" s="1"/>
  <c r="H113" i="51" s="1"/>
  <c r="E113" i="51"/>
  <c r="G112" i="51" a="1"/>
  <c r="G112" i="51" s="1"/>
  <c r="H112" i="51" s="1"/>
  <c r="E112" i="51"/>
  <c r="G111" i="51"/>
  <c r="H111" i="51" s="1"/>
  <c r="G111" i="51" a="1"/>
  <c r="E111" i="51"/>
  <c r="G110" i="51" a="1"/>
  <c r="G110" i="51" s="1"/>
  <c r="H110" i="51" s="1"/>
  <c r="E110" i="51"/>
  <c r="G109" i="51" a="1"/>
  <c r="G109" i="51" s="1"/>
  <c r="H109" i="51" s="1"/>
  <c r="E109" i="51"/>
  <c r="G108" i="51" a="1"/>
  <c r="G108" i="51" s="1"/>
  <c r="H108" i="51" s="1"/>
  <c r="E108" i="51"/>
  <c r="G107" i="51" a="1"/>
  <c r="G107" i="51" s="1"/>
  <c r="H107" i="51" s="1"/>
  <c r="E107" i="51"/>
  <c r="G106" i="51" a="1"/>
  <c r="G106" i="51" s="1"/>
  <c r="H106" i="51" s="1"/>
  <c r="E106" i="51"/>
  <c r="G105" i="51" a="1"/>
  <c r="G105" i="51" s="1"/>
  <c r="H105" i="51" s="1"/>
  <c r="E105" i="51"/>
  <c r="G104" i="51" a="1"/>
  <c r="G104" i="51" s="1"/>
  <c r="H104" i="51" s="1"/>
  <c r="E104" i="51"/>
  <c r="G103" i="51" a="1"/>
  <c r="G103" i="51" s="1"/>
  <c r="H103" i="51" s="1"/>
  <c r="E103" i="51"/>
  <c r="G102" i="51" a="1"/>
  <c r="G102" i="51" s="1"/>
  <c r="H102" i="51" s="1"/>
  <c r="E102" i="51"/>
  <c r="G101" i="51" a="1"/>
  <c r="G101" i="51" s="1"/>
  <c r="H101" i="51" s="1"/>
  <c r="E101" i="51"/>
  <c r="G100" i="51" a="1"/>
  <c r="G100" i="51" s="1"/>
  <c r="H100" i="51" s="1"/>
  <c r="E100" i="51"/>
  <c r="G99" i="51" a="1"/>
  <c r="G99" i="51" s="1"/>
  <c r="H99" i="51" s="1"/>
  <c r="E99" i="51"/>
  <c r="G98" i="51" a="1"/>
  <c r="G98" i="51" s="1"/>
  <c r="H98" i="51" s="1"/>
  <c r="E98" i="51"/>
  <c r="G97" i="51" a="1"/>
  <c r="G97" i="51" s="1"/>
  <c r="H97" i="51" s="1"/>
  <c r="E97" i="51"/>
  <c r="G96" i="51" a="1"/>
  <c r="G96" i="51" s="1"/>
  <c r="H96" i="51" s="1"/>
  <c r="E96" i="51"/>
  <c r="G95" i="51" a="1"/>
  <c r="G95" i="51" s="1"/>
  <c r="H95" i="51" s="1"/>
  <c r="E95" i="51"/>
  <c r="G94" i="51" a="1"/>
  <c r="G94" i="51" s="1"/>
  <c r="H94" i="51" s="1"/>
  <c r="E94" i="51"/>
  <c r="G93" i="51" a="1"/>
  <c r="G93" i="51" s="1"/>
  <c r="H93" i="51" s="1"/>
  <c r="E93" i="51"/>
  <c r="G92" i="51" a="1"/>
  <c r="G92" i="51" s="1"/>
  <c r="H92" i="51" s="1"/>
  <c r="E92" i="51"/>
  <c r="G91" i="51" a="1"/>
  <c r="G91" i="51" s="1"/>
  <c r="H91" i="51" s="1"/>
  <c r="E91" i="51"/>
  <c r="G90" i="51" a="1"/>
  <c r="G90" i="51" s="1"/>
  <c r="H90" i="51" s="1"/>
  <c r="E90" i="51"/>
  <c r="G89" i="51" a="1"/>
  <c r="G89" i="51" s="1"/>
  <c r="H89" i="51" s="1"/>
  <c r="E89" i="51"/>
  <c r="G88" i="51" a="1"/>
  <c r="G88" i="51" s="1"/>
  <c r="H88" i="51" s="1"/>
  <c r="E88" i="51"/>
  <c r="G87" i="51" a="1"/>
  <c r="G87" i="51" s="1"/>
  <c r="H87" i="51" s="1"/>
  <c r="E87" i="51"/>
  <c r="G86" i="51" a="1"/>
  <c r="G86" i="51" s="1"/>
  <c r="H86" i="51" s="1"/>
  <c r="E86" i="51"/>
  <c r="G85" i="51" a="1"/>
  <c r="G85" i="51" s="1"/>
  <c r="H85" i="51" s="1"/>
  <c r="E85" i="51"/>
  <c r="G84" i="51" a="1"/>
  <c r="G84" i="51" s="1"/>
  <c r="H84" i="51" s="1"/>
  <c r="E84" i="51"/>
  <c r="G83" i="51" a="1"/>
  <c r="G83" i="51" s="1"/>
  <c r="H83" i="51" s="1"/>
  <c r="E83" i="51"/>
  <c r="G82" i="51" a="1"/>
  <c r="G82" i="51" s="1"/>
  <c r="H82" i="51" s="1"/>
  <c r="E82" i="51"/>
  <c r="G81" i="51" a="1"/>
  <c r="G81" i="51" s="1"/>
  <c r="H81" i="51" s="1"/>
  <c r="E81" i="51"/>
  <c r="G80" i="51" a="1"/>
  <c r="G80" i="51" s="1"/>
  <c r="H80" i="51" s="1"/>
  <c r="E80" i="51"/>
  <c r="G79" i="51" a="1"/>
  <c r="G79" i="51" s="1"/>
  <c r="H79" i="51" s="1"/>
  <c r="E79" i="51"/>
  <c r="G78" i="51" a="1"/>
  <c r="G78" i="51" s="1"/>
  <c r="H78" i="51" s="1"/>
  <c r="E78" i="51"/>
  <c r="G77" i="51" a="1"/>
  <c r="G77" i="51" s="1"/>
  <c r="H77" i="51" s="1"/>
  <c r="E77" i="51"/>
  <c r="G76" i="51" a="1"/>
  <c r="G76" i="51" s="1"/>
  <c r="H76" i="51" s="1"/>
  <c r="E76" i="51"/>
  <c r="G75" i="51" a="1"/>
  <c r="G75" i="51" s="1"/>
  <c r="H75" i="51" s="1"/>
  <c r="E75" i="51"/>
  <c r="G74" i="51" a="1"/>
  <c r="G74" i="51" s="1"/>
  <c r="H74" i="51" s="1"/>
  <c r="E74" i="51"/>
  <c r="G73" i="51" a="1"/>
  <c r="G73" i="51" s="1"/>
  <c r="H73" i="51" s="1"/>
  <c r="E73" i="51"/>
  <c r="G72" i="51" a="1"/>
  <c r="G72" i="51" s="1"/>
  <c r="H72" i="51" s="1"/>
  <c r="E72" i="51"/>
  <c r="G71" i="51" a="1"/>
  <c r="G71" i="51" s="1"/>
  <c r="H71" i="51" s="1"/>
  <c r="E71" i="51"/>
  <c r="G70" i="51" a="1"/>
  <c r="G70" i="51" s="1"/>
  <c r="H70" i="51" s="1"/>
  <c r="E70" i="51"/>
  <c r="G69" i="51" a="1"/>
  <c r="G69" i="51" s="1"/>
  <c r="H69" i="51" s="1"/>
  <c r="E69" i="51"/>
  <c r="G68" i="51" a="1"/>
  <c r="G68" i="51" s="1"/>
  <c r="H68" i="51" s="1"/>
  <c r="E68" i="51"/>
  <c r="G67" i="51" a="1"/>
  <c r="G67" i="51" s="1"/>
  <c r="H67" i="51" s="1"/>
  <c r="E67" i="51"/>
  <c r="G66" i="51" a="1"/>
  <c r="G66" i="51" s="1"/>
  <c r="H66" i="51" s="1"/>
  <c r="E66" i="51"/>
  <c r="G65" i="51" a="1"/>
  <c r="G65" i="51" s="1"/>
  <c r="H65" i="51" s="1"/>
  <c r="E65" i="51"/>
  <c r="G64" i="51" a="1"/>
  <c r="G64" i="51" s="1"/>
  <c r="H64" i="51" s="1"/>
  <c r="E64" i="51"/>
  <c r="G63" i="51" a="1"/>
  <c r="G63" i="51" s="1"/>
  <c r="H63" i="51" s="1"/>
  <c r="E63" i="51"/>
  <c r="G62" i="51" a="1"/>
  <c r="G62" i="51" s="1"/>
  <c r="H62" i="51" s="1"/>
  <c r="E62" i="51"/>
  <c r="G61" i="51" a="1"/>
  <c r="G61" i="51" s="1"/>
  <c r="H61" i="51" s="1"/>
  <c r="E61" i="51"/>
  <c r="G60" i="51" a="1"/>
  <c r="G60" i="51" s="1"/>
  <c r="H60" i="51" s="1"/>
  <c r="E60" i="51"/>
  <c r="G59" i="51" a="1"/>
  <c r="G59" i="51" s="1"/>
  <c r="H59" i="51" s="1"/>
  <c r="E59" i="51"/>
  <c r="G58" i="51" a="1"/>
  <c r="G58" i="51" s="1"/>
  <c r="H58" i="51" s="1"/>
  <c r="E58" i="51"/>
  <c r="G57" i="51" a="1"/>
  <c r="G57" i="51" s="1"/>
  <c r="H57" i="51" s="1"/>
  <c r="E57" i="51"/>
  <c r="G56" i="51" a="1"/>
  <c r="G56" i="51" s="1"/>
  <c r="H56" i="51" s="1"/>
  <c r="E56" i="51"/>
  <c r="G55" i="51" a="1"/>
  <c r="G55" i="51" s="1"/>
  <c r="H55" i="51" s="1"/>
  <c r="E55" i="51"/>
  <c r="G54" i="51" a="1"/>
  <c r="G54" i="51" s="1"/>
  <c r="H54" i="51" s="1"/>
  <c r="E54" i="51"/>
  <c r="G53" i="51" a="1"/>
  <c r="G53" i="51" s="1"/>
  <c r="H53" i="51" s="1"/>
  <c r="E53" i="51"/>
  <c r="G52" i="51" a="1"/>
  <c r="G52" i="51" s="1"/>
  <c r="H52" i="51" s="1"/>
  <c r="E52" i="51"/>
  <c r="G51" i="51" a="1"/>
  <c r="G51" i="51" s="1"/>
  <c r="H51" i="51" s="1"/>
  <c r="E51" i="51"/>
  <c r="G50" i="51" a="1"/>
  <c r="G50" i="51" s="1"/>
  <c r="H50" i="51" s="1"/>
  <c r="E50" i="51"/>
  <c r="G49" i="51" a="1"/>
  <c r="G49" i="51" s="1"/>
  <c r="H49" i="51" s="1"/>
  <c r="E49" i="51"/>
  <c r="G48" i="51" a="1"/>
  <c r="G48" i="51" s="1"/>
  <c r="H48" i="51" s="1"/>
  <c r="E48" i="51"/>
  <c r="G47" i="51" a="1"/>
  <c r="G47" i="51" s="1"/>
  <c r="H47" i="51" s="1"/>
  <c r="E47" i="51"/>
  <c r="G46" i="51" a="1"/>
  <c r="G46" i="51" s="1"/>
  <c r="H46" i="51" s="1"/>
  <c r="E46" i="51"/>
  <c r="G45" i="51" a="1"/>
  <c r="G45" i="51" s="1"/>
  <c r="H45" i="51" s="1"/>
  <c r="E45" i="51"/>
  <c r="G44" i="51" a="1"/>
  <c r="G44" i="51" s="1"/>
  <c r="H44" i="51" s="1"/>
  <c r="E44" i="51"/>
  <c r="G43" i="51" a="1"/>
  <c r="G43" i="51" s="1"/>
  <c r="H43" i="51" s="1"/>
  <c r="E43" i="51"/>
  <c r="G42" i="51" a="1"/>
  <c r="G42" i="51" s="1"/>
  <c r="H42" i="51" s="1"/>
  <c r="E42" i="51"/>
  <c r="G41" i="51" a="1"/>
  <c r="G41" i="51" s="1"/>
  <c r="H41" i="51" s="1"/>
  <c r="E41" i="51"/>
  <c r="G40" i="51" a="1"/>
  <c r="G40" i="51" s="1"/>
  <c r="H40" i="51" s="1"/>
  <c r="E40" i="51"/>
  <c r="G39" i="51" a="1"/>
  <c r="G39" i="51" s="1"/>
  <c r="H39" i="51" s="1"/>
  <c r="E39" i="51"/>
  <c r="G38" i="51" a="1"/>
  <c r="G38" i="51" s="1"/>
  <c r="H38" i="51" s="1"/>
  <c r="E38" i="51"/>
  <c r="G37" i="51" a="1"/>
  <c r="G37" i="51" s="1"/>
  <c r="H37" i="51" s="1"/>
  <c r="E37" i="51"/>
  <c r="G36" i="51" a="1"/>
  <c r="G36" i="51" s="1"/>
  <c r="H36" i="51" s="1"/>
  <c r="E36" i="51"/>
  <c r="G35" i="51" a="1"/>
  <c r="G35" i="51" s="1"/>
  <c r="H35" i="51" s="1"/>
  <c r="E35" i="51"/>
  <c r="G34" i="51" a="1"/>
  <c r="G34" i="51" s="1"/>
  <c r="H34" i="51" s="1"/>
  <c r="E34" i="51"/>
  <c r="G33" i="51" a="1"/>
  <c r="G33" i="51" s="1"/>
  <c r="H33" i="51" s="1"/>
  <c r="E33" i="51"/>
  <c r="G32" i="51" a="1"/>
  <c r="G32" i="51" s="1"/>
  <c r="H32" i="51" s="1"/>
  <c r="E32" i="51"/>
  <c r="G31" i="51" a="1"/>
  <c r="G31" i="51" s="1"/>
  <c r="H31" i="51" s="1"/>
  <c r="E31" i="51"/>
  <c r="G30" i="51" a="1"/>
  <c r="G30" i="51" s="1"/>
  <c r="H30" i="51" s="1"/>
  <c r="E30" i="51"/>
  <c r="G29" i="51" a="1"/>
  <c r="G29" i="51" s="1"/>
  <c r="H29" i="51" s="1"/>
  <c r="E29" i="51"/>
  <c r="AK27" i="47"/>
  <c r="AM27" i="47" s="1"/>
  <c r="D67" i="49"/>
  <c r="D66" i="49"/>
  <c r="D65" i="49"/>
  <c r="D64" i="49"/>
  <c r="D63" i="49"/>
  <c r="D62" i="49"/>
  <c r="D61" i="49"/>
  <c r="D60" i="49"/>
  <c r="D59" i="49"/>
  <c r="D58" i="49"/>
  <c r="D57" i="49"/>
  <c r="D56" i="49"/>
  <c r="D55" i="49"/>
  <c r="D54" i="49"/>
  <c r="D53" i="49"/>
  <c r="D52" i="49"/>
  <c r="D51" i="49"/>
  <c r="D50" i="49"/>
  <c r="D49" i="49"/>
  <c r="D48" i="49"/>
  <c r="D47" i="49"/>
  <c r="D46" i="49"/>
  <c r="D45" i="49"/>
  <c r="D44" i="49"/>
  <c r="D43" i="49"/>
  <c r="D42" i="49"/>
  <c r="D41" i="49"/>
  <c r="D40" i="49"/>
  <c r="D39" i="49"/>
  <c r="D38" i="49"/>
  <c r="D37" i="49"/>
  <c r="D36" i="49"/>
  <c r="D35" i="49"/>
  <c r="D34" i="49"/>
  <c r="D33" i="49"/>
  <c r="D32" i="49"/>
  <c r="D31" i="49"/>
  <c r="D30" i="49"/>
  <c r="D29" i="49"/>
  <c r="D28" i="49"/>
  <c r="D27" i="49"/>
  <c r="D26" i="49"/>
  <c r="D25" i="49"/>
  <c r="D24" i="49"/>
  <c r="D23" i="49"/>
  <c r="D22" i="49"/>
  <c r="D21" i="49"/>
  <c r="D20" i="49"/>
  <c r="D19" i="49"/>
  <c r="D18" i="49"/>
  <c r="D17" i="49"/>
  <c r="D16" i="49"/>
  <c r="D15" i="49"/>
  <c r="D14" i="49"/>
  <c r="D13" i="49"/>
  <c r="D12" i="49"/>
  <c r="D11" i="49"/>
  <c r="D10" i="49"/>
  <c r="D9" i="49"/>
  <c r="D8" i="49"/>
  <c r="D7" i="49"/>
  <c r="D6" i="49"/>
  <c r="D5" i="49"/>
  <c r="D4" i="49"/>
  <c r="D3" i="49"/>
  <c r="D2" i="49"/>
  <c r="E25" i="53"/>
  <c r="F25" i="53" s="1"/>
  <c r="E24" i="53"/>
  <c r="F24" i="53" s="1"/>
  <c r="E23" i="53"/>
  <c r="F23" i="53" s="1"/>
  <c r="E22" i="53"/>
  <c r="F22" i="53" s="1"/>
  <c r="E21" i="53"/>
  <c r="F21" i="53" s="1"/>
  <c r="E18" i="53"/>
  <c r="F18" i="53" s="1"/>
  <c r="E17" i="53"/>
  <c r="F17" i="53" s="1"/>
  <c r="E16" i="53"/>
  <c r="F16" i="53" s="1"/>
  <c r="E15" i="53"/>
  <c r="F15" i="53" s="1"/>
  <c r="E13" i="53"/>
  <c r="F13" i="53" s="1"/>
  <c r="E12" i="53"/>
  <c r="F12" i="53" s="1"/>
  <c r="F11" i="53"/>
  <c r="E10" i="53"/>
  <c r="F10" i="53" s="1"/>
  <c r="E9" i="53"/>
  <c r="F9" i="53" s="1"/>
  <c r="E7" i="53"/>
  <c r="F7" i="53" s="1"/>
  <c r="E6" i="53"/>
  <c r="F6" i="53" s="1"/>
  <c r="E5" i="53"/>
  <c r="F5" i="53" s="1"/>
  <c r="F4" i="53"/>
  <c r="F3" i="53"/>
  <c r="D151" i="41" l="1"/>
  <c r="D146" i="41"/>
  <c r="C151" i="41"/>
  <c r="C146" i="41"/>
  <c r="O33" i="47"/>
  <c r="O29" i="47"/>
  <c r="L38" i="47"/>
  <c r="O28" i="47"/>
  <c r="O31" i="47"/>
  <c r="L31" i="47"/>
  <c r="L36" i="47"/>
  <c r="O30" i="47"/>
  <c r="L37" i="47"/>
  <c r="L41" i="47"/>
  <c r="O34" i="47"/>
  <c r="L28" i="47"/>
  <c r="O38" i="47"/>
  <c r="L32" i="47"/>
  <c r="O37" i="47"/>
  <c r="L30" i="47"/>
  <c r="L35" i="47"/>
  <c r="L29" i="47"/>
  <c r="O40" i="47"/>
  <c r="L34" i="47"/>
  <c r="O39" i="47"/>
  <c r="O32" i="47"/>
  <c r="O36" i="47"/>
  <c r="O35" i="47"/>
  <c r="O41" i="47"/>
  <c r="L40" i="47"/>
  <c r="L39" i="47"/>
  <c r="L33" i="47"/>
  <c r="C145" i="41"/>
  <c r="C141" i="41"/>
  <c r="C144" i="41"/>
  <c r="C140" i="41"/>
  <c r="C143" i="41"/>
  <c r="C142" i="41"/>
  <c r="D145" i="41"/>
  <c r="D141" i="41"/>
  <c r="D140" i="41"/>
  <c r="D144" i="41"/>
  <c r="D143" i="41"/>
  <c r="D142" i="41"/>
  <c r="E19" i="47"/>
  <c r="K5" i="45"/>
  <c r="K6" i="45"/>
  <c r="K7" i="45"/>
  <c r="K8" i="45"/>
  <c r="K9" i="45"/>
  <c r="K10" i="45"/>
  <c r="K11" i="45"/>
  <c r="K12" i="45"/>
  <c r="K14" i="45"/>
  <c r="K15" i="45"/>
  <c r="K16" i="45"/>
  <c r="K17" i="45"/>
  <c r="K18" i="45"/>
  <c r="K19" i="45"/>
  <c r="I50" i="47"/>
  <c r="E73" i="47" l="1"/>
  <c r="E72" i="47"/>
  <c r="E66" i="47"/>
  <c r="L80" i="42" l="1"/>
  <c r="D243" i="41"/>
  <c r="F18" i="18" l="1"/>
  <c r="F43" i="66" s="1"/>
  <c r="G43" i="66" s="1"/>
  <c r="F44" i="66" s="1"/>
  <c r="G44" i="66" s="1"/>
  <c r="F45" i="66" s="1"/>
  <c r="G45" i="66" s="1"/>
  <c r="F46" i="66" s="1"/>
  <c r="G46" i="66" s="1"/>
  <c r="F47" i="66" s="1"/>
  <c r="G47" i="66" s="1"/>
  <c r="E8" i="47"/>
  <c r="E7" i="47"/>
  <c r="E34" i="42" l="1"/>
  <c r="E35" i="42"/>
  <c r="E36" i="42"/>
  <c r="E37" i="42"/>
  <c r="E38" i="42"/>
  <c r="E39" i="42"/>
  <c r="E40" i="42"/>
  <c r="E41" i="42"/>
  <c r="E42" i="42"/>
  <c r="E43" i="42"/>
  <c r="E44" i="42"/>
  <c r="E45" i="42"/>
  <c r="E46" i="42"/>
  <c r="E47" i="42"/>
  <c r="E48" i="42"/>
  <c r="L5" i="45" l="1"/>
  <c r="L6" i="45"/>
  <c r="L7" i="45"/>
  <c r="L8" i="45"/>
  <c r="L9" i="45"/>
  <c r="L10" i="45"/>
  <c r="L11" i="45"/>
  <c r="L12" i="45"/>
  <c r="L13" i="45"/>
  <c r="L14" i="45"/>
  <c r="L15" i="45"/>
  <c r="L16" i="45"/>
  <c r="L17" i="45"/>
  <c r="L18" i="45"/>
  <c r="L19" i="45"/>
  <c r="D79" i="42"/>
  <c r="D80" i="42"/>
  <c r="D81" i="42"/>
  <c r="D82" i="42"/>
  <c r="D83" i="42"/>
  <c r="D84" i="42"/>
  <c r="D85" i="42"/>
  <c r="D86" i="42"/>
  <c r="D87" i="42"/>
  <c r="D88" i="42"/>
  <c r="D89" i="42"/>
  <c r="D90" i="42"/>
  <c r="D91" i="42"/>
  <c r="D92" i="42"/>
  <c r="D78" i="42"/>
  <c r="H11" i="45" l="1"/>
  <c r="J48" i="66" s="1"/>
  <c r="D40" i="42"/>
  <c r="H19" i="45"/>
  <c r="J56" i="66" s="1"/>
  <c r="D48" i="42"/>
  <c r="H10" i="45"/>
  <c r="J47" i="66" s="1"/>
  <c r="D39" i="42"/>
  <c r="H14" i="45"/>
  <c r="J51" i="66" s="1"/>
  <c r="D43" i="42"/>
  <c r="H13" i="45"/>
  <c r="J50" i="66" s="1"/>
  <c r="D42" i="42"/>
  <c r="H12" i="45"/>
  <c r="J49" i="66" s="1"/>
  <c r="D41" i="42"/>
  <c r="H17" i="45"/>
  <c r="J54" i="66" s="1"/>
  <c r="D46" i="42"/>
  <c r="H8" i="45"/>
  <c r="J45" i="66" s="1"/>
  <c r="D37" i="42"/>
  <c r="H5" i="45"/>
  <c r="J42" i="66" s="1"/>
  <c r="D34" i="42"/>
  <c r="H18" i="45"/>
  <c r="J55" i="66" s="1"/>
  <c r="D47" i="42"/>
  <c r="H9" i="45"/>
  <c r="J46" i="66" s="1"/>
  <c r="D38" i="42"/>
  <c r="H16" i="45"/>
  <c r="J53" i="66" s="1"/>
  <c r="D45" i="42"/>
  <c r="H15" i="45"/>
  <c r="J52" i="66" s="1"/>
  <c r="D44" i="42"/>
  <c r="H7" i="45"/>
  <c r="J44" i="66" s="1"/>
  <c r="D36" i="42"/>
  <c r="H6" i="45"/>
  <c r="J43" i="66" s="1"/>
  <c r="D35" i="42"/>
  <c r="G5" i="45"/>
  <c r="G6" i="45"/>
  <c r="G7" i="45"/>
  <c r="G8" i="45"/>
  <c r="G9" i="45"/>
  <c r="G10" i="45"/>
  <c r="G11" i="45"/>
  <c r="G12" i="45"/>
  <c r="G13" i="45"/>
  <c r="G14" i="45"/>
  <c r="G15" i="45"/>
  <c r="G16" i="45"/>
  <c r="G17" i="45"/>
  <c r="G18" i="45"/>
  <c r="G19" i="45"/>
  <c r="F5" i="45"/>
  <c r="F6" i="45"/>
  <c r="F7" i="45"/>
  <c r="F8" i="45"/>
  <c r="F9" i="45"/>
  <c r="F10" i="45"/>
  <c r="F11" i="45"/>
  <c r="F12" i="45"/>
  <c r="F13" i="45"/>
  <c r="F14" i="45"/>
  <c r="F15" i="45"/>
  <c r="F16" i="45"/>
  <c r="F17" i="45"/>
  <c r="F18" i="45"/>
  <c r="F19" i="45"/>
  <c r="E5" i="45"/>
  <c r="E6" i="45"/>
  <c r="E7" i="45"/>
  <c r="E8" i="45"/>
  <c r="E9" i="45"/>
  <c r="E10" i="45"/>
  <c r="E11" i="45"/>
  <c r="E12" i="45"/>
  <c r="E13" i="45"/>
  <c r="E14" i="45"/>
  <c r="E15" i="45"/>
  <c r="E16" i="45"/>
  <c r="E17" i="45"/>
  <c r="E18" i="45"/>
  <c r="E19" i="45"/>
  <c r="D5" i="45"/>
  <c r="D6" i="45"/>
  <c r="D7" i="45"/>
  <c r="D8" i="45"/>
  <c r="D9" i="45"/>
  <c r="D10" i="45"/>
  <c r="D11" i="45"/>
  <c r="D12" i="45"/>
  <c r="D13" i="45"/>
  <c r="D14" i="45"/>
  <c r="D15" i="45"/>
  <c r="D16" i="45"/>
  <c r="D17" i="45"/>
  <c r="D18" i="45"/>
  <c r="D19" i="45"/>
  <c r="K39" i="47" l="1"/>
  <c r="K38" i="47"/>
  <c r="K37" i="47"/>
  <c r="K41" i="47"/>
  <c r="K40" i="47"/>
  <c r="K36" i="47"/>
  <c r="K35" i="47"/>
  <c r="K34" i="47"/>
  <c r="K33" i="47"/>
  <c r="K32" i="47"/>
  <c r="K31" i="47"/>
  <c r="K30" i="47"/>
  <c r="K29" i="47"/>
  <c r="K28" i="47"/>
  <c r="K27" i="47"/>
  <c r="I6" i="45" l="1"/>
  <c r="K43" i="66" s="1"/>
  <c r="I9" i="45"/>
  <c r="K46" i="66" s="1"/>
  <c r="I10" i="45"/>
  <c r="K47" i="66" s="1"/>
  <c r="I11" i="45"/>
  <c r="K48" i="66" s="1"/>
  <c r="I12" i="45"/>
  <c r="K49" i="66" s="1"/>
  <c r="I13" i="45"/>
  <c r="K50" i="66" s="1"/>
  <c r="I14" i="45"/>
  <c r="K51" i="66" s="1"/>
  <c r="I15" i="45"/>
  <c r="K52" i="66" s="1"/>
  <c r="I16" i="45"/>
  <c r="K53" i="66" s="1"/>
  <c r="I17" i="45"/>
  <c r="K54" i="66" s="1"/>
  <c r="I18" i="45"/>
  <c r="K55" i="66" s="1"/>
  <c r="I19" i="45"/>
  <c r="K56" i="66" s="1"/>
  <c r="I5" i="45"/>
  <c r="K42" i="66" s="1"/>
  <c r="E17" i="47"/>
  <c r="B25" i="66" s="1"/>
  <c r="E15" i="47"/>
  <c r="E64" i="47"/>
  <c r="E12" i="47"/>
  <c r="E11" i="47"/>
  <c r="E62" i="47" s="1"/>
  <c r="E10" i="47"/>
  <c r="E9" i="47"/>
  <c r="E63" i="47" s="1"/>
  <c r="M11" i="54"/>
  <c r="N11" i="54"/>
  <c r="O11" i="54"/>
  <c r="AB11" i="54"/>
  <c r="AC11" i="54"/>
  <c r="AD11" i="54"/>
  <c r="AM11" i="54"/>
  <c r="AR11" i="54"/>
  <c r="AU11" i="54"/>
  <c r="BH11" i="54"/>
  <c r="BI11" i="54"/>
  <c r="BK11" i="54"/>
  <c r="BY11" i="54"/>
  <c r="B14" i="54"/>
  <c r="B15" i="54" s="1"/>
  <c r="B11" i="54" s="1"/>
  <c r="C14" i="54"/>
  <c r="C15" i="54" s="1"/>
  <c r="C11" i="54" s="1"/>
  <c r="D14" i="54"/>
  <c r="E14" i="54"/>
  <c r="F14" i="54"/>
  <c r="G14" i="54"/>
  <c r="H14" i="54"/>
  <c r="H15" i="54" s="1"/>
  <c r="H11" i="54" s="1"/>
  <c r="I14" i="54"/>
  <c r="I15" i="54" s="1"/>
  <c r="I11" i="54" s="1"/>
  <c r="J14" i="54"/>
  <c r="J15" i="54" s="1"/>
  <c r="J11" i="54" s="1"/>
  <c r="K14" i="54"/>
  <c r="K15" i="54" s="1"/>
  <c r="K11" i="54" s="1"/>
  <c r="L14" i="54"/>
  <c r="M14" i="54"/>
  <c r="N14" i="54"/>
  <c r="O14" i="54"/>
  <c r="P14" i="54"/>
  <c r="P15" i="54" s="1"/>
  <c r="P11" i="54" s="1"/>
  <c r="Q14" i="54"/>
  <c r="Q15" i="54" s="1"/>
  <c r="Q11" i="54" s="1"/>
  <c r="R14" i="54"/>
  <c r="R15" i="54" s="1"/>
  <c r="R11" i="54" s="1"/>
  <c r="S14" i="54"/>
  <c r="S15" i="54" s="1"/>
  <c r="S11" i="54" s="1"/>
  <c r="T14" i="54"/>
  <c r="U14" i="54"/>
  <c r="V14" i="54"/>
  <c r="W14" i="54"/>
  <c r="X14" i="54"/>
  <c r="X15" i="54" s="1"/>
  <c r="X11" i="54" s="1"/>
  <c r="Y14" i="54"/>
  <c r="Y15" i="54" s="1"/>
  <c r="Y11" i="54" s="1"/>
  <c r="Z14" i="54"/>
  <c r="Z15" i="54" s="1"/>
  <c r="Z11" i="54" s="1"/>
  <c r="AA14" i="54"/>
  <c r="AA15" i="54" s="1"/>
  <c r="AA11" i="54" s="1"/>
  <c r="AB14" i="54"/>
  <c r="AB15" i="54" s="1"/>
  <c r="AC14" i="54"/>
  <c r="AD14" i="54"/>
  <c r="AE14" i="54"/>
  <c r="AF14" i="54"/>
  <c r="AG14" i="54"/>
  <c r="AG15" i="54" s="1"/>
  <c r="AG11" i="54" s="1"/>
  <c r="AH14" i="54"/>
  <c r="AH15" i="54" s="1"/>
  <c r="AH11" i="54" s="1"/>
  <c r="AI14" i="54"/>
  <c r="AI15" i="54" s="1"/>
  <c r="AI11" i="54" s="1"/>
  <c r="AJ14" i="54"/>
  <c r="AK14" i="54"/>
  <c r="AL14" i="54"/>
  <c r="AM14" i="54"/>
  <c r="AN14" i="54"/>
  <c r="AN15" i="54" s="1"/>
  <c r="AN11" i="54" s="1"/>
  <c r="AO14" i="54"/>
  <c r="AO15" i="54" s="1"/>
  <c r="AO11" i="54" s="1"/>
  <c r="AP14" i="54"/>
  <c r="AP15" i="54" s="1"/>
  <c r="AP11" i="54" s="1"/>
  <c r="AQ14" i="54"/>
  <c r="AQ15" i="54" s="1"/>
  <c r="AQ11" i="54" s="1"/>
  <c r="AR14" i="54"/>
  <c r="AS14" i="54"/>
  <c r="AT14" i="54"/>
  <c r="AU14" i="54"/>
  <c r="AV14" i="54"/>
  <c r="AW14" i="54"/>
  <c r="AW15" i="54" s="1"/>
  <c r="AW11" i="54" s="1"/>
  <c r="AX14" i="54"/>
  <c r="AX15" i="54" s="1"/>
  <c r="AX11" i="54" s="1"/>
  <c r="AY14" i="54"/>
  <c r="AY15" i="54" s="1"/>
  <c r="AY11" i="54" s="1"/>
  <c r="AZ14" i="54"/>
  <c r="BA14" i="54"/>
  <c r="BB14" i="54"/>
  <c r="BC14" i="54"/>
  <c r="BD14" i="54"/>
  <c r="BE14" i="54"/>
  <c r="BE15" i="54" s="1"/>
  <c r="BE11" i="54" s="1"/>
  <c r="BF14" i="54"/>
  <c r="BF15" i="54" s="1"/>
  <c r="BF11" i="54" s="1"/>
  <c r="BG14" i="54"/>
  <c r="BG15" i="54" s="1"/>
  <c r="BG11" i="54" s="1"/>
  <c r="BH14" i="54"/>
  <c r="BI14" i="54"/>
  <c r="BJ14" i="54"/>
  <c r="BK14" i="54"/>
  <c r="BL14" i="54"/>
  <c r="BL15" i="54" s="1"/>
  <c r="BL11" i="54" s="1"/>
  <c r="BM14" i="54"/>
  <c r="BM15" i="54" s="1"/>
  <c r="BM11" i="54" s="1"/>
  <c r="BN14" i="54"/>
  <c r="BN15" i="54" s="1"/>
  <c r="BN11" i="54" s="1"/>
  <c r="BO14" i="54"/>
  <c r="BO15" i="54" s="1"/>
  <c r="BO11" i="54" s="1"/>
  <c r="BP14" i="54"/>
  <c r="BQ14" i="54"/>
  <c r="BR14" i="54"/>
  <c r="BS14" i="54"/>
  <c r="BT14" i="54"/>
  <c r="BT15" i="54" s="1"/>
  <c r="BT11" i="54" s="1"/>
  <c r="BU14" i="54"/>
  <c r="BU15" i="54" s="1"/>
  <c r="BU11" i="54" s="1"/>
  <c r="BV14" i="54"/>
  <c r="BV15" i="54" s="1"/>
  <c r="BV11" i="54" s="1"/>
  <c r="BW14" i="54"/>
  <c r="BW15" i="54" s="1"/>
  <c r="BW11" i="54" s="1"/>
  <c r="BX14" i="54"/>
  <c r="BY14" i="54"/>
  <c r="D15" i="54"/>
  <c r="D11" i="54" s="1"/>
  <c r="E15" i="54"/>
  <c r="E11" i="54" s="1"/>
  <c r="F15" i="54"/>
  <c r="F11" i="54" s="1"/>
  <c r="G15" i="54"/>
  <c r="G11" i="54" s="1"/>
  <c r="L15" i="54"/>
  <c r="L11" i="54" s="1"/>
  <c r="M15" i="54"/>
  <c r="N15" i="54"/>
  <c r="O15" i="54"/>
  <c r="T15" i="54"/>
  <c r="T11" i="54" s="1"/>
  <c r="U15" i="54"/>
  <c r="U11" i="54" s="1"/>
  <c r="V15" i="54"/>
  <c r="V11" i="54" s="1"/>
  <c r="W15" i="54"/>
  <c r="W11" i="54" s="1"/>
  <c r="AC15" i="54"/>
  <c r="AD15" i="54"/>
  <c r="AE15" i="54"/>
  <c r="AE11" i="54" s="1"/>
  <c r="AF15" i="54"/>
  <c r="AF11" i="54" s="1"/>
  <c r="AJ15" i="54"/>
  <c r="AJ11" i="54" s="1"/>
  <c r="AK15" i="54"/>
  <c r="AK11" i="54" s="1"/>
  <c r="AL15" i="54"/>
  <c r="AL11" i="54" s="1"/>
  <c r="AM15" i="54"/>
  <c r="AR15" i="54"/>
  <c r="AS15" i="54"/>
  <c r="AS11" i="54" s="1"/>
  <c r="AT15" i="54"/>
  <c r="AT11" i="54" s="1"/>
  <c r="AU15" i="54"/>
  <c r="AV15" i="54"/>
  <c r="AV11" i="54" s="1"/>
  <c r="AZ15" i="54"/>
  <c r="AZ11" i="54" s="1"/>
  <c r="BA15" i="54"/>
  <c r="BA11" i="54" s="1"/>
  <c r="BB15" i="54"/>
  <c r="BB11" i="54" s="1"/>
  <c r="BC15" i="54"/>
  <c r="BC11" i="54" s="1"/>
  <c r="BD15" i="54"/>
  <c r="BD11" i="54" s="1"/>
  <c r="BH15" i="54"/>
  <c r="BI15" i="54"/>
  <c r="BJ15" i="54"/>
  <c r="BJ11" i="54" s="1"/>
  <c r="BK15" i="54"/>
  <c r="BP15" i="54"/>
  <c r="BP11" i="54" s="1"/>
  <c r="BQ15" i="54"/>
  <c r="BQ11" i="54" s="1"/>
  <c r="BR15" i="54"/>
  <c r="BR11" i="54" s="1"/>
  <c r="BS15" i="54"/>
  <c r="BS11" i="54" s="1"/>
  <c r="BX15" i="54"/>
  <c r="BX11" i="54" s="1"/>
  <c r="BY15" i="54"/>
  <c r="E2" i="51"/>
  <c r="G2" i="51" a="1"/>
  <c r="G2" i="51" s="1"/>
  <c r="H2" i="51" s="1"/>
  <c r="E3" i="51"/>
  <c r="G3" i="51" a="1"/>
  <c r="G3" i="51" s="1"/>
  <c r="H3" i="51" s="1"/>
  <c r="E4" i="51"/>
  <c r="G4" i="51" a="1"/>
  <c r="G4" i="51" s="1"/>
  <c r="H4" i="51" s="1"/>
  <c r="E5" i="51"/>
  <c r="G5" i="51" a="1"/>
  <c r="G5" i="51" s="1"/>
  <c r="H5" i="51" s="1"/>
  <c r="E6" i="51"/>
  <c r="G6" i="51" a="1"/>
  <c r="G6" i="51" s="1"/>
  <c r="H6" i="51" s="1"/>
  <c r="E7" i="51"/>
  <c r="G7" i="51" a="1"/>
  <c r="G7" i="51"/>
  <c r="H7" i="51" s="1"/>
  <c r="E8" i="51"/>
  <c r="G8" i="51" a="1"/>
  <c r="G8" i="51" s="1"/>
  <c r="H8" i="51" s="1"/>
  <c r="E9" i="51"/>
  <c r="G9" i="51" a="1"/>
  <c r="G9" i="51" s="1"/>
  <c r="H9" i="51" s="1"/>
  <c r="E10" i="51"/>
  <c r="G10" i="51" a="1"/>
  <c r="G10" i="51" s="1"/>
  <c r="H10" i="51" s="1"/>
  <c r="E11" i="51"/>
  <c r="G11" i="51" a="1"/>
  <c r="G11" i="51" s="1"/>
  <c r="H11" i="51" s="1"/>
  <c r="E12" i="51"/>
  <c r="G12" i="51" a="1"/>
  <c r="G12" i="51" s="1"/>
  <c r="H12" i="51" s="1"/>
  <c r="E13" i="51"/>
  <c r="G13" i="51" a="1"/>
  <c r="G13" i="51" s="1"/>
  <c r="H13" i="51" s="1"/>
  <c r="E14" i="51"/>
  <c r="G14" i="51" a="1"/>
  <c r="G14" i="51" s="1"/>
  <c r="H14" i="51" s="1"/>
  <c r="E15" i="51"/>
  <c r="G15" i="51" a="1"/>
  <c r="G15" i="51" s="1"/>
  <c r="H15" i="51" s="1"/>
  <c r="E16" i="51"/>
  <c r="G16" i="51" a="1"/>
  <c r="G16" i="51" s="1"/>
  <c r="H16" i="51" s="1"/>
  <c r="E17" i="51"/>
  <c r="G17" i="51" a="1"/>
  <c r="G17" i="51" s="1"/>
  <c r="H17" i="51" s="1"/>
  <c r="E18" i="51"/>
  <c r="G18" i="51" a="1"/>
  <c r="G18" i="51" s="1"/>
  <c r="H18" i="51" s="1"/>
  <c r="E19" i="51"/>
  <c r="G19" i="51" a="1"/>
  <c r="G19" i="51" s="1"/>
  <c r="H19" i="51" s="1"/>
  <c r="E20" i="51"/>
  <c r="G20" i="51" a="1"/>
  <c r="G20" i="51" s="1"/>
  <c r="H20" i="51" s="1"/>
  <c r="E21" i="51"/>
  <c r="G21" i="51" a="1"/>
  <c r="G21" i="51" s="1"/>
  <c r="H21" i="51" s="1"/>
  <c r="E22" i="51"/>
  <c r="G22" i="51" a="1"/>
  <c r="G22" i="51" s="1"/>
  <c r="H22" i="51" s="1"/>
  <c r="E23" i="51"/>
  <c r="G23" i="51" a="1"/>
  <c r="G23" i="51" s="1"/>
  <c r="H23" i="51" s="1"/>
  <c r="E24" i="51"/>
  <c r="G24" i="51" a="1"/>
  <c r="G24" i="51" s="1"/>
  <c r="H24" i="51" s="1"/>
  <c r="E25" i="51"/>
  <c r="G25" i="51" a="1"/>
  <c r="G25" i="51" s="1"/>
  <c r="H25" i="51" s="1"/>
  <c r="E26" i="51"/>
  <c r="G26" i="51" a="1"/>
  <c r="G26" i="51" s="1"/>
  <c r="H26" i="51" s="1"/>
  <c r="E27" i="51"/>
  <c r="G27" i="51" a="1"/>
  <c r="G27" i="51" s="1"/>
  <c r="H27" i="51" s="1"/>
  <c r="E28" i="51"/>
  <c r="G28" i="51" a="1"/>
  <c r="G28" i="51" s="1"/>
  <c r="H28" i="51" s="1"/>
  <c r="L27" i="47"/>
  <c r="AK42" i="47"/>
  <c r="C165" i="41" l="1"/>
  <c r="C25" i="44" s="1"/>
  <c r="N39" i="47"/>
  <c r="N32" i="47"/>
  <c r="N35" i="47"/>
  <c r="E65" i="47"/>
  <c r="C164" i="41"/>
  <c r="C166" i="41"/>
  <c r="C163" i="41"/>
  <c r="I8" i="45"/>
  <c r="K45" i="66" s="1"/>
  <c r="C158" i="41"/>
  <c r="I7" i="45"/>
  <c r="K44" i="66" s="1"/>
  <c r="C156" i="41"/>
  <c r="C160" i="41"/>
  <c r="C169" i="41" l="1"/>
  <c r="C157" i="41"/>
  <c r="C168" i="41"/>
  <c r="C167" i="41"/>
  <c r="V21" i="42"/>
  <c r="C162" i="41"/>
  <c r="C44" i="42"/>
  <c r="V2" i="41"/>
  <c r="C88" i="42"/>
  <c r="C159" i="41"/>
  <c r="C155" i="41"/>
  <c r="V20" i="42"/>
  <c r="C87" i="42"/>
  <c r="C81" i="42"/>
  <c r="C89" i="42"/>
  <c r="C83" i="42"/>
  <c r="C79" i="42"/>
  <c r="C86" i="42"/>
  <c r="C42" i="42"/>
  <c r="V19" i="42"/>
  <c r="C35" i="42"/>
  <c r="V12" i="42"/>
  <c r="C39" i="42"/>
  <c r="V16" i="42"/>
  <c r="C45" i="42"/>
  <c r="V22" i="42"/>
  <c r="C37" i="42"/>
  <c r="V14" i="42"/>
  <c r="U2" i="41"/>
  <c r="C43" i="42"/>
  <c r="N30" i="47"/>
  <c r="O6" i="47"/>
  <c r="E67" i="47"/>
  <c r="W2" i="41"/>
  <c r="O2" i="41"/>
  <c r="Q2" i="41"/>
  <c r="T2" i="41"/>
  <c r="M2" i="41"/>
  <c r="C23" i="44"/>
  <c r="C24" i="44"/>
  <c r="C26" i="44"/>
  <c r="C18" i="44"/>
  <c r="C161" i="41"/>
  <c r="C16" i="44"/>
  <c r="C20" i="44"/>
  <c r="N34" i="47"/>
  <c r="N27" i="47"/>
  <c r="N29" i="47"/>
  <c r="N36" i="47"/>
  <c r="N28" i="47"/>
  <c r="N37" i="47"/>
  <c r="N33" i="47"/>
  <c r="N40" i="47"/>
  <c r="N31" i="47"/>
  <c r="N38" i="47"/>
  <c r="N41" i="47"/>
  <c r="W147" i="41" a="1"/>
  <c r="M148" i="41" a="1"/>
  <c r="O148" i="41" a="1"/>
  <c r="V151" i="41" a="1"/>
  <c r="Q147" i="41" a="1"/>
  <c r="U148" i="41" a="1"/>
  <c r="Q148" i="41" a="1"/>
  <c r="M147" i="41" a="1"/>
  <c r="U151" i="41" a="1"/>
  <c r="T147" i="41" a="1"/>
  <c r="U147" i="41" a="1"/>
  <c r="T148" i="41" a="1"/>
  <c r="O151" i="41" a="1"/>
  <c r="Q151" i="41" a="1"/>
  <c r="V148" i="41" a="1"/>
  <c r="M151" i="41" a="1"/>
  <c r="O147" i="41" a="1"/>
  <c r="V147" i="41" a="1"/>
  <c r="W148" i="41" a="1"/>
  <c r="T151" i="41" a="1"/>
  <c r="W151" i="41" a="1"/>
  <c r="V151" i="41" l="1"/>
  <c r="H25" i="44" s="1"/>
  <c r="V147" i="41"/>
  <c r="D25" i="44" s="1"/>
  <c r="V148" i="41"/>
  <c r="E25" i="44" s="1"/>
  <c r="O151" i="41"/>
  <c r="O148" i="41"/>
  <c r="E18" i="44" s="1"/>
  <c r="O147" i="41"/>
  <c r="W151" i="41"/>
  <c r="W148" i="41"/>
  <c r="E26" i="44" s="1"/>
  <c r="W147" i="41"/>
  <c r="Q151" i="41"/>
  <c r="Q148" i="41"/>
  <c r="E20" i="44" s="1"/>
  <c r="Q147" i="41"/>
  <c r="U151" i="41"/>
  <c r="U147" i="41"/>
  <c r="U148" i="41"/>
  <c r="E24" i="44" s="1"/>
  <c r="T151" i="41"/>
  <c r="T147" i="41"/>
  <c r="T148" i="41"/>
  <c r="E23" i="44" s="1"/>
  <c r="M148" i="41"/>
  <c r="I79" i="42" s="1"/>
  <c r="M151" i="41"/>
  <c r="M147" i="41"/>
  <c r="C41" i="42"/>
  <c r="C22" i="44"/>
  <c r="S2" i="41"/>
  <c r="V13" i="42"/>
  <c r="C17" i="44"/>
  <c r="C36" i="42"/>
  <c r="N2" i="41"/>
  <c r="C80" i="42"/>
  <c r="V25" i="42"/>
  <c r="Z2" i="41"/>
  <c r="C29" i="44"/>
  <c r="C48" i="42"/>
  <c r="C92" i="42"/>
  <c r="V23" i="42"/>
  <c r="C90" i="42"/>
  <c r="C46" i="42"/>
  <c r="X2" i="41"/>
  <c r="C27" i="44"/>
  <c r="C19" i="44"/>
  <c r="P2" i="41"/>
  <c r="V15" i="42"/>
  <c r="C82" i="42"/>
  <c r="C38" i="42"/>
  <c r="C91" i="42"/>
  <c r="C47" i="42"/>
  <c r="V24" i="42"/>
  <c r="C28" i="44"/>
  <c r="Y2" i="41"/>
  <c r="V18" i="42"/>
  <c r="C85" i="42"/>
  <c r="V11" i="42"/>
  <c r="C78" i="42"/>
  <c r="L2" i="41"/>
  <c r="C15" i="44"/>
  <c r="C34" i="42"/>
  <c r="C84" i="42"/>
  <c r="C40" i="42"/>
  <c r="V17" i="42"/>
  <c r="R2" i="41"/>
  <c r="C21" i="44"/>
  <c r="Q150" i="41" a="1"/>
  <c r="Z149" i="41" a="1"/>
  <c r="S151" i="41" a="1"/>
  <c r="Z151" i="41" a="1"/>
  <c r="R151" i="41" a="1"/>
  <c r="Y148" i="41" a="1"/>
  <c r="Y151" i="41" a="1"/>
  <c r="L147" i="41" a="1"/>
  <c r="U150" i="41" a="1"/>
  <c r="N151" i="41" a="1"/>
  <c r="W150" i="41" a="1"/>
  <c r="Z148" i="41" a="1"/>
  <c r="X147" i="41" a="1"/>
  <c r="Z147" i="41" a="1"/>
  <c r="N148" i="41" a="1"/>
  <c r="X148" i="41" a="1"/>
  <c r="P151" i="41" a="1"/>
  <c r="P147" i="41" a="1"/>
  <c r="T150" i="41" a="1"/>
  <c r="N147" i="41" a="1"/>
  <c r="M150" i="41" a="1"/>
  <c r="S148" i="41" a="1"/>
  <c r="L151" i="41" a="1"/>
  <c r="Y147" i="41" a="1"/>
  <c r="O150" i="41" a="1"/>
  <c r="R147" i="41" a="1"/>
  <c r="V150" i="41" a="1"/>
  <c r="X151" i="41" a="1"/>
  <c r="S147" i="41" a="1"/>
  <c r="R148" i="41" a="1"/>
  <c r="P148" i="41" a="1"/>
  <c r="Z151" i="41" l="1"/>
  <c r="H29" i="44" s="1"/>
  <c r="Z149" i="41"/>
  <c r="Z148" i="41"/>
  <c r="E29" i="44" s="1"/>
  <c r="Z147" i="41"/>
  <c r="D29" i="44" s="1"/>
  <c r="P151" i="41"/>
  <c r="H19" i="44" s="1"/>
  <c r="P147" i="41"/>
  <c r="P148" i="41"/>
  <c r="E19" i="44" s="1"/>
  <c r="X151" i="41"/>
  <c r="H27" i="44" s="1"/>
  <c r="X148" i="41"/>
  <c r="E27" i="44" s="1"/>
  <c r="X147" i="41"/>
  <c r="D27" i="44" s="1"/>
  <c r="S151" i="41"/>
  <c r="H22" i="44" s="1"/>
  <c r="S147" i="41"/>
  <c r="D22" i="44" s="1"/>
  <c r="S148" i="41"/>
  <c r="E22" i="44" s="1"/>
  <c r="Y151" i="41"/>
  <c r="H28" i="44" s="1"/>
  <c r="Y148" i="41"/>
  <c r="E28" i="44" s="1"/>
  <c r="Y147" i="41"/>
  <c r="D28" i="44" s="1"/>
  <c r="W150" i="41"/>
  <c r="V150" i="41"/>
  <c r="R151" i="41"/>
  <c r="R148" i="41"/>
  <c r="E21" i="44" s="1"/>
  <c r="R147" i="41"/>
  <c r="U150" i="41"/>
  <c r="Q150" i="41"/>
  <c r="T150" i="41"/>
  <c r="O150" i="41"/>
  <c r="L151" i="41"/>
  <c r="H15" i="44" s="1"/>
  <c r="L147" i="41"/>
  <c r="N148" i="41"/>
  <c r="N151" i="41"/>
  <c r="H17" i="44" s="1"/>
  <c r="N147" i="41"/>
  <c r="M150" i="41"/>
  <c r="D26" i="44"/>
  <c r="D23" i="44"/>
  <c r="D20" i="44"/>
  <c r="D18" i="44"/>
  <c r="H20" i="44"/>
  <c r="D24" i="44"/>
  <c r="H79" i="42"/>
  <c r="D16" i="44"/>
  <c r="H16" i="44"/>
  <c r="H23" i="44"/>
  <c r="H18" i="44"/>
  <c r="H24" i="44"/>
  <c r="H26" i="44"/>
  <c r="E16" i="44"/>
  <c r="L79" i="42"/>
  <c r="L78" i="42"/>
  <c r="M78" i="42"/>
  <c r="J5" i="45"/>
  <c r="L42" i="66" s="1"/>
  <c r="J6" i="45"/>
  <c r="L43" i="66" s="1"/>
  <c r="J7" i="45"/>
  <c r="L44" i="66" s="1"/>
  <c r="J8" i="45"/>
  <c r="L45" i="66" s="1"/>
  <c r="J9" i="45"/>
  <c r="L46" i="66" s="1"/>
  <c r="J10" i="45"/>
  <c r="L47" i="66" s="1"/>
  <c r="J11" i="45"/>
  <c r="L48" i="66" s="1"/>
  <c r="J12" i="45"/>
  <c r="L49" i="66" s="1"/>
  <c r="J13" i="45"/>
  <c r="L50" i="66" s="1"/>
  <c r="J14" i="45"/>
  <c r="L51" i="66" s="1"/>
  <c r="J15" i="45"/>
  <c r="L52" i="66" s="1"/>
  <c r="J16" i="45"/>
  <c r="L53" i="66" s="1"/>
  <c r="J17" i="45"/>
  <c r="L54" i="66" s="1"/>
  <c r="J18" i="45"/>
  <c r="L55" i="66" s="1"/>
  <c r="J19" i="45"/>
  <c r="L56" i="66" s="1"/>
  <c r="R150" i="41" a="1"/>
  <c r="N150" i="41" a="1"/>
  <c r="X150" i="41" a="1"/>
  <c r="S150" i="41" a="1"/>
  <c r="Y150" i="41" a="1"/>
  <c r="Z150" i="41" a="1"/>
  <c r="P150" i="41" a="1"/>
  <c r="I80" i="42" l="1"/>
  <c r="I78" i="42"/>
  <c r="H78" i="42"/>
  <c r="D19" i="44"/>
  <c r="D17" i="44"/>
  <c r="Y150" i="41"/>
  <c r="Z150" i="41"/>
  <c r="X150" i="41"/>
  <c r="S150" i="41"/>
  <c r="P150" i="41"/>
  <c r="R150" i="41"/>
  <c r="E15" i="44"/>
  <c r="G16" i="44"/>
  <c r="H80" i="42"/>
  <c r="G18" i="44"/>
  <c r="D15" i="44"/>
  <c r="E17" i="44"/>
  <c r="N150" i="41"/>
  <c r="D21" i="44"/>
  <c r="H21" i="44"/>
  <c r="L93" i="42"/>
  <c r="M12" i="42"/>
  <c r="M13" i="42"/>
  <c r="M14" i="42"/>
  <c r="M15" i="42"/>
  <c r="M16" i="42"/>
  <c r="M17" i="42"/>
  <c r="M18" i="42"/>
  <c r="M19" i="42"/>
  <c r="M20" i="42"/>
  <c r="M21" i="42"/>
  <c r="M22" i="42"/>
  <c r="M23" i="42"/>
  <c r="M24" i="42"/>
  <c r="M25" i="42"/>
  <c r="M11" i="42"/>
  <c r="C11" i="42"/>
  <c r="C12" i="42"/>
  <c r="C13" i="42"/>
  <c r="C14" i="42"/>
  <c r="C15" i="42"/>
  <c r="C16" i="42"/>
  <c r="C17" i="42"/>
  <c r="C18" i="42"/>
  <c r="C19" i="42"/>
  <c r="C20" i="42"/>
  <c r="C21" i="42"/>
  <c r="C22" i="42"/>
  <c r="C23" i="42"/>
  <c r="C24" i="42"/>
  <c r="C25" i="42"/>
  <c r="I93" i="42" l="1"/>
  <c r="H93" i="42"/>
  <c r="G21" i="44"/>
  <c r="G17" i="44"/>
  <c r="G29" i="44"/>
  <c r="G24" i="44"/>
  <c r="G20" i="44"/>
  <c r="G22" i="44"/>
  <c r="G26" i="44"/>
  <c r="G28" i="44"/>
  <c r="G25" i="44"/>
  <c r="G27" i="44"/>
  <c r="G23" i="44"/>
  <c r="G19" i="44"/>
  <c r="G15" i="44"/>
  <c r="N10" i="45"/>
  <c r="N11" i="45"/>
  <c r="N12" i="45"/>
  <c r="N13" i="45"/>
  <c r="N16" i="45"/>
  <c r="N17" i="45"/>
  <c r="N19" i="45"/>
  <c r="N5" i="45"/>
  <c r="N6" i="45"/>
  <c r="N14" i="45"/>
  <c r="N15" i="45"/>
  <c r="N8" i="45"/>
  <c r="N9" i="45"/>
  <c r="N18" i="45"/>
  <c r="N7" i="45"/>
  <c r="F3" i="42"/>
  <c r="P7" i="45" l="1"/>
  <c r="M44" i="66"/>
  <c r="P19" i="45"/>
  <c r="M56" i="66"/>
  <c r="P18" i="45"/>
  <c r="M55" i="66"/>
  <c r="P16" i="45"/>
  <c r="M53" i="66"/>
  <c r="P13" i="45"/>
  <c r="M50" i="66"/>
  <c r="P15" i="45"/>
  <c r="M52" i="66"/>
  <c r="P12" i="45"/>
  <c r="M49" i="66"/>
  <c r="P5" i="45"/>
  <c r="M42" i="66"/>
  <c r="P11" i="45"/>
  <c r="M48" i="66"/>
  <c r="P17" i="45"/>
  <c r="M54" i="66"/>
  <c r="P9" i="45"/>
  <c r="M46" i="66"/>
  <c r="P8" i="45"/>
  <c r="M45" i="66"/>
  <c r="P14" i="45"/>
  <c r="M51" i="66"/>
  <c r="P6" i="45"/>
  <c r="M43" i="66"/>
  <c r="P10" i="45"/>
  <c r="M47" i="66"/>
  <c r="G3" i="42"/>
  <c r="F4" i="42" s="1"/>
  <c r="R8" i="45" l="1"/>
  <c r="O45" i="66"/>
  <c r="R5" i="45"/>
  <c r="O42" i="66"/>
  <c r="R16" i="45"/>
  <c r="O53" i="66"/>
  <c r="R18" i="45"/>
  <c r="O55" i="66"/>
  <c r="R10" i="45"/>
  <c r="O47" i="66"/>
  <c r="R12" i="45"/>
  <c r="O49" i="66"/>
  <c r="R17" i="45"/>
  <c r="O54" i="66"/>
  <c r="R19" i="45"/>
  <c r="O56" i="66"/>
  <c r="R9" i="45"/>
  <c r="O46" i="66"/>
  <c r="R6" i="45"/>
  <c r="O43" i="66"/>
  <c r="R15" i="45"/>
  <c r="O52" i="66"/>
  <c r="R14" i="45"/>
  <c r="O51" i="66"/>
  <c r="R11" i="45"/>
  <c r="O48" i="66"/>
  <c r="R13" i="45"/>
  <c r="O50" i="66"/>
  <c r="R7" i="45"/>
  <c r="O44" i="66"/>
  <c r="G4" i="42"/>
  <c r="F5" i="42" s="1"/>
  <c r="T19" i="45" l="1"/>
  <c r="S56" i="66" s="1"/>
  <c r="Q56" i="66"/>
  <c r="T7" i="45"/>
  <c r="S44" i="66" s="1"/>
  <c r="Q44" i="66"/>
  <c r="Q52" i="66"/>
  <c r="T15" i="45"/>
  <c r="S52" i="66" s="1"/>
  <c r="Q54" i="66"/>
  <c r="T17" i="45"/>
  <c r="S54" i="66" s="1"/>
  <c r="T16" i="45"/>
  <c r="S53" i="66" s="1"/>
  <c r="Q53" i="66"/>
  <c r="T18" i="45"/>
  <c r="S55" i="66" s="1"/>
  <c r="Q55" i="66"/>
  <c r="Q51" i="66"/>
  <c r="T14" i="45"/>
  <c r="S51" i="66" s="1"/>
  <c r="T13" i="45"/>
  <c r="S50" i="66" s="1"/>
  <c r="Q50" i="66"/>
  <c r="T6" i="45"/>
  <c r="S43" i="66" s="1"/>
  <c r="Q43" i="66"/>
  <c r="T12" i="45"/>
  <c r="S49" i="66" s="1"/>
  <c r="Q49" i="66"/>
  <c r="Q42" i="66"/>
  <c r="T5" i="45"/>
  <c r="S42" i="66" s="1"/>
  <c r="T11" i="45"/>
  <c r="S48" i="66" s="1"/>
  <c r="Q48" i="66"/>
  <c r="Q46" i="66"/>
  <c r="T9" i="45"/>
  <c r="S46" i="66" s="1"/>
  <c r="T10" i="45"/>
  <c r="S47" i="66" s="1"/>
  <c r="Q47" i="66"/>
  <c r="Q45" i="66"/>
  <c r="T8" i="45"/>
  <c r="S45" i="66" s="1"/>
  <c r="G5" i="42"/>
  <c r="F6" i="42" s="1"/>
  <c r="H155" i="37"/>
  <c r="C155" i="37"/>
  <c r="M127" i="37"/>
  <c r="J161" i="37" a="1"/>
  <c r="J161" i="37" s="1"/>
  <c r="H161" i="37"/>
  <c r="I161" i="37" s="1"/>
  <c r="C161" i="37"/>
  <c r="E161" i="37" s="1" a="1"/>
  <c r="E161" i="37" s="1"/>
  <c r="H160" i="37"/>
  <c r="J160" i="37" s="1" a="1"/>
  <c r="J160" i="37" s="1"/>
  <c r="C160" i="37"/>
  <c r="E160" i="37" s="1" a="1"/>
  <c r="E160" i="37" s="1"/>
  <c r="H159" i="37"/>
  <c r="J159" i="37" s="1" a="1"/>
  <c r="J159" i="37" s="1"/>
  <c r="C159" i="37"/>
  <c r="E159" i="37" s="1" a="1"/>
  <c r="E159" i="37" s="1"/>
  <c r="H158" i="37"/>
  <c r="I158" i="37" s="1"/>
  <c r="C158" i="37"/>
  <c r="E158" i="37" s="1" a="1"/>
  <c r="E158" i="37" s="1"/>
  <c r="H157" i="37"/>
  <c r="J157" i="37" s="1" a="1"/>
  <c r="J157" i="37" s="1"/>
  <c r="C157" i="37"/>
  <c r="E157" i="37" s="1" a="1"/>
  <c r="E157" i="37" s="1"/>
  <c r="H156" i="37"/>
  <c r="I156" i="37" s="1"/>
  <c r="C156" i="37"/>
  <c r="E156" i="37" s="1" a="1"/>
  <c r="E156" i="37" s="1"/>
  <c r="J155" i="37" a="1"/>
  <c r="J155" i="37" s="1"/>
  <c r="E155" i="37" a="1"/>
  <c r="E155" i="37" s="1"/>
  <c r="H154" i="37"/>
  <c r="I154" i="37" s="1"/>
  <c r="C154" i="37"/>
  <c r="E154" i="37" s="1" a="1"/>
  <c r="E154" i="37" s="1"/>
  <c r="H153" i="37"/>
  <c r="J153" i="37" s="1" a="1"/>
  <c r="J153" i="37" s="1"/>
  <c r="C153" i="37"/>
  <c r="E153" i="37" s="1" a="1"/>
  <c r="E153" i="37" s="1"/>
  <c r="H152" i="37"/>
  <c r="J152" i="37" s="1" a="1"/>
  <c r="J152" i="37" s="1"/>
  <c r="C152" i="37"/>
  <c r="E152" i="37" s="1" a="1"/>
  <c r="E152" i="37" s="1"/>
  <c r="H151" i="37"/>
  <c r="J151" i="37" s="1" a="1"/>
  <c r="J151" i="37" s="1"/>
  <c r="C151" i="37"/>
  <c r="E151" i="37" s="1" a="1"/>
  <c r="E151" i="37" s="1"/>
  <c r="H150" i="37"/>
  <c r="J150" i="37" s="1" a="1"/>
  <c r="J150" i="37" s="1"/>
  <c r="C150" i="37"/>
  <c r="BE123" i="37"/>
  <c r="AQ123" i="37"/>
  <c r="AC123" i="37"/>
  <c r="L123" i="37" a="1"/>
  <c r="L123" i="37" s="1"/>
  <c r="AQ122" i="37"/>
  <c r="AC122" i="37"/>
  <c r="L122" i="37" a="1"/>
  <c r="L122" i="37" s="1"/>
  <c r="AQ121" i="37"/>
  <c r="AC121" i="37"/>
  <c r="L121" i="37" a="1"/>
  <c r="L121" i="37" s="1"/>
  <c r="AQ120" i="37"/>
  <c r="AC120" i="37"/>
  <c r="L120" i="37" a="1"/>
  <c r="L120" i="37" s="1"/>
  <c r="M120" i="37" s="1"/>
  <c r="BE119" i="37"/>
  <c r="AQ119" i="37"/>
  <c r="AC119" i="37"/>
  <c r="L119" i="37" a="1"/>
  <c r="L119" i="37" s="1"/>
  <c r="M119" i="37" s="1"/>
  <c r="BE118" i="37"/>
  <c r="AQ118" i="37"/>
  <c r="AC118" i="37"/>
  <c r="L118" i="37" a="1"/>
  <c r="L118" i="37" s="1"/>
  <c r="M118" i="37" s="1"/>
  <c r="BE117" i="37"/>
  <c r="AQ117" i="37"/>
  <c r="AC117" i="37"/>
  <c r="L117" i="37" a="1"/>
  <c r="L117" i="37" s="1"/>
  <c r="M117" i="37" s="1"/>
  <c r="AQ116" i="37"/>
  <c r="AC116" i="37"/>
  <c r="L116" i="37" a="1"/>
  <c r="L116" i="37" s="1"/>
  <c r="M116" i="37" s="1"/>
  <c r="AQ115" i="37"/>
  <c r="AC115" i="37"/>
  <c r="L115" i="37" a="1"/>
  <c r="L115" i="37" s="1"/>
  <c r="M115" i="37" s="1"/>
  <c r="BE114" i="37"/>
  <c r="AQ114" i="37"/>
  <c r="AC114" i="37"/>
  <c r="L114" i="37" a="1"/>
  <c r="L114" i="37" s="1"/>
  <c r="M114" i="37" s="1"/>
  <c r="BE113" i="37"/>
  <c r="AQ113" i="37"/>
  <c r="AC113" i="37"/>
  <c r="L113" i="37" a="1"/>
  <c r="L113" i="37" s="1"/>
  <c r="M113" i="37" s="1"/>
  <c r="AQ112" i="37"/>
  <c r="AC112" i="37"/>
  <c r="BE111" i="37"/>
  <c r="AQ111" i="37"/>
  <c r="AC111" i="37"/>
  <c r="L111" i="37" a="1"/>
  <c r="L111" i="37" s="1"/>
  <c r="M111" i="37" s="1"/>
  <c r="AQ110" i="37"/>
  <c r="AC110" i="37"/>
  <c r="L110" i="37" a="1"/>
  <c r="L110" i="37" s="1"/>
  <c r="M110" i="37" s="1"/>
  <c r="AQ109" i="37"/>
  <c r="AC109" i="37"/>
  <c r="L109" i="37" a="1"/>
  <c r="L109" i="37" s="1"/>
  <c r="M109" i="37" s="1"/>
  <c r="AQ108" i="37"/>
  <c r="AC108" i="37"/>
  <c r="L108" i="37" a="1"/>
  <c r="L108" i="37" s="1"/>
  <c r="M108" i="37" s="1"/>
  <c r="AQ107" i="37"/>
  <c r="AC107" i="37"/>
  <c r="L107" i="37" a="1"/>
  <c r="L107" i="37" s="1"/>
  <c r="M107" i="37" s="1"/>
  <c r="BE106" i="37"/>
  <c r="AQ106" i="37"/>
  <c r="AC106" i="37"/>
  <c r="L106" i="37" a="1"/>
  <c r="L106" i="37" s="1"/>
  <c r="M106" i="37" s="1"/>
  <c r="BE105" i="37"/>
  <c r="AQ105" i="37"/>
  <c r="AC105" i="37"/>
  <c r="L105" i="37" a="1"/>
  <c r="L105" i="37" s="1"/>
  <c r="M105" i="37" s="1"/>
  <c r="BE104" i="37"/>
  <c r="AQ104" i="37"/>
  <c r="AC104" i="37"/>
  <c r="L104" i="37" a="1"/>
  <c r="L104" i="37" s="1"/>
  <c r="M104" i="37" s="1"/>
  <c r="AQ103" i="37"/>
  <c r="AC103" i="37"/>
  <c r="L103" i="37" a="1"/>
  <c r="L103" i="37" s="1"/>
  <c r="M103" i="37" s="1"/>
  <c r="AQ102" i="37"/>
  <c r="AC102" i="37"/>
  <c r="L102" i="37" a="1"/>
  <c r="L102" i="37" s="1"/>
  <c r="M102" i="37" s="1"/>
  <c r="AQ101" i="37"/>
  <c r="AC101" i="37"/>
  <c r="L101" i="37" a="1"/>
  <c r="L101" i="37" s="1"/>
  <c r="M101" i="37" s="1"/>
  <c r="AQ100" i="37"/>
  <c r="AC100" i="37"/>
  <c r="L100" i="37" a="1"/>
  <c r="L100" i="37" s="1"/>
  <c r="M100" i="37" s="1"/>
  <c r="AQ99" i="37"/>
  <c r="AC99" i="37"/>
  <c r="L99" i="37" a="1"/>
  <c r="L99" i="37" s="1"/>
  <c r="M99" i="37" s="1"/>
  <c r="AQ98" i="37"/>
  <c r="AC98" i="37"/>
  <c r="L98" i="37" a="1"/>
  <c r="L98" i="37" s="1"/>
  <c r="K98" i="37"/>
  <c r="BE97" i="37"/>
  <c r="AQ97" i="37"/>
  <c r="AC97" i="37"/>
  <c r="L97" i="37" a="1"/>
  <c r="L97" i="37" s="1"/>
  <c r="K97" i="37"/>
  <c r="AQ96" i="37"/>
  <c r="AC96" i="37"/>
  <c r="L96" i="37" a="1"/>
  <c r="L96" i="37" s="1"/>
  <c r="K96" i="37"/>
  <c r="K94" i="37" s="1"/>
  <c r="BE95" i="37"/>
  <c r="AQ95" i="37"/>
  <c r="AC95" i="37"/>
  <c r="L95" i="37" a="1"/>
  <c r="L95" i="37" s="1"/>
  <c r="M95" i="37" s="1"/>
  <c r="L94" i="37" a="1"/>
  <c r="L94" i="37" s="1"/>
  <c r="AQ93" i="37"/>
  <c r="AC93" i="37"/>
  <c r="BE92" i="37"/>
  <c r="AQ92" i="37"/>
  <c r="AC92" i="37"/>
  <c r="L92" i="37" a="1"/>
  <c r="L92" i="37" s="1"/>
  <c r="K92" i="37"/>
  <c r="AQ91" i="37"/>
  <c r="AC91" i="37"/>
  <c r="L91" i="37" a="1"/>
  <c r="L91" i="37" s="1"/>
  <c r="M91" i="37" s="1"/>
  <c r="AQ90" i="37"/>
  <c r="AC90" i="37"/>
  <c r="L90" i="37" a="1"/>
  <c r="L90" i="37" s="1"/>
  <c r="M90" i="37" s="1"/>
  <c r="AQ89" i="37"/>
  <c r="AC89" i="37"/>
  <c r="L89" i="37" a="1"/>
  <c r="L89" i="37" s="1"/>
  <c r="M89" i="37" s="1"/>
  <c r="AQ88" i="37"/>
  <c r="AC88" i="37"/>
  <c r="L88" i="37" a="1"/>
  <c r="L88" i="37" s="1"/>
  <c r="M88" i="37" s="1"/>
  <c r="AQ87" i="37"/>
  <c r="AC87" i="37"/>
  <c r="L87" i="37" a="1"/>
  <c r="L87" i="37" s="1"/>
  <c r="M87" i="37" s="1"/>
  <c r="AQ86" i="37"/>
  <c r="AC86" i="37"/>
  <c r="L86" i="37" a="1"/>
  <c r="L86" i="37" s="1"/>
  <c r="M86" i="37" s="1"/>
  <c r="AQ85" i="37"/>
  <c r="AC85" i="37"/>
  <c r="L85" i="37" a="1"/>
  <c r="L85" i="37" s="1"/>
  <c r="M85" i="37" s="1"/>
  <c r="AQ84" i="37"/>
  <c r="AC84" i="37"/>
  <c r="L84" i="37" a="1"/>
  <c r="L84" i="37" s="1"/>
  <c r="M84" i="37" s="1"/>
  <c r="AQ83" i="37"/>
  <c r="AC83" i="37"/>
  <c r="L83" i="37" a="1"/>
  <c r="L83" i="37" s="1"/>
  <c r="M83" i="37" s="1"/>
  <c r="AQ82" i="37"/>
  <c r="AC82" i="37"/>
  <c r="L82" i="37" a="1"/>
  <c r="L82" i="37" s="1"/>
  <c r="M82" i="37" s="1"/>
  <c r="AQ81" i="37"/>
  <c r="AC81" i="37"/>
  <c r="L81" i="37" a="1"/>
  <c r="L81" i="37" s="1"/>
  <c r="M81" i="37" s="1"/>
  <c r="AQ80" i="37"/>
  <c r="AC80" i="37"/>
  <c r="L80" i="37" a="1"/>
  <c r="L80" i="37" s="1"/>
  <c r="M80" i="37" s="1"/>
  <c r="AQ79" i="37"/>
  <c r="AC79" i="37"/>
  <c r="L79" i="37" a="1"/>
  <c r="L79" i="37" s="1"/>
  <c r="M79" i="37" s="1"/>
  <c r="AQ78" i="37"/>
  <c r="AC78" i="37"/>
  <c r="L78" i="37" a="1"/>
  <c r="L78" i="37" s="1"/>
  <c r="M78" i="37" s="1"/>
  <c r="AQ77" i="37"/>
  <c r="AC77" i="37"/>
  <c r="L77" i="37" a="1"/>
  <c r="L77" i="37" s="1"/>
  <c r="M77" i="37" s="1"/>
  <c r="AQ76" i="37"/>
  <c r="AC76" i="37"/>
  <c r="L76" i="37" a="1"/>
  <c r="L76" i="37" s="1"/>
  <c r="M76" i="37" s="1"/>
  <c r="AQ75" i="37"/>
  <c r="AC75" i="37"/>
  <c r="L75" i="37" a="1"/>
  <c r="L75" i="37" s="1"/>
  <c r="M75" i="37" s="1"/>
  <c r="AQ74" i="37"/>
  <c r="AC74" i="37"/>
  <c r="L74" i="37" a="1"/>
  <c r="L74" i="37" s="1"/>
  <c r="M74" i="37" s="1"/>
  <c r="AQ73" i="37"/>
  <c r="AC73" i="37"/>
  <c r="L73" i="37" a="1"/>
  <c r="L73" i="37" s="1"/>
  <c r="M73" i="37" s="1"/>
  <c r="AQ72" i="37"/>
  <c r="AC72" i="37"/>
  <c r="L72" i="37" a="1"/>
  <c r="L72" i="37" s="1"/>
  <c r="M72" i="37" s="1"/>
  <c r="AQ71" i="37"/>
  <c r="AC71" i="37"/>
  <c r="L71" i="37" a="1"/>
  <c r="L71" i="37" s="1"/>
  <c r="M71" i="37" s="1"/>
  <c r="AQ70" i="37"/>
  <c r="AC70" i="37"/>
  <c r="L70" i="37" a="1"/>
  <c r="L70" i="37" s="1"/>
  <c r="M70" i="37" s="1"/>
  <c r="AQ69" i="37"/>
  <c r="AC69" i="37"/>
  <c r="L69" i="37" a="1"/>
  <c r="L69" i="37" s="1"/>
  <c r="M69" i="37" s="1"/>
  <c r="AQ68" i="37"/>
  <c r="AC68" i="37"/>
  <c r="L68" i="37" a="1"/>
  <c r="L68" i="37" s="1"/>
  <c r="M68" i="37" s="1"/>
  <c r="AQ67" i="37"/>
  <c r="AC67" i="37"/>
  <c r="L67" i="37" a="1"/>
  <c r="L67" i="37" s="1"/>
  <c r="M67" i="37" s="1"/>
  <c r="AQ66" i="37"/>
  <c r="AC66" i="37"/>
  <c r="L66" i="37" a="1"/>
  <c r="L66" i="37" s="1"/>
  <c r="M66" i="37" s="1"/>
  <c r="AQ65" i="37"/>
  <c r="AC65" i="37"/>
  <c r="L65" i="37" a="1"/>
  <c r="L65" i="37" s="1"/>
  <c r="M65" i="37" s="1"/>
  <c r="AQ64" i="37"/>
  <c r="AC64" i="37"/>
  <c r="L64" i="37" a="1"/>
  <c r="L64" i="37" s="1"/>
  <c r="M64" i="37" s="1"/>
  <c r="AQ63" i="37"/>
  <c r="AC63" i="37"/>
  <c r="L63" i="37" a="1"/>
  <c r="L63" i="37" s="1"/>
  <c r="M63" i="37" s="1"/>
  <c r="AQ62" i="37"/>
  <c r="AC62" i="37"/>
  <c r="L62" i="37" a="1"/>
  <c r="L62" i="37" s="1"/>
  <c r="M62" i="37" s="1"/>
  <c r="AQ61" i="37"/>
  <c r="AC61" i="37"/>
  <c r="L61" i="37" a="1"/>
  <c r="L61" i="37" s="1"/>
  <c r="M61" i="37" s="1"/>
  <c r="AQ60" i="37"/>
  <c r="AC60" i="37"/>
  <c r="L60" i="37" a="1"/>
  <c r="L60" i="37" s="1"/>
  <c r="M60" i="37" s="1"/>
  <c r="AQ59" i="37"/>
  <c r="AC59" i="37"/>
  <c r="L59" i="37" a="1"/>
  <c r="L59" i="37" s="1"/>
  <c r="M59" i="37" s="1"/>
  <c r="AQ58" i="37"/>
  <c r="AC58" i="37"/>
  <c r="L58" i="37" a="1"/>
  <c r="L58" i="37" s="1"/>
  <c r="M58" i="37" s="1"/>
  <c r="AQ57" i="37"/>
  <c r="AC57" i="37"/>
  <c r="L57" i="37" a="1"/>
  <c r="L57" i="37" s="1"/>
  <c r="M57" i="37" s="1"/>
  <c r="AQ56" i="37"/>
  <c r="AC56" i="37"/>
  <c r="L56" i="37" a="1"/>
  <c r="L56" i="37" s="1"/>
  <c r="M56" i="37" s="1"/>
  <c r="AQ55" i="37"/>
  <c r="AC55" i="37"/>
  <c r="L55" i="37" a="1"/>
  <c r="L55" i="37" s="1"/>
  <c r="M55" i="37" s="1"/>
  <c r="AQ54" i="37"/>
  <c r="AC54" i="37"/>
  <c r="L54" i="37" a="1"/>
  <c r="L54" i="37" s="1"/>
  <c r="M54" i="37" s="1"/>
  <c r="AQ53" i="37"/>
  <c r="AC53" i="37"/>
  <c r="L53" i="37" a="1"/>
  <c r="L53" i="37" s="1"/>
  <c r="M53" i="37" s="1"/>
  <c r="AQ52" i="37"/>
  <c r="AC52" i="37"/>
  <c r="L52" i="37" a="1"/>
  <c r="L52" i="37" s="1"/>
  <c r="M52" i="37" s="1"/>
  <c r="AQ51" i="37"/>
  <c r="AC51" i="37"/>
  <c r="L51" i="37" a="1"/>
  <c r="L51" i="37" s="1"/>
  <c r="M51" i="37" s="1"/>
  <c r="AQ50" i="37"/>
  <c r="AC50" i="37"/>
  <c r="L50" i="37" a="1"/>
  <c r="L50" i="37" s="1"/>
  <c r="M50" i="37" s="1"/>
  <c r="AQ49" i="37"/>
  <c r="AC49" i="37"/>
  <c r="L49" i="37" a="1"/>
  <c r="L49" i="37" s="1"/>
  <c r="M49" i="37" s="1"/>
  <c r="AQ48" i="37"/>
  <c r="AC48" i="37"/>
  <c r="L48" i="37" a="1"/>
  <c r="L48" i="37" s="1"/>
  <c r="M48" i="37" s="1"/>
  <c r="AQ47" i="37"/>
  <c r="AC47" i="37"/>
  <c r="L47" i="37" a="1"/>
  <c r="L47" i="37" s="1"/>
  <c r="M47" i="37" s="1"/>
  <c r="AQ46" i="37"/>
  <c r="AC46" i="37"/>
  <c r="BE45" i="37"/>
  <c r="AQ45" i="37"/>
  <c r="AC45" i="37"/>
  <c r="P45" i="37"/>
  <c r="L45" i="37" a="1"/>
  <c r="L45" i="37" s="1"/>
  <c r="M45" i="37" s="1"/>
  <c r="BE44" i="37"/>
  <c r="AQ44" i="37"/>
  <c r="AC44" i="37"/>
  <c r="P44" i="37"/>
  <c r="L44" i="37" a="1"/>
  <c r="L44" i="37" s="1"/>
  <c r="M44" i="37" s="1"/>
  <c r="BE43" i="37"/>
  <c r="AQ43" i="37"/>
  <c r="AC43" i="37"/>
  <c r="L43" i="37" a="1"/>
  <c r="L43" i="37" s="1"/>
  <c r="M43" i="37" s="1"/>
  <c r="AQ42" i="37"/>
  <c r="AC42" i="37"/>
  <c r="P42" i="37"/>
  <c r="L42" i="37" a="1"/>
  <c r="L42" i="37" s="1"/>
  <c r="M42" i="37" s="1"/>
  <c r="AQ41" i="37"/>
  <c r="AC41" i="37"/>
  <c r="P41" i="37"/>
  <c r="L41" i="37" a="1"/>
  <c r="L41" i="37" s="1"/>
  <c r="M41" i="37" s="1"/>
  <c r="AQ40" i="37"/>
  <c r="AC40" i="37"/>
  <c r="L40" i="37" a="1"/>
  <c r="L40" i="37" s="1"/>
  <c r="M40" i="37" s="1"/>
  <c r="AQ39" i="37"/>
  <c r="AC39" i="37"/>
  <c r="L39" i="37" a="1"/>
  <c r="L39" i="37" s="1"/>
  <c r="M39" i="37" s="1"/>
  <c r="AQ38" i="37"/>
  <c r="AC38" i="37"/>
  <c r="L38" i="37" a="1"/>
  <c r="L38" i="37" s="1"/>
  <c r="M38" i="37" s="1"/>
  <c r="AQ37" i="37"/>
  <c r="AC37" i="37"/>
  <c r="L37" i="37" a="1"/>
  <c r="L37" i="37" s="1"/>
  <c r="M37" i="37" s="1"/>
  <c r="AQ36" i="37"/>
  <c r="AC36" i="37"/>
  <c r="P36" i="37"/>
  <c r="L36" i="37" a="1"/>
  <c r="L36" i="37" s="1"/>
  <c r="M36" i="37" s="1"/>
  <c r="AQ35" i="37"/>
  <c r="AC35" i="37"/>
  <c r="P35" i="37"/>
  <c r="L35" i="37" a="1"/>
  <c r="L35" i="37" s="1"/>
  <c r="M35" i="37" s="1"/>
  <c r="AQ34" i="37"/>
  <c r="AC34" i="37"/>
  <c r="P34" i="37"/>
  <c r="L34" i="37" a="1"/>
  <c r="L34" i="37" s="1"/>
  <c r="M34" i="37" s="1"/>
  <c r="AQ33" i="37"/>
  <c r="AC33" i="37"/>
  <c r="P33" i="37"/>
  <c r="L33" i="37" a="1"/>
  <c r="L33" i="37" s="1"/>
  <c r="M33" i="37" s="1"/>
  <c r="AQ32" i="37"/>
  <c r="AC32" i="37"/>
  <c r="P32" i="37"/>
  <c r="L32" i="37" a="1"/>
  <c r="L32" i="37" s="1"/>
  <c r="M32" i="37" s="1"/>
  <c r="AQ31" i="37"/>
  <c r="AC31" i="37"/>
  <c r="P31" i="37"/>
  <c r="L31" i="37" a="1"/>
  <c r="L31" i="37" s="1"/>
  <c r="M31" i="37" s="1"/>
  <c r="AQ30" i="37"/>
  <c r="AC30" i="37"/>
  <c r="P30" i="37"/>
  <c r="L30" i="37" a="1"/>
  <c r="L30" i="37" s="1"/>
  <c r="M30" i="37" s="1"/>
  <c r="AQ29" i="37"/>
  <c r="AC29" i="37"/>
  <c r="P29" i="37"/>
  <c r="L29" i="37" a="1"/>
  <c r="L29" i="37" s="1"/>
  <c r="M29" i="37" s="1"/>
  <c r="AQ28" i="37"/>
  <c r="AC28" i="37"/>
  <c r="P28" i="37"/>
  <c r="L28" i="37" a="1"/>
  <c r="L28" i="37" s="1"/>
  <c r="M28" i="37" s="1"/>
  <c r="AQ27" i="37"/>
  <c r="AC27" i="37"/>
  <c r="P27" i="37"/>
  <c r="L27" i="37" a="1"/>
  <c r="L27" i="37" s="1"/>
  <c r="M27" i="37" s="1"/>
  <c r="AQ26" i="37"/>
  <c r="AC26" i="37"/>
  <c r="P26" i="37"/>
  <c r="L26" i="37" a="1"/>
  <c r="L26" i="37" s="1"/>
  <c r="M26" i="37" s="1"/>
  <c r="AQ25" i="37"/>
  <c r="AC25" i="37"/>
  <c r="P25" i="37"/>
  <c r="L25" i="37" a="1"/>
  <c r="L25" i="37" s="1"/>
  <c r="M25" i="37" s="1"/>
  <c r="AQ24" i="37"/>
  <c r="AC24" i="37"/>
  <c r="P24" i="37"/>
  <c r="L24" i="37" a="1"/>
  <c r="L24" i="37" s="1"/>
  <c r="M24" i="37" s="1"/>
  <c r="BE23" i="37"/>
  <c r="AQ23" i="37"/>
  <c r="AC23" i="37"/>
  <c r="P23" i="37"/>
  <c r="L23" i="37" a="1"/>
  <c r="L23" i="37" s="1"/>
  <c r="M23" i="37" s="1"/>
  <c r="BE22" i="37"/>
  <c r="AQ22" i="37"/>
  <c r="AC22" i="37"/>
  <c r="P22" i="37"/>
  <c r="L22" i="37" a="1"/>
  <c r="L22" i="37" s="1"/>
  <c r="M22" i="37" s="1"/>
  <c r="AQ21" i="37"/>
  <c r="AC21" i="37"/>
  <c r="BE20" i="37"/>
  <c r="AQ20" i="37"/>
  <c r="AC20" i="37"/>
  <c r="L20" i="37" a="1"/>
  <c r="L20" i="37" s="1"/>
  <c r="M20" i="37" s="1"/>
  <c r="BE19" i="37"/>
  <c r="AQ19" i="37"/>
  <c r="AC19" i="37"/>
  <c r="L19" i="37" a="1"/>
  <c r="L19" i="37" s="1"/>
  <c r="M19" i="37" s="1"/>
  <c r="BE18" i="37"/>
  <c r="AQ18" i="37"/>
  <c r="AC18" i="37"/>
  <c r="L18" i="37" a="1"/>
  <c r="L18" i="37" s="1"/>
  <c r="M18" i="37" s="1"/>
  <c r="BE17" i="37"/>
  <c r="AQ17" i="37"/>
  <c r="AC17" i="37"/>
  <c r="L17" i="37" a="1"/>
  <c r="L17" i="37" s="1"/>
  <c r="M17" i="37" s="1"/>
  <c r="BE16" i="37"/>
  <c r="AQ16" i="37"/>
  <c r="AC16" i="37"/>
  <c r="L16" i="37" a="1"/>
  <c r="L16" i="37" s="1"/>
  <c r="M16" i="37" s="1"/>
  <c r="AQ15" i="37"/>
  <c r="AC15" i="37"/>
  <c r="BC13" i="37"/>
  <c r="BB13" i="37"/>
  <c r="BA13" i="37"/>
  <c r="AZ13" i="37"/>
  <c r="AY13" i="37"/>
  <c r="AX13" i="37"/>
  <c r="AW13" i="37"/>
  <c r="AV13" i="37"/>
  <c r="AU13" i="37"/>
  <c r="AT13" i="37"/>
  <c r="AS13" i="37"/>
  <c r="AR13" i="37"/>
  <c r="AO13" i="37"/>
  <c r="AN13" i="37"/>
  <c r="AM13" i="37"/>
  <c r="AL13" i="37"/>
  <c r="AK13" i="37"/>
  <c r="AJ13" i="37"/>
  <c r="AI13" i="37"/>
  <c r="AH13" i="37"/>
  <c r="AG13" i="37"/>
  <c r="AF13" i="37"/>
  <c r="AE13" i="37"/>
  <c r="AD13" i="37"/>
  <c r="AA13" i="37"/>
  <c r="Z13" i="37"/>
  <c r="Y13" i="37"/>
  <c r="X13" i="37"/>
  <c r="W13" i="37"/>
  <c r="V13" i="37"/>
  <c r="U13" i="37"/>
  <c r="T13" i="37"/>
  <c r="S13" i="37"/>
  <c r="R13" i="37"/>
  <c r="Q13" i="37"/>
  <c r="C4" i="37"/>
  <c r="E22" i="37" s="1"/>
  <c r="B4" i="37"/>
  <c r="B3" i="37"/>
  <c r="C2" i="37"/>
  <c r="B2" i="37"/>
  <c r="V7" i="45" l="1"/>
  <c r="U44" i="66" s="1"/>
  <c r="V6" i="45"/>
  <c r="U43" i="66" s="1"/>
  <c r="V14" i="45"/>
  <c r="U51" i="66" s="1"/>
  <c r="V12" i="45"/>
  <c r="U49" i="66" s="1"/>
  <c r="V8" i="45"/>
  <c r="U45" i="66" s="1"/>
  <c r="V19" i="45"/>
  <c r="U56" i="66" s="1"/>
  <c r="V10" i="45"/>
  <c r="U47" i="66" s="1"/>
  <c r="V15" i="45"/>
  <c r="U52" i="66" s="1"/>
  <c r="V13" i="45"/>
  <c r="U50" i="66" s="1"/>
  <c r="V9" i="45"/>
  <c r="U46" i="66" s="1"/>
  <c r="V16" i="45"/>
  <c r="U53" i="66" s="1"/>
  <c r="V18" i="45"/>
  <c r="U55" i="66" s="1"/>
  <c r="V5" i="45"/>
  <c r="U42" i="66" s="1"/>
  <c r="V11" i="45"/>
  <c r="U48" i="66" s="1"/>
  <c r="V17" i="45"/>
  <c r="U54" i="66" s="1"/>
  <c r="G6" i="42"/>
  <c r="F7" i="42" s="1"/>
  <c r="G7" i="42" s="1"/>
  <c r="E150" i="37" a="1"/>
  <c r="E150" i="37" s="1"/>
  <c r="D150" i="37"/>
  <c r="I159" i="37"/>
  <c r="D161" i="37"/>
  <c r="D157" i="37"/>
  <c r="F157" i="37" s="1"/>
  <c r="J158" i="37" a="1"/>
  <c r="J158" i="37" s="1"/>
  <c r="K158" i="37" s="1"/>
  <c r="J154" i="37" a="1"/>
  <c r="J154" i="37" s="1"/>
  <c r="K154" i="37" s="1"/>
  <c r="D151" i="37"/>
  <c r="F151" i="37" s="1"/>
  <c r="D152" i="37"/>
  <c r="F152" i="37" s="1"/>
  <c r="D155" i="37"/>
  <c r="F155" i="37" s="1"/>
  <c r="J156" i="37" a="1"/>
  <c r="J156" i="37" s="1"/>
  <c r="K156" i="37" s="1"/>
  <c r="I151" i="37"/>
  <c r="K151" i="37" s="1"/>
  <c r="I153" i="37"/>
  <c r="K153" i="37" s="1"/>
  <c r="I155" i="37"/>
  <c r="K155" i="37" s="1"/>
  <c r="I157" i="37"/>
  <c r="K157" i="37" s="1"/>
  <c r="K121" i="37" a="1"/>
  <c r="K121" i="37" s="1"/>
  <c r="M121" i="37" s="1"/>
  <c r="M97" i="37"/>
  <c r="M92" i="37"/>
  <c r="M98" i="37"/>
  <c r="K161" i="37"/>
  <c r="M94" i="37"/>
  <c r="M96" i="37"/>
  <c r="K159" i="37"/>
  <c r="F161" i="37"/>
  <c r="E19" i="37"/>
  <c r="E17" i="37"/>
  <c r="E18" i="37"/>
  <c r="K123" i="37" a="1"/>
  <c r="K123" i="37" s="1"/>
  <c r="D154" i="37"/>
  <c r="F154" i="37" s="1"/>
  <c r="D158" i="37"/>
  <c r="F158" i="37" s="1"/>
  <c r="D160" i="37"/>
  <c r="F160" i="37" s="1"/>
  <c r="G17" i="37"/>
  <c r="K122" i="37" a="1"/>
  <c r="K122" i="37" s="1"/>
  <c r="M122" i="37" s="1"/>
  <c r="I150" i="37"/>
  <c r="I152" i="37"/>
  <c r="K152" i="37" s="1"/>
  <c r="I160" i="37"/>
  <c r="K160" i="37" s="1"/>
  <c r="D159" i="37" l="1"/>
  <c r="F159" i="37" s="1"/>
  <c r="D156" i="37"/>
  <c r="F156" i="37" s="1"/>
  <c r="D153" i="37"/>
  <c r="F153" i="37" s="1"/>
  <c r="M123" i="37"/>
  <c r="M126" i="37" s="1"/>
  <c r="M128" i="37" s="1"/>
  <c r="M130" i="37" s="1"/>
  <c r="F150" i="37"/>
  <c r="I165" i="37"/>
  <c r="K150" i="37"/>
  <c r="K165" i="37" s="1"/>
  <c r="K125" i="37"/>
  <c r="C11" i="37" l="1"/>
  <c r="F165" i="37"/>
  <c r="D165" i="37"/>
  <c r="BC51" i="35" l="1"/>
  <c r="AO51" i="35"/>
  <c r="AA51" i="35"/>
  <c r="J51" i="35" a="1"/>
  <c r="J51" i="35" s="1"/>
  <c r="AO50" i="35"/>
  <c r="AA50" i="35"/>
  <c r="J50" i="35" a="1"/>
  <c r="J50" i="35" s="1"/>
  <c r="AO49" i="35"/>
  <c r="AA49" i="35"/>
  <c r="J49" i="35" a="1"/>
  <c r="J49" i="35" s="1"/>
  <c r="BC48" i="35"/>
  <c r="AO48" i="35"/>
  <c r="AA48" i="35"/>
  <c r="J48" i="35" a="1"/>
  <c r="J48" i="35" s="1"/>
  <c r="K48" i="35" s="1"/>
  <c r="BC47" i="35"/>
  <c r="AO47" i="35"/>
  <c r="AA47" i="35"/>
  <c r="J47" i="35" a="1"/>
  <c r="J47" i="35" s="1"/>
  <c r="K47" i="35" s="1"/>
  <c r="BC46" i="35"/>
  <c r="AO46" i="35"/>
  <c r="AA46" i="35"/>
  <c r="J46" i="35" a="1"/>
  <c r="J46" i="35" s="1"/>
  <c r="K46" i="35" s="1"/>
  <c r="BC45" i="35"/>
  <c r="AO45" i="35"/>
  <c r="AA45" i="35"/>
  <c r="J45" i="35" a="1"/>
  <c r="J45" i="35" s="1"/>
  <c r="K45" i="35" s="1"/>
  <c r="BC44" i="35"/>
  <c r="AO44" i="35"/>
  <c r="AA44" i="35"/>
  <c r="J44" i="35" a="1"/>
  <c r="J44" i="35" s="1"/>
  <c r="K44" i="35" s="1"/>
  <c r="AO43" i="35"/>
  <c r="AA43" i="35"/>
  <c r="BC42" i="35"/>
  <c r="AO42" i="35"/>
  <c r="AA42" i="35"/>
  <c r="J42" i="35" a="1"/>
  <c r="J42" i="35" s="1"/>
  <c r="K42" i="35" s="1"/>
  <c r="BC41" i="35"/>
  <c r="AO41" i="35"/>
  <c r="AA41" i="35"/>
  <c r="J41" i="35" a="1"/>
  <c r="J41" i="35" s="1"/>
  <c r="K41" i="35" s="1"/>
  <c r="BC40" i="35"/>
  <c r="AO40" i="35"/>
  <c r="AA40" i="35"/>
  <c r="J40" i="35" a="1"/>
  <c r="J40" i="35" s="1"/>
  <c r="I40" i="35"/>
  <c r="AO39" i="35"/>
  <c r="AA39" i="35"/>
  <c r="J39" i="35" a="1"/>
  <c r="J39" i="35" s="1"/>
  <c r="I39" i="35"/>
  <c r="BC38" i="35"/>
  <c r="AO38" i="35"/>
  <c r="AA38" i="35"/>
  <c r="J38" i="35" a="1"/>
  <c r="J38" i="35" s="1"/>
  <c r="K38" i="35" s="1"/>
  <c r="AO37" i="35"/>
  <c r="AA37" i="35"/>
  <c r="BC36" i="35"/>
  <c r="AO36" i="35"/>
  <c r="AA36" i="35"/>
  <c r="J36" i="35" a="1"/>
  <c r="J36" i="35" s="1"/>
  <c r="K36" i="35" s="1"/>
  <c r="BC35" i="35"/>
  <c r="AO35" i="35"/>
  <c r="AA35" i="35"/>
  <c r="J35" i="35" a="1"/>
  <c r="J35" i="35" s="1"/>
  <c r="K35" i="35" s="1"/>
  <c r="BC34" i="35"/>
  <c r="AO34" i="35"/>
  <c r="AA34" i="35"/>
  <c r="J34" i="35" a="1"/>
  <c r="J34" i="35" s="1"/>
  <c r="K34" i="35" s="1"/>
  <c r="BC33" i="35"/>
  <c r="AO33" i="35"/>
  <c r="AA33" i="35"/>
  <c r="J33" i="35" a="1"/>
  <c r="J33" i="35" s="1"/>
  <c r="K33" i="35" s="1"/>
  <c r="BC32" i="35"/>
  <c r="AO32" i="35"/>
  <c r="AA32" i="35"/>
  <c r="J32" i="35" a="1"/>
  <c r="J32" i="35" s="1"/>
  <c r="K32" i="35" s="1"/>
  <c r="BC31" i="35"/>
  <c r="AO31" i="35"/>
  <c r="AA31" i="35"/>
  <c r="J31" i="35" a="1"/>
  <c r="J31" i="35" s="1"/>
  <c r="K31" i="35" s="1"/>
  <c r="BC30" i="35"/>
  <c r="AO30" i="35"/>
  <c r="AA30" i="35"/>
  <c r="J30" i="35" a="1"/>
  <c r="J30" i="35" s="1"/>
  <c r="K30" i="35" s="1"/>
  <c r="BC29" i="35"/>
  <c r="AO29" i="35"/>
  <c r="AA29" i="35"/>
  <c r="J29" i="35" a="1"/>
  <c r="J29" i="35" s="1"/>
  <c r="K29" i="35" s="1"/>
  <c r="BC28" i="35"/>
  <c r="AO28" i="35"/>
  <c r="AA28" i="35"/>
  <c r="J28" i="35" a="1"/>
  <c r="J28" i="35" s="1"/>
  <c r="K28" i="35" s="1"/>
  <c r="BC27" i="35"/>
  <c r="AO27" i="35"/>
  <c r="AA27" i="35"/>
  <c r="J27" i="35" a="1"/>
  <c r="J27" i="35" s="1"/>
  <c r="K27" i="35" s="1"/>
  <c r="BC26" i="35"/>
  <c r="AO26" i="35"/>
  <c r="AA26" i="35"/>
  <c r="J26" i="35" a="1"/>
  <c r="J26" i="35" s="1"/>
  <c r="K26" i="35" s="1"/>
  <c r="BC25" i="35"/>
  <c r="AO25" i="35"/>
  <c r="AA25" i="35"/>
  <c r="J25" i="35" a="1"/>
  <c r="J25" i="35" s="1"/>
  <c r="K25" i="35" s="1"/>
  <c r="BC24" i="35"/>
  <c r="AO24" i="35"/>
  <c r="AA24" i="35"/>
  <c r="J24" i="35" a="1"/>
  <c r="J24" i="35" s="1"/>
  <c r="K24" i="35" s="1"/>
  <c r="AO23" i="35"/>
  <c r="AA23" i="35"/>
  <c r="BC22" i="35"/>
  <c r="AO22" i="35"/>
  <c r="AA22" i="35"/>
  <c r="J22" i="35" a="1"/>
  <c r="J22" i="35" s="1"/>
  <c r="K22" i="35" s="1"/>
  <c r="BC21" i="35"/>
  <c r="AO21" i="35"/>
  <c r="AA21" i="35"/>
  <c r="J21" i="35" a="1"/>
  <c r="J21" i="35" s="1"/>
  <c r="K21" i="35" s="1"/>
  <c r="BC20" i="35"/>
  <c r="AO20" i="35"/>
  <c r="AA20" i="35"/>
  <c r="J20" i="35" a="1"/>
  <c r="J20" i="35" s="1"/>
  <c r="K20" i="35" s="1"/>
  <c r="BC19" i="35"/>
  <c r="AO19" i="35"/>
  <c r="AA19" i="35"/>
  <c r="J19" i="35" a="1"/>
  <c r="J19" i="35" s="1"/>
  <c r="K19" i="35" s="1"/>
  <c r="BC18" i="35"/>
  <c r="AO18" i="35"/>
  <c r="AA18" i="35"/>
  <c r="J18" i="35" a="1"/>
  <c r="J18" i="35" s="1"/>
  <c r="K18" i="35" s="1"/>
  <c r="AO17" i="35"/>
  <c r="AA17" i="35"/>
  <c r="BC16" i="35"/>
  <c r="AO16" i="35"/>
  <c r="AA16" i="35"/>
  <c r="J16" i="35" a="1"/>
  <c r="J16" i="35" s="1"/>
  <c r="K16" i="35" s="1"/>
  <c r="BC15" i="35"/>
  <c r="AO15" i="35"/>
  <c r="AA15" i="35"/>
  <c r="J15" i="35" a="1"/>
  <c r="J15" i="35" s="1"/>
  <c r="K15" i="35" s="1"/>
  <c r="BC14" i="35"/>
  <c r="AO14" i="35"/>
  <c r="AA14" i="35"/>
  <c r="J14" i="35" a="1"/>
  <c r="J14" i="35" s="1"/>
  <c r="K14" i="35" s="1"/>
  <c r="BC13" i="35"/>
  <c r="AO13" i="35"/>
  <c r="AA13" i="35"/>
  <c r="J13" i="35" a="1"/>
  <c r="J13" i="35" s="1"/>
  <c r="K13" i="35" s="1"/>
  <c r="BC12" i="35"/>
  <c r="AO12" i="35"/>
  <c r="AA12" i="35"/>
  <c r="J12" i="35" a="1"/>
  <c r="J12" i="35" s="1"/>
  <c r="K12" i="35" s="1"/>
  <c r="AO11" i="35"/>
  <c r="AA11" i="35"/>
  <c r="BA9" i="35"/>
  <c r="AZ9" i="35"/>
  <c r="AY9" i="35"/>
  <c r="AX9" i="35"/>
  <c r="AW9" i="35"/>
  <c r="AV9" i="35"/>
  <c r="AU9" i="35"/>
  <c r="AT9" i="35"/>
  <c r="AS9" i="35"/>
  <c r="AR9" i="35"/>
  <c r="AQ9" i="35"/>
  <c r="AP9" i="35"/>
  <c r="AM9" i="35"/>
  <c r="AL9" i="35"/>
  <c r="AK9" i="35"/>
  <c r="AJ9" i="35"/>
  <c r="AI9" i="35"/>
  <c r="AH9" i="35"/>
  <c r="AG9" i="35"/>
  <c r="AF9" i="35"/>
  <c r="AE9" i="35"/>
  <c r="AD9" i="35"/>
  <c r="AC9" i="35"/>
  <c r="AB9" i="35"/>
  <c r="Y9" i="35"/>
  <c r="X9" i="35"/>
  <c r="W9" i="35"/>
  <c r="V9" i="35"/>
  <c r="U9" i="35"/>
  <c r="T9" i="35"/>
  <c r="S9" i="35"/>
  <c r="R9" i="35"/>
  <c r="Q9" i="35"/>
  <c r="P9" i="35"/>
  <c r="O9" i="35"/>
  <c r="C4" i="35"/>
  <c r="B4" i="35"/>
  <c r="C3" i="35"/>
  <c r="B3" i="35"/>
  <c r="C2" i="35"/>
  <c r="B2" i="35"/>
  <c r="B5" i="13"/>
  <c r="A5" i="13"/>
  <c r="E8" i="39" l="1"/>
  <c r="E9" i="39"/>
  <c r="E6" i="39"/>
  <c r="E7" i="39"/>
  <c r="E5" i="39"/>
  <c r="E10" i="39" s="1"/>
  <c r="E12" i="39" s="1"/>
  <c r="E13" i="39" s="1"/>
  <c r="I49" i="35" a="1"/>
  <c r="I49" i="35" s="1"/>
  <c r="K49" i="35" s="1"/>
  <c r="K39" i="35"/>
  <c r="I50" i="35" a="1"/>
  <c r="I50" i="35" s="1"/>
  <c r="K50" i="35" s="1"/>
  <c r="I51" i="35" a="1"/>
  <c r="I51" i="35" s="1"/>
  <c r="K51" i="35" s="1"/>
  <c r="K40" i="35"/>
  <c r="K54" i="35" l="1"/>
  <c r="K56" i="35" s="1"/>
  <c r="I53" i="35"/>
  <c r="A13" i="13" l="1"/>
  <c r="S38" i="27" l="1"/>
  <c r="S37" i="27"/>
  <c r="S36" i="27"/>
  <c r="S35" i="27"/>
  <c r="S34" i="27"/>
  <c r="S33" i="27"/>
  <c r="S32" i="27"/>
  <c r="S31" i="27"/>
  <c r="S30" i="27"/>
  <c r="S29" i="27"/>
  <c r="S28" i="27"/>
  <c r="S27" i="27"/>
  <c r="S26" i="27"/>
  <c r="S25" i="27"/>
  <c r="S24" i="27"/>
  <c r="S23" i="27"/>
  <c r="S22" i="27"/>
  <c r="S21" i="27"/>
  <c r="S20" i="27"/>
  <c r="S19" i="27"/>
  <c r="S18" i="27"/>
  <c r="S17" i="27"/>
  <c r="S16" i="27"/>
  <c r="S15" i="27"/>
  <c r="S14" i="27"/>
  <c r="S13" i="27"/>
  <c r="S12" i="27"/>
  <c r="S11" i="27"/>
  <c r="S10" i="27"/>
  <c r="S9" i="27"/>
  <c r="S8" i="27"/>
  <c r="S7" i="27"/>
  <c r="S6" i="27"/>
  <c r="S5" i="27"/>
  <c r="S4" i="27"/>
  <c r="R213" i="12" l="1"/>
  <c r="R162" i="12"/>
  <c r="R111" i="12"/>
  <c r="R60" i="12"/>
  <c r="G56" i="1"/>
  <c r="Q3" i="12"/>
  <c r="P3" i="12"/>
  <c r="O3" i="12"/>
  <c r="N3" i="12"/>
  <c r="W10" i="12" l="1"/>
  <c r="I7" i="12" l="1"/>
  <c r="I6" i="12"/>
  <c r="R11" i="12"/>
  <c r="R12" i="12"/>
  <c r="R13" i="12"/>
  <c r="R14" i="12"/>
  <c r="R15" i="12"/>
  <c r="R16" i="12"/>
  <c r="R17" i="12"/>
  <c r="R18" i="12"/>
  <c r="R19" i="12"/>
  <c r="R20" i="12"/>
  <c r="R21" i="12"/>
  <c r="R22" i="12"/>
  <c r="R23" i="12"/>
  <c r="R24" i="12"/>
  <c r="R25" i="12"/>
  <c r="R26" i="12"/>
  <c r="R27" i="12"/>
  <c r="R28" i="12"/>
  <c r="R29" i="12"/>
  <c r="R30" i="12"/>
  <c r="R31" i="12"/>
  <c r="R32" i="12"/>
  <c r="R33" i="12"/>
  <c r="R34" i="12"/>
  <c r="R35" i="12"/>
  <c r="R36" i="12"/>
  <c r="R37" i="12"/>
  <c r="R38" i="12"/>
  <c r="R39" i="12"/>
  <c r="R40" i="12"/>
  <c r="R41" i="12"/>
  <c r="R42" i="12"/>
  <c r="R43" i="12"/>
  <c r="R44" i="12"/>
  <c r="R45" i="12"/>
  <c r="R46" i="12"/>
  <c r="R47" i="12"/>
  <c r="R48" i="12"/>
  <c r="R49" i="12"/>
  <c r="R50" i="12"/>
  <c r="R51" i="12"/>
  <c r="R52" i="12"/>
  <c r="R53" i="12"/>
  <c r="R54" i="12"/>
  <c r="R55" i="12"/>
  <c r="R56" i="12"/>
  <c r="R57" i="12"/>
  <c r="R58" i="12"/>
  <c r="R59" i="12"/>
  <c r="R10" i="12"/>
  <c r="R9" i="12" s="1"/>
  <c r="Q5" i="12"/>
  <c r="P5" i="12"/>
  <c r="O5" i="12"/>
  <c r="N5" i="12"/>
  <c r="Q4" i="12"/>
  <c r="P4" i="12"/>
  <c r="O4" i="12"/>
  <c r="N4" i="12"/>
  <c r="Q7" i="12"/>
  <c r="C31" i="1" s="1"/>
  <c r="H31" i="1" s="1"/>
  <c r="P7" i="12"/>
  <c r="C30" i="1" s="1"/>
  <c r="H30" i="1" s="1"/>
  <c r="Q6" i="12"/>
  <c r="P6" i="12"/>
  <c r="H12" i="1" a="1"/>
  <c r="H12" i="1" s="1"/>
  <c r="P8" i="12" l="1"/>
  <c r="D30" i="1" s="1"/>
  <c r="G30" i="1" s="1"/>
  <c r="Q8" i="12"/>
  <c r="D31" i="1" s="1"/>
  <c r="B31" i="1"/>
  <c r="B30" i="1"/>
  <c r="G31" i="1" l="1"/>
  <c r="J7" i="12" l="1"/>
  <c r="K7" i="12"/>
  <c r="C18" i="1" s="1"/>
  <c r="L7" i="12"/>
  <c r="C19" i="1" s="1"/>
  <c r="M7" i="12"/>
  <c r="C20" i="1" s="1"/>
  <c r="N7" i="12"/>
  <c r="O7" i="12"/>
  <c r="C29" i="1" s="1"/>
  <c r="O6" i="12"/>
  <c r="J6" i="12"/>
  <c r="B17" i="1" s="1"/>
  <c r="K6" i="12"/>
  <c r="L6" i="12"/>
  <c r="M6" i="12"/>
  <c r="B20" i="1" s="1"/>
  <c r="N6" i="12"/>
  <c r="B16" i="1"/>
  <c r="G38" i="1"/>
  <c r="G39" i="1"/>
  <c r="G40" i="1"/>
  <c r="G41" i="1"/>
  <c r="G42" i="1"/>
  <c r="G43" i="1"/>
  <c r="G44" i="1"/>
  <c r="G45" i="1"/>
  <c r="G46" i="1"/>
  <c r="G47" i="1"/>
  <c r="G37" i="1"/>
  <c r="E17" i="1"/>
  <c r="E18" i="1"/>
  <c r="E19" i="1"/>
  <c r="E20" i="1"/>
  <c r="E16" i="1"/>
  <c r="K8" i="12" l="1"/>
  <c r="D18" i="1" s="1"/>
  <c r="C17" i="1"/>
  <c r="L8" i="12"/>
  <c r="D19" i="1" s="1"/>
  <c r="H29" i="1"/>
  <c r="C16" i="1"/>
  <c r="B29" i="1"/>
  <c r="R7" i="12"/>
  <c r="C28" i="1"/>
  <c r="N8" i="12"/>
  <c r="R6" i="12"/>
  <c r="B28" i="1"/>
  <c r="I8" i="12"/>
  <c r="J8" i="12"/>
  <c r="D17" i="1" s="1"/>
  <c r="B19" i="1"/>
  <c r="O8" i="12"/>
  <c r="D29" i="1" s="1"/>
  <c r="B18" i="1"/>
  <c r="M8" i="12"/>
  <c r="D20" i="1" s="1"/>
  <c r="H18" i="1"/>
  <c r="H19" i="1"/>
  <c r="H20" i="1"/>
  <c r="V3" i="12"/>
  <c r="W3" i="12"/>
  <c r="V9" i="12"/>
  <c r="V10" i="12"/>
  <c r="V11" i="12"/>
  <c r="W11" i="12"/>
  <c r="V12" i="12"/>
  <c r="W12" i="12"/>
  <c r="V13" i="12"/>
  <c r="W13" i="12"/>
  <c r="V14" i="12"/>
  <c r="W14" i="12"/>
  <c r="V15" i="12"/>
  <c r="W15" i="12"/>
  <c r="V16" i="12"/>
  <c r="W16" i="12"/>
  <c r="V17" i="12"/>
  <c r="W17" i="12"/>
  <c r="V18" i="12"/>
  <c r="W18" i="12"/>
  <c r="V19" i="12"/>
  <c r="W19" i="12"/>
  <c r="V20" i="12"/>
  <c r="W20" i="12"/>
  <c r="V21" i="12"/>
  <c r="W21" i="12"/>
  <c r="V22" i="12"/>
  <c r="W22" i="12"/>
  <c r="V23" i="12"/>
  <c r="W23" i="12"/>
  <c r="V24" i="12"/>
  <c r="W24" i="12"/>
  <c r="V25" i="12"/>
  <c r="W25" i="12"/>
  <c r="V26" i="12"/>
  <c r="W26" i="12"/>
  <c r="V27" i="12"/>
  <c r="W27" i="12"/>
  <c r="V28" i="12"/>
  <c r="W28" i="12"/>
  <c r="V29" i="12"/>
  <c r="W29" i="12"/>
  <c r="V30" i="12"/>
  <c r="W30" i="12"/>
  <c r="V31" i="12"/>
  <c r="W31" i="12"/>
  <c r="V32" i="12"/>
  <c r="W32" i="12"/>
  <c r="V33" i="12"/>
  <c r="W33" i="12"/>
  <c r="V34" i="12"/>
  <c r="W34" i="12"/>
  <c r="V35" i="12"/>
  <c r="W35" i="12"/>
  <c r="V36" i="12"/>
  <c r="W36" i="12"/>
  <c r="V37" i="12"/>
  <c r="W37" i="12"/>
  <c r="V38" i="12"/>
  <c r="W38" i="12"/>
  <c r="V39" i="12"/>
  <c r="W39" i="12"/>
  <c r="V40" i="12"/>
  <c r="W40" i="12"/>
  <c r="V41" i="12"/>
  <c r="W41" i="12"/>
  <c r="V42" i="12"/>
  <c r="W42" i="12"/>
  <c r="V43" i="12"/>
  <c r="W43" i="12"/>
  <c r="V44" i="12"/>
  <c r="W44" i="12"/>
  <c r="V45" i="12"/>
  <c r="W45" i="12"/>
  <c r="V46" i="12"/>
  <c r="W46" i="12"/>
  <c r="V47" i="12"/>
  <c r="W47" i="12"/>
  <c r="V48" i="12"/>
  <c r="W48" i="12"/>
  <c r="V49" i="12"/>
  <c r="W49" i="12"/>
  <c r="V50" i="12"/>
  <c r="W50" i="12"/>
  <c r="V51" i="12"/>
  <c r="W51" i="12"/>
  <c r="V52" i="12"/>
  <c r="W52" i="12"/>
  <c r="V53" i="12"/>
  <c r="W53" i="12"/>
  <c r="V54" i="12"/>
  <c r="W54" i="12"/>
  <c r="V55" i="12"/>
  <c r="W55" i="12"/>
  <c r="V56" i="12"/>
  <c r="W56" i="12"/>
  <c r="V57" i="12"/>
  <c r="W57" i="12"/>
  <c r="V58" i="12"/>
  <c r="W58" i="12"/>
  <c r="V59" i="12"/>
  <c r="W59" i="12"/>
  <c r="V60" i="12"/>
  <c r="V61" i="12"/>
  <c r="W61" i="12"/>
  <c r="V62" i="12"/>
  <c r="W62" i="12"/>
  <c r="V63" i="12"/>
  <c r="W63" i="12"/>
  <c r="V64" i="12"/>
  <c r="W64" i="12"/>
  <c r="V65" i="12"/>
  <c r="W65" i="12"/>
  <c r="V66" i="12"/>
  <c r="W66" i="12"/>
  <c r="V67" i="12"/>
  <c r="W67" i="12"/>
  <c r="V68" i="12"/>
  <c r="W68" i="12"/>
  <c r="V69" i="12"/>
  <c r="W69" i="12"/>
  <c r="V70" i="12"/>
  <c r="W70" i="12"/>
  <c r="V71" i="12"/>
  <c r="W71" i="12"/>
  <c r="V72" i="12"/>
  <c r="W72" i="12"/>
  <c r="V73" i="12"/>
  <c r="W73" i="12"/>
  <c r="V74" i="12"/>
  <c r="W74" i="12"/>
  <c r="V75" i="12"/>
  <c r="W75" i="12"/>
  <c r="V76" i="12"/>
  <c r="W76" i="12"/>
  <c r="V77" i="12"/>
  <c r="W77" i="12"/>
  <c r="V78" i="12"/>
  <c r="W78" i="12"/>
  <c r="V79" i="12"/>
  <c r="W79" i="12"/>
  <c r="V80" i="12"/>
  <c r="W80" i="12"/>
  <c r="V81" i="12"/>
  <c r="W81" i="12"/>
  <c r="V82" i="12"/>
  <c r="W82" i="12"/>
  <c r="V83" i="12"/>
  <c r="W83" i="12"/>
  <c r="V84" i="12"/>
  <c r="W84" i="12"/>
  <c r="V85" i="12"/>
  <c r="W85" i="12"/>
  <c r="V86" i="12"/>
  <c r="W86" i="12"/>
  <c r="V87" i="12"/>
  <c r="W87" i="12"/>
  <c r="V88" i="12"/>
  <c r="W88" i="12"/>
  <c r="V89" i="12"/>
  <c r="W89" i="12"/>
  <c r="V90" i="12"/>
  <c r="W90" i="12"/>
  <c r="V91" i="12"/>
  <c r="W91" i="12"/>
  <c r="V92" i="12"/>
  <c r="W92" i="12"/>
  <c r="V93" i="12"/>
  <c r="W93" i="12"/>
  <c r="V94" i="12"/>
  <c r="W94" i="12"/>
  <c r="V95" i="12"/>
  <c r="W95" i="12"/>
  <c r="V96" i="12"/>
  <c r="W96" i="12"/>
  <c r="V97" i="12"/>
  <c r="W97" i="12"/>
  <c r="V98" i="12"/>
  <c r="W98" i="12"/>
  <c r="V99" i="12"/>
  <c r="W99" i="12"/>
  <c r="V100" i="12"/>
  <c r="W100" i="12"/>
  <c r="V101" i="12"/>
  <c r="W101" i="12"/>
  <c r="V102" i="12"/>
  <c r="W102" i="12"/>
  <c r="V103" i="12"/>
  <c r="W103" i="12"/>
  <c r="V104" i="12"/>
  <c r="W104" i="12"/>
  <c r="V105" i="12"/>
  <c r="W105" i="12"/>
  <c r="V106" i="12"/>
  <c r="W106" i="12"/>
  <c r="V107" i="12"/>
  <c r="W107" i="12"/>
  <c r="V108" i="12"/>
  <c r="W108" i="12"/>
  <c r="V109" i="12"/>
  <c r="W109" i="12"/>
  <c r="V110" i="12"/>
  <c r="W110" i="12"/>
  <c r="V111" i="12"/>
  <c r="V112" i="12"/>
  <c r="W112" i="12"/>
  <c r="V113" i="12"/>
  <c r="W113" i="12"/>
  <c r="V114" i="12"/>
  <c r="W114" i="12"/>
  <c r="V115" i="12"/>
  <c r="W115" i="12"/>
  <c r="V116" i="12"/>
  <c r="W116" i="12"/>
  <c r="V117" i="12"/>
  <c r="W117" i="12"/>
  <c r="V118" i="12"/>
  <c r="W118" i="12"/>
  <c r="V119" i="12"/>
  <c r="W119" i="12"/>
  <c r="V120" i="12"/>
  <c r="W120" i="12"/>
  <c r="V121" i="12"/>
  <c r="W121" i="12"/>
  <c r="V122" i="12"/>
  <c r="W122" i="12"/>
  <c r="V123" i="12"/>
  <c r="W123" i="12"/>
  <c r="V124" i="12"/>
  <c r="W124" i="12"/>
  <c r="V125" i="12"/>
  <c r="W125" i="12"/>
  <c r="V126" i="12"/>
  <c r="W126" i="12"/>
  <c r="V127" i="12"/>
  <c r="W127" i="12"/>
  <c r="V128" i="12"/>
  <c r="W128" i="12"/>
  <c r="V129" i="12"/>
  <c r="W129" i="12"/>
  <c r="V130" i="12"/>
  <c r="W130" i="12"/>
  <c r="V131" i="12"/>
  <c r="W131" i="12"/>
  <c r="V132" i="12"/>
  <c r="W132" i="12"/>
  <c r="V133" i="12"/>
  <c r="W133" i="12"/>
  <c r="V134" i="12"/>
  <c r="W134" i="12"/>
  <c r="V135" i="12"/>
  <c r="W135" i="12"/>
  <c r="V136" i="12"/>
  <c r="W136" i="12"/>
  <c r="V137" i="12"/>
  <c r="W137" i="12"/>
  <c r="V138" i="12"/>
  <c r="W138" i="12"/>
  <c r="V139" i="12"/>
  <c r="W139" i="12"/>
  <c r="V140" i="12"/>
  <c r="W140" i="12"/>
  <c r="V141" i="12"/>
  <c r="W141" i="12"/>
  <c r="V142" i="12"/>
  <c r="W142" i="12"/>
  <c r="V143" i="12"/>
  <c r="W143" i="12"/>
  <c r="V144" i="12"/>
  <c r="W144" i="12"/>
  <c r="V145" i="12"/>
  <c r="W145" i="12"/>
  <c r="V146" i="12"/>
  <c r="W146" i="12"/>
  <c r="V147" i="12"/>
  <c r="W147" i="12"/>
  <c r="V148" i="12"/>
  <c r="W148" i="12"/>
  <c r="V149" i="12"/>
  <c r="W149" i="12"/>
  <c r="V150" i="12"/>
  <c r="W150" i="12"/>
  <c r="V151" i="12"/>
  <c r="W151" i="12"/>
  <c r="V152" i="12"/>
  <c r="W152" i="12"/>
  <c r="V153" i="12"/>
  <c r="W153" i="12"/>
  <c r="V154" i="12"/>
  <c r="W154" i="12"/>
  <c r="V155" i="12"/>
  <c r="W155" i="12"/>
  <c r="V156" i="12"/>
  <c r="W156" i="12"/>
  <c r="V157" i="12"/>
  <c r="W157" i="12"/>
  <c r="V158" i="12"/>
  <c r="W158" i="12"/>
  <c r="V159" i="12"/>
  <c r="W159" i="12"/>
  <c r="V160" i="12"/>
  <c r="W160" i="12"/>
  <c r="V161" i="12"/>
  <c r="W161" i="12"/>
  <c r="V162" i="12"/>
  <c r="V163" i="12"/>
  <c r="W163" i="12"/>
  <c r="V164" i="12"/>
  <c r="W164" i="12"/>
  <c r="V165" i="12"/>
  <c r="W165" i="12"/>
  <c r="V166" i="12"/>
  <c r="W166" i="12"/>
  <c r="V167" i="12"/>
  <c r="W167" i="12"/>
  <c r="V168" i="12"/>
  <c r="W168" i="12"/>
  <c r="V169" i="12"/>
  <c r="W169" i="12"/>
  <c r="V170" i="12"/>
  <c r="W170" i="12"/>
  <c r="V171" i="12"/>
  <c r="W171" i="12"/>
  <c r="V172" i="12"/>
  <c r="W172" i="12"/>
  <c r="V173" i="12"/>
  <c r="W173" i="12"/>
  <c r="V174" i="12"/>
  <c r="W174" i="12"/>
  <c r="V175" i="12"/>
  <c r="W175" i="12"/>
  <c r="V176" i="12"/>
  <c r="W176" i="12"/>
  <c r="V177" i="12"/>
  <c r="W177" i="12"/>
  <c r="V178" i="12"/>
  <c r="W178" i="12"/>
  <c r="V179" i="12"/>
  <c r="W179" i="12"/>
  <c r="V180" i="12"/>
  <c r="W180" i="12"/>
  <c r="V181" i="12"/>
  <c r="W181" i="12"/>
  <c r="V182" i="12"/>
  <c r="W182" i="12"/>
  <c r="V183" i="12"/>
  <c r="W183" i="12"/>
  <c r="V184" i="12"/>
  <c r="W184" i="12"/>
  <c r="V185" i="12"/>
  <c r="W185" i="12"/>
  <c r="V186" i="12"/>
  <c r="W186" i="12"/>
  <c r="V187" i="12"/>
  <c r="W187" i="12"/>
  <c r="V188" i="12"/>
  <c r="W188" i="12"/>
  <c r="V189" i="12"/>
  <c r="W189" i="12"/>
  <c r="V190" i="12"/>
  <c r="W190" i="12"/>
  <c r="V191" i="12"/>
  <c r="W191" i="12"/>
  <c r="V192" i="12"/>
  <c r="W192" i="12"/>
  <c r="V193" i="12"/>
  <c r="W193" i="12"/>
  <c r="V194" i="12"/>
  <c r="W194" i="12"/>
  <c r="V195" i="12"/>
  <c r="W195" i="12"/>
  <c r="V196" i="12"/>
  <c r="W196" i="12"/>
  <c r="V197" i="12"/>
  <c r="W197" i="12"/>
  <c r="V198" i="12"/>
  <c r="W198" i="12"/>
  <c r="V199" i="12"/>
  <c r="W199" i="12"/>
  <c r="V200" i="12"/>
  <c r="W200" i="12"/>
  <c r="V201" i="12"/>
  <c r="W201" i="12"/>
  <c r="V202" i="12"/>
  <c r="W202" i="12"/>
  <c r="V203" i="12"/>
  <c r="W203" i="12"/>
  <c r="V204" i="12"/>
  <c r="W204" i="12"/>
  <c r="V205" i="12"/>
  <c r="W205" i="12"/>
  <c r="V206" i="12"/>
  <c r="W206" i="12"/>
  <c r="V207" i="12"/>
  <c r="W207" i="12"/>
  <c r="V208" i="12"/>
  <c r="W208" i="12"/>
  <c r="V209" i="12"/>
  <c r="W209" i="12"/>
  <c r="V210" i="12"/>
  <c r="W210" i="12"/>
  <c r="V211" i="12"/>
  <c r="W211" i="12"/>
  <c r="V212" i="12"/>
  <c r="W212" i="12"/>
  <c r="V213" i="12"/>
  <c r="V214" i="12"/>
  <c r="W214" i="12"/>
  <c r="V215" i="12"/>
  <c r="W215" i="12"/>
  <c r="V216" i="12"/>
  <c r="W216" i="12"/>
  <c r="V217" i="12"/>
  <c r="W217" i="12"/>
  <c r="V218" i="12"/>
  <c r="W218" i="12"/>
  <c r="V219" i="12"/>
  <c r="W219" i="12"/>
  <c r="V220" i="12"/>
  <c r="W220" i="12"/>
  <c r="V221" i="12"/>
  <c r="W221" i="12"/>
  <c r="V222" i="12"/>
  <c r="W222" i="12"/>
  <c r="V223" i="12"/>
  <c r="W223" i="12"/>
  <c r="V224" i="12"/>
  <c r="W224" i="12"/>
  <c r="V225" i="12"/>
  <c r="W225" i="12"/>
  <c r="V226" i="12"/>
  <c r="W226" i="12"/>
  <c r="V227" i="12"/>
  <c r="W227" i="12"/>
  <c r="V228" i="12"/>
  <c r="W228" i="12"/>
  <c r="V229" i="12"/>
  <c r="W229" i="12"/>
  <c r="V230" i="12"/>
  <c r="W230" i="12"/>
  <c r="V231" i="12"/>
  <c r="W231" i="12"/>
  <c r="V232" i="12"/>
  <c r="W232" i="12"/>
  <c r="V233" i="12"/>
  <c r="W233" i="12"/>
  <c r="V234" i="12"/>
  <c r="W234" i="12"/>
  <c r="V235" i="12"/>
  <c r="W235" i="12"/>
  <c r="V236" i="12"/>
  <c r="W236" i="12"/>
  <c r="V237" i="12"/>
  <c r="W237" i="12"/>
  <c r="V238" i="12"/>
  <c r="W238" i="12"/>
  <c r="V239" i="12"/>
  <c r="W239" i="12"/>
  <c r="V240" i="12"/>
  <c r="W240" i="12"/>
  <c r="V241" i="12"/>
  <c r="W241" i="12"/>
  <c r="V242" i="12"/>
  <c r="W242" i="12"/>
  <c r="V243" i="12"/>
  <c r="W243" i="12"/>
  <c r="V244" i="12"/>
  <c r="W244" i="12"/>
  <c r="V245" i="12"/>
  <c r="W245" i="12"/>
  <c r="V246" i="12"/>
  <c r="W246" i="12"/>
  <c r="V247" i="12"/>
  <c r="W247" i="12"/>
  <c r="V248" i="12"/>
  <c r="W248" i="12"/>
  <c r="V249" i="12"/>
  <c r="W249" i="12"/>
  <c r="V250" i="12"/>
  <c r="W250" i="12"/>
  <c r="V251" i="12"/>
  <c r="W251" i="12"/>
  <c r="V252" i="12"/>
  <c r="W252" i="12"/>
  <c r="V253" i="12"/>
  <c r="W253" i="12"/>
  <c r="V254" i="12"/>
  <c r="W254" i="12"/>
  <c r="V255" i="12"/>
  <c r="W255" i="12"/>
  <c r="V256" i="12"/>
  <c r="W256" i="12"/>
  <c r="V257" i="12"/>
  <c r="W257" i="12"/>
  <c r="V258" i="12"/>
  <c r="W258" i="12"/>
  <c r="V259" i="12"/>
  <c r="W259" i="12"/>
  <c r="V260" i="12"/>
  <c r="W260" i="12"/>
  <c r="V261" i="12"/>
  <c r="W261" i="12"/>
  <c r="V262" i="12"/>
  <c r="W262" i="12"/>
  <c r="V263" i="12"/>
  <c r="W263" i="12"/>
  <c r="R110" i="12"/>
  <c r="R109" i="12"/>
  <c r="R108" i="12"/>
  <c r="R107" i="12"/>
  <c r="R106" i="12"/>
  <c r="R105" i="12"/>
  <c r="R104" i="12"/>
  <c r="R103" i="12"/>
  <c r="R102" i="12"/>
  <c r="R101" i="12"/>
  <c r="R100" i="12"/>
  <c r="R99" i="12"/>
  <c r="R98" i="12"/>
  <c r="R97" i="12"/>
  <c r="R96" i="12"/>
  <c r="R95" i="12"/>
  <c r="R94" i="12"/>
  <c r="R93" i="12"/>
  <c r="R92" i="12"/>
  <c r="R91" i="12"/>
  <c r="R90" i="12"/>
  <c r="R89" i="12"/>
  <c r="R88" i="12"/>
  <c r="R87" i="12"/>
  <c r="R86" i="12"/>
  <c r="R85" i="12"/>
  <c r="R84" i="12"/>
  <c r="R83" i="12"/>
  <c r="R82" i="12"/>
  <c r="R81" i="12"/>
  <c r="R80" i="12"/>
  <c r="R79" i="12"/>
  <c r="R78" i="12"/>
  <c r="R77" i="12"/>
  <c r="R76" i="12"/>
  <c r="R75" i="12"/>
  <c r="R74" i="12"/>
  <c r="R73" i="12"/>
  <c r="R72" i="12"/>
  <c r="R71" i="12"/>
  <c r="R70" i="12"/>
  <c r="R69" i="12"/>
  <c r="R68" i="12"/>
  <c r="R67" i="12"/>
  <c r="R66" i="12"/>
  <c r="R65" i="12"/>
  <c r="R64" i="12"/>
  <c r="R63" i="12"/>
  <c r="R62" i="12"/>
  <c r="W213" i="12"/>
  <c r="W162" i="12"/>
  <c r="W111" i="12"/>
  <c r="W9" i="12"/>
  <c r="M5" i="12"/>
  <c r="L5" i="12"/>
  <c r="K5" i="12"/>
  <c r="J5" i="12"/>
  <c r="I5" i="12"/>
  <c r="T7" i="12" s="1"/>
  <c r="M3" i="12"/>
  <c r="L3" i="12"/>
  <c r="K3" i="12"/>
  <c r="J3" i="12"/>
  <c r="I3" i="12"/>
  <c r="T215" i="12" l="1"/>
  <c r="T223" i="12"/>
  <c r="T231" i="12"/>
  <c r="T239" i="12"/>
  <c r="T247" i="12"/>
  <c r="T255" i="12"/>
  <c r="T263" i="12"/>
  <c r="T170" i="12"/>
  <c r="T178" i="12"/>
  <c r="T186" i="12"/>
  <c r="T194" i="12"/>
  <c r="T202" i="12"/>
  <c r="T210" i="12"/>
  <c r="T117" i="12"/>
  <c r="T141" i="12"/>
  <c r="T64" i="12"/>
  <c r="T89" i="12"/>
  <c r="T241" i="12"/>
  <c r="T196" i="12"/>
  <c r="T143" i="12"/>
  <c r="T74" i="12"/>
  <c r="T106" i="12"/>
  <c r="T258" i="12"/>
  <c r="T197" i="12"/>
  <c r="T128" i="12"/>
  <c r="T67" i="12"/>
  <c r="T107" i="12"/>
  <c r="T153" i="12"/>
  <c r="T100" i="12"/>
  <c r="T183" i="12"/>
  <c r="T77" i="12"/>
  <c r="T216" i="12"/>
  <c r="T224" i="12"/>
  <c r="T232" i="12"/>
  <c r="T240" i="12"/>
  <c r="T248" i="12"/>
  <c r="T256" i="12"/>
  <c r="T214" i="12"/>
  <c r="T171" i="12"/>
  <c r="T179" i="12"/>
  <c r="T187" i="12"/>
  <c r="T195" i="12"/>
  <c r="T203" i="12"/>
  <c r="T211" i="12"/>
  <c r="T118" i="12"/>
  <c r="T126" i="12"/>
  <c r="T134" i="12"/>
  <c r="T142" i="12"/>
  <c r="T150" i="12"/>
  <c r="T158" i="12"/>
  <c r="T65" i="12"/>
  <c r="T105" i="12"/>
  <c r="T249" i="12"/>
  <c r="T212" i="12"/>
  <c r="T151" i="12"/>
  <c r="T90" i="12"/>
  <c r="T250" i="12"/>
  <c r="T189" i="12"/>
  <c r="T120" i="12"/>
  <c r="T152" i="12"/>
  <c r="T83" i="12"/>
  <c r="T121" i="12"/>
  <c r="T68" i="12"/>
  <c r="T175" i="12"/>
  <c r="T130" i="12"/>
  <c r="T85" i="12"/>
  <c r="T217" i="12"/>
  <c r="T165" i="12"/>
  <c r="T136" i="12"/>
  <c r="T75" i="12"/>
  <c r="T113" i="12"/>
  <c r="T76" i="12"/>
  <c r="T199" i="12"/>
  <c r="T138" i="12"/>
  <c r="T93" i="12"/>
  <c r="T218" i="12"/>
  <c r="T226" i="12"/>
  <c r="T219" i="12"/>
  <c r="T227" i="12"/>
  <c r="T235" i="12"/>
  <c r="T243" i="12"/>
  <c r="T251" i="12"/>
  <c r="T259" i="12"/>
  <c r="T166" i="12"/>
  <c r="T174" i="12"/>
  <c r="T182" i="12"/>
  <c r="T190" i="12"/>
  <c r="T198" i="12"/>
  <c r="T206" i="12"/>
  <c r="T145" i="12"/>
  <c r="T161" i="12"/>
  <c r="T108" i="12"/>
  <c r="T207" i="12"/>
  <c r="T154" i="12"/>
  <c r="T101" i="12"/>
  <c r="T220" i="12"/>
  <c r="T228" i="12"/>
  <c r="T236" i="12"/>
  <c r="T244" i="12"/>
  <c r="T252" i="12"/>
  <c r="T260" i="12"/>
  <c r="T167" i="12"/>
  <c r="T191" i="12"/>
  <c r="T146" i="12"/>
  <c r="T109" i="12"/>
  <c r="T221" i="12"/>
  <c r="T229" i="12"/>
  <c r="T237" i="12"/>
  <c r="T245" i="12"/>
  <c r="T253" i="12"/>
  <c r="T261" i="12"/>
  <c r="T168" i="12"/>
  <c r="T176" i="12"/>
  <c r="T184" i="12"/>
  <c r="T192" i="12"/>
  <c r="T200" i="12"/>
  <c r="T208" i="12"/>
  <c r="T115" i="12"/>
  <c r="T123" i="12"/>
  <c r="T131" i="12"/>
  <c r="T139" i="12"/>
  <c r="T147" i="12"/>
  <c r="T155" i="12"/>
  <c r="T62" i="12"/>
  <c r="T70" i="12"/>
  <c r="T78" i="12"/>
  <c r="T86" i="12"/>
  <c r="T94" i="12"/>
  <c r="T102" i="12"/>
  <c r="T110" i="12"/>
  <c r="T222" i="12"/>
  <c r="T230" i="12"/>
  <c r="T238" i="12"/>
  <c r="T246" i="12"/>
  <c r="T254" i="12"/>
  <c r="T262" i="12"/>
  <c r="T169" i="12"/>
  <c r="T177" i="12"/>
  <c r="T185" i="12"/>
  <c r="T193" i="12"/>
  <c r="T201" i="12"/>
  <c r="T209" i="12"/>
  <c r="T116" i="12"/>
  <c r="T132" i="12"/>
  <c r="T140" i="12"/>
  <c r="T148" i="12"/>
  <c r="T156" i="12"/>
  <c r="T63" i="12"/>
  <c r="T79" i="12"/>
  <c r="T87" i="12"/>
  <c r="T103" i="12"/>
  <c r="T125" i="12"/>
  <c r="T157" i="12"/>
  <c r="T72" i="12"/>
  <c r="T88" i="12"/>
  <c r="T104" i="12"/>
  <c r="T81" i="12"/>
  <c r="T225" i="12"/>
  <c r="T164" i="12"/>
  <c r="T180" i="12"/>
  <c r="T204" i="12"/>
  <c r="T127" i="12"/>
  <c r="T159" i="12"/>
  <c r="T82" i="12"/>
  <c r="T242" i="12"/>
  <c r="T173" i="12"/>
  <c r="T205" i="12"/>
  <c r="T144" i="12"/>
  <c r="T91" i="12"/>
  <c r="T129" i="12"/>
  <c r="T92" i="12"/>
  <c r="T114" i="12"/>
  <c r="T69" i="12"/>
  <c r="T124" i="12"/>
  <c r="T71" i="12"/>
  <c r="T95" i="12"/>
  <c r="T61" i="12"/>
  <c r="T133" i="12"/>
  <c r="T149" i="12"/>
  <c r="T80" i="12"/>
  <c r="T96" i="12"/>
  <c r="T73" i="12"/>
  <c r="T97" i="12"/>
  <c r="T233" i="12"/>
  <c r="T257" i="12"/>
  <c r="T172" i="12"/>
  <c r="T188" i="12"/>
  <c r="T119" i="12"/>
  <c r="T135" i="12"/>
  <c r="T66" i="12"/>
  <c r="T98" i="12"/>
  <c r="T234" i="12"/>
  <c r="T181" i="12"/>
  <c r="T163" i="12"/>
  <c r="T160" i="12"/>
  <c r="T99" i="12"/>
  <c r="T137" i="12"/>
  <c r="T84" i="12"/>
  <c r="T122" i="12"/>
  <c r="T112" i="12"/>
  <c r="T17" i="12"/>
  <c r="T25" i="12"/>
  <c r="T33" i="12"/>
  <c r="T41" i="12"/>
  <c r="T49" i="12"/>
  <c r="T18" i="12"/>
  <c r="T26" i="12"/>
  <c r="T34" i="12"/>
  <c r="T42" i="12"/>
  <c r="T50" i="12"/>
  <c r="T58" i="12"/>
  <c r="T37" i="12"/>
  <c r="T14" i="12"/>
  <c r="T38" i="12"/>
  <c r="T11" i="12"/>
  <c r="T19" i="12"/>
  <c r="T27" i="12"/>
  <c r="T35" i="12"/>
  <c r="T43" i="12"/>
  <c r="T51" i="12"/>
  <c r="T59" i="12"/>
  <c r="T29" i="12"/>
  <c r="T53" i="12"/>
  <c r="T12" i="12"/>
  <c r="T20" i="12"/>
  <c r="T28" i="12"/>
  <c r="T36" i="12"/>
  <c r="T44" i="12"/>
  <c r="T52" i="12"/>
  <c r="T10" i="12"/>
  <c r="T21" i="12"/>
  <c r="T45" i="12"/>
  <c r="T22" i="12"/>
  <c r="T30" i="12"/>
  <c r="T46" i="12"/>
  <c r="T13" i="12"/>
  <c r="T54" i="12"/>
  <c r="T15" i="12"/>
  <c r="T23" i="12"/>
  <c r="T31" i="12"/>
  <c r="T39" i="12"/>
  <c r="T47" i="12"/>
  <c r="T55" i="12"/>
  <c r="T16" i="12"/>
  <c r="T24" i="12"/>
  <c r="T32" i="12"/>
  <c r="T40" i="12"/>
  <c r="T48" i="12"/>
  <c r="T56" i="12"/>
  <c r="T57" i="12"/>
  <c r="H17" i="1"/>
  <c r="H16" i="1"/>
  <c r="T8" i="12"/>
  <c r="H28" i="1"/>
  <c r="H32" i="1" s="1"/>
  <c r="D16" i="1"/>
  <c r="C32" i="1"/>
  <c r="R8" i="12"/>
  <c r="D28" i="1"/>
  <c r="G29" i="1"/>
  <c r="C21" i="1"/>
  <c r="W60" i="12"/>
  <c r="T9" i="12" l="1"/>
  <c r="T213" i="12"/>
  <c r="T111" i="12"/>
  <c r="T162" i="12"/>
  <c r="T60" i="12"/>
  <c r="G28" i="1"/>
  <c r="G32" i="1" s="1"/>
  <c r="H33" i="1" s="1"/>
  <c r="D32" i="1"/>
  <c r="B32" i="1"/>
  <c r="G17" i="1"/>
  <c r="G18" i="1"/>
  <c r="G19" i="1"/>
  <c r="G20" i="1"/>
  <c r="R61" i="12"/>
  <c r="R112" i="12"/>
  <c r="R113" i="12"/>
  <c r="R114" i="12"/>
  <c r="R115" i="12"/>
  <c r="R116" i="12"/>
  <c r="R117" i="12"/>
  <c r="R118" i="12"/>
  <c r="R119" i="12"/>
  <c r="R120" i="12"/>
  <c r="R121" i="12"/>
  <c r="R122" i="12"/>
  <c r="R123" i="12"/>
  <c r="R124" i="12"/>
  <c r="R125" i="12"/>
  <c r="R126" i="12"/>
  <c r="R127" i="12"/>
  <c r="R128" i="12"/>
  <c r="R129" i="12"/>
  <c r="R130" i="12"/>
  <c r="R131" i="12"/>
  <c r="R132" i="12"/>
  <c r="R133" i="12"/>
  <c r="R134" i="12"/>
  <c r="R135" i="12"/>
  <c r="R136" i="12"/>
  <c r="R137" i="12"/>
  <c r="R138" i="12"/>
  <c r="R139" i="12"/>
  <c r="R140" i="12"/>
  <c r="R141" i="12"/>
  <c r="R142" i="12"/>
  <c r="R143" i="12"/>
  <c r="R144" i="12"/>
  <c r="R145" i="12"/>
  <c r="R146" i="12"/>
  <c r="R147" i="12"/>
  <c r="R148" i="12"/>
  <c r="R149" i="12"/>
  <c r="R150" i="12"/>
  <c r="R151" i="12"/>
  <c r="R152" i="12"/>
  <c r="R153" i="12"/>
  <c r="R154" i="12"/>
  <c r="R155" i="12"/>
  <c r="R156" i="12"/>
  <c r="R157" i="12"/>
  <c r="R158" i="12"/>
  <c r="R159" i="12"/>
  <c r="R160" i="12"/>
  <c r="R161" i="12"/>
  <c r="R163" i="12"/>
  <c r="R164" i="12"/>
  <c r="R165" i="12"/>
  <c r="R166" i="12"/>
  <c r="R167" i="12"/>
  <c r="R168" i="12"/>
  <c r="R169" i="12"/>
  <c r="R170" i="12"/>
  <c r="R171" i="12"/>
  <c r="R172" i="12"/>
  <c r="R173" i="12"/>
  <c r="R174" i="12"/>
  <c r="R175" i="12"/>
  <c r="R176" i="12"/>
  <c r="R177" i="12"/>
  <c r="R178" i="12"/>
  <c r="R179" i="12"/>
  <c r="R180" i="12"/>
  <c r="R181" i="12"/>
  <c r="R182" i="12"/>
  <c r="R183" i="12"/>
  <c r="R184" i="12"/>
  <c r="R185" i="12"/>
  <c r="R186" i="12"/>
  <c r="R187" i="12"/>
  <c r="R188" i="12"/>
  <c r="R189" i="12"/>
  <c r="R190" i="12"/>
  <c r="R191" i="12"/>
  <c r="R192" i="12"/>
  <c r="R193" i="12"/>
  <c r="R194" i="12"/>
  <c r="R195" i="12"/>
  <c r="R196" i="12"/>
  <c r="R197" i="12"/>
  <c r="R198" i="12"/>
  <c r="R199" i="12"/>
  <c r="R200" i="12"/>
  <c r="R201" i="12"/>
  <c r="R202" i="12"/>
  <c r="R203" i="12"/>
  <c r="R204" i="12"/>
  <c r="R205" i="12"/>
  <c r="R206" i="12"/>
  <c r="R207" i="12"/>
  <c r="R208" i="12"/>
  <c r="R209" i="12"/>
  <c r="R210" i="12"/>
  <c r="R211" i="12"/>
  <c r="R212" i="12"/>
  <c r="R214" i="12"/>
  <c r="R215" i="12"/>
  <c r="R216" i="12"/>
  <c r="R217" i="12"/>
  <c r="R218" i="12"/>
  <c r="R219" i="12"/>
  <c r="R220" i="12"/>
  <c r="R221" i="12"/>
  <c r="R222" i="12"/>
  <c r="R223" i="12"/>
  <c r="R224" i="12"/>
  <c r="R225" i="12"/>
  <c r="R226" i="12"/>
  <c r="R227" i="12"/>
  <c r="R228" i="12"/>
  <c r="R229" i="12"/>
  <c r="R230" i="12"/>
  <c r="R231" i="12"/>
  <c r="R232" i="12"/>
  <c r="R233" i="12"/>
  <c r="R234" i="12"/>
  <c r="R235" i="12"/>
  <c r="R236" i="12"/>
  <c r="R237" i="12"/>
  <c r="R238" i="12"/>
  <c r="R239" i="12"/>
  <c r="R240" i="12"/>
  <c r="R241" i="12"/>
  <c r="R242" i="12"/>
  <c r="R243" i="12"/>
  <c r="R244" i="12"/>
  <c r="R245" i="12"/>
  <c r="R246" i="12"/>
  <c r="R247" i="12"/>
  <c r="R248" i="12"/>
  <c r="R249" i="12"/>
  <c r="R250" i="12"/>
  <c r="R251" i="12"/>
  <c r="R252" i="12"/>
  <c r="R253" i="12"/>
  <c r="R254" i="12"/>
  <c r="R255" i="12"/>
  <c r="R256" i="12"/>
  <c r="R257" i="12"/>
  <c r="R258" i="12"/>
  <c r="R259" i="12"/>
  <c r="R260" i="12"/>
  <c r="R261" i="12"/>
  <c r="R262" i="12"/>
  <c r="R263" i="12"/>
  <c r="G16" i="1" l="1"/>
  <c r="D21" i="1" l="1"/>
  <c r="H57" i="1" l="1"/>
  <c r="B2" i="11" l="1"/>
  <c r="J4" i="12" l="1"/>
  <c r="K4" i="12"/>
  <c r="L4" i="12"/>
  <c r="M4" i="12"/>
  <c r="I4" i="12"/>
  <c r="S215" i="12" l="1"/>
  <c r="S219" i="12"/>
  <c r="S223" i="12"/>
  <c r="S227" i="12"/>
  <c r="S231" i="12"/>
  <c r="S235" i="12"/>
  <c r="S239" i="12"/>
  <c r="S243" i="12"/>
  <c r="S247" i="12"/>
  <c r="S251" i="12"/>
  <c r="S255" i="12"/>
  <c r="S259" i="12"/>
  <c r="S263" i="12"/>
  <c r="S166" i="12"/>
  <c r="S170" i="12"/>
  <c r="S174" i="12"/>
  <c r="S178" i="12"/>
  <c r="S186" i="12"/>
  <c r="S190" i="12"/>
  <c r="S194" i="12"/>
  <c r="S202" i="12"/>
  <c r="S210" i="12"/>
  <c r="S117" i="12"/>
  <c r="S125" i="12"/>
  <c r="S133" i="12"/>
  <c r="S141" i="12"/>
  <c r="S149" i="12"/>
  <c r="S157" i="12"/>
  <c r="S64" i="12"/>
  <c r="S72" i="12"/>
  <c r="S80" i="12"/>
  <c r="S88" i="12"/>
  <c r="S96" i="12"/>
  <c r="S100" i="12"/>
  <c r="S108" i="12"/>
  <c r="S220" i="12"/>
  <c r="S252" i="12"/>
  <c r="S167" i="12"/>
  <c r="S175" i="12"/>
  <c r="S183" i="12"/>
  <c r="S191" i="12"/>
  <c r="S199" i="12"/>
  <c r="S207" i="12"/>
  <c r="S114" i="12"/>
  <c r="S122" i="12"/>
  <c r="S130" i="12"/>
  <c r="S138" i="12"/>
  <c r="S146" i="12"/>
  <c r="S154" i="12"/>
  <c r="S65" i="12"/>
  <c r="S73" i="12"/>
  <c r="S81" i="12"/>
  <c r="S89" i="12"/>
  <c r="S97" i="12"/>
  <c r="S105" i="12"/>
  <c r="S216" i="12"/>
  <c r="S224" i="12"/>
  <c r="S228" i="12"/>
  <c r="S232" i="12"/>
  <c r="S236" i="12"/>
  <c r="S240" i="12"/>
  <c r="S244" i="12"/>
  <c r="S248" i="12"/>
  <c r="S256" i="12"/>
  <c r="S260" i="12"/>
  <c r="S171" i="12"/>
  <c r="S179" i="12"/>
  <c r="S187" i="12"/>
  <c r="S195" i="12"/>
  <c r="S203" i="12"/>
  <c r="S211" i="12"/>
  <c r="S118" i="12"/>
  <c r="S126" i="12"/>
  <c r="S134" i="12"/>
  <c r="S142" i="12"/>
  <c r="S150" i="12"/>
  <c r="S158" i="12"/>
  <c r="S69" i="12"/>
  <c r="S77" i="12"/>
  <c r="S85" i="12"/>
  <c r="S93" i="12"/>
  <c r="S101" i="12"/>
  <c r="S109" i="12"/>
  <c r="S214" i="12"/>
  <c r="S112" i="12"/>
  <c r="S168" i="12"/>
  <c r="S184" i="12"/>
  <c r="S196" i="12"/>
  <c r="S204" i="12"/>
  <c r="S212" i="12"/>
  <c r="S119" i="12"/>
  <c r="S123" i="12"/>
  <c r="S131" i="12"/>
  <c r="S139" i="12"/>
  <c r="S147" i="12"/>
  <c r="S155" i="12"/>
  <c r="S62" i="12"/>
  <c r="S70" i="12"/>
  <c r="S78" i="12"/>
  <c r="S86" i="12"/>
  <c r="S94" i="12"/>
  <c r="S102" i="12"/>
  <c r="S110" i="12"/>
  <c r="S217" i="12"/>
  <c r="S221" i="12"/>
  <c r="S225" i="12"/>
  <c r="S229" i="12"/>
  <c r="S233" i="12"/>
  <c r="S237" i="12"/>
  <c r="S241" i="12"/>
  <c r="S245" i="12"/>
  <c r="S249" i="12"/>
  <c r="S253" i="12"/>
  <c r="S257" i="12"/>
  <c r="S261" i="12"/>
  <c r="S164" i="12"/>
  <c r="S172" i="12"/>
  <c r="S176" i="12"/>
  <c r="S180" i="12"/>
  <c r="S188" i="12"/>
  <c r="S192" i="12"/>
  <c r="S200" i="12"/>
  <c r="S208" i="12"/>
  <c r="S115" i="12"/>
  <c r="S127" i="12"/>
  <c r="S135" i="12"/>
  <c r="S143" i="12"/>
  <c r="S151" i="12"/>
  <c r="S159" i="12"/>
  <c r="S66" i="12"/>
  <c r="S74" i="12"/>
  <c r="S82" i="12"/>
  <c r="S90" i="12"/>
  <c r="S98" i="12"/>
  <c r="S106" i="12"/>
  <c r="S218" i="12"/>
  <c r="S226" i="12"/>
  <c r="S234" i="12"/>
  <c r="S242" i="12"/>
  <c r="S250" i="12"/>
  <c r="S254" i="12"/>
  <c r="S262" i="12"/>
  <c r="S169" i="12"/>
  <c r="S177" i="12"/>
  <c r="S185" i="12"/>
  <c r="S189" i="12"/>
  <c r="S197" i="12"/>
  <c r="S205" i="12"/>
  <c r="S116" i="12"/>
  <c r="S124" i="12"/>
  <c r="S132" i="12"/>
  <c r="S140" i="12"/>
  <c r="S148" i="12"/>
  <c r="S156" i="12"/>
  <c r="S63" i="12"/>
  <c r="S71" i="12"/>
  <c r="S79" i="12"/>
  <c r="S87" i="12"/>
  <c r="S95" i="12"/>
  <c r="S103" i="12"/>
  <c r="S222" i="12"/>
  <c r="S230" i="12"/>
  <c r="S238" i="12"/>
  <c r="S246" i="12"/>
  <c r="S258" i="12"/>
  <c r="S165" i="12"/>
  <c r="S173" i="12"/>
  <c r="S181" i="12"/>
  <c r="S193" i="12"/>
  <c r="S201" i="12"/>
  <c r="S209" i="12"/>
  <c r="S120" i="12"/>
  <c r="S128" i="12"/>
  <c r="S136" i="12"/>
  <c r="S144" i="12"/>
  <c r="S152" i="12"/>
  <c r="S160" i="12"/>
  <c r="S67" i="12"/>
  <c r="S75" i="12"/>
  <c r="S83" i="12"/>
  <c r="S91" i="12"/>
  <c r="S99" i="12"/>
  <c r="S107" i="12"/>
  <c r="S163" i="12"/>
  <c r="S61" i="12"/>
  <c r="S182" i="12"/>
  <c r="S198" i="12"/>
  <c r="S206" i="12"/>
  <c r="S113" i="12"/>
  <c r="S121" i="12"/>
  <c r="S129" i="12"/>
  <c r="S137" i="12"/>
  <c r="S145" i="12"/>
  <c r="S153" i="12"/>
  <c r="S161" i="12"/>
  <c r="S68" i="12"/>
  <c r="S76" i="12"/>
  <c r="S84" i="12"/>
  <c r="S92" i="12"/>
  <c r="S104" i="12"/>
  <c r="S10" i="12"/>
  <c r="S43" i="12"/>
  <c r="S56" i="12"/>
  <c r="S13" i="12"/>
  <c r="S17" i="12"/>
  <c r="S21" i="12"/>
  <c r="S25" i="12"/>
  <c r="S29" i="12"/>
  <c r="S33" i="12"/>
  <c r="S37" i="12"/>
  <c r="S41" i="12"/>
  <c r="S45" i="12"/>
  <c r="S49" i="12"/>
  <c r="S53" i="12"/>
  <c r="S57" i="12"/>
  <c r="S6" i="12"/>
  <c r="S51" i="12"/>
  <c r="S47" i="12"/>
  <c r="S14" i="12"/>
  <c r="S18" i="12"/>
  <c r="S22" i="12"/>
  <c r="S26" i="12"/>
  <c r="S30" i="12"/>
  <c r="S34" i="12"/>
  <c r="S38" i="12"/>
  <c r="S42" i="12"/>
  <c r="S46" i="12"/>
  <c r="S50" i="12"/>
  <c r="S54" i="12"/>
  <c r="S58" i="12"/>
  <c r="S59" i="12"/>
  <c r="S35" i="12"/>
  <c r="S52" i="12"/>
  <c r="S11" i="12"/>
  <c r="S15" i="12"/>
  <c r="S19" i="12"/>
  <c r="S23" i="12"/>
  <c r="S27" i="12"/>
  <c r="S31" i="12"/>
  <c r="S39" i="12"/>
  <c r="S55" i="12"/>
  <c r="S28" i="12"/>
  <c r="S48" i="12"/>
  <c r="S12" i="12"/>
  <c r="S16" i="12"/>
  <c r="S20" i="12"/>
  <c r="S24" i="12"/>
  <c r="S32" i="12"/>
  <c r="S36" i="12"/>
  <c r="S40" i="12"/>
  <c r="S44" i="12"/>
  <c r="S7" i="12"/>
  <c r="S8" i="12"/>
  <c r="B21" i="1"/>
  <c r="S111" i="12" l="1"/>
  <c r="S9" i="12"/>
  <c r="S162" i="12"/>
  <c r="S213" i="12"/>
  <c r="S60" i="12"/>
  <c r="F32" i="1"/>
  <c r="G49" i="1"/>
  <c r="H50" i="1" s="1"/>
  <c r="E62" i="1" l="1"/>
  <c r="C62" i="1"/>
  <c r="E32" i="1"/>
  <c r="G21" i="1"/>
  <c r="E21" i="1" s="1"/>
  <c r="H62" i="1" l="1"/>
  <c r="G62" i="1"/>
  <c r="G22" i="1"/>
  <c r="G23" i="1" s="1"/>
  <c r="H21" i="1"/>
  <c r="F21" i="1" s="1"/>
  <c r="C61" i="1" l="1"/>
  <c r="C63" i="1" s="1"/>
  <c r="H23" i="1"/>
  <c r="H24" i="1" s="1"/>
  <c r="E61" i="1" l="1"/>
  <c r="H61" i="1" l="1"/>
  <c r="G61" i="1"/>
  <c r="E63" i="1"/>
  <c r="B3" i="11" l="1"/>
  <c r="F3" i="11" s="1"/>
  <c r="H63" i="1"/>
  <c r="G63" i="1"/>
  <c r="E3" i="11" l="1"/>
  <c r="B6" i="11" s="1"/>
  <c r="B9" i="11" s="1"/>
  <c r="B4" i="11"/>
  <c r="E4" i="11" s="1"/>
  <c r="F4" i="11" l="1"/>
  <c r="B7" i="11" s="1"/>
  <c r="B10" i="11" s="1"/>
  <c r="K9" i="13" l="1"/>
  <c r="G7" i="13"/>
  <c r="I7" i="13"/>
  <c r="E8" i="13"/>
  <c r="Q10" i="13" l="1"/>
  <c r="H8" i="13"/>
  <c r="F5" i="13"/>
  <c r="G10" i="13"/>
  <c r="N5" i="13"/>
  <c r="F10" i="13"/>
  <c r="P10" i="13"/>
  <c r="T9" i="13"/>
  <c r="P7" i="13"/>
  <c r="O7" i="13"/>
  <c r="E7" i="13"/>
  <c r="F9" i="13"/>
  <c r="E5" i="13"/>
  <c r="M8" i="13"/>
  <c r="Q5" i="13"/>
  <c r="T7" i="13"/>
  <c r="S10" i="13"/>
  <c r="Q6" i="13"/>
  <c r="F8" i="13"/>
  <c r="I10" i="13"/>
  <c r="I5" i="13"/>
  <c r="O10" i="13"/>
  <c r="Q9" i="13"/>
  <c r="G9" i="13"/>
  <c r="K5" i="13"/>
  <c r="N10" i="13"/>
  <c r="P9" i="13"/>
  <c r="M7" i="13"/>
  <c r="I8" i="13"/>
  <c r="J7" i="13"/>
  <c r="I9" i="13"/>
  <c r="R6" i="13"/>
  <c r="Q7" i="13"/>
  <c r="D6" i="13"/>
  <c r="P5" i="13"/>
  <c r="N9" i="13"/>
  <c r="K7" i="13"/>
  <c r="K8" i="13"/>
  <c r="E9" i="13"/>
  <c r="D8" i="13"/>
  <c r="R8" i="13"/>
  <c r="M9" i="13"/>
  <c r="D5" i="13"/>
  <c r="R9" i="13"/>
  <c r="M6" i="13"/>
  <c r="I6" i="13"/>
  <c r="R10" i="13"/>
  <c r="N6" i="13"/>
  <c r="J5" i="13"/>
  <c r="P6" i="13"/>
  <c r="M5" i="13"/>
  <c r="P8" i="13"/>
  <c r="O8" i="13"/>
  <c r="G6" i="13"/>
  <c r="E6" i="13"/>
  <c r="Q8" i="13"/>
  <c r="T5" i="13"/>
  <c r="H7" i="13"/>
  <c r="J9" i="13"/>
  <c r="H9" i="13"/>
  <c r="G8" i="13"/>
  <c r="K6" i="13"/>
  <c r="N8" i="13"/>
  <c r="D9" i="13"/>
  <c r="N7" i="13"/>
  <c r="H5" i="13"/>
  <c r="K10" i="13"/>
  <c r="F6" i="13"/>
  <c r="R5" i="13"/>
  <c r="E10" i="13"/>
  <c r="S5" i="13"/>
  <c r="D7" i="13"/>
  <c r="H6" i="13"/>
  <c r="F7" i="13"/>
  <c r="H10" i="13"/>
  <c r="T10" i="13"/>
  <c r="S7" i="13"/>
  <c r="D10" i="13"/>
  <c r="R7" i="13"/>
  <c r="S6" i="13"/>
  <c r="J6" i="13"/>
  <c r="J10" i="13"/>
  <c r="S8" i="13"/>
  <c r="T6" i="13"/>
  <c r="G5" i="13"/>
  <c r="O5" i="13"/>
  <c r="J8" i="13"/>
  <c r="S9" i="13"/>
  <c r="O6" i="13"/>
  <c r="O9" i="13"/>
  <c r="M10" i="13"/>
  <c r="T8" i="13"/>
  <c r="AB10" i="13"/>
  <c r="X5" i="13"/>
  <c r="AA9" i="13"/>
  <c r="Y5" i="13"/>
  <c r="AA8" i="13"/>
  <c r="V5" i="13"/>
  <c r="AA7" i="13"/>
  <c r="V8" i="13"/>
  <c r="Z8" i="13"/>
  <c r="V6" i="13"/>
  <c r="Z7" i="13"/>
  <c r="Y10" i="13"/>
  <c r="Y6" i="13"/>
  <c r="V9" i="13"/>
  <c r="X7" i="13"/>
  <c r="X9" i="13"/>
  <c r="AB6" i="13"/>
  <c r="W8" i="13"/>
  <c r="W5" i="13"/>
  <c r="AB7" i="13"/>
  <c r="W9" i="13"/>
  <c r="W6" i="13"/>
  <c r="AB9" i="13"/>
  <c r="V7" i="13"/>
  <c r="AB8" i="13"/>
  <c r="AA5" i="13"/>
  <c r="X8" i="13"/>
  <c r="AB5" i="13"/>
  <c r="W7" i="13"/>
  <c r="Y9" i="13"/>
  <c r="V10" i="13"/>
  <c r="Z5" i="13"/>
  <c r="Z6" i="13"/>
  <c r="AC5" i="13"/>
  <c r="X6" i="13"/>
  <c r="W10" i="13"/>
  <c r="AC6" i="13"/>
  <c r="AC8" i="13"/>
  <c r="AC9" i="13"/>
  <c r="AA6" i="13"/>
  <c r="Z9" i="13"/>
  <c r="Y8" i="13"/>
  <c r="X10" i="13"/>
  <c r="AA10" i="13"/>
  <c r="Y7" i="13"/>
  <c r="AC7" i="13"/>
  <c r="AC10" i="13"/>
  <c r="Z10" i="13"/>
  <c r="K11" i="13" l="1"/>
  <c r="H11" i="13"/>
  <c r="D11" i="13"/>
  <c r="P11" i="13"/>
  <c r="G11" i="13"/>
  <c r="T11" i="13"/>
  <c r="S11" i="13"/>
  <c r="Q11" i="13"/>
  <c r="F11" i="13"/>
  <c r="O11" i="13"/>
  <c r="M11" i="13"/>
  <c r="J11" i="13"/>
  <c r="E11" i="13"/>
  <c r="N11" i="13"/>
  <c r="R11" i="13"/>
  <c r="I11" i="13"/>
  <c r="Z11" i="13"/>
  <c r="W11" i="13"/>
  <c r="AC11" i="13"/>
  <c r="X11" i="13"/>
  <c r="V11" i="13"/>
  <c r="AA11" i="13"/>
  <c r="AB11" i="13"/>
  <c r="Y11" i="13"/>
  <c r="D30" i="44"/>
  <c r="H30" i="44"/>
  <c r="E30" i="44"/>
  <c r="G30" i="44"/>
  <c r="Q159" i="41" l="1"/>
  <c r="G15" i="42" s="1"/>
  <c r="Q167" i="41"/>
  <c r="G23" i="42" s="1"/>
  <c r="Q160" i="41"/>
  <c r="G16" i="42" s="1"/>
  <c r="Q168" i="41"/>
  <c r="G24" i="42" s="1"/>
  <c r="Q161" i="41"/>
  <c r="G17" i="42" s="1"/>
  <c r="Q169" i="41"/>
  <c r="G25" i="42" s="1"/>
  <c r="Q157" i="41"/>
  <c r="G13" i="42" s="1"/>
  <c r="Q158" i="41"/>
  <c r="G14" i="42" s="1"/>
  <c r="Q162" i="41"/>
  <c r="G18" i="42" s="1"/>
  <c r="Q155" i="41"/>
  <c r="G11" i="42" s="1"/>
  <c r="Q163" i="41"/>
  <c r="G19" i="42" s="1"/>
  <c r="Q156" i="41"/>
  <c r="G12" i="42" s="1"/>
  <c r="Q164" i="41"/>
  <c r="G20" i="42" s="1"/>
  <c r="Q165" i="41"/>
  <c r="G21" i="42" s="1"/>
  <c r="Q166" i="41"/>
  <c r="G22" i="42" s="1"/>
  <c r="M161" i="41"/>
  <c r="E17" i="42" s="1"/>
  <c r="M169" i="41"/>
  <c r="E25" i="42" s="1"/>
  <c r="M162" i="41"/>
  <c r="E18" i="42" s="1"/>
  <c r="M163" i="41"/>
  <c r="E19" i="42" s="1"/>
  <c r="M159" i="41"/>
  <c r="E15" i="42" s="1"/>
  <c r="M160" i="41"/>
  <c r="E16" i="42" s="1"/>
  <c r="M155" i="41"/>
  <c r="M156" i="41"/>
  <c r="E12" i="42" s="1"/>
  <c r="M164" i="41"/>
  <c r="E20" i="42" s="1"/>
  <c r="M157" i="41"/>
  <c r="E13" i="42" s="1"/>
  <c r="M165" i="41"/>
  <c r="E21" i="42" s="1"/>
  <c r="M158" i="41"/>
  <c r="E14" i="42" s="1"/>
  <c r="M166" i="41"/>
  <c r="E22" i="42" s="1"/>
  <c r="M167" i="41"/>
  <c r="E23" i="42" s="1"/>
  <c r="M168" i="41"/>
  <c r="E24" i="42" s="1"/>
  <c r="S158" i="41"/>
  <c r="H14" i="42" s="1"/>
  <c r="S166" i="41"/>
  <c r="H22" i="42" s="1"/>
  <c r="S167" i="41"/>
  <c r="H23" i="42" s="1"/>
  <c r="S160" i="41"/>
  <c r="H16" i="42" s="1"/>
  <c r="S168" i="41"/>
  <c r="H24" i="42" s="1"/>
  <c r="S156" i="41"/>
  <c r="H12" i="42" s="1"/>
  <c r="S157" i="41"/>
  <c r="H13" i="42" s="1"/>
  <c r="S159" i="41"/>
  <c r="H15" i="42" s="1"/>
  <c r="S161" i="41"/>
  <c r="H17" i="42" s="1"/>
  <c r="S169" i="41"/>
  <c r="H25" i="42" s="1"/>
  <c r="S162" i="41"/>
  <c r="H18" i="42" s="1"/>
  <c r="S155" i="41"/>
  <c r="S163" i="41"/>
  <c r="H19" i="42" s="1"/>
  <c r="S164" i="41"/>
  <c r="H20" i="42" s="1"/>
  <c r="S165" i="41"/>
  <c r="H21" i="42" s="1"/>
  <c r="K161" i="41"/>
  <c r="K169" i="41"/>
  <c r="K162" i="41"/>
  <c r="K155" i="41"/>
  <c r="K163" i="41"/>
  <c r="K156" i="41"/>
  <c r="K164" i="41"/>
  <c r="K165" i="41"/>
  <c r="K158" i="41"/>
  <c r="K157" i="41"/>
  <c r="K166" i="41"/>
  <c r="K159" i="41"/>
  <c r="K167" i="41"/>
  <c r="K160" i="41"/>
  <c r="K168" i="41"/>
  <c r="D22" i="42" l="1"/>
  <c r="D18" i="42"/>
  <c r="AG41" i="47"/>
  <c r="AG38" i="47"/>
  <c r="AD36" i="47"/>
  <c r="AD33" i="47"/>
  <c r="AF30" i="47"/>
  <c r="AF38" i="47"/>
  <c r="AF29" i="47"/>
  <c r="AG33" i="47"/>
  <c r="AG30" i="47"/>
  <c r="AD28" i="47"/>
  <c r="D14" i="42"/>
  <c r="D17" i="42"/>
  <c r="AG31" i="47"/>
  <c r="AD40" i="47"/>
  <c r="AF37" i="47"/>
  <c r="AF41" i="47"/>
  <c r="D23" i="42"/>
  <c r="D15" i="42"/>
  <c r="D25" i="42"/>
  <c r="D21" i="42"/>
  <c r="AG37" i="47"/>
  <c r="AG29" i="47"/>
  <c r="AD39" i="47"/>
  <c r="AD32" i="47"/>
  <c r="AF36" i="47"/>
  <c r="AF33" i="47"/>
  <c r="D24" i="42"/>
  <c r="D20" i="42"/>
  <c r="AG36" i="47"/>
  <c r="AG28" i="47"/>
  <c r="AD38" i="47"/>
  <c r="AD31" i="47"/>
  <c r="AF28" i="47"/>
  <c r="AF40" i="47"/>
  <c r="AG35" i="47"/>
  <c r="AG40" i="47"/>
  <c r="AD30" i="47"/>
  <c r="AD35" i="47"/>
  <c r="AF35" i="47"/>
  <c r="AF32" i="47"/>
  <c r="D19" i="42"/>
  <c r="AG32" i="47"/>
  <c r="AD37" i="47"/>
  <c r="AD34" i="47"/>
  <c r="AF27" i="47"/>
  <c r="AF39" i="47"/>
  <c r="D16" i="42"/>
  <c r="AG34" i="47"/>
  <c r="AG39" i="47"/>
  <c r="AD29" i="47"/>
  <c r="AD41" i="47"/>
  <c r="AF34" i="47"/>
  <c r="AF31" i="47"/>
  <c r="D13" i="42"/>
  <c r="D12" i="42"/>
  <c r="D11" i="42"/>
  <c r="E11" i="42"/>
  <c r="H11" i="42"/>
  <c r="Q11" i="42"/>
  <c r="AC35" i="47" l="1"/>
  <c r="AC31" i="47"/>
  <c r="AC39" i="47"/>
  <c r="AC36" i="47"/>
  <c r="AD27" i="47"/>
  <c r="AC32" i="47"/>
  <c r="AC37" i="47"/>
  <c r="AC33" i="47"/>
  <c r="AC34" i="47"/>
  <c r="AC40" i="47"/>
  <c r="AG27" i="47"/>
  <c r="AC29" i="47"/>
  <c r="AC41" i="47"/>
  <c r="AC30" i="47"/>
  <c r="AC38" i="47"/>
  <c r="AC28" i="47"/>
  <c r="N11" i="42"/>
  <c r="O5" i="45" s="1"/>
  <c r="N42" i="66" s="1"/>
  <c r="AC27" i="47"/>
  <c r="R11" i="42"/>
  <c r="O11" i="42"/>
  <c r="U5" i="45"/>
  <c r="T42" i="66" s="1"/>
  <c r="E26" i="42"/>
  <c r="N22" i="42"/>
  <c r="R22" i="42"/>
  <c r="R19" i="42"/>
  <c r="R16" i="42"/>
  <c r="Q22" i="42"/>
  <c r="Q23" i="42"/>
  <c r="Q20" i="42"/>
  <c r="N16" i="42"/>
  <c r="O21" i="42"/>
  <c r="O25" i="42"/>
  <c r="O22" i="42"/>
  <c r="Q17" i="42"/>
  <c r="O18" i="42"/>
  <c r="N19" i="42"/>
  <c r="Q14" i="42"/>
  <c r="N23" i="42"/>
  <c r="N20" i="42"/>
  <c r="N17" i="42"/>
  <c r="N14" i="42"/>
  <c r="R17" i="42"/>
  <c r="R23" i="42"/>
  <c r="O19" i="42"/>
  <c r="N25" i="42"/>
  <c r="R14" i="42"/>
  <c r="R25" i="42"/>
  <c r="Q24" i="42"/>
  <c r="Q21" i="42"/>
  <c r="Q18" i="42"/>
  <c r="Q15" i="42"/>
  <c r="Q12" i="42"/>
  <c r="R20" i="42"/>
  <c r="O12" i="42"/>
  <c r="O16" i="42"/>
  <c r="O23" i="42"/>
  <c r="O20" i="42"/>
  <c r="O17" i="42"/>
  <c r="O14" i="42"/>
  <c r="N18" i="42"/>
  <c r="N15" i="42"/>
  <c r="N12" i="42"/>
  <c r="R24" i="42"/>
  <c r="R21" i="42"/>
  <c r="R18" i="42"/>
  <c r="R15" i="42"/>
  <c r="O24" i="42"/>
  <c r="N24" i="42"/>
  <c r="O15" i="42"/>
  <c r="Q19" i="42"/>
  <c r="Q16" i="42"/>
  <c r="N21" i="42"/>
  <c r="R12" i="42"/>
  <c r="Q25" i="42"/>
  <c r="D26" i="42"/>
  <c r="R13" i="42"/>
  <c r="H26" i="42"/>
  <c r="Q13" i="42"/>
  <c r="N13" i="42"/>
  <c r="O13" i="42"/>
  <c r="G26" i="42"/>
  <c r="Q5" i="45" l="1"/>
  <c r="P42" i="66" s="1"/>
  <c r="W5" i="45"/>
  <c r="V42" i="66" s="1"/>
  <c r="O12" i="45"/>
  <c r="N49" i="66" s="1"/>
  <c r="Q13" i="45"/>
  <c r="P50" i="66" s="1"/>
  <c r="O13" i="45"/>
  <c r="N50" i="66" s="1"/>
  <c r="U17" i="45"/>
  <c r="T54" i="66" s="1"/>
  <c r="O6" i="45"/>
  <c r="N43" i="66" s="1"/>
  <c r="W17" i="45"/>
  <c r="V54" i="66" s="1"/>
  <c r="O19" i="45"/>
  <c r="N56" i="66" s="1"/>
  <c r="Q18" i="45"/>
  <c r="P55" i="66" s="1"/>
  <c r="W10" i="45"/>
  <c r="V47" i="66" s="1"/>
  <c r="Q6" i="45"/>
  <c r="P43" i="66" s="1"/>
  <c r="O17" i="45"/>
  <c r="N54" i="66" s="1"/>
  <c r="Q9" i="45"/>
  <c r="P46" i="66" s="1"/>
  <c r="U14" i="45"/>
  <c r="T51" i="66" s="1"/>
  <c r="O18" i="45"/>
  <c r="N55" i="66" s="1"/>
  <c r="Q8" i="45"/>
  <c r="P45" i="66" s="1"/>
  <c r="Q12" i="45"/>
  <c r="P49" i="66" s="1"/>
  <c r="W9" i="45"/>
  <c r="V46" i="66" s="1"/>
  <c r="U13" i="45"/>
  <c r="T50" i="66" s="1"/>
  <c r="W8" i="45"/>
  <c r="V45" i="66" s="1"/>
  <c r="O10" i="45"/>
  <c r="N47" i="66" s="1"/>
  <c r="O9" i="45"/>
  <c r="N46" i="66" s="1"/>
  <c r="U9" i="45"/>
  <c r="T46" i="66" s="1"/>
  <c r="U16" i="45"/>
  <c r="T53" i="66" s="1"/>
  <c r="U19" i="45"/>
  <c r="T56" i="66" s="1"/>
  <c r="Q11" i="45"/>
  <c r="P48" i="66" s="1"/>
  <c r="U12" i="45"/>
  <c r="T49" i="66" s="1"/>
  <c r="W11" i="45"/>
  <c r="V48" i="66" s="1"/>
  <c r="U11" i="45"/>
  <c r="T48" i="66" s="1"/>
  <c r="W6" i="45"/>
  <c r="V43" i="66" s="1"/>
  <c r="Q14" i="45"/>
  <c r="P51" i="66" s="1"/>
  <c r="U18" i="45"/>
  <c r="T55" i="66" s="1"/>
  <c r="W16" i="45"/>
  <c r="V53" i="66" s="1"/>
  <c r="W14" i="45"/>
  <c r="V51" i="66" s="1"/>
  <c r="U8" i="45"/>
  <c r="T45" i="66" s="1"/>
  <c r="U6" i="45"/>
  <c r="T43" i="66" s="1"/>
  <c r="W12" i="45"/>
  <c r="V49" i="66" s="1"/>
  <c r="U15" i="45"/>
  <c r="T52" i="66" s="1"/>
  <c r="O8" i="45"/>
  <c r="N45" i="66" s="1"/>
  <c r="Q16" i="45"/>
  <c r="P53" i="66" s="1"/>
  <c r="W13" i="45"/>
  <c r="V50" i="66" s="1"/>
  <c r="O15" i="45"/>
  <c r="N52" i="66" s="1"/>
  <c r="W15" i="45"/>
  <c r="V52" i="66" s="1"/>
  <c r="Q17" i="45"/>
  <c r="P54" i="66" s="1"/>
  <c r="O11" i="45"/>
  <c r="N48" i="66" s="1"/>
  <c r="Q19" i="45"/>
  <c r="P56" i="66" s="1"/>
  <c r="O7" i="45"/>
  <c r="N44" i="66" s="1"/>
  <c r="U10" i="45"/>
  <c r="T47" i="66" s="1"/>
  <c r="W18" i="45"/>
  <c r="V55" i="66" s="1"/>
  <c r="Q10" i="45"/>
  <c r="P47" i="66" s="1"/>
  <c r="W19" i="45"/>
  <c r="V56" i="66" s="1"/>
  <c r="O14" i="45"/>
  <c r="N51" i="66" s="1"/>
  <c r="Q15" i="45"/>
  <c r="P52" i="66" s="1"/>
  <c r="O16" i="45"/>
  <c r="N53" i="66" s="1"/>
  <c r="O26" i="42"/>
  <c r="Q7" i="45"/>
  <c r="P44" i="66" s="1"/>
  <c r="Q26" i="42"/>
  <c r="U7" i="45"/>
  <c r="T44" i="66" s="1"/>
  <c r="R26" i="42"/>
  <c r="W7" i="45"/>
  <c r="V44" i="66" s="1"/>
  <c r="N26" i="42"/>
  <c r="N57" i="66" l="1"/>
  <c r="T57" i="66"/>
  <c r="V57" i="66"/>
  <c r="P57" i="66"/>
  <c r="O20" i="45"/>
  <c r="Q20" i="45"/>
  <c r="W20" i="45"/>
  <c r="U20" i="45"/>
  <c r="Q28" i="59" l="1"/>
  <c r="P28" i="59"/>
  <c r="J52" i="59"/>
  <c r="Q27" i="59"/>
  <c r="AE27" i="59"/>
  <c r="AG27" i="59" s="1"/>
  <c r="AG52" i="59" s="1"/>
  <c r="R15" i="59" s="1"/>
  <c r="P27" i="59"/>
  <c r="Q30" i="59"/>
  <c r="P30" i="59"/>
  <c r="Q29" i="59"/>
  <c r="P29" i="59"/>
  <c r="AQ52" i="59" l="1"/>
  <c r="R29" i="59"/>
  <c r="S29" i="59" s="1"/>
  <c r="R30" i="59"/>
  <c r="S30" i="59" s="1"/>
  <c r="R27" i="59"/>
  <c r="P52" i="59"/>
  <c r="R28" i="59"/>
  <c r="S28" i="59" s="1"/>
  <c r="AE52" i="59"/>
  <c r="AF27" i="59"/>
  <c r="AF52" i="59" s="1"/>
  <c r="Q52" i="59"/>
  <c r="AJ49" i="59" l="1"/>
  <c r="AJ40" i="59"/>
  <c r="AJ48" i="59"/>
  <c r="AJ46" i="59"/>
  <c r="AJ38" i="59"/>
  <c r="AJ34" i="59"/>
  <c r="AJ44" i="59"/>
  <c r="AJ33" i="59"/>
  <c r="AJ31" i="59"/>
  <c r="AJ39" i="59"/>
  <c r="AJ32" i="59"/>
  <c r="AJ35" i="59"/>
  <c r="AJ41" i="59"/>
  <c r="AJ45" i="59"/>
  <c r="AJ43" i="59"/>
  <c r="AJ50" i="59"/>
  <c r="AJ37" i="59"/>
  <c r="AJ47" i="59"/>
  <c r="AJ36" i="59"/>
  <c r="AJ42" i="59"/>
  <c r="AJ51" i="59"/>
  <c r="AJ30" i="59"/>
  <c r="AJ29" i="59"/>
  <c r="AJ28" i="59"/>
  <c r="AJ27" i="59"/>
  <c r="P53" i="59"/>
  <c r="AH46" i="59" s="1"/>
  <c r="P15" i="59"/>
  <c r="AR52" i="59"/>
  <c r="R52" i="59"/>
  <c r="S52" i="59" s="1"/>
  <c r="S27" i="59"/>
  <c r="AK46" i="59" l="1"/>
  <c r="AM46" i="59" s="1"/>
  <c r="AL46" i="59" s="1"/>
  <c r="AH32" i="59"/>
  <c r="AK32" i="59" s="1"/>
  <c r="AL32" i="59" s="1"/>
  <c r="AH42" i="59"/>
  <c r="AK42" i="59" s="1"/>
  <c r="AL42" i="59" s="1"/>
  <c r="AH50" i="59"/>
  <c r="AK50" i="59" s="1"/>
  <c r="AL50" i="59" s="1"/>
  <c r="AH37" i="59"/>
  <c r="AK37" i="59" s="1"/>
  <c r="AL37" i="59" s="1"/>
  <c r="AH29" i="59"/>
  <c r="AK29" i="59" s="1"/>
  <c r="AH44" i="59"/>
  <c r="AK44" i="59" s="1"/>
  <c r="AL44" i="59" s="1"/>
  <c r="AH41" i="59"/>
  <c r="AK41" i="59" s="1"/>
  <c r="AL41" i="59" s="1"/>
  <c r="AH43" i="59"/>
  <c r="AK43" i="59" s="1"/>
  <c r="AL43" i="59" s="1"/>
  <c r="AH35" i="59"/>
  <c r="AK35" i="59" s="1"/>
  <c r="AL35" i="59" s="1"/>
  <c r="AH45" i="59"/>
  <c r="AK45" i="59" s="1"/>
  <c r="AL45" i="59" s="1"/>
  <c r="AH28" i="59"/>
  <c r="AK28" i="59" s="1"/>
  <c r="AH48" i="59"/>
  <c r="AK48" i="59" s="1"/>
  <c r="AL48" i="59" s="1"/>
  <c r="AH39" i="59"/>
  <c r="AK39" i="59" s="1"/>
  <c r="AL39" i="59" s="1"/>
  <c r="AH34" i="59"/>
  <c r="AK34" i="59" s="1"/>
  <c r="AL34" i="59" s="1"/>
  <c r="AH40" i="59"/>
  <c r="AK40" i="59" s="1"/>
  <c r="AL40" i="59" s="1"/>
  <c r="AH30" i="59"/>
  <c r="AK30" i="59" s="1"/>
  <c r="AL30" i="59" s="1"/>
  <c r="AH38" i="59"/>
  <c r="AK38" i="59" s="1"/>
  <c r="AL38" i="59" s="1"/>
  <c r="AH51" i="59"/>
  <c r="AK51" i="59" s="1"/>
  <c r="AL51" i="59" s="1"/>
  <c r="AH33" i="59"/>
  <c r="AK33" i="59" s="1"/>
  <c r="AL33" i="59" s="1"/>
  <c r="AH36" i="59"/>
  <c r="AK36" i="59" s="1"/>
  <c r="AL36" i="59" s="1"/>
  <c r="AH49" i="59"/>
  <c r="AK49" i="59" s="1"/>
  <c r="AL49" i="59" s="1"/>
  <c r="AH47" i="59"/>
  <c r="AK47" i="59" s="1"/>
  <c r="AL47" i="59" s="1"/>
  <c r="AH31" i="59"/>
  <c r="AK31" i="59" s="1"/>
  <c r="AL31" i="59" s="1"/>
  <c r="Q53" i="59"/>
  <c r="P55" i="59"/>
  <c r="J53" i="59"/>
  <c r="J55" i="59" s="1"/>
  <c r="P12" i="59" s="1"/>
  <c r="AH27" i="59"/>
  <c r="AK27" i="59" s="1"/>
  <c r="AM27" i="59" s="1"/>
  <c r="AJ52" i="59"/>
  <c r="Q15" i="59"/>
  <c r="AM29" i="59" l="1"/>
  <c r="AL29" i="59" s="1"/>
  <c r="AM28" i="59"/>
  <c r="AL28" i="59" s="1"/>
  <c r="AI35" i="59"/>
  <c r="AN35" i="59" s="1"/>
  <c r="AO35" i="59" s="1"/>
  <c r="AI31" i="59"/>
  <c r="AN31" i="59" s="1"/>
  <c r="AO31" i="59" s="1"/>
  <c r="AI34" i="59"/>
  <c r="AN34" i="59" s="1"/>
  <c r="AO34" i="59" s="1"/>
  <c r="AI47" i="59"/>
  <c r="AN47" i="59" s="1"/>
  <c r="AO47" i="59" s="1"/>
  <c r="AI42" i="59"/>
  <c r="AN42" i="59" s="1"/>
  <c r="AO42" i="59" s="1"/>
  <c r="AI44" i="59"/>
  <c r="AN44" i="59" s="1"/>
  <c r="AO44" i="59" s="1"/>
  <c r="AI46" i="59"/>
  <c r="AN46" i="59" s="1"/>
  <c r="AI30" i="59"/>
  <c r="AN30" i="59" s="1"/>
  <c r="AO30" i="59" s="1"/>
  <c r="AI36" i="59"/>
  <c r="AN36" i="59" s="1"/>
  <c r="AO36" i="59" s="1"/>
  <c r="AI33" i="59"/>
  <c r="AN33" i="59" s="1"/>
  <c r="AO33" i="59" s="1"/>
  <c r="AI48" i="59"/>
  <c r="AN48" i="59" s="1"/>
  <c r="AO48" i="59" s="1"/>
  <c r="AI38" i="59"/>
  <c r="AN38" i="59" s="1"/>
  <c r="AO38" i="59" s="1"/>
  <c r="AI28" i="59"/>
  <c r="AN28" i="59" s="1"/>
  <c r="AI50" i="59"/>
  <c r="AN50" i="59" s="1"/>
  <c r="AO50" i="59" s="1"/>
  <c r="AI49" i="59"/>
  <c r="AN49" i="59" s="1"/>
  <c r="AO49" i="59" s="1"/>
  <c r="AI45" i="59"/>
  <c r="AN45" i="59" s="1"/>
  <c r="AO45" i="59" s="1"/>
  <c r="AI29" i="59"/>
  <c r="AN29" i="59" s="1"/>
  <c r="AI41" i="59"/>
  <c r="AN41" i="59" s="1"/>
  <c r="AO41" i="59" s="1"/>
  <c r="AI32" i="59"/>
  <c r="AN32" i="59" s="1"/>
  <c r="AO32" i="59" s="1"/>
  <c r="AI43" i="59"/>
  <c r="AN43" i="59" s="1"/>
  <c r="AO43" i="59" s="1"/>
  <c r="AI37" i="59"/>
  <c r="AN37" i="59" s="1"/>
  <c r="AO37" i="59" s="1"/>
  <c r="AI40" i="59"/>
  <c r="AN40" i="59" s="1"/>
  <c r="AO40" i="59" s="1"/>
  <c r="AI39" i="59"/>
  <c r="AN39" i="59" s="1"/>
  <c r="AO39" i="59" s="1"/>
  <c r="AI51" i="59"/>
  <c r="AN51" i="59" s="1"/>
  <c r="AO51" i="59" s="1"/>
  <c r="R53" i="59"/>
  <c r="S53" i="59" s="1"/>
  <c r="AI27" i="59"/>
  <c r="AN27" i="59" s="1"/>
  <c r="AP27" i="59" s="1"/>
  <c r="P13" i="59"/>
  <c r="Q55" i="59"/>
  <c r="R55" i="59" s="1"/>
  <c r="S55" i="59" s="1"/>
  <c r="AT52" i="59"/>
  <c r="Q12" i="59" s="1"/>
  <c r="AU52" i="59"/>
  <c r="R12" i="59" s="1"/>
  <c r="AH52" i="59"/>
  <c r="AL27" i="59"/>
  <c r="AK52" i="59"/>
  <c r="P8" i="59" s="1"/>
  <c r="F78" i="59" s="1"/>
  <c r="AP29" i="59" l="1"/>
  <c r="AO29" i="59" s="1"/>
  <c r="AM52" i="59"/>
  <c r="R8" i="59" s="1"/>
  <c r="R14" i="59" s="1"/>
  <c r="R16" i="59" s="1"/>
  <c r="R17" i="59" s="1"/>
  <c r="AP28" i="59"/>
  <c r="AO28" i="59" s="1"/>
  <c r="AL52" i="59"/>
  <c r="Q8" i="59" s="1"/>
  <c r="Q14" i="59" s="1"/>
  <c r="Q16" i="59" s="1"/>
  <c r="Q17" i="59" s="1"/>
  <c r="AP46" i="59"/>
  <c r="AO46" i="59" s="1"/>
  <c r="AO27" i="59"/>
  <c r="R13" i="59"/>
  <c r="F84" i="59" s="1"/>
  <c r="Q13" i="59"/>
  <c r="AI52" i="59"/>
  <c r="AN52" i="59"/>
  <c r="P9" i="59" s="1"/>
  <c r="P10" i="59" s="1"/>
  <c r="P14" i="59"/>
  <c r="F80" i="59" s="1"/>
  <c r="P11" i="59" l="1"/>
  <c r="F79" i="59" s="1"/>
  <c r="P18" i="59"/>
  <c r="AP52" i="59"/>
  <c r="R9" i="59" s="1"/>
  <c r="R10" i="59" s="1"/>
  <c r="AO52" i="59"/>
  <c r="Q9" i="59" s="1"/>
  <c r="Q10" i="59" s="1"/>
  <c r="Z11" i="59"/>
  <c r="P16" i="59"/>
  <c r="P17" i="59" s="1"/>
  <c r="F81" i="59" s="1"/>
  <c r="Q11" i="59" l="1"/>
  <c r="Q18" i="59"/>
  <c r="R11" i="59"/>
  <c r="R18" i="59"/>
  <c r="K42" i="47"/>
  <c r="K48" i="42" l="1" a="1"/>
  <c r="K48" i="42" s="1"/>
  <c r="AS48" i="42" a="1"/>
  <c r="AS48" i="42" s="1"/>
  <c r="M48" i="42" a="1"/>
  <c r="M48" i="42" s="1"/>
  <c r="O48" i="42" a="1"/>
  <c r="O48" i="42" s="1"/>
  <c r="AT48" i="42" a="1"/>
  <c r="AT48" i="42" s="1"/>
  <c r="AV48" i="42" a="1"/>
  <c r="AV48" i="42" s="1"/>
  <c r="V48" i="42" a="1"/>
  <c r="V48" i="42" s="1"/>
  <c r="Y48" i="42" a="1"/>
  <c r="Y48" i="42" s="1"/>
  <c r="AF48" i="42" a="1"/>
  <c r="AF48" i="42" s="1"/>
  <c r="BG48" i="42" a="1"/>
  <c r="BG48" i="42" s="1"/>
  <c r="AD48" i="42" a="1"/>
  <c r="AD48" i="42" s="1"/>
  <c r="AZ48" i="42" a="1"/>
  <c r="AZ48" i="42" s="1"/>
  <c r="AR48" i="42" a="1"/>
  <c r="AR48" i="42" s="1"/>
  <c r="AY48" i="42" a="1"/>
  <c r="AY48" i="42" s="1"/>
  <c r="AK48" i="42" a="1"/>
  <c r="AK48" i="42" s="1"/>
  <c r="AG48" i="42" a="1"/>
  <c r="AG48" i="42" s="1"/>
  <c r="AI48" i="42" a="1"/>
  <c r="AI48" i="42" s="1"/>
  <c r="L48" i="42" a="1"/>
  <c r="L48" i="42" s="1"/>
  <c r="BH48" i="42" a="1"/>
  <c r="BH48" i="42" s="1"/>
  <c r="S48" i="42" a="1"/>
  <c r="S48" i="42" s="1"/>
  <c r="AH48" i="42" a="1"/>
  <c r="AH48" i="42" s="1"/>
  <c r="AJ48" i="42" a="1"/>
  <c r="AJ48" i="42" s="1"/>
  <c r="Q48" i="42" a="1"/>
  <c r="Q48" i="42" s="1"/>
  <c r="BE48" i="42" a="1"/>
  <c r="BE48" i="42" s="1"/>
  <c r="AO48" i="42" a="1"/>
  <c r="AO48" i="42" s="1"/>
  <c r="AN48" i="42" a="1"/>
  <c r="AN48" i="42" s="1"/>
  <c r="AL48" i="42" a="1"/>
  <c r="AL48" i="42" s="1"/>
  <c r="BD48" i="42" a="1"/>
  <c r="BD48" i="42" s="1"/>
  <c r="BB48" i="42" a="1"/>
  <c r="BB48" i="42" s="1"/>
  <c r="AW48" i="42" a="1"/>
  <c r="AW48" i="42" s="1"/>
  <c r="AB48" i="42" a="1"/>
  <c r="AB48" i="42" s="1"/>
  <c r="U48" i="42" a="1"/>
  <c r="U48" i="42" s="1"/>
  <c r="AX48" i="42" a="1"/>
  <c r="AX48" i="42" s="1"/>
  <c r="T48" i="42" a="1"/>
  <c r="T48" i="42" s="1"/>
  <c r="X48" i="42" a="1"/>
  <c r="X48" i="42" s="1"/>
  <c r="BI48" i="42" a="1"/>
  <c r="BI48" i="42" s="1"/>
  <c r="W48" i="42" a="1"/>
  <c r="W48" i="42" s="1"/>
  <c r="AU48" i="42" a="1"/>
  <c r="AU48" i="42" s="1"/>
  <c r="R48" i="42" a="1"/>
  <c r="R48" i="42" s="1"/>
  <c r="AA48" i="42" a="1"/>
  <c r="AA48" i="42" s="1"/>
  <c r="BC48" i="42" a="1"/>
  <c r="BC48" i="42" s="1"/>
  <c r="N48" i="42" a="1"/>
  <c r="N48" i="42" s="1"/>
  <c r="Z48" i="42" a="1"/>
  <c r="Z48" i="42" s="1"/>
  <c r="AP48" i="42" a="1"/>
  <c r="AP48" i="42" s="1"/>
  <c r="F29" i="44"/>
  <c r="I29" i="44" s="1"/>
  <c r="AQ48" i="42" a="1"/>
  <c r="AQ48" i="42" s="1"/>
  <c r="P48" i="42" a="1"/>
  <c r="P48" i="42" s="1"/>
  <c r="AC48" i="42" a="1"/>
  <c r="AC48" i="42" s="1"/>
  <c r="BJ48" i="42" a="1"/>
  <c r="BJ48" i="42" s="1"/>
  <c r="BA48" i="42" a="1"/>
  <c r="BA48" i="42" s="1"/>
  <c r="AE48" i="42" a="1"/>
  <c r="AE48" i="42" s="1"/>
  <c r="BF48" i="42" a="1"/>
  <c r="BF48" i="42" s="1"/>
  <c r="AM48" i="42" a="1"/>
  <c r="AM48" i="42" s="1"/>
  <c r="J48" i="42" l="1"/>
  <c r="W149" i="41" a="1"/>
  <c r="W149" i="41" l="1"/>
  <c r="U45" i="42" s="1" a="1"/>
  <c r="U45" i="42" s="1"/>
  <c r="Y149" i="41" a="1"/>
  <c r="AY45" i="42" l="1" a="1"/>
  <c r="AY45" i="42" s="1"/>
  <c r="AG45" i="42" a="1"/>
  <c r="AG45" i="42" s="1"/>
  <c r="AT45" i="42" a="1"/>
  <c r="AT45" i="42" s="1"/>
  <c r="AQ45" i="42" a="1"/>
  <c r="AQ45" i="42" s="1"/>
  <c r="Y45" i="42" a="1"/>
  <c r="Y45" i="42" s="1"/>
  <c r="AZ45" i="42" a="1"/>
  <c r="AZ45" i="42" s="1"/>
  <c r="F26" i="44"/>
  <c r="I26" i="44" s="1"/>
  <c r="AH45" i="42" a="1"/>
  <c r="AH45" i="42" s="1"/>
  <c r="BC45" i="42" a="1"/>
  <c r="BC45" i="42" s="1"/>
  <c r="AC45" i="42" a="1"/>
  <c r="AC45" i="42" s="1"/>
  <c r="W45" i="42" a="1"/>
  <c r="W45" i="42" s="1"/>
  <c r="BD45" i="42" a="1"/>
  <c r="BD45" i="42" s="1"/>
  <c r="AI45" i="42" a="1"/>
  <c r="AI45" i="42" s="1"/>
  <c r="X45" i="42" a="1"/>
  <c r="X45" i="42" s="1"/>
  <c r="BH45" i="42" a="1"/>
  <c r="BH45" i="42" s="1"/>
  <c r="AX45" i="42" a="1"/>
  <c r="AX45" i="42" s="1"/>
  <c r="AJ45" i="42" a="1"/>
  <c r="AJ45" i="42" s="1"/>
  <c r="Z45" i="42" a="1"/>
  <c r="Z45" i="42" s="1"/>
  <c r="M45" i="42" a="1"/>
  <c r="M45" i="42" s="1"/>
  <c r="AB45" i="42" a="1"/>
  <c r="AB45" i="42" s="1"/>
  <c r="BI45" i="42" a="1"/>
  <c r="BI45" i="42" s="1"/>
  <c r="S45" i="42" a="1"/>
  <c r="S45" i="42" s="1"/>
  <c r="AF45" i="42" a="1"/>
  <c r="AF45" i="42" s="1"/>
  <c r="V45" i="42" a="1"/>
  <c r="V45" i="42" s="1"/>
  <c r="AD45" i="42" a="1"/>
  <c r="AD45" i="42" s="1"/>
  <c r="AR45" i="42" a="1"/>
  <c r="AR45" i="42" s="1"/>
  <c r="BE45" i="42" a="1"/>
  <c r="BE45" i="42" s="1"/>
  <c r="AW45" i="42" a="1"/>
  <c r="AW45" i="42" s="1"/>
  <c r="O45" i="42" a="1"/>
  <c r="O45" i="42" s="1"/>
  <c r="AU45" i="42" a="1"/>
  <c r="AU45" i="42" s="1"/>
  <c r="L45" i="42" a="1"/>
  <c r="L45" i="42" s="1"/>
  <c r="T45" i="42" a="1"/>
  <c r="T45" i="42" s="1"/>
  <c r="AS45" i="42" a="1"/>
  <c r="AS45" i="42" s="1"/>
  <c r="AV45" i="42" a="1"/>
  <c r="AV45" i="42" s="1"/>
  <c r="N45" i="42" a="1"/>
  <c r="N45" i="42" s="1"/>
  <c r="AE45" i="42" a="1"/>
  <c r="AE45" i="42" s="1"/>
  <c r="AK45" i="42" a="1"/>
  <c r="AK45" i="42" s="1"/>
  <c r="BB45" i="42" a="1"/>
  <c r="BB45" i="42" s="1"/>
  <c r="P45" i="42" a="1"/>
  <c r="P45" i="42" s="1"/>
  <c r="BA45" i="42" a="1"/>
  <c r="BA45" i="42" s="1"/>
  <c r="BF45" i="42" a="1"/>
  <c r="BF45" i="42" s="1"/>
  <c r="R45" i="42" a="1"/>
  <c r="R45" i="42" s="1"/>
  <c r="AL45" i="42" a="1"/>
  <c r="AL45" i="42" s="1"/>
  <c r="BG45" i="42" a="1"/>
  <c r="BG45" i="42" s="1"/>
  <c r="Q45" i="42" a="1"/>
  <c r="Q45" i="42" s="1"/>
  <c r="AP45" i="42" a="1"/>
  <c r="AP45" i="42" s="1"/>
  <c r="AA45" i="42" a="1"/>
  <c r="AA45" i="42" s="1"/>
  <c r="BJ45" i="42" a="1"/>
  <c r="BJ45" i="42" s="1"/>
  <c r="AN45" i="42" a="1"/>
  <c r="AN45" i="42" s="1"/>
  <c r="K45" i="42" a="1"/>
  <c r="K45" i="42" s="1"/>
  <c r="AM45" i="42" a="1"/>
  <c r="AM45" i="42" s="1"/>
  <c r="AO45" i="42" a="1"/>
  <c r="AO45" i="42" s="1"/>
  <c r="Y149" i="41"/>
  <c r="AQ47" i="42" s="1" a="1"/>
  <c r="AQ47" i="42" s="1"/>
  <c r="P149" i="41" a="1"/>
  <c r="AE47" i="42" l="1" a="1"/>
  <c r="AE47" i="42" s="1"/>
  <c r="BD47" i="42" a="1"/>
  <c r="BD47" i="42" s="1"/>
  <c r="AO47" i="42" a="1"/>
  <c r="AO47" i="42" s="1"/>
  <c r="AP47" i="42" a="1"/>
  <c r="AP47" i="42" s="1"/>
  <c r="BJ47" i="42" a="1"/>
  <c r="BJ47" i="42" s="1"/>
  <c r="AU47" i="42" a="1"/>
  <c r="AU47" i="42" s="1"/>
  <c r="AH47" i="42" a="1"/>
  <c r="AH47" i="42" s="1"/>
  <c r="AA47" i="42" a="1"/>
  <c r="AA47" i="42" s="1"/>
  <c r="F28" i="44"/>
  <c r="I28" i="44" s="1"/>
  <c r="AK47" i="42" a="1"/>
  <c r="AK47" i="42" s="1"/>
  <c r="T47" i="42" a="1"/>
  <c r="T47" i="42" s="1"/>
  <c r="AS47" i="42" a="1"/>
  <c r="AS47" i="42" s="1"/>
  <c r="AR47" i="42" a="1"/>
  <c r="AR47" i="42" s="1"/>
  <c r="AL47" i="42" a="1"/>
  <c r="AL47" i="42" s="1"/>
  <c r="W47" i="42" a="1"/>
  <c r="W47" i="42" s="1"/>
  <c r="S47" i="42" a="1"/>
  <c r="S47" i="42" s="1"/>
  <c r="Z47" i="42" a="1"/>
  <c r="Z47" i="42" s="1"/>
  <c r="Y47" i="42" a="1"/>
  <c r="Y47" i="42" s="1"/>
  <c r="AV47" i="42" a="1"/>
  <c r="AV47" i="42" s="1"/>
  <c r="AF47" i="42" a="1"/>
  <c r="AF47" i="42" s="1"/>
  <c r="O47" i="42" a="1"/>
  <c r="O47" i="42" s="1"/>
  <c r="AJ47" i="42" a="1"/>
  <c r="AJ47" i="42" s="1"/>
  <c r="Q47" i="42" a="1"/>
  <c r="Q47" i="42" s="1"/>
  <c r="AC47" i="42" a="1"/>
  <c r="AC47" i="42" s="1"/>
  <c r="P47" i="42" a="1"/>
  <c r="P47" i="42" s="1"/>
  <c r="AX47" i="42" a="1"/>
  <c r="AX47" i="42" s="1"/>
  <c r="L47" i="42" a="1"/>
  <c r="L47" i="42" s="1"/>
  <c r="K47" i="42" a="1"/>
  <c r="K47" i="42" s="1"/>
  <c r="AW47" i="42" a="1"/>
  <c r="AW47" i="42" s="1"/>
  <c r="BC47" i="42" a="1"/>
  <c r="BC47" i="42" s="1"/>
  <c r="M47" i="42" a="1"/>
  <c r="M47" i="42" s="1"/>
  <c r="AG47" i="42" a="1"/>
  <c r="AG47" i="42" s="1"/>
  <c r="BI47" i="42" a="1"/>
  <c r="BI47" i="42" s="1"/>
  <c r="U47" i="42" a="1"/>
  <c r="U47" i="42" s="1"/>
  <c r="AY47" i="42" a="1"/>
  <c r="AY47" i="42" s="1"/>
  <c r="AB47" i="42" a="1"/>
  <c r="AB47" i="42" s="1"/>
  <c r="AM47" i="42" a="1"/>
  <c r="AM47" i="42" s="1"/>
  <c r="AZ47" i="42" a="1"/>
  <c r="AZ47" i="42" s="1"/>
  <c r="BF47" i="42" a="1"/>
  <c r="BF47" i="42" s="1"/>
  <c r="BB47" i="42" a="1"/>
  <c r="BB47" i="42" s="1"/>
  <c r="AN47" i="42" a="1"/>
  <c r="AN47" i="42" s="1"/>
  <c r="AD47" i="42" a="1"/>
  <c r="AD47" i="42" s="1"/>
  <c r="N47" i="42" a="1"/>
  <c r="N47" i="42" s="1"/>
  <c r="BA47" i="42" a="1"/>
  <c r="BA47" i="42" s="1"/>
  <c r="AI47" i="42" a="1"/>
  <c r="AI47" i="42" s="1"/>
  <c r="R47" i="42" a="1"/>
  <c r="R47" i="42" s="1"/>
  <c r="BE47" i="42" a="1"/>
  <c r="BE47" i="42" s="1"/>
  <c r="V47" i="42" a="1"/>
  <c r="V47" i="42" s="1"/>
  <c r="BH47" i="42" a="1"/>
  <c r="BH47" i="42" s="1"/>
  <c r="X47" i="42" a="1"/>
  <c r="X47" i="42" s="1"/>
  <c r="BG47" i="42" a="1"/>
  <c r="BG47" i="42" s="1"/>
  <c r="AT47" i="42" a="1"/>
  <c r="AT47" i="42" s="1"/>
  <c r="J45" i="42"/>
  <c r="P149" i="41"/>
  <c r="U149" i="41" a="1"/>
  <c r="AV38" i="42" l="1" a="1"/>
  <c r="AV38" i="42" s="1"/>
  <c r="AU38" i="42" a="1"/>
  <c r="AU38" i="42" s="1"/>
  <c r="AJ38" i="42" a="1"/>
  <c r="AJ38" i="42" s="1"/>
  <c r="R38" i="42" a="1"/>
  <c r="R38" i="42" s="1"/>
  <c r="V38" i="42" a="1"/>
  <c r="V38" i="42" s="1"/>
  <c r="AH38" i="42" a="1"/>
  <c r="AH38" i="42" s="1"/>
  <c r="P38" i="42" a="1"/>
  <c r="P38" i="42" s="1"/>
  <c r="S38" i="42" a="1"/>
  <c r="S38" i="42" s="1"/>
  <c r="AB38" i="42" a="1"/>
  <c r="AB38" i="42" s="1"/>
  <c r="BE38" i="42" a="1"/>
  <c r="BE38" i="42" s="1"/>
  <c r="K38" i="42" a="1"/>
  <c r="K38" i="42" s="1"/>
  <c r="BF38" i="42" a="1"/>
  <c r="BF38" i="42" s="1"/>
  <c r="O38" i="42" a="1"/>
  <c r="O38" i="42" s="1"/>
  <c r="AA38" i="42" a="1"/>
  <c r="AA38" i="42" s="1"/>
  <c r="AY38" i="42" a="1"/>
  <c r="AY38" i="42" s="1"/>
  <c r="AN38" i="42" a="1"/>
  <c r="AN38" i="42" s="1"/>
  <c r="Y38" i="42" a="1"/>
  <c r="Y38" i="42" s="1"/>
  <c r="M38" i="42" a="1"/>
  <c r="M38" i="42" s="1"/>
  <c r="BH38" i="42" a="1"/>
  <c r="BH38" i="42" s="1"/>
  <c r="BJ38" i="42" a="1"/>
  <c r="BJ38" i="42" s="1"/>
  <c r="AK38" i="42" a="1"/>
  <c r="AK38" i="42" s="1"/>
  <c r="BB38" i="42" a="1"/>
  <c r="BB38" i="42" s="1"/>
  <c r="L38" i="42" a="1"/>
  <c r="L38" i="42" s="1"/>
  <c r="AO38" i="42" a="1"/>
  <c r="AO38" i="42" s="1"/>
  <c r="AI38" i="42" a="1"/>
  <c r="AI38" i="42" s="1"/>
  <c r="BG38" i="42" a="1"/>
  <c r="BG38" i="42" s="1"/>
  <c r="Q38" i="42" a="1"/>
  <c r="Q38" i="42" s="1"/>
  <c r="W38" i="42" a="1"/>
  <c r="W38" i="42" s="1"/>
  <c r="AQ38" i="42" a="1"/>
  <c r="AQ38" i="42" s="1"/>
  <c r="AX38" i="42" a="1"/>
  <c r="AX38" i="42" s="1"/>
  <c r="N38" i="42" a="1"/>
  <c r="N38" i="42" s="1"/>
  <c r="AS38" i="42" a="1"/>
  <c r="AS38" i="42" s="1"/>
  <c r="AD38" i="42" a="1"/>
  <c r="AD38" i="42" s="1"/>
  <c r="AZ38" i="42" a="1"/>
  <c r="AZ38" i="42" s="1"/>
  <c r="AE38" i="42" a="1"/>
  <c r="AE38" i="42" s="1"/>
  <c r="U38" i="42" a="1"/>
  <c r="U38" i="42" s="1"/>
  <c r="AP38" i="42" a="1"/>
  <c r="AP38" i="42" s="1"/>
  <c r="BI38" i="42" a="1"/>
  <c r="BI38" i="42" s="1"/>
  <c r="Z38" i="42" a="1"/>
  <c r="Z38" i="42" s="1"/>
  <c r="AT38" i="42" a="1"/>
  <c r="AT38" i="42" s="1"/>
  <c r="AR38" i="42" a="1"/>
  <c r="AR38" i="42" s="1"/>
  <c r="T38" i="42" a="1"/>
  <c r="T38" i="42" s="1"/>
  <c r="AC38" i="42" a="1"/>
  <c r="AC38" i="42" s="1"/>
  <c r="AF38" i="42" a="1"/>
  <c r="AF38" i="42" s="1"/>
  <c r="AG38" i="42" a="1"/>
  <c r="AG38" i="42" s="1"/>
  <c r="X38" i="42" a="1"/>
  <c r="X38" i="42" s="1"/>
  <c r="BC38" i="42" a="1"/>
  <c r="BC38" i="42" s="1"/>
  <c r="AM38" i="42" a="1"/>
  <c r="AM38" i="42" s="1"/>
  <c r="BD38" i="42" a="1"/>
  <c r="BD38" i="42" s="1"/>
  <c r="BA38" i="42" a="1"/>
  <c r="BA38" i="42" s="1"/>
  <c r="AL38" i="42" a="1"/>
  <c r="AL38" i="42" s="1"/>
  <c r="AW38" i="42" a="1"/>
  <c r="AW38" i="42" s="1"/>
  <c r="J47" i="42"/>
  <c r="F19" i="44"/>
  <c r="I19" i="44" s="1"/>
  <c r="U149" i="41"/>
  <c r="O43" i="42" s="1" a="1"/>
  <c r="O43" i="42" s="1"/>
  <c r="R149" i="41" a="1"/>
  <c r="K43" i="42" l="1" a="1"/>
  <c r="K43" i="42" s="1"/>
  <c r="AB43" i="42" a="1"/>
  <c r="AB43" i="42" s="1"/>
  <c r="BH43" i="42" a="1"/>
  <c r="BH43" i="42" s="1"/>
  <c r="AM43" i="42" a="1"/>
  <c r="AM43" i="42" s="1"/>
  <c r="AV43" i="42" a="1"/>
  <c r="AV43" i="42" s="1"/>
  <c r="BC43" i="42" a="1"/>
  <c r="BC43" i="42" s="1"/>
  <c r="T43" i="42" a="1"/>
  <c r="T43" i="42" s="1"/>
  <c r="BF43" i="42" a="1"/>
  <c r="BF43" i="42" s="1"/>
  <c r="AJ43" i="42" a="1"/>
  <c r="AJ43" i="42" s="1"/>
  <c r="P43" i="42" a="1"/>
  <c r="P43" i="42" s="1"/>
  <c r="L43" i="42" a="1"/>
  <c r="L43" i="42" s="1"/>
  <c r="AL43" i="42" a="1"/>
  <c r="AL43" i="42" s="1"/>
  <c r="AK43" i="42" a="1"/>
  <c r="AK43" i="42" s="1"/>
  <c r="BA43" i="42" a="1"/>
  <c r="BA43" i="42" s="1"/>
  <c r="BD43" i="42" a="1"/>
  <c r="BD43" i="42" s="1"/>
  <c r="J38" i="42"/>
  <c r="Q43" i="42" a="1"/>
  <c r="Q43" i="42" s="1"/>
  <c r="M43" i="42" a="1"/>
  <c r="M43" i="42" s="1"/>
  <c r="AQ43" i="42" a="1"/>
  <c r="AQ43" i="42" s="1"/>
  <c r="AG43" i="42" a="1"/>
  <c r="AG43" i="42" s="1"/>
  <c r="W43" i="42" a="1"/>
  <c r="W43" i="42" s="1"/>
  <c r="BI43" i="42" a="1"/>
  <c r="BI43" i="42" s="1"/>
  <c r="R43" i="42" a="1"/>
  <c r="R43" i="42" s="1"/>
  <c r="AP43" i="42" a="1"/>
  <c r="AP43" i="42" s="1"/>
  <c r="Z43" i="42" a="1"/>
  <c r="Z43" i="42" s="1"/>
  <c r="AH43" i="42" a="1"/>
  <c r="AH43" i="42" s="1"/>
  <c r="BB43" i="42" a="1"/>
  <c r="BB43" i="42" s="1"/>
  <c r="V43" i="42" a="1"/>
  <c r="V43" i="42" s="1"/>
  <c r="AN43" i="42" a="1"/>
  <c r="AN43" i="42" s="1"/>
  <c r="AY43" i="42" a="1"/>
  <c r="AY43" i="42" s="1"/>
  <c r="N43" i="42" a="1"/>
  <c r="N43" i="42" s="1"/>
  <c r="AA43" i="42" a="1"/>
  <c r="AA43" i="42" s="1"/>
  <c r="AT43" i="42" a="1"/>
  <c r="AT43" i="42" s="1"/>
  <c r="AO43" i="42" a="1"/>
  <c r="AO43" i="42" s="1"/>
  <c r="AZ43" i="42" a="1"/>
  <c r="AZ43" i="42" s="1"/>
  <c r="AW43" i="42" a="1"/>
  <c r="AW43" i="42" s="1"/>
  <c r="AS43" i="42" a="1"/>
  <c r="AS43" i="42" s="1"/>
  <c r="AE43" i="42" a="1"/>
  <c r="AE43" i="42" s="1"/>
  <c r="Y43" i="42" a="1"/>
  <c r="Y43" i="42" s="1"/>
  <c r="X43" i="42" a="1"/>
  <c r="X43" i="42" s="1"/>
  <c r="BG43" i="42" a="1"/>
  <c r="BG43" i="42" s="1"/>
  <c r="AX43" i="42" a="1"/>
  <c r="AX43" i="42" s="1"/>
  <c r="AI43" i="42" a="1"/>
  <c r="AI43" i="42" s="1"/>
  <c r="BE43" i="42" a="1"/>
  <c r="BE43" i="42" s="1"/>
  <c r="AF43" i="42" a="1"/>
  <c r="AF43" i="42" s="1"/>
  <c r="S43" i="42" a="1"/>
  <c r="S43" i="42" s="1"/>
  <c r="BJ43" i="42" a="1"/>
  <c r="BJ43" i="42" s="1"/>
  <c r="AC43" i="42" a="1"/>
  <c r="AC43" i="42" s="1"/>
  <c r="AD43" i="42" a="1"/>
  <c r="AD43" i="42" s="1"/>
  <c r="U43" i="42" a="1"/>
  <c r="U43" i="42" s="1"/>
  <c r="AR43" i="42" a="1"/>
  <c r="AR43" i="42" s="1"/>
  <c r="AU43" i="42" a="1"/>
  <c r="AU43" i="42" s="1"/>
  <c r="F24" i="44"/>
  <c r="I24" i="44" s="1"/>
  <c r="R149" i="41"/>
  <c r="AX40" i="42" s="1" a="1"/>
  <c r="AX40" i="42" s="1"/>
  <c r="Q149" i="41" a="1"/>
  <c r="O40" i="42" l="1" a="1"/>
  <c r="O40" i="42" s="1"/>
  <c r="T40" i="42" a="1"/>
  <c r="T40" i="42" s="1"/>
  <c r="S40" i="42" a="1"/>
  <c r="S40" i="42" s="1"/>
  <c r="BC40" i="42" a="1"/>
  <c r="BC40" i="42" s="1"/>
  <c r="AG40" i="42" a="1"/>
  <c r="AG40" i="42" s="1"/>
  <c r="Y40" i="42" a="1"/>
  <c r="Y40" i="42" s="1"/>
  <c r="BI40" i="42" a="1"/>
  <c r="BI40" i="42" s="1"/>
  <c r="AH40" i="42" a="1"/>
  <c r="AH40" i="42" s="1"/>
  <c r="AB40" i="42" a="1"/>
  <c r="AB40" i="42" s="1"/>
  <c r="N40" i="42" a="1"/>
  <c r="N40" i="42" s="1"/>
  <c r="U40" i="42" a="1"/>
  <c r="U40" i="42" s="1"/>
  <c r="AJ40" i="42" a="1"/>
  <c r="AJ40" i="42" s="1"/>
  <c r="AV40" i="42" a="1"/>
  <c r="AV40" i="42" s="1"/>
  <c r="AN40" i="42" a="1"/>
  <c r="AN40" i="42" s="1"/>
  <c r="AE40" i="42" a="1"/>
  <c r="AE40" i="42" s="1"/>
  <c r="AD40" i="42" a="1"/>
  <c r="AD40" i="42" s="1"/>
  <c r="AZ40" i="42" a="1"/>
  <c r="AZ40" i="42" s="1"/>
  <c r="X40" i="42" a="1"/>
  <c r="X40" i="42" s="1"/>
  <c r="AL40" i="42" a="1"/>
  <c r="AL40" i="42" s="1"/>
  <c r="AW40" i="42" a="1"/>
  <c r="AW40" i="42" s="1"/>
  <c r="AS40" i="42" a="1"/>
  <c r="AS40" i="42" s="1"/>
  <c r="AF40" i="42" a="1"/>
  <c r="AF40" i="42" s="1"/>
  <c r="AA40" i="42" a="1"/>
  <c r="AA40" i="42" s="1"/>
  <c r="BH40" i="42" a="1"/>
  <c r="BH40" i="42" s="1"/>
  <c r="F21" i="44"/>
  <c r="I21" i="44" s="1"/>
  <c r="BE40" i="42" a="1"/>
  <c r="BE40" i="42" s="1"/>
  <c r="AC40" i="42" a="1"/>
  <c r="AC40" i="42" s="1"/>
  <c r="AQ40" i="42" a="1"/>
  <c r="AQ40" i="42" s="1"/>
  <c r="BF40" i="42" a="1"/>
  <c r="BF40" i="42" s="1"/>
  <c r="AT40" i="42" a="1"/>
  <c r="AT40" i="42" s="1"/>
  <c r="BD40" i="42" a="1"/>
  <c r="BD40" i="42" s="1"/>
  <c r="BG40" i="42" a="1"/>
  <c r="BG40" i="42" s="1"/>
  <c r="L40" i="42" a="1"/>
  <c r="L40" i="42" s="1"/>
  <c r="V40" i="42" a="1"/>
  <c r="V40" i="42" s="1"/>
  <c r="W40" i="42" a="1"/>
  <c r="W40" i="42" s="1"/>
  <c r="M40" i="42" a="1"/>
  <c r="M40" i="42" s="1"/>
  <c r="R40" i="42" a="1"/>
  <c r="R40" i="42" s="1"/>
  <c r="AU40" i="42" a="1"/>
  <c r="AU40" i="42" s="1"/>
  <c r="BJ40" i="42" a="1"/>
  <c r="BJ40" i="42" s="1"/>
  <c r="AO40" i="42" a="1"/>
  <c r="AO40" i="42" s="1"/>
  <c r="BA40" i="42" a="1"/>
  <c r="BA40" i="42" s="1"/>
  <c r="AM40" i="42" a="1"/>
  <c r="AM40" i="42" s="1"/>
  <c r="J43" i="42"/>
  <c r="AP40" i="42" a="1"/>
  <c r="AP40" i="42" s="1"/>
  <c r="P40" i="42" a="1"/>
  <c r="P40" i="42" s="1"/>
  <c r="AI40" i="42" a="1"/>
  <c r="AI40" i="42" s="1"/>
  <c r="AY40" i="42" a="1"/>
  <c r="AY40" i="42" s="1"/>
  <c r="AK40" i="42" a="1"/>
  <c r="AK40" i="42" s="1"/>
  <c r="Q40" i="42" a="1"/>
  <c r="Q40" i="42" s="1"/>
  <c r="AR40" i="42" a="1"/>
  <c r="AR40" i="42" s="1"/>
  <c r="Z40" i="42" a="1"/>
  <c r="Z40" i="42" s="1"/>
  <c r="BB40" i="42" a="1"/>
  <c r="BB40" i="42" s="1"/>
  <c r="K40" i="42" a="1"/>
  <c r="K40" i="42" s="1"/>
  <c r="Q149" i="41"/>
  <c r="AE39" i="42" s="1" a="1"/>
  <c r="AE39" i="42" s="1"/>
  <c r="N149" i="41" a="1"/>
  <c r="O39" i="42" l="1" a="1"/>
  <c r="O39" i="42" s="1"/>
  <c r="AH39" i="42" a="1"/>
  <c r="AH39" i="42" s="1"/>
  <c r="J40" i="42"/>
  <c r="AA39" i="42" a="1"/>
  <c r="AA39" i="42" s="1"/>
  <c r="AT39" i="42" a="1"/>
  <c r="AT39" i="42" s="1"/>
  <c r="AO39" i="42" a="1"/>
  <c r="AO39" i="42" s="1"/>
  <c r="AX39" i="42" a="1"/>
  <c r="AX39" i="42" s="1"/>
  <c r="L39" i="42" a="1"/>
  <c r="L39" i="42" s="1"/>
  <c r="AD39" i="42" a="1"/>
  <c r="AD39" i="42" s="1"/>
  <c r="AC39" i="42" a="1"/>
  <c r="AC39" i="42" s="1"/>
  <c r="AP39" i="42" a="1"/>
  <c r="AP39" i="42" s="1"/>
  <c r="BC39" i="42" a="1"/>
  <c r="BC39" i="42" s="1"/>
  <c r="BG39" i="42" a="1"/>
  <c r="BG39" i="42" s="1"/>
  <c r="BD39" i="42" a="1"/>
  <c r="BD39" i="42" s="1"/>
  <c r="AB39" i="42" a="1"/>
  <c r="AB39" i="42" s="1"/>
  <c r="Q39" i="42" a="1"/>
  <c r="Q39" i="42" s="1"/>
  <c r="U39" i="42" a="1"/>
  <c r="U39" i="42" s="1"/>
  <c r="N39" i="42" a="1"/>
  <c r="N39" i="42" s="1"/>
  <c r="Y39" i="42" a="1"/>
  <c r="Y39" i="42" s="1"/>
  <c r="AF39" i="42" a="1"/>
  <c r="AF39" i="42" s="1"/>
  <c r="AN39" i="42" a="1"/>
  <c r="AN39" i="42" s="1"/>
  <c r="BH39" i="42" a="1"/>
  <c r="BH39" i="42" s="1"/>
  <c r="K39" i="42" a="1"/>
  <c r="K39" i="42" s="1"/>
  <c r="AS39" i="42" a="1"/>
  <c r="AS39" i="42" s="1"/>
  <c r="V39" i="42" a="1"/>
  <c r="V39" i="42" s="1"/>
  <c r="BB39" i="42" a="1"/>
  <c r="BB39" i="42" s="1"/>
  <c r="BI39" i="42" a="1"/>
  <c r="BI39" i="42" s="1"/>
  <c r="S39" i="42" a="1"/>
  <c r="S39" i="42" s="1"/>
  <c r="AK39" i="42" a="1"/>
  <c r="AK39" i="42" s="1"/>
  <c r="F20" i="44"/>
  <c r="I20" i="44" s="1"/>
  <c r="AR39" i="42" a="1"/>
  <c r="AR39" i="42" s="1"/>
  <c r="AJ39" i="42" a="1"/>
  <c r="AJ39" i="42" s="1"/>
  <c r="AY39" i="42" a="1"/>
  <c r="AY39" i="42" s="1"/>
  <c r="BE39" i="42" a="1"/>
  <c r="BE39" i="42" s="1"/>
  <c r="AV39" i="42" a="1"/>
  <c r="AV39" i="42" s="1"/>
  <c r="AL39" i="42" a="1"/>
  <c r="AL39" i="42" s="1"/>
  <c r="AZ39" i="42" a="1"/>
  <c r="AZ39" i="42" s="1"/>
  <c r="X39" i="42" a="1"/>
  <c r="X39" i="42" s="1"/>
  <c r="BJ39" i="42" a="1"/>
  <c r="BJ39" i="42" s="1"/>
  <c r="M39" i="42" a="1"/>
  <c r="M39" i="42" s="1"/>
  <c r="AQ39" i="42" a="1"/>
  <c r="AQ39" i="42" s="1"/>
  <c r="P39" i="42" a="1"/>
  <c r="P39" i="42" s="1"/>
  <c r="BA39" i="42" a="1"/>
  <c r="BA39" i="42" s="1"/>
  <c r="W39" i="42" a="1"/>
  <c r="W39" i="42" s="1"/>
  <c r="R39" i="42" a="1"/>
  <c r="R39" i="42" s="1"/>
  <c r="AW39" i="42" a="1"/>
  <c r="AW39" i="42" s="1"/>
  <c r="AG39" i="42" a="1"/>
  <c r="AG39" i="42" s="1"/>
  <c r="AI39" i="42" a="1"/>
  <c r="AI39" i="42" s="1"/>
  <c r="AU39" i="42" a="1"/>
  <c r="AU39" i="42" s="1"/>
  <c r="Z39" i="42" a="1"/>
  <c r="Z39" i="42" s="1"/>
  <c r="BF39" i="42" a="1"/>
  <c r="BF39" i="42" s="1"/>
  <c r="T39" i="42" a="1"/>
  <c r="T39" i="42" s="1"/>
  <c r="AM39" i="42" a="1"/>
  <c r="AM39" i="42" s="1"/>
  <c r="N149" i="41"/>
  <c r="J80" i="42" s="1"/>
  <c r="S149" i="41" a="1"/>
  <c r="M80" i="42" l="1"/>
  <c r="K80" i="42"/>
  <c r="AH36" i="42" a="1"/>
  <c r="AH36" i="42" s="1"/>
  <c r="X36" i="42" a="1"/>
  <c r="X36" i="42" s="1"/>
  <c r="AM36" i="42" a="1"/>
  <c r="AM36" i="42" s="1"/>
  <c r="R36" i="42" a="1"/>
  <c r="R36" i="42" s="1"/>
  <c r="AN36" i="42" a="1"/>
  <c r="AN36" i="42" s="1"/>
  <c r="AB36" i="42" a="1"/>
  <c r="AB36" i="42" s="1"/>
  <c r="AJ36" i="42" a="1"/>
  <c r="AJ36" i="42" s="1"/>
  <c r="V36" i="42" a="1"/>
  <c r="V36" i="42" s="1"/>
  <c r="AE36" i="42" a="1"/>
  <c r="AE36" i="42" s="1"/>
  <c r="AU36" i="42" a="1"/>
  <c r="AU36" i="42" s="1"/>
  <c r="J39" i="42"/>
  <c r="T36" i="42" a="1"/>
  <c r="T36" i="42" s="1"/>
  <c r="AR36" i="42" a="1"/>
  <c r="AR36" i="42" s="1"/>
  <c r="L36" i="42" a="1"/>
  <c r="L36" i="42" s="1"/>
  <c r="AT36" i="42" a="1"/>
  <c r="AT36" i="42" s="1"/>
  <c r="Y36" i="42" a="1"/>
  <c r="Y36" i="42" s="1"/>
  <c r="O36" i="42" a="1"/>
  <c r="O36" i="42" s="1"/>
  <c r="AA36" i="42" a="1"/>
  <c r="AA36" i="42" s="1"/>
  <c r="AX36" i="42" a="1"/>
  <c r="AX36" i="42" s="1"/>
  <c r="BD36" i="42" a="1"/>
  <c r="BD36" i="42" s="1"/>
  <c r="AG36" i="42" a="1"/>
  <c r="AG36" i="42" s="1"/>
  <c r="AO36" i="42" a="1"/>
  <c r="AO36" i="42" s="1"/>
  <c r="BA36" i="42" a="1"/>
  <c r="BA36" i="42" s="1"/>
  <c r="AL36" i="42" a="1"/>
  <c r="AL36" i="42" s="1"/>
  <c r="BE36" i="42" a="1"/>
  <c r="BE36" i="42" s="1"/>
  <c r="N36" i="42" a="1"/>
  <c r="N36" i="42" s="1"/>
  <c r="Z36" i="42" a="1"/>
  <c r="Z36" i="42" s="1"/>
  <c r="AC36" i="42" a="1"/>
  <c r="AC36" i="42" s="1"/>
  <c r="AK36" i="42" a="1"/>
  <c r="AK36" i="42" s="1"/>
  <c r="BB36" i="42" a="1"/>
  <c r="BB36" i="42" s="1"/>
  <c r="AI36" i="42" a="1"/>
  <c r="AI36" i="42" s="1"/>
  <c r="W36" i="42" a="1"/>
  <c r="W36" i="42" s="1"/>
  <c r="AW36" i="42" a="1"/>
  <c r="AW36" i="42" s="1"/>
  <c r="U36" i="42" a="1"/>
  <c r="U36" i="42" s="1"/>
  <c r="BH36" i="42" a="1"/>
  <c r="BH36" i="42" s="1"/>
  <c r="S36" i="42" a="1"/>
  <c r="S36" i="42" s="1"/>
  <c r="K36" i="42" a="1"/>
  <c r="K36" i="42" s="1"/>
  <c r="BG36" i="42" a="1"/>
  <c r="BG36" i="42" s="1"/>
  <c r="AV36" i="42" a="1"/>
  <c r="AV36" i="42" s="1"/>
  <c r="AZ36" i="42" a="1"/>
  <c r="AZ36" i="42" s="1"/>
  <c r="AQ36" i="42" a="1"/>
  <c r="AQ36" i="42" s="1"/>
  <c r="AD36" i="42" a="1"/>
  <c r="AD36" i="42" s="1"/>
  <c r="M36" i="42" a="1"/>
  <c r="M36" i="42" s="1"/>
  <c r="F17" i="44"/>
  <c r="I17" i="44" s="1"/>
  <c r="Q36" i="42" a="1"/>
  <c r="Q36" i="42" s="1"/>
  <c r="AP36" i="42" a="1"/>
  <c r="AP36" i="42" s="1"/>
  <c r="BC36" i="42" a="1"/>
  <c r="BC36" i="42" s="1"/>
  <c r="BJ36" i="42" a="1"/>
  <c r="BJ36" i="42" s="1"/>
  <c r="AS36" i="42" a="1"/>
  <c r="AS36" i="42" s="1"/>
  <c r="AF36" i="42" a="1"/>
  <c r="AF36" i="42" s="1"/>
  <c r="AY36" i="42" a="1"/>
  <c r="AY36" i="42" s="1"/>
  <c r="P36" i="42" a="1"/>
  <c r="P36" i="42" s="1"/>
  <c r="BI36" i="42" a="1"/>
  <c r="BI36" i="42" s="1"/>
  <c r="BF36" i="42" a="1"/>
  <c r="BF36" i="42" s="1"/>
  <c r="S149" i="41"/>
  <c r="F22" i="44" s="1"/>
  <c r="I22" i="44" s="1"/>
  <c r="O149" i="41" a="1"/>
  <c r="AB41" i="42" l="1" a="1"/>
  <c r="AB41" i="42" s="1"/>
  <c r="BF41" i="42" a="1"/>
  <c r="BF41" i="42" s="1"/>
  <c r="M41" i="42" a="1"/>
  <c r="M41" i="42" s="1"/>
  <c r="AJ41" i="42" a="1"/>
  <c r="AJ41" i="42" s="1"/>
  <c r="L41" i="42" a="1"/>
  <c r="L41" i="42" s="1"/>
  <c r="T41" i="42" a="1"/>
  <c r="T41" i="42" s="1"/>
  <c r="BB41" i="42" a="1"/>
  <c r="BB41" i="42" s="1"/>
  <c r="R41" i="42" a="1"/>
  <c r="R41" i="42" s="1"/>
  <c r="AH41" i="42" a="1"/>
  <c r="AH41" i="42" s="1"/>
  <c r="AI41" i="42" a="1"/>
  <c r="AI41" i="42" s="1"/>
  <c r="AO41" i="42" a="1"/>
  <c r="AO41" i="42" s="1"/>
  <c r="AK41" i="42" a="1"/>
  <c r="AK41" i="42" s="1"/>
  <c r="AW41" i="42" a="1"/>
  <c r="AW41" i="42" s="1"/>
  <c r="AR41" i="42" a="1"/>
  <c r="AR41" i="42" s="1"/>
  <c r="AU41" i="42" a="1"/>
  <c r="AU41" i="42" s="1"/>
  <c r="N41" i="42" a="1"/>
  <c r="N41" i="42" s="1"/>
  <c r="AY41" i="42" a="1"/>
  <c r="AY41" i="42" s="1"/>
  <c r="AN41" i="42" a="1"/>
  <c r="AN41" i="42" s="1"/>
  <c r="AD41" i="42" a="1"/>
  <c r="AD41" i="42" s="1"/>
  <c r="BI41" i="42" a="1"/>
  <c r="BI41" i="42" s="1"/>
  <c r="AX41" i="42" a="1"/>
  <c r="AX41" i="42" s="1"/>
  <c r="U41" i="42" a="1"/>
  <c r="U41" i="42" s="1"/>
  <c r="BG41" i="42" a="1"/>
  <c r="BG41" i="42" s="1"/>
  <c r="AM41" i="42" a="1"/>
  <c r="AM41" i="42" s="1"/>
  <c r="X41" i="42" a="1"/>
  <c r="X41" i="42" s="1"/>
  <c r="AC41" i="42" a="1"/>
  <c r="AC41" i="42" s="1"/>
  <c r="K41" i="42" a="1"/>
  <c r="K41" i="42" s="1"/>
  <c r="V41" i="42" a="1"/>
  <c r="V41" i="42" s="1"/>
  <c r="P41" i="42" a="1"/>
  <c r="P41" i="42" s="1"/>
  <c r="O41" i="42" a="1"/>
  <c r="O41" i="42" s="1"/>
  <c r="Y41" i="42" a="1"/>
  <c r="Y41" i="42" s="1"/>
  <c r="AV41" i="42" a="1"/>
  <c r="AV41" i="42" s="1"/>
  <c r="BH41" i="42" a="1"/>
  <c r="BH41" i="42" s="1"/>
  <c r="AF41" i="42" a="1"/>
  <c r="AF41" i="42" s="1"/>
  <c r="BD41" i="42" a="1"/>
  <c r="BD41" i="42" s="1"/>
  <c r="AG41" i="42" a="1"/>
  <c r="AG41" i="42" s="1"/>
  <c r="J36" i="42"/>
  <c r="AZ41" i="42" a="1"/>
  <c r="AZ41" i="42" s="1"/>
  <c r="AS41" i="42" a="1"/>
  <c r="AS41" i="42" s="1"/>
  <c r="BJ41" i="42" a="1"/>
  <c r="BJ41" i="42" s="1"/>
  <c r="AL41" i="42" a="1"/>
  <c r="AL41" i="42" s="1"/>
  <c r="S41" i="42" a="1"/>
  <c r="S41" i="42" s="1"/>
  <c r="BA41" i="42" a="1"/>
  <c r="BA41" i="42" s="1"/>
  <c r="AE41" i="42" a="1"/>
  <c r="AE41" i="42" s="1"/>
  <c r="Z41" i="42" a="1"/>
  <c r="Z41" i="42" s="1"/>
  <c r="BE41" i="42" a="1"/>
  <c r="BE41" i="42" s="1"/>
  <c r="AQ41" i="42" a="1"/>
  <c r="AQ41" i="42" s="1"/>
  <c r="BC41" i="42" a="1"/>
  <c r="BC41" i="42" s="1"/>
  <c r="Q41" i="42" a="1"/>
  <c r="Q41" i="42" s="1"/>
  <c r="W41" i="42" a="1"/>
  <c r="W41" i="42" s="1"/>
  <c r="AP41" i="42" a="1"/>
  <c r="AP41" i="42" s="1"/>
  <c r="AA41" i="42" a="1"/>
  <c r="AA41" i="42" s="1"/>
  <c r="AT41" i="42" a="1"/>
  <c r="AT41" i="42" s="1"/>
  <c r="O149" i="41"/>
  <c r="X149" i="41" a="1"/>
  <c r="F18" i="44" l="1"/>
  <c r="I18" i="44" s="1"/>
  <c r="AX37" i="42" a="1"/>
  <c r="AX37" i="42" s="1"/>
  <c r="AV37" i="42" a="1"/>
  <c r="AV37" i="42" s="1"/>
  <c r="W37" i="42" a="1"/>
  <c r="W37" i="42" s="1"/>
  <c r="BE37" i="42" a="1"/>
  <c r="BE37" i="42" s="1"/>
  <c r="BC37" i="42" a="1"/>
  <c r="BC37" i="42" s="1"/>
  <c r="AY37" i="42" a="1"/>
  <c r="AY37" i="42" s="1"/>
  <c r="AR37" i="42" a="1"/>
  <c r="AR37" i="42" s="1"/>
  <c r="AJ37" i="42" a="1"/>
  <c r="AJ37" i="42" s="1"/>
  <c r="Q37" i="42" a="1"/>
  <c r="Q37" i="42" s="1"/>
  <c r="R37" i="42" a="1"/>
  <c r="R37" i="42" s="1"/>
  <c r="AT37" i="42" a="1"/>
  <c r="AT37" i="42" s="1"/>
  <c r="AZ37" i="42" a="1"/>
  <c r="AZ37" i="42" s="1"/>
  <c r="AO37" i="42" a="1"/>
  <c r="AO37" i="42" s="1"/>
  <c r="P37" i="42" a="1"/>
  <c r="P37" i="42" s="1"/>
  <c r="BJ37" i="42" a="1"/>
  <c r="BJ37" i="42" s="1"/>
  <c r="U37" i="42" a="1"/>
  <c r="U37" i="42" s="1"/>
  <c r="T37" i="42" a="1"/>
  <c r="T37" i="42" s="1"/>
  <c r="Y37" i="42" a="1"/>
  <c r="Y37" i="42" s="1"/>
  <c r="AD37" i="42" a="1"/>
  <c r="AD37" i="42" s="1"/>
  <c r="BG37" i="42" a="1"/>
  <c r="BG37" i="42" s="1"/>
  <c r="L37" i="42" a="1"/>
  <c r="L37" i="42" s="1"/>
  <c r="BB37" i="42" a="1"/>
  <c r="BB37" i="42" s="1"/>
  <c r="AF37" i="42" a="1"/>
  <c r="AF37" i="42" s="1"/>
  <c r="AC37" i="42" a="1"/>
  <c r="AC37" i="42" s="1"/>
  <c r="AG37" i="42" a="1"/>
  <c r="AG37" i="42" s="1"/>
  <c r="BF37" i="42" a="1"/>
  <c r="BF37" i="42" s="1"/>
  <c r="AE37" i="42" a="1"/>
  <c r="AE37" i="42" s="1"/>
  <c r="Z37" i="42" a="1"/>
  <c r="Z37" i="42" s="1"/>
  <c r="BH37" i="42" a="1"/>
  <c r="BH37" i="42" s="1"/>
  <c r="AW37" i="42" a="1"/>
  <c r="AW37" i="42" s="1"/>
  <c r="AL37" i="42" a="1"/>
  <c r="AL37" i="42" s="1"/>
  <c r="AI37" i="42" a="1"/>
  <c r="AI37" i="42" s="1"/>
  <c r="AU37" i="42" a="1"/>
  <c r="AU37" i="42" s="1"/>
  <c r="O37" i="42" a="1"/>
  <c r="O37" i="42" s="1"/>
  <c r="AS37" i="42" a="1"/>
  <c r="AS37" i="42" s="1"/>
  <c r="V37" i="42" a="1"/>
  <c r="V37" i="42" s="1"/>
  <c r="AB37" i="42" a="1"/>
  <c r="AB37" i="42" s="1"/>
  <c r="N37" i="42" a="1"/>
  <c r="N37" i="42" s="1"/>
  <c r="AA37" i="42" a="1"/>
  <c r="AA37" i="42" s="1"/>
  <c r="AM37" i="42" a="1"/>
  <c r="AM37" i="42" s="1"/>
  <c r="J41" i="42"/>
  <c r="BD37" i="42" a="1"/>
  <c r="BD37" i="42" s="1"/>
  <c r="M37" i="42" a="1"/>
  <c r="M37" i="42" s="1"/>
  <c r="S37" i="42" a="1"/>
  <c r="S37" i="42" s="1"/>
  <c r="X37" i="42" a="1"/>
  <c r="X37" i="42" s="1"/>
  <c r="AH37" i="42" a="1"/>
  <c r="AH37" i="42" s="1"/>
  <c r="BI37" i="42" a="1"/>
  <c r="BI37" i="42" s="1"/>
  <c r="BA37" i="42" a="1"/>
  <c r="BA37" i="42" s="1"/>
  <c r="AK37" i="42" a="1"/>
  <c r="AK37" i="42" s="1"/>
  <c r="AN37" i="42" a="1"/>
  <c r="AN37" i="42" s="1"/>
  <c r="AP37" i="42" a="1"/>
  <c r="AP37" i="42" s="1"/>
  <c r="K37" i="42" a="1"/>
  <c r="K37" i="42" s="1"/>
  <c r="AQ37" i="42" a="1"/>
  <c r="AQ37" i="42" s="1"/>
  <c r="X149" i="41"/>
  <c r="F27" i="44" s="1"/>
  <c r="I27" i="44" s="1"/>
  <c r="M149" i="41" a="1"/>
  <c r="W46" i="42" l="1" a="1"/>
  <c r="W46" i="42" s="1"/>
  <c r="AC46" i="42" a="1"/>
  <c r="AC46" i="42" s="1"/>
  <c r="Y46" i="42" a="1"/>
  <c r="Y46" i="42" s="1"/>
  <c r="AL46" i="42" a="1"/>
  <c r="AL46" i="42" s="1"/>
  <c r="AT46" i="42" a="1"/>
  <c r="AT46" i="42" s="1"/>
  <c r="N46" i="42" a="1"/>
  <c r="N46" i="42" s="1"/>
  <c r="AU46" i="42" a="1"/>
  <c r="AU46" i="42" s="1"/>
  <c r="BE46" i="42" a="1"/>
  <c r="BE46" i="42" s="1"/>
  <c r="BB46" i="42" a="1"/>
  <c r="BB46" i="42" s="1"/>
  <c r="T46" i="42" a="1"/>
  <c r="T46" i="42" s="1"/>
  <c r="BA46" i="42" a="1"/>
  <c r="BA46" i="42" s="1"/>
  <c r="J37" i="42"/>
  <c r="Z46" i="42" a="1"/>
  <c r="Z46" i="42" s="1"/>
  <c r="K46" i="42" a="1"/>
  <c r="K46" i="42" s="1"/>
  <c r="AK46" i="42" a="1"/>
  <c r="AK46" i="42" s="1"/>
  <c r="S46" i="42" a="1"/>
  <c r="S46" i="42" s="1"/>
  <c r="P46" i="42" a="1"/>
  <c r="P46" i="42" s="1"/>
  <c r="AO46" i="42" a="1"/>
  <c r="AO46" i="42" s="1"/>
  <c r="M46" i="42" a="1"/>
  <c r="M46" i="42" s="1"/>
  <c r="AQ46" i="42" a="1"/>
  <c r="AQ46" i="42" s="1"/>
  <c r="R46" i="42" a="1"/>
  <c r="R46" i="42" s="1"/>
  <c r="AA46" i="42" a="1"/>
  <c r="AA46" i="42" s="1"/>
  <c r="BG46" i="42" a="1"/>
  <c r="BG46" i="42" s="1"/>
  <c r="BC46" i="42" a="1"/>
  <c r="BC46" i="42" s="1"/>
  <c r="BI46" i="42" a="1"/>
  <c r="BI46" i="42" s="1"/>
  <c r="AF46" i="42" a="1"/>
  <c r="AF46" i="42" s="1"/>
  <c r="AH46" i="42" a="1"/>
  <c r="AH46" i="42" s="1"/>
  <c r="BJ46" i="42" a="1"/>
  <c r="BJ46" i="42" s="1"/>
  <c r="AX46" i="42" a="1"/>
  <c r="AX46" i="42" s="1"/>
  <c r="AV46" i="42" a="1"/>
  <c r="AV46" i="42" s="1"/>
  <c r="U46" i="42" a="1"/>
  <c r="U46" i="42" s="1"/>
  <c r="BF46" i="42" a="1"/>
  <c r="BF46" i="42" s="1"/>
  <c r="AR46" i="42" a="1"/>
  <c r="AR46" i="42" s="1"/>
  <c r="AG46" i="42" a="1"/>
  <c r="AG46" i="42" s="1"/>
  <c r="V46" i="42" a="1"/>
  <c r="V46" i="42" s="1"/>
  <c r="AP46" i="42" a="1"/>
  <c r="AP46" i="42" s="1"/>
  <c r="AJ46" i="42" a="1"/>
  <c r="AJ46" i="42" s="1"/>
  <c r="AS46" i="42" a="1"/>
  <c r="AS46" i="42" s="1"/>
  <c r="AZ46" i="42" a="1"/>
  <c r="AZ46" i="42" s="1"/>
  <c r="AW46" i="42" a="1"/>
  <c r="AW46" i="42" s="1"/>
  <c r="AB46" i="42" a="1"/>
  <c r="AB46" i="42" s="1"/>
  <c r="X46" i="42" a="1"/>
  <c r="X46" i="42" s="1"/>
  <c r="AD46" i="42" a="1"/>
  <c r="AD46" i="42" s="1"/>
  <c r="O46" i="42" a="1"/>
  <c r="O46" i="42" s="1"/>
  <c r="AY46" i="42" a="1"/>
  <c r="AY46" i="42" s="1"/>
  <c r="BD46" i="42" a="1"/>
  <c r="BD46" i="42" s="1"/>
  <c r="AN46" i="42" a="1"/>
  <c r="AN46" i="42" s="1"/>
  <c r="AE46" i="42" a="1"/>
  <c r="AE46" i="42" s="1"/>
  <c r="BH46" i="42" a="1"/>
  <c r="BH46" i="42" s="1"/>
  <c r="AI46" i="42" a="1"/>
  <c r="AI46" i="42" s="1"/>
  <c r="AM46" i="42" a="1"/>
  <c r="AM46" i="42" s="1"/>
  <c r="L46" i="42" a="1"/>
  <c r="L46" i="42" s="1"/>
  <c r="Q46" i="42" a="1"/>
  <c r="Q46" i="42" s="1"/>
  <c r="M149" i="41"/>
  <c r="V149" i="41" a="1"/>
  <c r="J79" i="42" l="1"/>
  <c r="M79" i="42"/>
  <c r="K79" i="42"/>
  <c r="Z35" i="42" a="1"/>
  <c r="Z35" i="42" s="1"/>
  <c r="AN35" i="42" a="1"/>
  <c r="AN35" i="42" s="1"/>
  <c r="F16" i="44"/>
  <c r="I16" i="44" s="1"/>
  <c r="K35" i="42" a="1"/>
  <c r="K35" i="42" s="1"/>
  <c r="AK35" i="42" a="1"/>
  <c r="AK35" i="42" s="1"/>
  <c r="AV35" i="42" a="1"/>
  <c r="AV35" i="42" s="1"/>
  <c r="Y35" i="42" a="1"/>
  <c r="Y35" i="42" s="1"/>
  <c r="BJ35" i="42" a="1"/>
  <c r="BJ35" i="42" s="1"/>
  <c r="AD35" i="42" a="1"/>
  <c r="AD35" i="42" s="1"/>
  <c r="AQ35" i="42" a="1"/>
  <c r="AQ35" i="42" s="1"/>
  <c r="AJ35" i="42" a="1"/>
  <c r="AJ35" i="42" s="1"/>
  <c r="AB35" i="42" a="1"/>
  <c r="AB35" i="42" s="1"/>
  <c r="L35" i="42" a="1"/>
  <c r="L35" i="42" s="1"/>
  <c r="S35" i="42" a="1"/>
  <c r="S35" i="42" s="1"/>
  <c r="AO35" i="42" a="1"/>
  <c r="AO35" i="42" s="1"/>
  <c r="BF35" i="42" a="1"/>
  <c r="BF35" i="42" s="1"/>
  <c r="AC35" i="42" a="1"/>
  <c r="AC35" i="42" s="1"/>
  <c r="AM35" i="42" a="1"/>
  <c r="AM35" i="42" s="1"/>
  <c r="P35" i="42" a="1"/>
  <c r="P35" i="42" s="1"/>
  <c r="AG35" i="42" a="1"/>
  <c r="AG35" i="42" s="1"/>
  <c r="N35" i="42" a="1"/>
  <c r="N35" i="42" s="1"/>
  <c r="AU35" i="42" a="1"/>
  <c r="AU35" i="42" s="1"/>
  <c r="AL35" i="42" a="1"/>
  <c r="AL35" i="42" s="1"/>
  <c r="AH35" i="42" a="1"/>
  <c r="AH35" i="42" s="1"/>
  <c r="AY35" i="42" a="1"/>
  <c r="AY35" i="42" s="1"/>
  <c r="AA35" i="42" a="1"/>
  <c r="AA35" i="42" s="1"/>
  <c r="M35" i="42" a="1"/>
  <c r="M35" i="42" s="1"/>
  <c r="AP35" i="42" a="1"/>
  <c r="AP35" i="42" s="1"/>
  <c r="BI35" i="42" a="1"/>
  <c r="BI35" i="42" s="1"/>
  <c r="T35" i="42" a="1"/>
  <c r="T35" i="42" s="1"/>
  <c r="U35" i="42" a="1"/>
  <c r="U35" i="42" s="1"/>
  <c r="AI35" i="42" a="1"/>
  <c r="AI35" i="42" s="1"/>
  <c r="BH35" i="42" a="1"/>
  <c r="BH35" i="42" s="1"/>
  <c r="BG35" i="42" a="1"/>
  <c r="BG35" i="42" s="1"/>
  <c r="AX35" i="42" a="1"/>
  <c r="AX35" i="42" s="1"/>
  <c r="AS35" i="42" a="1"/>
  <c r="AS35" i="42" s="1"/>
  <c r="BC35" i="42" a="1"/>
  <c r="BC35" i="42" s="1"/>
  <c r="AR35" i="42" a="1"/>
  <c r="AR35" i="42" s="1"/>
  <c r="Q35" i="42" a="1"/>
  <c r="Q35" i="42" s="1"/>
  <c r="AF35" i="42" a="1"/>
  <c r="AF35" i="42" s="1"/>
  <c r="BD35" i="42" a="1"/>
  <c r="BD35" i="42" s="1"/>
  <c r="R35" i="42" a="1"/>
  <c r="R35" i="42" s="1"/>
  <c r="AW35" i="42" a="1"/>
  <c r="AW35" i="42" s="1"/>
  <c r="O35" i="42" a="1"/>
  <c r="O35" i="42" s="1"/>
  <c r="W35" i="42" a="1"/>
  <c r="W35" i="42" s="1"/>
  <c r="AZ35" i="42" a="1"/>
  <c r="AZ35" i="42" s="1"/>
  <c r="V35" i="42" a="1"/>
  <c r="V35" i="42" s="1"/>
  <c r="BA35" i="42" a="1"/>
  <c r="BA35" i="42" s="1"/>
  <c r="X35" i="42" a="1"/>
  <c r="X35" i="42" s="1"/>
  <c r="AE35" i="42" a="1"/>
  <c r="AE35" i="42" s="1"/>
  <c r="J46" i="42"/>
  <c r="AT35" i="42" a="1"/>
  <c r="AT35" i="42" s="1"/>
  <c r="BB35" i="42" a="1"/>
  <c r="BB35" i="42" s="1"/>
  <c r="BE35" i="42" a="1"/>
  <c r="BE35" i="42" s="1"/>
  <c r="V149" i="41"/>
  <c r="K44" i="42" s="1" a="1"/>
  <c r="K44" i="42" s="1"/>
  <c r="T149" i="41" a="1"/>
  <c r="BE44" i="42" l="1" a="1"/>
  <c r="BE44" i="42" s="1"/>
  <c r="Y44" i="42" a="1"/>
  <c r="Y44" i="42" s="1"/>
  <c r="BJ44" i="42" a="1"/>
  <c r="BJ44" i="42" s="1"/>
  <c r="AP44" i="42" a="1"/>
  <c r="AP44" i="42" s="1"/>
  <c r="AN44" i="42" a="1"/>
  <c r="AN44" i="42" s="1"/>
  <c r="X44" i="42" a="1"/>
  <c r="X44" i="42" s="1"/>
  <c r="BF44" i="42" a="1"/>
  <c r="BF44" i="42" s="1"/>
  <c r="BB44" i="42" a="1"/>
  <c r="BB44" i="42" s="1"/>
  <c r="AJ44" i="42" a="1"/>
  <c r="AJ44" i="42" s="1"/>
  <c r="BI44" i="42" a="1"/>
  <c r="BI44" i="42" s="1"/>
  <c r="AW44" i="42" a="1"/>
  <c r="AW44" i="42" s="1"/>
  <c r="AX44" i="42" a="1"/>
  <c r="AX44" i="42" s="1"/>
  <c r="AU44" i="42" a="1"/>
  <c r="AU44" i="42" s="1"/>
  <c r="AR44" i="42" a="1"/>
  <c r="AR44" i="42" s="1"/>
  <c r="N44" i="42" a="1"/>
  <c r="N44" i="42" s="1"/>
  <c r="AV44" i="42" a="1"/>
  <c r="AV44" i="42" s="1"/>
  <c r="AK44" i="42" a="1"/>
  <c r="AK44" i="42" s="1"/>
  <c r="AM44" i="42" a="1"/>
  <c r="AM44" i="42" s="1"/>
  <c r="M44" i="42" a="1"/>
  <c r="M44" i="42" s="1"/>
  <c r="U44" i="42" a="1"/>
  <c r="U44" i="42" s="1"/>
  <c r="R44" i="42" a="1"/>
  <c r="R44" i="42" s="1"/>
  <c r="Z44" i="42" a="1"/>
  <c r="Z44" i="42" s="1"/>
  <c r="T44" i="42" a="1"/>
  <c r="T44" i="42" s="1"/>
  <c r="L44" i="42" a="1"/>
  <c r="L44" i="42" s="1"/>
  <c r="AH44" i="42" a="1"/>
  <c r="AH44" i="42" s="1"/>
  <c r="AF44" i="42" a="1"/>
  <c r="AF44" i="42" s="1"/>
  <c r="AY44" i="42" a="1"/>
  <c r="AY44" i="42" s="1"/>
  <c r="Q44" i="42" a="1"/>
  <c r="Q44" i="42" s="1"/>
  <c r="BC44" i="42" a="1"/>
  <c r="BC44" i="42" s="1"/>
  <c r="AG44" i="42" a="1"/>
  <c r="AG44" i="42" s="1"/>
  <c r="AQ44" i="42" a="1"/>
  <c r="AQ44" i="42" s="1"/>
  <c r="V44" i="42" a="1"/>
  <c r="V44" i="42" s="1"/>
  <c r="AC44" i="42" a="1"/>
  <c r="AC44" i="42" s="1"/>
  <c r="S44" i="42" a="1"/>
  <c r="S44" i="42" s="1"/>
  <c r="W44" i="42" a="1"/>
  <c r="W44" i="42" s="1"/>
  <c r="AT44" i="42" a="1"/>
  <c r="AT44" i="42" s="1"/>
  <c r="BD44" i="42" a="1"/>
  <c r="BD44" i="42" s="1"/>
  <c r="AL44" i="42" a="1"/>
  <c r="AL44" i="42" s="1"/>
  <c r="BH44" i="42" a="1"/>
  <c r="BH44" i="42" s="1"/>
  <c r="O44" i="42" a="1"/>
  <c r="O44" i="42" s="1"/>
  <c r="AD44" i="42" a="1"/>
  <c r="AD44" i="42" s="1"/>
  <c r="AS44" i="42" a="1"/>
  <c r="AS44" i="42" s="1"/>
  <c r="P44" i="42" a="1"/>
  <c r="P44" i="42" s="1"/>
  <c r="AE44" i="42" a="1"/>
  <c r="AE44" i="42" s="1"/>
  <c r="AZ44" i="42" a="1"/>
  <c r="AZ44" i="42" s="1"/>
  <c r="BA44" i="42" a="1"/>
  <c r="BA44" i="42" s="1"/>
  <c r="AI44" i="42" a="1"/>
  <c r="AI44" i="42" s="1"/>
  <c r="AO44" i="42" a="1"/>
  <c r="AO44" i="42" s="1"/>
  <c r="AA44" i="42" a="1"/>
  <c r="AA44" i="42" s="1"/>
  <c r="BG44" i="42" a="1"/>
  <c r="BG44" i="42" s="1"/>
  <c r="J35" i="42"/>
  <c r="AB44" i="42" a="1"/>
  <c r="AB44" i="42" s="1"/>
  <c r="F25" i="44"/>
  <c r="I25" i="44" s="1"/>
  <c r="T149" i="41"/>
  <c r="F23" i="44" s="1"/>
  <c r="I23" i="44" s="1"/>
  <c r="BB42" i="42" l="1" a="1"/>
  <c r="BB42" i="42" s="1"/>
  <c r="T42" i="42" a="1"/>
  <c r="T42" i="42" s="1"/>
  <c r="P42" i="42" a="1"/>
  <c r="P42" i="42" s="1"/>
  <c r="M42" i="42" a="1"/>
  <c r="M42" i="42" s="1"/>
  <c r="BF42" i="42" a="1"/>
  <c r="BF42" i="42" s="1"/>
  <c r="AM42" i="42" a="1"/>
  <c r="AM42" i="42" s="1"/>
  <c r="BH42" i="42" a="1"/>
  <c r="BH42" i="42" s="1"/>
  <c r="X42" i="42" a="1"/>
  <c r="X42" i="42" s="1"/>
  <c r="AN42" i="42" a="1"/>
  <c r="AN42" i="42" s="1"/>
  <c r="AA42" i="42" a="1"/>
  <c r="AA42" i="42" s="1"/>
  <c r="BG42" i="42" a="1"/>
  <c r="BG42" i="42" s="1"/>
  <c r="AZ42" i="42" a="1"/>
  <c r="AZ42" i="42" s="1"/>
  <c r="J44" i="42"/>
  <c r="AQ42" i="42" a="1"/>
  <c r="AQ42" i="42" s="1"/>
  <c r="AF42" i="42" a="1"/>
  <c r="AF42" i="42" s="1"/>
  <c r="AL42" i="42" a="1"/>
  <c r="AL42" i="42" s="1"/>
  <c r="AW42" i="42" a="1"/>
  <c r="AW42" i="42" s="1"/>
  <c r="AU42" i="42" a="1"/>
  <c r="AU42" i="42" s="1"/>
  <c r="BI42" i="42" a="1"/>
  <c r="BI42" i="42" s="1"/>
  <c r="Y42" i="42" a="1"/>
  <c r="Y42" i="42" s="1"/>
  <c r="AE42" i="42" a="1"/>
  <c r="AE42" i="42" s="1"/>
  <c r="AR42" i="42" a="1"/>
  <c r="AR42" i="42" s="1"/>
  <c r="BC42" i="42" a="1"/>
  <c r="BC42" i="42" s="1"/>
  <c r="BJ42" i="42" a="1"/>
  <c r="BJ42" i="42" s="1"/>
  <c r="BD42" i="42" a="1"/>
  <c r="BD42" i="42" s="1"/>
  <c r="AG42" i="42" a="1"/>
  <c r="AG42" i="42" s="1"/>
  <c r="L42" i="42" a="1"/>
  <c r="L42" i="42" s="1"/>
  <c r="Z42" i="42" a="1"/>
  <c r="Z42" i="42" s="1"/>
  <c r="AB42" i="42" a="1"/>
  <c r="AB42" i="42" s="1"/>
  <c r="S42" i="42" a="1"/>
  <c r="S42" i="42" s="1"/>
  <c r="AK42" i="42" a="1"/>
  <c r="AK42" i="42" s="1"/>
  <c r="Q42" i="42" a="1"/>
  <c r="Q42" i="42" s="1"/>
  <c r="AD42" i="42" a="1"/>
  <c r="AD42" i="42" s="1"/>
  <c r="V42" i="42" a="1"/>
  <c r="V42" i="42" s="1"/>
  <c r="BA42" i="42" a="1"/>
  <c r="BA42" i="42" s="1"/>
  <c r="AH42" i="42" a="1"/>
  <c r="AH42" i="42" s="1"/>
  <c r="N42" i="42" a="1"/>
  <c r="N42" i="42" s="1"/>
  <c r="AS42" i="42" a="1"/>
  <c r="AS42" i="42" s="1"/>
  <c r="W42" i="42" a="1"/>
  <c r="W42" i="42" s="1"/>
  <c r="R42" i="42" a="1"/>
  <c r="R42" i="42" s="1"/>
  <c r="BE42" i="42" a="1"/>
  <c r="BE42" i="42" s="1"/>
  <c r="AI42" i="42" a="1"/>
  <c r="AI42" i="42" s="1"/>
  <c r="AV42" i="42" a="1"/>
  <c r="AV42" i="42" s="1"/>
  <c r="AJ42" i="42" a="1"/>
  <c r="AJ42" i="42" s="1"/>
  <c r="O42" i="42" a="1"/>
  <c r="O42" i="42" s="1"/>
  <c r="K42" i="42" a="1"/>
  <c r="K42" i="42" s="1"/>
  <c r="AY42" i="42" a="1"/>
  <c r="AY42" i="42" s="1"/>
  <c r="AO42" i="42" a="1"/>
  <c r="AO42" i="42" s="1"/>
  <c r="AT42" i="42" a="1"/>
  <c r="AT42" i="42" s="1"/>
  <c r="AP42" i="42" a="1"/>
  <c r="AP42" i="42" s="1"/>
  <c r="AX42" i="42" a="1"/>
  <c r="AX42" i="42" s="1"/>
  <c r="U42" i="42" a="1"/>
  <c r="U42" i="42" s="1"/>
  <c r="AC42" i="42" a="1"/>
  <c r="AC42" i="42" s="1"/>
  <c r="K78" i="42" l="1"/>
  <c r="K93" i="42" s="1"/>
  <c r="J78" i="42"/>
  <c r="J93" i="42" s="1"/>
  <c r="E5" i="44"/>
  <c r="T34" i="42" a="1"/>
  <c r="T34" i="42" s="1"/>
  <c r="T49" i="42" s="1"/>
  <c r="AK34" i="42" a="1"/>
  <c r="AK34" i="42" s="1"/>
  <c r="AK49" i="42" s="1"/>
  <c r="AO34" i="42" a="1"/>
  <c r="AO34" i="42" s="1"/>
  <c r="AO49" i="42" s="1"/>
  <c r="BB34" i="42" a="1"/>
  <c r="BB34" i="42" s="1"/>
  <c r="BB49" i="42" s="1"/>
  <c r="S34" i="42" a="1"/>
  <c r="S34" i="42" s="1"/>
  <c r="S49" i="42" s="1"/>
  <c r="AJ34" i="42" a="1"/>
  <c r="AJ34" i="42" s="1"/>
  <c r="AJ49" i="42" s="1"/>
  <c r="AQ34" i="42" a="1"/>
  <c r="AQ34" i="42" s="1"/>
  <c r="AQ49" i="42" s="1"/>
  <c r="AX34" i="42" a="1"/>
  <c r="AX34" i="42" s="1"/>
  <c r="AX49" i="42" s="1"/>
  <c r="AV34" i="42" a="1"/>
  <c r="AV34" i="42" s="1"/>
  <c r="AV49" i="42" s="1"/>
  <c r="P34" i="42" a="1"/>
  <c r="P34" i="42" s="1"/>
  <c r="P49" i="42" s="1"/>
  <c r="Z34" i="42" a="1"/>
  <c r="Z34" i="42" s="1"/>
  <c r="Z49" i="42" s="1"/>
  <c r="BC34" i="42" a="1"/>
  <c r="BC34" i="42" s="1"/>
  <c r="BC49" i="42" s="1"/>
  <c r="AH34" i="42" a="1"/>
  <c r="AH34" i="42" s="1"/>
  <c r="AH49" i="42" s="1"/>
  <c r="AW34" i="42" a="1"/>
  <c r="AW34" i="42" s="1"/>
  <c r="AW49" i="42" s="1"/>
  <c r="AT34" i="42" a="1"/>
  <c r="AT34" i="42" s="1"/>
  <c r="AT49" i="42" s="1"/>
  <c r="F15" i="44"/>
  <c r="I15" i="44" s="1"/>
  <c r="AE34" i="42" a="1"/>
  <c r="AE34" i="42" s="1"/>
  <c r="AE49" i="42" s="1"/>
  <c r="AP34" i="42" a="1"/>
  <c r="AP34" i="42" s="1"/>
  <c r="AP49" i="42" s="1"/>
  <c r="AZ34" i="42" a="1"/>
  <c r="AZ34" i="42" s="1"/>
  <c r="AZ49" i="42" s="1"/>
  <c r="BI34" i="42" a="1"/>
  <c r="BI34" i="42" s="1"/>
  <c r="BI49" i="42" s="1"/>
  <c r="X34" i="42" a="1"/>
  <c r="X34" i="42" s="1"/>
  <c r="X49" i="42" s="1"/>
  <c r="BD34" i="42" a="1"/>
  <c r="BD34" i="42" s="1"/>
  <c r="BD49" i="42" s="1"/>
  <c r="AS34" i="42" a="1"/>
  <c r="AS34" i="42" s="1"/>
  <c r="AS49" i="42" s="1"/>
  <c r="O34" i="42" a="1"/>
  <c r="O34" i="42" s="1"/>
  <c r="O49" i="42" s="1"/>
  <c r="W34" i="42" a="1"/>
  <c r="W34" i="42" s="1"/>
  <c r="W49" i="42" s="1"/>
  <c r="AR34" i="42" a="1"/>
  <c r="AR34" i="42" s="1"/>
  <c r="AR49" i="42" s="1"/>
  <c r="BH34" i="42" a="1"/>
  <c r="BH34" i="42" s="1"/>
  <c r="BH49" i="42" s="1"/>
  <c r="J42" i="42"/>
  <c r="N34" i="42" a="1"/>
  <c r="N34" i="42" s="1"/>
  <c r="N49" i="42" s="1"/>
  <c r="BF34" i="42" a="1"/>
  <c r="BF34" i="42" s="1"/>
  <c r="BF49" i="42" s="1"/>
  <c r="AF34" i="42" a="1"/>
  <c r="AF34" i="42" s="1"/>
  <c r="AF49" i="42" s="1"/>
  <c r="AL34" i="42" a="1"/>
  <c r="AL34" i="42" s="1"/>
  <c r="AL49" i="42" s="1"/>
  <c r="AM34" i="42" a="1"/>
  <c r="AM34" i="42" s="1"/>
  <c r="AM49" i="42" s="1"/>
  <c r="AY34" i="42" a="1"/>
  <c r="AY34" i="42" s="1"/>
  <c r="AY49" i="42" s="1"/>
  <c r="R34" i="42" a="1"/>
  <c r="R34" i="42" s="1"/>
  <c r="R49" i="42" s="1"/>
  <c r="AB34" i="42" a="1"/>
  <c r="AB34" i="42" s="1"/>
  <c r="AB49" i="42" s="1"/>
  <c r="BJ34" i="42" a="1"/>
  <c r="BJ34" i="42" s="1"/>
  <c r="BJ49" i="42" s="1"/>
  <c r="U34" i="42" a="1"/>
  <c r="U34" i="42" s="1"/>
  <c r="U49" i="42" s="1"/>
  <c r="AN34" i="42" a="1"/>
  <c r="AN34" i="42" s="1"/>
  <c r="AN49" i="42" s="1"/>
  <c r="BE34" i="42" a="1"/>
  <c r="BE34" i="42" s="1"/>
  <c r="BE49" i="42" s="1"/>
  <c r="AC34" i="42" a="1"/>
  <c r="AC34" i="42" s="1"/>
  <c r="AC49" i="42" s="1"/>
  <c r="Q34" i="42" a="1"/>
  <c r="Q34" i="42" s="1"/>
  <c r="Q49" i="42" s="1"/>
  <c r="AU34" i="42" a="1"/>
  <c r="AU34" i="42" s="1"/>
  <c r="AU49" i="42" s="1"/>
  <c r="L34" i="42" a="1"/>
  <c r="L34" i="42" s="1"/>
  <c r="L49" i="42" s="1"/>
  <c r="M34" i="42" a="1"/>
  <c r="M34" i="42" s="1"/>
  <c r="M49" i="42" s="1"/>
  <c r="AG34" i="42" a="1"/>
  <c r="AG34" i="42" s="1"/>
  <c r="AG49" i="42" s="1"/>
  <c r="BA34" i="42" a="1"/>
  <c r="BA34" i="42" s="1"/>
  <c r="BA49" i="42" s="1"/>
  <c r="AA34" i="42" a="1"/>
  <c r="AA34" i="42" s="1"/>
  <c r="AA49" i="42" s="1"/>
  <c r="AI34" i="42" a="1"/>
  <c r="AI34" i="42" s="1"/>
  <c r="AI49" i="42" s="1"/>
  <c r="Y34" i="42" a="1"/>
  <c r="Y34" i="42" s="1"/>
  <c r="Y49" i="42" s="1"/>
  <c r="K34" i="42" a="1"/>
  <c r="K34" i="42" s="1"/>
  <c r="K49" i="42" s="1"/>
  <c r="AD34" i="42" a="1"/>
  <c r="AD34" i="42" s="1"/>
  <c r="AD49" i="42" s="1"/>
  <c r="BG34" i="42" a="1"/>
  <c r="BG34" i="42" s="1"/>
  <c r="BG49" i="42" s="1"/>
  <c r="V34" i="42" a="1"/>
  <c r="V34" i="42" s="1"/>
  <c r="V49" i="42" s="1"/>
  <c r="F30" i="44" l="1"/>
  <c r="J34" i="42"/>
  <c r="I30" i="44"/>
  <c r="O159" i="41" l="1"/>
  <c r="O166" i="41"/>
  <c r="J38" i="47" s="1"/>
  <c r="O164" i="41"/>
  <c r="J36" i="47" s="1"/>
  <c r="O168" i="41"/>
  <c r="J40" i="47" s="1"/>
  <c r="O167" i="41"/>
  <c r="F23" i="42" s="1"/>
  <c r="O160" i="41"/>
  <c r="J32" i="47" s="1"/>
  <c r="O155" i="41"/>
  <c r="O161" i="41"/>
  <c r="F17" i="42" s="1"/>
  <c r="O165" i="41"/>
  <c r="F21" i="42" s="1"/>
  <c r="O156" i="41"/>
  <c r="O157" i="41"/>
  <c r="O163" i="41"/>
  <c r="F19" i="42" s="1"/>
  <c r="F31" i="44"/>
  <c r="O169" i="41"/>
  <c r="J41" i="47" s="1"/>
  <c r="O162" i="41"/>
  <c r="F18" i="42" s="1"/>
  <c r="O158" i="41"/>
  <c r="J39" i="47"/>
  <c r="H31" i="44"/>
  <c r="E31" i="44"/>
  <c r="D31" i="44"/>
  <c r="J29" i="44"/>
  <c r="G31" i="44"/>
  <c r="J26" i="44"/>
  <c r="J28" i="44"/>
  <c r="J19" i="44"/>
  <c r="J24" i="44"/>
  <c r="J21" i="44"/>
  <c r="J20" i="44"/>
  <c r="J17" i="44"/>
  <c r="J22" i="44"/>
  <c r="J18" i="44"/>
  <c r="J27" i="44"/>
  <c r="J16" i="44"/>
  <c r="J25" i="44"/>
  <c r="J23" i="44"/>
  <c r="J15" i="44"/>
  <c r="J31" i="47"/>
  <c r="F15" i="42"/>
  <c r="J28" i="47" l="1"/>
  <c r="P28" i="47" s="1"/>
  <c r="J27" i="47"/>
  <c r="Q27" i="47" s="1"/>
  <c r="F14" i="42"/>
  <c r="P14" i="42" s="1"/>
  <c r="S8" i="45" s="1"/>
  <c r="R45" i="66" s="1"/>
  <c r="F11" i="42"/>
  <c r="AE27" i="47" s="1"/>
  <c r="J29" i="47"/>
  <c r="AO29" i="47" s="1"/>
  <c r="F22" i="42"/>
  <c r="I22" i="42" s="1"/>
  <c r="Y22" i="42" s="1"/>
  <c r="F16" i="42"/>
  <c r="I16" i="42" s="1"/>
  <c r="Y16" i="42" s="1"/>
  <c r="F24" i="42"/>
  <c r="I24" i="42" s="1"/>
  <c r="Y24" i="42" s="1"/>
  <c r="J34" i="47"/>
  <c r="AO34" i="47" s="1"/>
  <c r="J37" i="47"/>
  <c r="Q37" i="47" s="1"/>
  <c r="J33" i="47"/>
  <c r="P33" i="47" s="1"/>
  <c r="F20" i="42"/>
  <c r="I20" i="42" s="1"/>
  <c r="Y20" i="42" s="1"/>
  <c r="J30" i="47"/>
  <c r="AO30" i="47" s="1"/>
  <c r="J35" i="47"/>
  <c r="P35" i="47" s="1"/>
  <c r="F13" i="42"/>
  <c r="I13" i="42" s="1"/>
  <c r="Y13" i="42" s="1"/>
  <c r="F12" i="42"/>
  <c r="I12" i="42" s="1"/>
  <c r="Y12" i="42" s="1"/>
  <c r="F25" i="42"/>
  <c r="AE41" i="47" s="1"/>
  <c r="I15" i="42"/>
  <c r="Y15" i="42" s="1"/>
  <c r="P15" i="42"/>
  <c r="S9" i="45" s="1"/>
  <c r="R46" i="66" s="1"/>
  <c r="AE31" i="47"/>
  <c r="Q41" i="47"/>
  <c r="AO41" i="47"/>
  <c r="P41" i="47"/>
  <c r="P18" i="42"/>
  <c r="S12" i="45" s="1"/>
  <c r="R49" i="66" s="1"/>
  <c r="I18" i="42"/>
  <c r="Y18" i="42" s="1"/>
  <c r="AE34" i="47"/>
  <c r="AO32" i="47"/>
  <c r="Q32" i="47"/>
  <c r="P32" i="47"/>
  <c r="AO31" i="47"/>
  <c r="Q31" i="47"/>
  <c r="P31" i="47"/>
  <c r="I21" i="42"/>
  <c r="Y21" i="42" s="1"/>
  <c r="P21" i="42"/>
  <c r="S15" i="45" s="1"/>
  <c r="R52" i="66" s="1"/>
  <c r="AE37" i="47"/>
  <c r="P40" i="47"/>
  <c r="AO40" i="47"/>
  <c r="Q40" i="47"/>
  <c r="Q36" i="47"/>
  <c r="AO36" i="47"/>
  <c r="P36" i="47"/>
  <c r="I19" i="42"/>
  <c r="Y19" i="42" s="1"/>
  <c r="AE35" i="47"/>
  <c r="P19" i="42"/>
  <c r="S13" i="45" s="1"/>
  <c r="R50" i="66" s="1"/>
  <c r="P38" i="47"/>
  <c r="AO38" i="47"/>
  <c r="Q38" i="47"/>
  <c r="AE33" i="47"/>
  <c r="I17" i="42"/>
  <c r="Y17" i="42" s="1"/>
  <c r="P17" i="42"/>
  <c r="S11" i="45" s="1"/>
  <c r="R48" i="66" s="1"/>
  <c r="P23" i="42"/>
  <c r="S17" i="45" s="1"/>
  <c r="R54" i="66" s="1"/>
  <c r="I23" i="42"/>
  <c r="Y23" i="42" s="1"/>
  <c r="AE39" i="47"/>
  <c r="AO39" i="47"/>
  <c r="P39" i="47"/>
  <c r="Q39" i="47"/>
  <c r="P29" i="47" l="1"/>
  <c r="Q28" i="47"/>
  <c r="R28" i="47" s="1"/>
  <c r="S28" i="47" s="1"/>
  <c r="AO28" i="47"/>
  <c r="AQ28" i="47" s="1"/>
  <c r="Q29" i="47"/>
  <c r="P11" i="42"/>
  <c r="S5" i="45" s="1"/>
  <c r="I11" i="42"/>
  <c r="Y11" i="42" s="1"/>
  <c r="AE30" i="47"/>
  <c r="I14" i="42"/>
  <c r="Y14" i="42" s="1"/>
  <c r="P22" i="42"/>
  <c r="S16" i="45" s="1"/>
  <c r="R53" i="66" s="1"/>
  <c r="AE38" i="47"/>
  <c r="P16" i="42"/>
  <c r="S10" i="45" s="1"/>
  <c r="R47" i="66" s="1"/>
  <c r="AE32" i="47"/>
  <c r="AQ40" i="47"/>
  <c r="AP40" i="47" s="1"/>
  <c r="AQ38" i="47"/>
  <c r="AP38" i="47" s="1"/>
  <c r="AQ36" i="47"/>
  <c r="AP36" i="47" s="1"/>
  <c r="AQ39" i="47"/>
  <c r="AP39" i="47" s="1"/>
  <c r="AQ29" i="47"/>
  <c r="AP29" i="47" s="1"/>
  <c r="AQ32" i="47"/>
  <c r="AP32" i="47" s="1"/>
  <c r="AQ34" i="47"/>
  <c r="AP34" i="47" s="1"/>
  <c r="P37" i="47"/>
  <c r="R37" i="47" s="1"/>
  <c r="S37" i="47" s="1"/>
  <c r="P12" i="42"/>
  <c r="S6" i="45" s="1"/>
  <c r="R43" i="66" s="1"/>
  <c r="P24" i="42"/>
  <c r="S18" i="45" s="1"/>
  <c r="R55" i="66" s="1"/>
  <c r="AE40" i="47"/>
  <c r="AO37" i="47"/>
  <c r="Q34" i="47"/>
  <c r="P34" i="47"/>
  <c r="AE28" i="47"/>
  <c r="P27" i="47"/>
  <c r="R27" i="47" s="1"/>
  <c r="AO33" i="47"/>
  <c r="AO27" i="47"/>
  <c r="Q33" i="47"/>
  <c r="R33" i="47" s="1"/>
  <c r="S33" i="47" s="1"/>
  <c r="P30" i="47"/>
  <c r="Q30" i="47"/>
  <c r="BC42" i="47"/>
  <c r="AE29" i="47"/>
  <c r="P13" i="42"/>
  <c r="S7" i="45" s="1"/>
  <c r="R44" i="66" s="1"/>
  <c r="J42" i="47"/>
  <c r="N1" i="42" s="1"/>
  <c r="AO35" i="47"/>
  <c r="P20" i="42"/>
  <c r="S14" i="45" s="1"/>
  <c r="R51" i="66" s="1"/>
  <c r="AE36" i="47"/>
  <c r="Q35" i="47"/>
  <c r="R35" i="47" s="1"/>
  <c r="S35" i="47" s="1"/>
  <c r="F26" i="42"/>
  <c r="P25" i="42"/>
  <c r="S19" i="45" s="1"/>
  <c r="R56" i="66" s="1"/>
  <c r="I25" i="42"/>
  <c r="R39" i="47"/>
  <c r="S39" i="47" s="1"/>
  <c r="W12" i="42"/>
  <c r="AA12" i="42"/>
  <c r="X12" i="42"/>
  <c r="Z12" i="42"/>
  <c r="I35" i="42"/>
  <c r="R38" i="47"/>
  <c r="S38" i="47" s="1"/>
  <c r="I47" i="42"/>
  <c r="W24" i="42"/>
  <c r="Z24" i="42"/>
  <c r="AA24" i="42"/>
  <c r="X24" i="42"/>
  <c r="W16" i="42"/>
  <c r="Z16" i="42"/>
  <c r="I39" i="42"/>
  <c r="AA16" i="42"/>
  <c r="X16" i="42"/>
  <c r="R32" i="47"/>
  <c r="S32" i="47" s="1"/>
  <c r="Z15" i="42"/>
  <c r="AA15" i="42"/>
  <c r="W15" i="42"/>
  <c r="X15" i="42"/>
  <c r="I38" i="42"/>
  <c r="AQ41" i="47"/>
  <c r="AP41" i="47" s="1"/>
  <c r="AA22" i="42"/>
  <c r="W22" i="42"/>
  <c r="I45" i="42"/>
  <c r="Z22" i="42"/>
  <c r="X22" i="42"/>
  <c r="Z13" i="42"/>
  <c r="W13" i="42"/>
  <c r="AA13" i="42"/>
  <c r="I36" i="42"/>
  <c r="X13" i="42"/>
  <c r="R36" i="47"/>
  <c r="S36" i="47" s="1"/>
  <c r="I44" i="42"/>
  <c r="Z21" i="42"/>
  <c r="AA21" i="42"/>
  <c r="X21" i="42"/>
  <c r="W21" i="42"/>
  <c r="R41" i="47"/>
  <c r="S41" i="47" s="1"/>
  <c r="R40" i="47"/>
  <c r="S40" i="47" s="1"/>
  <c r="AA19" i="42"/>
  <c r="X19" i="42"/>
  <c r="Z19" i="42"/>
  <c r="I42" i="42"/>
  <c r="W19" i="42"/>
  <c r="W20" i="42"/>
  <c r="X20" i="42"/>
  <c r="Z20" i="42"/>
  <c r="AA20" i="42"/>
  <c r="I43" i="42"/>
  <c r="R31" i="47"/>
  <c r="S31" i="47" s="1"/>
  <c r="X18" i="42"/>
  <c r="Z18" i="42"/>
  <c r="AA18" i="42"/>
  <c r="I41" i="42"/>
  <c r="W18" i="42"/>
  <c r="Z23" i="42"/>
  <c r="W23" i="42"/>
  <c r="AA23" i="42"/>
  <c r="I46" i="42"/>
  <c r="X23" i="42"/>
  <c r="X17" i="42"/>
  <c r="AA17" i="42"/>
  <c r="I40" i="42"/>
  <c r="Z17" i="42"/>
  <c r="W17" i="42"/>
  <c r="AQ31" i="47"/>
  <c r="AP31" i="47" s="1"/>
  <c r="AQ30" i="47"/>
  <c r="AP30" i="47" s="1"/>
  <c r="R29" i="47" l="1"/>
  <c r="S29" i="47" s="1"/>
  <c r="X11" i="42"/>
  <c r="AA11" i="42"/>
  <c r="I37" i="42"/>
  <c r="X14" i="42"/>
  <c r="W14" i="42"/>
  <c r="Z14" i="42"/>
  <c r="I26" i="42"/>
  <c r="J15" i="42" s="1"/>
  <c r="AA14" i="42"/>
  <c r="W11" i="42"/>
  <c r="I34" i="42"/>
  <c r="Z11" i="42"/>
  <c r="AQ33" i="47"/>
  <c r="AP33" i="47" s="1"/>
  <c r="AQ35" i="47"/>
  <c r="AP35" i="47" s="1"/>
  <c r="AQ37" i="47"/>
  <c r="AP37" i="47" s="1"/>
  <c r="AQ27" i="47"/>
  <c r="AP27" i="47" s="1"/>
  <c r="Q42" i="47"/>
  <c r="R34" i="47"/>
  <c r="S34" i="47" s="1"/>
  <c r="I48" i="42"/>
  <c r="R30" i="47"/>
  <c r="S30" i="47" s="1"/>
  <c r="P42" i="47"/>
  <c r="AA25" i="42"/>
  <c r="Y25" i="42"/>
  <c r="W25" i="42"/>
  <c r="X25" i="42"/>
  <c r="AO42" i="47"/>
  <c r="P26" i="42"/>
  <c r="Z25" i="42"/>
  <c r="BA42" i="47"/>
  <c r="BB42" i="47" s="1"/>
  <c r="R42" i="66"/>
  <c r="R57" i="66" s="1"/>
  <c r="S20" i="45"/>
  <c r="AP28" i="47"/>
  <c r="S27" i="47"/>
  <c r="J20" i="42" l="1"/>
  <c r="J17" i="42"/>
  <c r="J14" i="42"/>
  <c r="E27" i="42"/>
  <c r="J23" i="42"/>
  <c r="J11" i="42"/>
  <c r="J12" i="42"/>
  <c r="J25" i="42"/>
  <c r="J16" i="42"/>
  <c r="F27" i="42"/>
  <c r="G27" i="42"/>
  <c r="J24" i="42"/>
  <c r="J13" i="42"/>
  <c r="J19" i="42"/>
  <c r="D27" i="42"/>
  <c r="J22" i="42"/>
  <c r="H27" i="42"/>
  <c r="J18" i="42"/>
  <c r="J21" i="42"/>
  <c r="P43" i="47"/>
  <c r="AR30" i="47" s="1"/>
  <c r="AQ42" i="47"/>
  <c r="E34" i="66" s="1"/>
  <c r="AP42" i="47"/>
  <c r="Q15" i="47" s="1"/>
  <c r="R42" i="47"/>
  <c r="S42" i="47" s="1"/>
  <c r="AT38" i="47"/>
  <c r="AT37" i="47"/>
  <c r="AT41" i="47"/>
  <c r="AT30" i="47"/>
  <c r="AT40" i="47"/>
  <c r="AT39" i="47"/>
  <c r="AT34" i="47"/>
  <c r="AT28" i="47"/>
  <c r="AT31" i="47"/>
  <c r="AT27" i="47"/>
  <c r="AT36" i="47"/>
  <c r="AT32" i="47"/>
  <c r="AT35" i="47"/>
  <c r="AT33" i="47"/>
  <c r="AT29" i="47"/>
  <c r="P15" i="47"/>
  <c r="C34" i="66"/>
  <c r="P45" i="47" l="1"/>
  <c r="AR38" i="47"/>
  <c r="AU38" i="47" s="1"/>
  <c r="AR34" i="47"/>
  <c r="AU34" i="47" s="1"/>
  <c r="AR37" i="47"/>
  <c r="AU37" i="47" s="1"/>
  <c r="J43" i="47"/>
  <c r="BD42" i="47" s="1"/>
  <c r="D31" i="66" s="1"/>
  <c r="AR40" i="47"/>
  <c r="AU40" i="47" s="1"/>
  <c r="AR41" i="47"/>
  <c r="AU41" i="47" s="1"/>
  <c r="AW41" i="47" s="1"/>
  <c r="AV41" i="47" s="1"/>
  <c r="AR36" i="47"/>
  <c r="AU36" i="47" s="1"/>
  <c r="AR31" i="47"/>
  <c r="AU31" i="47" s="1"/>
  <c r="AW31" i="47" s="1"/>
  <c r="AV31" i="47" s="1"/>
  <c r="AR35" i="47"/>
  <c r="AU35" i="47" s="1"/>
  <c r="AR28" i="47"/>
  <c r="AU28" i="47" s="1"/>
  <c r="AW28" i="47" s="1"/>
  <c r="AV28" i="47" s="1"/>
  <c r="AR33" i="47"/>
  <c r="AU33" i="47" s="1"/>
  <c r="AR27" i="47"/>
  <c r="AU27" i="47" s="1"/>
  <c r="AR39" i="47"/>
  <c r="AU39" i="47" s="1"/>
  <c r="AR32" i="47"/>
  <c r="AU32" i="47" s="1"/>
  <c r="Q43" i="47"/>
  <c r="AS41" i="47" s="1"/>
  <c r="AX41" i="47" s="1"/>
  <c r="AZ41" i="47" s="1"/>
  <c r="AY41" i="47" s="1"/>
  <c r="D34" i="66"/>
  <c r="AU30" i="47"/>
  <c r="AW30" i="47" s="1"/>
  <c r="AV30" i="47" s="1"/>
  <c r="AR29" i="47"/>
  <c r="AU29" i="47" s="1"/>
  <c r="K43" i="47"/>
  <c r="K45" i="47" s="1"/>
  <c r="R15" i="47"/>
  <c r="AT42" i="47"/>
  <c r="E234" i="41" l="1"/>
  <c r="E236" i="41"/>
  <c r="J45" i="47"/>
  <c r="C31" i="66" s="1"/>
  <c r="C32" i="66" s="1"/>
  <c r="E224" i="41"/>
  <c r="BE42" i="47"/>
  <c r="E31" i="66" s="1"/>
  <c r="Q45" i="47"/>
  <c r="R45" i="47" s="1"/>
  <c r="S45" i="47" s="1"/>
  <c r="AS32" i="47"/>
  <c r="AX32" i="47" s="1"/>
  <c r="AZ32" i="47" s="1"/>
  <c r="AS34" i="47"/>
  <c r="AX34" i="47" s="1"/>
  <c r="AZ34" i="47" s="1"/>
  <c r="AY34" i="47" s="1"/>
  <c r="AS28" i="47"/>
  <c r="AX28" i="47" s="1"/>
  <c r="AZ28" i="47" s="1"/>
  <c r="AS38" i="47"/>
  <c r="AX38" i="47" s="1"/>
  <c r="AS35" i="47"/>
  <c r="AX35" i="47" s="1"/>
  <c r="E233" i="41"/>
  <c r="G4" i="66"/>
  <c r="G7" i="66" s="1"/>
  <c r="E227" i="41"/>
  <c r="Q12" i="47"/>
  <c r="R43" i="47"/>
  <c r="S43" i="47" s="1"/>
  <c r="AS40" i="47"/>
  <c r="AX40" i="47" s="1"/>
  <c r="AZ40" i="47" s="1"/>
  <c r="AY40" i="47" s="1"/>
  <c r="AS36" i="47"/>
  <c r="AX36" i="47" s="1"/>
  <c r="AZ36" i="47" s="1"/>
  <c r="AY36" i="47" s="1"/>
  <c r="E220" i="41"/>
  <c r="E235" i="41"/>
  <c r="E219" i="41"/>
  <c r="E218" i="41"/>
  <c r="E223" i="41"/>
  <c r="E212" i="41"/>
  <c r="E213" i="41"/>
  <c r="E239" i="41"/>
  <c r="E215" i="41"/>
  <c r="E226" i="41"/>
  <c r="E225" i="41"/>
  <c r="E222" i="41"/>
  <c r="E238" i="41"/>
  <c r="E240" i="41"/>
  <c r="E214" i="41"/>
  <c r="E217" i="41"/>
  <c r="E229" i="41"/>
  <c r="F243" i="41"/>
  <c r="E230" i="41"/>
  <c r="E242" i="41"/>
  <c r="E221" i="41"/>
  <c r="E237" i="41"/>
  <c r="E231" i="41"/>
  <c r="E228" i="41"/>
  <c r="E216" i="41"/>
  <c r="E232" i="41"/>
  <c r="E241" i="41"/>
  <c r="AS30" i="47"/>
  <c r="AX30" i="47" s="1"/>
  <c r="AZ30" i="47" s="1"/>
  <c r="AY30" i="47" s="1"/>
  <c r="AR42" i="47"/>
  <c r="AS37" i="47"/>
  <c r="AX37" i="47" s="1"/>
  <c r="AZ37" i="47" s="1"/>
  <c r="AY37" i="47" s="1"/>
  <c r="AS31" i="47"/>
  <c r="AX31" i="47" s="1"/>
  <c r="AZ31" i="47" s="1"/>
  <c r="AY31" i="47" s="1"/>
  <c r="AS29" i="47"/>
  <c r="AX29" i="47" s="1"/>
  <c r="AZ29" i="47" s="1"/>
  <c r="AY29" i="47" s="1"/>
  <c r="AS39" i="47"/>
  <c r="AX39" i="47" s="1"/>
  <c r="AZ39" i="47" s="1"/>
  <c r="AY39" i="47" s="1"/>
  <c r="AS27" i="47"/>
  <c r="AX27" i="47" s="1"/>
  <c r="AS33" i="47"/>
  <c r="AX33" i="47" s="1"/>
  <c r="AZ33" i="47" s="1"/>
  <c r="AY33" i="47" s="1"/>
  <c r="AW35" i="47"/>
  <c r="AV35" i="47" s="1"/>
  <c r="AW37" i="47"/>
  <c r="AV37" i="47" s="1"/>
  <c r="AW38" i="47"/>
  <c r="AV38" i="47" s="1"/>
  <c r="AW33" i="47"/>
  <c r="AV33" i="47" s="1"/>
  <c r="AW36" i="47"/>
  <c r="AV36" i="47" s="1"/>
  <c r="AW29" i="47"/>
  <c r="AV29" i="47" s="1"/>
  <c r="AZ35" i="47"/>
  <c r="AW34" i="47"/>
  <c r="AV34" i="47" s="1"/>
  <c r="AW32" i="47"/>
  <c r="AV32" i="47" s="1"/>
  <c r="AZ38" i="47"/>
  <c r="AW39" i="47"/>
  <c r="AV39" i="47" s="1"/>
  <c r="AW40" i="47"/>
  <c r="AV40" i="47" s="1"/>
  <c r="AW27" i="47"/>
  <c r="AV27" i="47" s="1"/>
  <c r="AU42" i="47"/>
  <c r="C27" i="66" s="1"/>
  <c r="P12" i="47" l="1"/>
  <c r="P13" i="47" s="1"/>
  <c r="AY28" i="47"/>
  <c r="AY38" i="47"/>
  <c r="R12" i="47"/>
  <c r="AY35" i="47"/>
  <c r="AY32" i="47"/>
  <c r="E243" i="41"/>
  <c r="E32" i="66"/>
  <c r="D32" i="66"/>
  <c r="AS42" i="47"/>
  <c r="AV42" i="47"/>
  <c r="Q8" i="47" s="1"/>
  <c r="Q14" i="47" s="1"/>
  <c r="Q16" i="47" s="1"/>
  <c r="Q17" i="47" s="1"/>
  <c r="AW42" i="47"/>
  <c r="R8" i="47" s="1"/>
  <c r="AX42" i="47"/>
  <c r="C28" i="66" s="1"/>
  <c r="C29" i="66" s="1"/>
  <c r="AZ27" i="47"/>
  <c r="AZ42" i="47" s="1"/>
  <c r="E28" i="66" s="1"/>
  <c r="P8" i="47"/>
  <c r="C33" i="66"/>
  <c r="C35" i="66" s="1"/>
  <c r="C36" i="66" s="1"/>
  <c r="P14" i="47" l="1"/>
  <c r="P16" i="47" s="1"/>
  <c r="P17" i="47" s="1"/>
  <c r="E71" i="47" s="1"/>
  <c r="R13" i="47"/>
  <c r="E74" i="47" s="1"/>
  <c r="Q13" i="47"/>
  <c r="R14" i="47"/>
  <c r="R16" i="47" s="1"/>
  <c r="R17" i="47" s="1"/>
  <c r="D27" i="66"/>
  <c r="D33" i="66" s="1"/>
  <c r="D35" i="66" s="1"/>
  <c r="D36" i="66" s="1"/>
  <c r="E27" i="66"/>
  <c r="E33" i="66" s="1"/>
  <c r="E35" i="66" s="1"/>
  <c r="E36" i="66" s="1"/>
  <c r="AY27" i="47"/>
  <c r="AY42" i="47" s="1"/>
  <c r="D28" i="66" s="1"/>
  <c r="R9" i="47"/>
  <c r="R10" i="47" s="1"/>
  <c r="R11" i="47" s="1"/>
  <c r="P9" i="47"/>
  <c r="P10" i="47" s="1"/>
  <c r="P11" i="47" s="1"/>
  <c r="E69" i="47" s="1"/>
  <c r="E68" i="47"/>
  <c r="C37" i="66"/>
  <c r="C30" i="66"/>
  <c r="E70" i="47" l="1"/>
  <c r="AJ11" i="47"/>
  <c r="D29" i="66"/>
  <c r="D37" i="66" s="1"/>
  <c r="E29" i="66"/>
  <c r="E30" i="66" s="1"/>
  <c r="Q9" i="47"/>
  <c r="Q10" i="47" s="1"/>
  <c r="Q11" i="47" s="1"/>
  <c r="R18" i="47"/>
  <c r="P18" i="47"/>
  <c r="D30" i="66" l="1"/>
  <c r="E37" i="66"/>
  <c r="Q18" i="4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tc={25020C43-74FB-4B0B-A498-2C2312299D83}</author>
    <author>tc={C379CFF2-C19E-4A49-83B2-85D680CE5F10}</author>
    <author>tc={E2EB0D97-55E8-4D45-8B07-AB8CF4F2B140}</author>
    <author>tc={F6C7E4EB-5D56-4155-A9D0-44E337343075}</author>
    <author>tc={EFD59107-34D3-411E-BFD3-5D4035869CF0}</author>
    <author>tc={1A77E772-8EB8-42DA-A432-28D01D279408}</author>
    <author>tc={879BBB6C-920A-4B27-A83B-5FA7A4A29905}</author>
    <author>tc={74BE1395-4F71-4640-93B7-24B770F00D30}</author>
    <author>tc={F3491A77-FB30-4A56-B710-27446FC4283B}</author>
    <author>tc={FEFF378B-8F57-4D6B-AC19-A39C1EEAD209}</author>
    <author>tc={FF6FA791-C232-4A61-B031-C18983057659}</author>
    <author>tc={126A5524-EB36-455C-9A20-C9E9AED65E76}</author>
    <author>tc={27310C81-AABC-4B93-BD7E-F70193C8BE7D}</author>
    <author>tc={8C61B9D6-3B6C-49F6-B42E-7926D3F8AAB0}</author>
    <author>tc={528CB523-AF4D-4D01-B3D4-0DCA80CC6EA5}</author>
    <author>tc={6FEA8C0A-8EE1-4A00-925D-9AC5A0FE4955}</author>
    <author>tc={DF06A06B-7911-46AF-BFE6-24FAFE58CF16}</author>
    <author>tc={54730BE5-CF93-4964-9B8C-348D3EDD26B4}</author>
    <author>tc={FD0C75C0-7B7D-42F4-8B3A-7E9E1BDC8A78}</author>
  </authors>
  <commentList>
    <comment ref="D24" authorId="0" shapeId="0" xr:uid="{25020C43-74FB-4B0B-A498-2C2312299D83}">
      <text>
        <t>[Threaded comment]
Your version of Excel allows you to read this threaded comment; however, any edits to it will get removed if the file is opened in a newer version of Excel. Learn more: https://go.microsoft.com/fwlink/?linkid=870924
Comment:
    Only for existing environments for clients already live on the platform</t>
      </text>
    </comment>
    <comment ref="D47" authorId="1" shapeId="0" xr:uid="{C379CFF2-C19E-4A49-83B2-85D680CE5F10}">
      <text>
        <t>[Threaded comment]
Your version of Excel allows you to read this threaded comment; however, any edits to it will get removed if the file is opened in a newer version of Excel. Learn more: https://go.microsoft.com/fwlink/?linkid=870924
Comment:
    This task is only needed for existing ServiceNow customers already live on the platform</t>
      </text>
    </comment>
    <comment ref="E49" authorId="2" shapeId="0" xr:uid="{E2EB0D97-55E8-4D45-8B07-AB8CF4F2B140}">
      <text>
        <t>[Threaded comment]
Your version of Excel allows you to read this threaded comment; however, any edits to it will get removed if the file is opened in a newer version of Excel. Learn more: https://go.microsoft.com/fwlink/?linkid=870924
Comment:
    If MID Server installation is OUT, then increase the LOE by 2 hrs for account for LDAP certificate setup and network connection to LDAP server</t>
      </text>
    </comment>
    <comment ref="E53" authorId="3" shapeId="0" xr:uid="{F6C7E4EB-5D56-4155-A9D0-44E337343075}">
      <text>
        <t>[Threaded comment]
Your version of Excel allows you to read this threaded comment; however, any edits to it will get removed if the file is opened in a newer version of Excel. Learn more: https://go.microsoft.com/fwlink/?linkid=870924
Comment:
    How many?</t>
      </text>
    </comment>
    <comment ref="E63" authorId="4" shapeId="0" xr:uid="{EFD59107-34D3-411E-BFD3-5D4035869CF0}">
      <text>
        <t>[Threaded comment]
Your version of Excel allows you to read this threaded comment; however, any edits to it will get removed if the file is opened in a newer version of Excel. Learn more: https://go.microsoft.com/fwlink/?linkid=870924
Comment:
    How many?</t>
      </text>
    </comment>
    <comment ref="E67" authorId="5" shapeId="0" xr:uid="{1A77E772-8EB8-42DA-A432-28D01D279408}">
      <text>
        <t>[Threaded comment]
Your version of Excel allows you to read this threaded comment; however, any edits to it will get removed if the file is opened in a newer version of Excel. Learn more: https://go.microsoft.com/fwlink/?linkid=870924
Comment:
    If known, define the quatity and complexity of catalog items. If unknown, assume simple and a set quantity. Scoping guidelines:
Low Complexity: 4 hours
Medium Complexity: 8 hours
High Complexity: 24 hours
Custom (TBD) but this would be used for Order Guides and things that don’t fit in the sizing below.</t>
      </text>
    </comment>
    <comment ref="E68" authorId="6" shapeId="0" xr:uid="{879BBB6C-920A-4B27-A83B-5FA7A4A29905}">
      <text>
        <t>[Threaded comment]
Your version of Excel allows you to read this threaded comment; however, any edits to it will get removed if the file is opened in a newer version of Excel. Learn more: https://go.microsoft.com/fwlink/?linkid=870924
Comment:
    If known, define the quatity and complexity of catalog items. If unknown, assume simple and a set quantity. Scoping guidelines:
Low Complexity: 4 hours
Medium Complexity: 8 hours
High Complexity: 24 hours
Custom (TBD) but this would be used for Order Guides and things that don’t fit in the sizing below.</t>
      </text>
    </comment>
    <comment ref="E69" authorId="7" shapeId="0" xr:uid="{74BE1395-4F71-4640-93B7-24B770F00D30}">
      <text>
        <t>[Threaded comment]
Your version of Excel allows you to read this threaded comment; however, any edits to it will get removed if the file is opened in a newer version of Excel. Learn more: https://go.microsoft.com/fwlink/?linkid=870924
Comment:
    If known, define the quatity and complexity of catalog items. If unknown, assume simple and a set quantity. Scoping guidelines:
Low Complexity: 4 hours
Medium Complexity: 8 hours
High Complexity: 24 hours
Custom (TBD) but this would be used for Order Guides and things that don’t fit in the sizing below.</t>
      </text>
    </comment>
    <comment ref="E73" authorId="8" shapeId="0" xr:uid="{F3491A77-FB30-4A56-B710-27446FC4283B}">
      <text>
        <t>[Threaded comment]
Your version of Excel allows you to read this threaded comment; however, any edits to it will get removed if the file is opened in a newer version of Excel. Learn more: https://go.microsoft.com/fwlink/?linkid=870924
Comment:
    How Many?</t>
      </text>
    </comment>
    <comment ref="E77" authorId="9" shapeId="0" xr:uid="{FEFF378B-8F57-4D6B-AC19-A39C1EEAD209}">
      <text>
        <t>[Threaded comment]
Your version of Excel allows you to read this threaded comment; however, any edits to it will get removed if the file is opened in a newer version of Excel. Learn more: https://go.microsoft.com/fwlink/?linkid=870924
Comment:
    How many?</t>
      </text>
    </comment>
    <comment ref="E78" authorId="10" shapeId="0" xr:uid="{FF6FA791-C232-4A61-B031-C18983057659}">
      <text>
        <t>[Threaded comment]
Your version of Excel allows you to read this threaded comment; however, any edits to it will get removed if the file is opened in a newer version of Excel. Learn more: https://go.microsoft.com/fwlink/?linkid=870924
Comment:
    How many?</t>
      </text>
    </comment>
    <comment ref="E82" authorId="11" shapeId="0" xr:uid="{126A5524-EB36-455C-9A20-C9E9AED65E76}">
      <text>
        <t>[Threaded comment]
Your version of Excel allows you to read this threaded comment; however, any edits to it will get removed if the file is opened in a newer version of Excel. Learn more: https://go.microsoft.com/fwlink/?linkid=870924
Comment:
    How many?</t>
      </text>
    </comment>
    <comment ref="E83" authorId="12" shapeId="0" xr:uid="{27310C81-AABC-4B93-BD7E-F70193C8BE7D}">
      <text>
        <t>[Threaded comment]
Your version of Excel allows you to read this threaded comment; however, any edits to it will get removed if the file is opened in a newer version of Excel. Learn more: https://go.microsoft.com/fwlink/?linkid=870924
Comment:
    How many?</t>
      </text>
    </comment>
    <comment ref="E84" authorId="13" shapeId="0" xr:uid="{8C61B9D6-3B6C-49F6-B42E-7926D3F8AAB0}">
      <text>
        <t>[Threaded comment]
Your version of Excel allows you to read this threaded comment; however, any edits to it will get removed if the file is opened in a newer version of Excel. Learn more: https://go.microsoft.com/fwlink/?linkid=870924
Comment:
    How many?</t>
      </text>
    </comment>
    <comment ref="E87" authorId="14" shapeId="0" xr:uid="{528CB523-AF4D-4D01-B3D4-0DCA80CC6EA5}">
      <text>
        <t>[Threaded comment]
Your version of Excel allows you to read this threaded comment; however, any edits to it will get removed if the file is opened in a newer version of Excel. Learn more: https://go.microsoft.com/fwlink/?linkid=870924
Comment:
    How many?</t>
      </text>
    </comment>
    <comment ref="E88" authorId="15" shapeId="0" xr:uid="{6FEA8C0A-8EE1-4A00-925D-9AC5A0FE4955}">
      <text>
        <t>[Threaded comment]
Your version of Excel allows you to read this threaded comment; however, any edits to it will get removed if the file is opened in a newer version of Excel. Learn more: https://go.microsoft.com/fwlink/?linkid=870924
Comment:
    Average about 4 hours per SLA assuming unique workflows per SLA.</t>
      </text>
    </comment>
    <comment ref="E100" authorId="16" shapeId="0" xr:uid="{DF06A06B-7911-46AF-BFE6-24FAFE58CF16}">
      <text>
        <t>[Threaded comment]
Your version of Excel allows you to read this threaded comment; however, any edits to it will get removed if the file is opened in a newer version of Excel. Learn more: https://go.microsoft.com/fwlink/?linkid=870924
Comment:
    QRGs are correctly scoped unless the customer has a specific template they want to use. Add two hours. Alternative is to list the QRG as 8 to 10 hours for 3 to 4 pages of content.
The PPT presentation is per application. Depending on the application, PPTs may take between 12 and 16 hours to complete.
The Full Guide option should say 16 hours per application. Example: Incident Management Training Guide = 16 hours, Incident and Change Management = 32 hours, a full ITSM suite = 48 hours. 
Will need to add Video Demonstrations. Each video demonstration will be between 2 minutes and 8 minutes in length and cover individual topics. One hour should be allotted for every 5 minutes of video demo created.</t>
      </text>
    </comment>
    <comment ref="E101" authorId="17" shapeId="0" xr:uid="{54730BE5-CF93-4964-9B8C-348D3EDD26B4}">
      <text>
        <t>[Threaded comment]
Your version of Excel allows you to read this threaded comment; however, any edits to it will get removed if the file is opened in a newer version of Excel. Learn more: https://go.microsoft.com/fwlink/?linkid=870924
Comment:
    If you are adding guided tours please be sure to add 2 hours to whatever training sessions scope you have thrown in.</t>
      </text>
    </comment>
    <comment ref="E102" authorId="18" shapeId="0" xr:uid="{FD0C75C0-7B7D-42F4-8B3A-7E9E1BDC8A78}">
      <text>
        <t>[Threaded comment]
Your version of Excel allows you to read this threaded comment; however, any edits to it will get removed if the file is opened in a newer version of Excel. Learn more: https://go.microsoft.com/fwlink/?linkid=870924
Comment:
    PER APPLICATION:
Onsite training up to 4 hours per application.
Remote training up to 3 hours per application.</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D1E7F5A-E6BD-4B8F-8C0F-BD34273B7B9D}" keepAlive="1" name="Query - AllocationMinimums" description="Connection to the 'AllocationMinimums' query in the workbook." type="5" refreshedVersion="8" background="1" saveData="1">
    <dbPr connection="Provider=Microsoft.Mashup.OleDb.1;Data Source=$Workbook$;Location=AllocationMinimums;Extended Properties=&quot;&quot;" command="SELECT * FROM [AllocationMinimums]"/>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<sst xmlns="http://schemas.openxmlformats.org/spreadsheetml/2006/main" count="11552" uniqueCount="1849">
  <si>
    <t>Use Case:</t>
  </si>
  <si>
    <t>Replace ITSM System</t>
  </si>
  <si>
    <t>Product Line</t>
  </si>
  <si>
    <t>IT Workflows</t>
  </si>
  <si>
    <t>Customer and Employee Workflows</t>
  </si>
  <si>
    <t>IRM / SecOps</t>
  </si>
  <si>
    <t>US</t>
  </si>
  <si>
    <t>STAGE</t>
  </si>
  <si>
    <t>Phase</t>
  </si>
  <si>
    <t>Task</t>
  </si>
  <si>
    <t>Description</t>
  </si>
  <si>
    <t>Assumption</t>
  </si>
  <si>
    <t>Project Role</t>
  </si>
  <si>
    <t>Billable/ Non-Billable</t>
  </si>
  <si>
    <t>Hours</t>
  </si>
  <si>
    <t>Rate / HR</t>
  </si>
  <si>
    <t>Estimated Cost</t>
  </si>
  <si>
    <t>Additional PM Oversight</t>
  </si>
  <si>
    <t>Additional BA Oversight</t>
  </si>
  <si>
    <t>Additional SA Oversight</t>
  </si>
  <si>
    <r>
      <rPr>
        <sz val="10"/>
        <color rgb="FFFF0000"/>
        <rFont val="Calibri"/>
        <family val="2"/>
        <scheme val="minor"/>
      </rPr>
      <t>Program</t>
    </r>
    <r>
      <rPr>
        <sz val="10"/>
        <rFont val="Calibri"/>
        <family val="2"/>
        <scheme val="minor"/>
      </rPr>
      <t xml:space="preserve"> Director 
(IT Workflow - US)</t>
    </r>
  </si>
  <si>
    <t>Engagement Manager
(IT Workflow - US)</t>
  </si>
  <si>
    <t>Project Coordinator
(IT Workflow - US)</t>
  </si>
  <si>
    <t>Chief Business Process Architect
(IT Workflow - US)</t>
  </si>
  <si>
    <t>Business Process Architect
(IT Workflow - US)</t>
  </si>
  <si>
    <t>Business Analyst
(IT Workflow - US)</t>
  </si>
  <si>
    <t>Chief Architect
(IT Workflow - US)</t>
  </si>
  <si>
    <t>Solution Architect
(IT Workflow - US)</t>
  </si>
  <si>
    <t>Platform Architect
(IT Workflow - US)</t>
  </si>
  <si>
    <t>Chief Engineer
(IT Workflow - US)</t>
  </si>
  <si>
    <t>Lead Engineer
(IT Workflow - US)</t>
  </si>
  <si>
    <t>Engineer
(IT Workflow - US)</t>
  </si>
  <si>
    <t>TOTAL 
(IT Workflow - US)</t>
  </si>
  <si>
    <t>Notes (IT Workflow - US)</t>
  </si>
  <si>
    <t>Program Director 
(Customer and Employee Workflow - US)</t>
  </si>
  <si>
    <t>Engagement Manager
(Customer and Employee Workflow - US)</t>
  </si>
  <si>
    <t>Project Coordinator
(Customer and Employee Workflow - US)</t>
  </si>
  <si>
    <t>Chief Business Process Architect
(Customer and Employee Workflow - US)</t>
  </si>
  <si>
    <t>Business Process Architect
(Customer and Employee Workflow - US)</t>
  </si>
  <si>
    <t>Business Analyst
(Customer and Employee Workflow - US)</t>
  </si>
  <si>
    <t>Chief Architect
(Customer and Employee Workflow - US)</t>
  </si>
  <si>
    <t>Solution Architect
(Customer and Employee Workflow - US)</t>
  </si>
  <si>
    <t>Platform Architect
(Customer and Employee Workflow - US)</t>
  </si>
  <si>
    <t>Chief Engineer
(Customer and Employee Workflow - US)</t>
  </si>
  <si>
    <t>Lead Engineer
(Customer and Employee Workflow - US)</t>
  </si>
  <si>
    <t>Engineer
(Customer and Employee Workflow - US)</t>
  </si>
  <si>
    <t>TOTAL
 (Customer and Employee Workflow - US)</t>
  </si>
  <si>
    <t>Notes (Customer and Employee Workflow - US)</t>
  </si>
  <si>
    <t>Program Director 
(IRM / SecOps - US)</t>
  </si>
  <si>
    <t>Engagement Manager
(IRM / SecOps - US)</t>
  </si>
  <si>
    <t>Project Coordinator
(IRM / SecOps - US)</t>
  </si>
  <si>
    <t>Chief Business Process Architect
(IRM / SecOps - US)</t>
  </si>
  <si>
    <t>Business Process Architect
(IRM / SecOps - US)</t>
  </si>
  <si>
    <t>Business Analyst
(IRM / SecOps - US)</t>
  </si>
  <si>
    <t>Chief Architect
(IRM / SecOps - US)</t>
  </si>
  <si>
    <t>Solution Architect
(IRM / SecOps - US)</t>
  </si>
  <si>
    <t>Platform Architect
(IRM / SecOps - US)</t>
  </si>
  <si>
    <t>Chief Engineer
(IRM / SecOps - US)</t>
  </si>
  <si>
    <t>Lead Engineer
(IRM / SecOps - US)</t>
  </si>
  <si>
    <t>Engineer
(IRM / SecOps - US)</t>
  </si>
  <si>
    <t>TOTAL
 (IRM / SecOps - US)</t>
  </si>
  <si>
    <t>INITIATE</t>
  </si>
  <si>
    <t>Initate</t>
  </si>
  <si>
    <t xml:space="preserve">Project Set-up </t>
  </si>
  <si>
    <t xml:space="preserve">Initial PM introductions, project set-up, and sales to delivery handover. </t>
  </si>
  <si>
    <t>Chief Architect</t>
  </si>
  <si>
    <t>Billable - Offshore</t>
  </si>
  <si>
    <t xml:space="preserve">Pre-Engagement Questionnaire </t>
  </si>
  <si>
    <t xml:space="preserve">NewRocket will prepare a pre-engagement questionnaire regarding current state of &lt;client&gt;'s platform and vulnerability response program. </t>
  </si>
  <si>
    <t xml:space="preserve">• &lt;Client&gt; will be responsible for responding to the pre-engagement questionnaire prior to resource assignment and project kick-off.
• &lt;Client&gt; will be responsible for locating the service account owners with access to credentials for any integrations (ex. Scanner). </t>
  </si>
  <si>
    <t>Architect</t>
  </si>
  <si>
    <t>Billable - Onshore</t>
  </si>
  <si>
    <t>Onboard Resources</t>
  </si>
  <si>
    <t>Project team assigned and coordination with &lt;client&gt; PM to arrange NewRocket access to client's ServiceNow environment(s).</t>
  </si>
  <si>
    <t xml:space="preserve">• NewRocket will access Customer’s ServiceNow instance directly from their NewRocket-provided laptops.
• NewRocket will not be required to complete any &lt;Client&gt; mandated training. </t>
  </si>
  <si>
    <t>Practice lead</t>
  </si>
  <si>
    <t>Project Planning</t>
  </si>
  <si>
    <t>Co-develop draft project plan between NewRocket and &lt;Client&gt; PM, including review of NewRocket governance process that will be used for project delivery.</t>
  </si>
  <si>
    <t>Project Kick-Off</t>
  </si>
  <si>
    <t>Prepare for and conduct formal one (1) hour project kickoff meeting to review goals and objectives, scope, engagement team and initial timeline.</t>
  </si>
  <si>
    <t>PREPARE</t>
  </si>
  <si>
    <t>Prepare</t>
  </si>
  <si>
    <t>Workshop A</t>
  </si>
  <si>
    <t xml:space="preserve">Review of &lt;client&gt;'s response to pre-engagement questionnaire and any processes/artifacts provided as part of the response. </t>
  </si>
  <si>
    <t>Business Analyst</t>
  </si>
  <si>
    <t>Workshop B</t>
  </si>
  <si>
    <t xml:space="preserve">Up to a four (4) hour workshop session to review RDSO methodology, current state, and art of the possible focusing on OOTB ServiceNow objects that will be used as part of rapid deployment. </t>
  </si>
  <si>
    <t>Chief architect</t>
  </si>
  <si>
    <t>Workshop C</t>
  </si>
  <si>
    <t>Develop high-level design approach outlining: 
• Project outcomes;
• Solution assumptions;
• ServiceNow objects that will be used to meet the project outcomes; and 
• Sprint plan to refine detailed requirements.</t>
  </si>
  <si>
    <t>Consultant</t>
  </si>
  <si>
    <t>Finalize Project Plan</t>
  </si>
  <si>
    <t xml:space="preserve">Finalize project plan outlining project phases, sprints, and testing timelines. </t>
  </si>
  <si>
    <t>Develop User Stories/ Story Grooming</t>
  </si>
  <si>
    <t>Conduct up to meetings to develop user stories and document acceptance criteria. Meetings will run concurrent to the Create stage and topics will be based on sprint plan.</t>
  </si>
  <si>
    <t xml:space="preserve">• User Stories and Grooming sessions will follow a pre-defined process and set of draft user stories. There will be up to ten (10) requirements gathering meetings held throughout the sprints focusing on specific topic areas. Each meeting will run between thirty (30) minutes to sixty (60) minutes in duration depending on topic area. &lt;Client&gt; will be expected to ensure appropriate decision makers are including in the meetings to provide requirements. </t>
  </si>
  <si>
    <t>EXECUTE</t>
  </si>
  <si>
    <t>Execute</t>
  </si>
  <si>
    <t>Install Plugins</t>
  </si>
  <si>
    <t>Install and enable OOTB Security Operations and Vulnerability Response plugin applications in all environments.</t>
  </si>
  <si>
    <t xml:space="preserve">• This implementation assumes that all VR configuration will be completed using OOTB configuration options and no scripted solutions will be developed.
• &lt;Client&gt; is responsible for ensuring platform and solution plugins versions are the same in all environments. 
</t>
  </si>
  <si>
    <t>TBC (Scanner) Integration</t>
  </si>
  <si>
    <t xml:space="preserve">Document and perform default installation and configuration for TBC (Scanner) integration available from ServiceNow Store. Review scanned assets to ensure proper connection to ServiceNow. </t>
  </si>
  <si>
    <t xml:space="preserve">• Integration will be a Store provided Scanner integration with no customization. If MID servers are required for integrations, then they will be provided and managed by &lt;Client&gt;. 
• &lt;Client&gt; is responsible for owning and managing the Scanner. NewRocket is not responsible for troubleshooting any issues with the Scanner and ServiceNow. 
• To map vulnerabilities in lower environments, &lt;Client&gt; will be responsible for ensuring sample vulnerabilities are available in lower environments by either setting up a DEV/TEST instance of the Scanner or bringing sample PROD events to the lower environments.
• &lt;Client&gt; will be responsible for ensuring DEV/TEST is populated with scannable CIs related to the scanner that will be connected to each environment. </t>
  </si>
  <si>
    <t>CMDB Attribute / CI Matching</t>
  </si>
  <si>
    <t>Review CMDB attributes for availability.
Document and configure CI Matching/Look-up Rules.</t>
  </si>
  <si>
    <t xml:space="preserve">• FQDN and/or IP Address and/or NetBIOS and/or Name is populated in the CMDB and can be matched with scanner results for all scannable assets. NewRocket is not responsible for populating or updating the CMDB. 
• &lt;Client&gt; is responsible for identifying the attributes that will be used to support CI matching and look up. NewRocket is not responsible for analysing assets to increase match rate or advising or providing reccomendations on how to improve it. 
• Active IP management is out of scope for this engagement. If &lt;Client&gt; is using DHCP then additional effort will be required.
**ANYTHING ELSE WE WANT TO INCLUDE TO PROTECT US???*****
</t>
  </si>
  <si>
    <t>Permissions, Roles and Groups</t>
  </si>
  <si>
    <t>Review and document OOTB roles and permissions that will be used to populate &lt;client&gt; defined groups.</t>
  </si>
  <si>
    <t>• OOTB roles will be leveraged to populate client defined groups with no permission changes or custom access model.</t>
  </si>
  <si>
    <t>Vulnerability  Assignment Rules</t>
  </si>
  <si>
    <t xml:space="preserve">Document and configure vulnerability assignment rules. </t>
  </si>
  <si>
    <t>• &lt;Client&gt; understands their internal RACI matrix required to support their vulnerability response program including assignment and grouping. 
• Up to three (3) assignment rules will be configured.</t>
  </si>
  <si>
    <t xml:space="preserve">Vulnerability Grouping </t>
  </si>
  <si>
    <t xml:space="preserve">Document and configure vulnerability grouping rules. </t>
  </si>
  <si>
    <t>• Up to three (3) grouping rules will be configured.</t>
  </si>
  <si>
    <t>Vulnerability Risk Scoring</t>
  </si>
  <si>
    <t xml:space="preserve">Document CMDB and Scanner fields to be leveraged as part of risk scoring calculation. Utilize OOB functionality to develop risk score calculation. </t>
  </si>
  <si>
    <t xml:space="preserve">• &lt;Client&gt; will provide parameters that will be used for risk score calculation and ensure values are available within ServiceNow.  
• One (1) risk score calculation will be configured using available values using drop down configuration (non-scripted). Up to five (5) variables will be considered in the scoring logic.
• CVSS environmental or temporal scoring is not used as part of the risk score calculation.  </t>
  </si>
  <si>
    <t>Exceptions and Deferral Management</t>
  </si>
  <si>
    <t>Document and utilize OOTB VR exception management process.</t>
  </si>
  <si>
    <t>• OOTB VR exception management process using two levels of approvals will be utilized. 
• The Exception approval process uses the VR solution version of exception management not IRM.</t>
  </si>
  <si>
    <t xml:space="preserve">Change Management </t>
  </si>
  <si>
    <t>Document and utilize OOTB change management process.</t>
  </si>
  <si>
    <t xml:space="preserve">• No changes will be made to ServiceNow Change management solution. 
• If &lt;Client&gt;is currently utilizing or has made changes to the change management solution it is assumed that any changes will work with the OOTB VR solution.&lt;Client&gt; will be responsible for troubleshooting and resolving and issues. </t>
  </si>
  <si>
    <t>Notifications and SLA's</t>
  </si>
  <si>
    <t>Document and configure notifications and SLA's</t>
  </si>
  <si>
    <t xml:space="preserve">• Up to three (3) new notifications will be configured using OOTB configuration options (no scripted solution) and no custom email templates. 
• Up to two (2) SLA will be configured using OOTB configuration options (no scripted solution). </t>
  </si>
  <si>
    <t>Dashboards and Reports</t>
  </si>
  <si>
    <t>Review the OOB dashboards and complete minor updates to filters for the standard dashboards, as well as enable the Performance Analytics dashboards.</t>
  </si>
  <si>
    <t xml:space="preserve">• No new dashboards and reports will be created as part of the SIR implementation. &lt;Client&gt; will leverage the OOB dashboards and reports with minor tuning of filters. If licensing permits, NewRocket will enable the OOB Performance Analytics dashboards without changes. </t>
  </si>
  <si>
    <t>Sprint Demos</t>
  </si>
  <si>
    <t>Conduct end of sprint demos to show functionality.</t>
  </si>
  <si>
    <t>•There will be up to four (4) sprint demos and will be one (1) hour in duration per demo.</t>
  </si>
  <si>
    <t>Unit Testing</t>
  </si>
  <si>
    <t>Complete unit testing against NewRocket configured items.</t>
  </si>
  <si>
    <t>DELIVER</t>
  </si>
  <si>
    <t>Deliver</t>
  </si>
  <si>
    <t>UAT Environment deployment</t>
  </si>
  <si>
    <t xml:space="preserve">Develop a system deployment plan and support the migration of five (5) releases to the UAT environment. </t>
  </si>
  <si>
    <t>• NewRocket will release configured solution to the UAT environment at the end of each sprint and once at the end of UAT.
• &lt;Client&gt; will be responsible for QA and UAT testing during the sprint cycles and provide any feedback within one (1) week of deployment to UAT. 
• NewRocket assumes UAT will be staffed by one resource. Additional resources will decrease the duration of UAT or will result in a Change Request.</t>
  </si>
  <si>
    <t>UAT Support - Onshore</t>
  </si>
  <si>
    <t>Review and resolve NewRocket configuration defects during UAT testing.</t>
  </si>
  <si>
    <t>• NewRocket is not responsible for reviewing and resolving platform related defects. &lt;Client&gt;'s platform team will be responsible for raising and resolving ServiceNow defects directly with ServiceNow.</t>
  </si>
  <si>
    <t>Consultant - UAT</t>
  </si>
  <si>
    <t>UAT Support - Offshore</t>
  </si>
  <si>
    <t>Production deployment</t>
  </si>
  <si>
    <t>Update the system deployment plan and support the migration of one (1) release to the Production environment.</t>
  </si>
  <si>
    <t>Documentation Updates</t>
  </si>
  <si>
    <t>Update the Design Approach document to capture the configured solution.</t>
  </si>
  <si>
    <t>CLOSE</t>
  </si>
  <si>
    <t>Close</t>
  </si>
  <si>
    <t>Technical Knowledge Transfer</t>
  </si>
  <si>
    <t xml:space="preserve">Conduct one (1) technical knowledge transfer session to Client's platform team prior to production deployment. This knowledge transfer session will leverage the Design Approach document, as well as the configured solution. </t>
  </si>
  <si>
    <t>Post production support</t>
  </si>
  <si>
    <t>Support for two (2) weeks post-release to resolve any defects associated with NewRocket configuration.</t>
  </si>
  <si>
    <t>Closeout Meeting</t>
  </si>
  <si>
    <t>Conduct closeout meeting. Discuss feedback and next steps.</t>
  </si>
  <si>
    <t>Project Manager</t>
  </si>
  <si>
    <t>CSAT Survey</t>
  </si>
  <si>
    <t>Send CSAT Survey</t>
  </si>
  <si>
    <t>Project Indirects</t>
  </si>
  <si>
    <t>Engagement Manager</t>
  </si>
  <si>
    <t xml:space="preserve">Ongoing program/ project oversight from an Engagement manager to report on project status, risks, issues and actions. </t>
  </si>
  <si>
    <t>Project Management</t>
  </si>
  <si>
    <t>Manage oversight of the project</t>
  </si>
  <si>
    <t>Business Analyst Oversight</t>
  </si>
  <si>
    <t>Solution Architect</t>
  </si>
  <si>
    <t>Solution Architect Oversight</t>
  </si>
  <si>
    <t>TOTAL HOURS</t>
  </si>
  <si>
    <t>TOTAL</t>
  </si>
  <si>
    <t>ONE TIME DISCOUNT</t>
  </si>
  <si>
    <t>GRAND TOTAL</t>
  </si>
  <si>
    <t>To Do, Working Notes and Ideas:</t>
  </si>
  <si>
    <t>Instructions Tab - To be completed at the end.</t>
  </si>
  <si>
    <r>
      <t>Opportunity Details - Need to review with SalesForce to avoid duplication of effort</t>
    </r>
    <r>
      <rPr>
        <sz val="10"/>
        <color rgb="FF95C63F"/>
        <rFont val="Geneva"/>
      </rPr>
      <t xml:space="preserve"> - Access Pending</t>
    </r>
  </si>
  <si>
    <t>Opportunity Details - Need to validate currencies</t>
  </si>
  <si>
    <t>Opportunity Details - Need to validate contract types</t>
  </si>
  <si>
    <t>Opportunity Details - Need to validate if we have a select group of approved partners. Do we need a process for partner approvals?</t>
  </si>
  <si>
    <t xml:space="preserve">Opportunity Details - Need to confirm the list of use cases/ offerings - Validate against sales force. </t>
  </si>
  <si>
    <t xml:space="preserve">Opportunity Details - Review risk assessment process - Do we want to add in controls that indicate minimum requirements for mark up, governance review etc. </t>
  </si>
  <si>
    <t>Estimate - Add estimate for each use case once final template is agreed to</t>
  </si>
  <si>
    <t>Estimate - Finalize client facing roles</t>
  </si>
  <si>
    <t xml:space="preserve">Estimate - How do we want to handle PM, BA and Admin - Standard % that gets applied at the end? </t>
  </si>
  <si>
    <t xml:space="preserve">Pricing Tool - Review opportinity to integrate the pricing tool into this spreadsheet. Lock down sheet for only certain users. </t>
  </si>
  <si>
    <t>Instructions</t>
  </si>
  <si>
    <t>Version 2.07</t>
  </si>
  <si>
    <t>Release Date: 2025-08-29</t>
  </si>
  <si>
    <t>1. There are 3 quoting files in this template (Managed Services, Staff Aug/Change Order, Manticore for PS quoting with tasks), choose which one you are using.</t>
  </si>
  <si>
    <t>2. If you are not using the Managed Services file, go to the MS Pricing sheet and put 0 for "Number of hours per month" and then hide the pink sheets. This will ensure the Deal review dashboard doesn't pull in the template's financials.</t>
  </si>
  <si>
    <t>3. If you are not using the Staff Aug/Change Order tab, hide those purple tabs.</t>
  </si>
  <si>
    <t>4. If you are not using the manticore for PS quoting with tasks, hide all blue tabs and clear out the hours in the sheets.</t>
  </si>
  <si>
    <t>5. In the end, you should have the tabs visible for which you are quoting, this will help ensure Deal review reviews the correct data.</t>
  </si>
  <si>
    <t>6. Now go to the respective sections and follow the instructions on the home page (1st tab) of each color coded section.</t>
  </si>
  <si>
    <t>Version 2.0</t>
  </si>
  <si>
    <t>Release Date: 2024-06-10</t>
  </si>
  <si>
    <t>1. Copy this file from SharePoint and place in the Customer's Client Focus folder for this respective Opportunity/Project.</t>
  </si>
  <si>
    <t>2. Select the Managed Services options and enter the # of hours per month and term, this will automatically set the resource locations.</t>
  </si>
  <si>
    <t>3. Fill out the role locations on the Pricing tab.</t>
  </si>
  <si>
    <r>
      <t>Strategists are accountable for ensuring the deal can be delivered as written and the delivery model and scope aligns to effort and roles required. </t>
    </r>
    <r>
      <rPr>
        <sz val="11"/>
        <color rgb="FF000000"/>
        <rFont val="Calibri"/>
        <family val="2"/>
        <scheme val="minor"/>
      </rPr>
      <t>​</t>
    </r>
  </si>
  <si>
    <r>
      <t>Standard SOW template used </t>
    </r>
    <r>
      <rPr>
        <sz val="11"/>
        <rFont val="Calibri"/>
        <family val="2"/>
        <scheme val="minor"/>
      </rPr>
      <t>​</t>
    </r>
  </si>
  <si>
    <r>
      <t>Supported modules listed</t>
    </r>
    <r>
      <rPr>
        <sz val="11"/>
        <rFont val="Calibri"/>
        <family val="2"/>
        <scheme val="minor"/>
      </rPr>
      <t>​</t>
    </r>
  </si>
  <si>
    <r>
      <t>Beneficial rate and hours in table and description of services </t>
    </r>
    <r>
      <rPr>
        <sz val="11"/>
        <rFont val="Calibri"/>
        <family val="2"/>
        <scheme val="minor"/>
      </rPr>
      <t>​</t>
    </r>
  </si>
  <si>
    <r>
      <t>Check for any changes to subscription management understandings</t>
    </r>
    <r>
      <rPr>
        <sz val="11"/>
        <rFont val="Calibri"/>
        <family val="2"/>
        <scheme val="minor"/>
      </rPr>
      <t>​</t>
    </r>
  </si>
  <si>
    <r>
      <t>Pricing file matches offering (roles, location, beneficial rate, margin)</t>
    </r>
    <r>
      <rPr>
        <sz val="11"/>
        <rFont val="Calibri"/>
        <family val="2"/>
        <scheme val="minor"/>
      </rPr>
      <t>​</t>
    </r>
  </si>
  <si>
    <r>
      <t>Evolve entitlement sufficient to delivery project work – 300 + hrs. per/month </t>
    </r>
    <r>
      <rPr>
        <sz val="11"/>
        <rFont val="Calibri"/>
        <family val="2"/>
        <scheme val="minor"/>
      </rPr>
      <t>​</t>
    </r>
  </si>
  <si>
    <r>
      <t>Evolve scope includes initial focus and/or advisory/roadmap to initiate service </t>
    </r>
    <r>
      <rPr>
        <sz val="11"/>
        <rFont val="Calibri"/>
        <family val="2"/>
        <scheme val="minor"/>
      </rPr>
      <t>​</t>
    </r>
  </si>
  <si>
    <t>​</t>
  </si>
  <si>
    <r>
      <t>Deal Desk is accountable for:</t>
    </r>
    <r>
      <rPr>
        <sz val="11"/>
        <color rgb="FF000000"/>
        <rFont val="Calibri"/>
        <family val="2"/>
        <scheme val="minor"/>
      </rPr>
      <t>​</t>
    </r>
  </si>
  <si>
    <r>
      <t>Pricing file, term, invoice schedule ++.</t>
    </r>
    <r>
      <rPr>
        <sz val="11"/>
        <rFont val="Calibri"/>
        <family val="2"/>
        <scheme val="minor"/>
      </rPr>
      <t>​</t>
    </r>
  </si>
  <si>
    <r>
      <t>MSA date being added to SOW</t>
    </r>
    <r>
      <rPr>
        <sz val="11"/>
        <rFont val="Calibri"/>
        <family val="2"/>
        <scheme val="minor"/>
      </rPr>
      <t>​</t>
    </r>
  </si>
  <si>
    <r>
      <t>Finance accountable for:</t>
    </r>
    <r>
      <rPr>
        <sz val="11"/>
        <color rgb="FF000000"/>
        <rFont val="Calibri"/>
        <family val="2"/>
        <scheme val="minor"/>
      </rPr>
      <t>​</t>
    </r>
  </si>
  <si>
    <r>
      <t>Term for convenience </t>
    </r>
    <r>
      <rPr>
        <sz val="11"/>
        <rFont val="Calibri"/>
        <family val="2"/>
        <scheme val="minor"/>
      </rPr>
      <t>​</t>
    </r>
  </si>
  <si>
    <r>
      <t>Inflationary adjustments</t>
    </r>
    <r>
      <rPr>
        <sz val="11"/>
        <rFont val="Calibri"/>
        <family val="2"/>
        <scheme val="minor"/>
      </rPr>
      <t>​</t>
    </r>
  </si>
  <si>
    <r>
      <t>Concessions/discounts </t>
    </r>
    <r>
      <rPr>
        <sz val="11"/>
        <rFont val="Calibri"/>
        <family val="2"/>
        <scheme val="minor"/>
      </rPr>
      <t>​</t>
    </r>
  </si>
  <si>
    <r>
      <t>Legal accountable for:</t>
    </r>
    <r>
      <rPr>
        <sz val="11"/>
        <color rgb="FF000000"/>
        <rFont val="Calibri"/>
        <family val="2"/>
        <scheme val="minor"/>
      </rPr>
      <t>​</t>
    </r>
  </si>
  <si>
    <r>
      <t>Terms &amp; conditions</t>
    </r>
    <r>
      <rPr>
        <sz val="11"/>
        <rFont val="Calibri"/>
        <family val="2"/>
        <scheme val="minor"/>
      </rPr>
      <t>​</t>
    </r>
  </si>
  <si>
    <r>
      <t>MSA</t>
    </r>
    <r>
      <rPr>
        <sz val="11"/>
        <rFont val="Calibri"/>
        <family val="2"/>
        <scheme val="minor"/>
      </rPr>
      <t>​</t>
    </r>
  </si>
  <si>
    <r>
      <t>Renewal terms</t>
    </r>
    <r>
      <rPr>
        <sz val="11"/>
        <rFont val="Calibri"/>
        <family val="2"/>
        <scheme val="minor"/>
      </rPr>
      <t>​</t>
    </r>
  </si>
  <si>
    <r>
      <t>Credits </t>
    </r>
    <r>
      <rPr>
        <sz val="11"/>
        <rFont val="Calibri"/>
        <family val="2"/>
        <scheme val="minor"/>
      </rPr>
      <t>​</t>
    </r>
  </si>
  <si>
    <t>NewRocket Managed Services Pricing Tool</t>
  </si>
  <si>
    <t>Internal Use Only</t>
  </si>
  <si>
    <t/>
  </si>
  <si>
    <t>Engagement Overview</t>
  </si>
  <si>
    <t>Date</t>
  </si>
  <si>
    <t>Total</t>
  </si>
  <si>
    <t>Onsite</t>
  </si>
  <si>
    <t>India</t>
  </si>
  <si>
    <t>Preparer's Name</t>
  </si>
  <si>
    <t>Revenue</t>
  </si>
  <si>
    <t>Practice</t>
  </si>
  <si>
    <t>Managed Services</t>
  </si>
  <si>
    <t>Cost</t>
  </si>
  <si>
    <t>Capability</t>
  </si>
  <si>
    <t>Technology: Platform</t>
  </si>
  <si>
    <t>GM/GP</t>
  </si>
  <si>
    <t>Minimum total CM% based on India leverage</t>
  </si>
  <si>
    <t>Account Name</t>
  </si>
  <si>
    <t>GM%</t>
  </si>
  <si>
    <t>Partner</t>
  </si>
  <si>
    <t>Opportunity Name</t>
  </si>
  <si>
    <t>Hours %</t>
  </si>
  <si>
    <t>Opportunity Owner</t>
  </si>
  <si>
    <t>Avg Rate</t>
  </si>
  <si>
    <t>Salesforce Opportunity Number</t>
  </si>
  <si>
    <t>Avg Rack</t>
  </si>
  <si>
    <t>Client Location</t>
  </si>
  <si>
    <t>UK</t>
  </si>
  <si>
    <t>Variance</t>
  </si>
  <si>
    <t>Percentage for CM calculation</t>
  </si>
  <si>
    <t>Opportunity Currency</t>
  </si>
  <si>
    <t>Variance %</t>
  </si>
  <si>
    <t>Contract Type</t>
  </si>
  <si>
    <t>Fixed Price</t>
  </si>
  <si>
    <t>CM%</t>
  </si>
  <si>
    <t>Change Order</t>
  </si>
  <si>
    <t>No</t>
  </si>
  <si>
    <t>Location of Resource Ration Lookup</t>
  </si>
  <si>
    <t>Contract Details</t>
  </si>
  <si>
    <t>CodeWorks Cost</t>
  </si>
  <si>
    <t>Number of Hours per month</t>
  </si>
  <si>
    <t>Total Margin after CodeWorks</t>
  </si>
  <si>
    <t>Number of Months</t>
  </si>
  <si>
    <t>Total Revenue after CodeWorks</t>
  </si>
  <si>
    <t>Beneficial Rate</t>
  </si>
  <si>
    <t>Offering being Sold</t>
  </si>
  <si>
    <t>Operate &amp; Enhance</t>
  </si>
  <si>
    <t>Price in CodeWorks? (override by changing value)</t>
  </si>
  <si>
    <t>Guidance</t>
  </si>
  <si>
    <t>Notes</t>
  </si>
  <si>
    <r>
      <t xml:space="preserve">Scott will fill this in when identified rules for margin/thresholds
</t>
    </r>
    <r>
      <rPr>
        <sz val="10"/>
        <rFont val="Calibri"/>
        <family val="2"/>
        <scheme val="minor"/>
      </rPr>
      <t>For Resource locations, leave as-is unless approval from Veronica to offshore more resources. If client cannot accommodate Global resourcing, you can onshore all roles if you have a necessity to do so but this will likely have a higher benefical rate requirement.</t>
    </r>
    <r>
      <rPr>
        <b/>
        <sz val="10"/>
        <color rgb="FFFF0000"/>
        <rFont val="Calibri"/>
        <family val="2"/>
        <scheme val="minor"/>
      </rPr>
      <t xml:space="preserve">
</t>
    </r>
    <r>
      <rPr>
        <sz val="10"/>
        <rFont val="Calibri"/>
        <family val="2"/>
        <scheme val="minor"/>
      </rPr>
      <t xml:space="preserve">
For Hypercare, change the engineer to where the engineer is located on the project sold.</t>
    </r>
  </si>
  <si>
    <t>If there are any staffing restrictions, enter them here:</t>
  </si>
  <si>
    <t>Roles and Rates</t>
  </si>
  <si>
    <t>Bill Rate: Onshore/ Offshore</t>
  </si>
  <si>
    <t>Billing Location</t>
  </si>
  <si>
    <t>Resource Location (Margin)</t>
  </si>
  <si>
    <t>Role Name</t>
  </si>
  <si>
    <t>Rack Bill Rate</t>
  </si>
  <si>
    <t>Discount or Premium</t>
  </si>
  <si>
    <t>Bill Rate</t>
  </si>
  <si>
    <t>Cost Rate</t>
  </si>
  <si>
    <t>Skill #1</t>
  </si>
  <si>
    <t>Skill #2</t>
  </si>
  <si>
    <t>Skill #3</t>
  </si>
  <si>
    <t>% of hours for MS</t>
  </si>
  <si>
    <t>Note</t>
  </si>
  <si>
    <t>India?</t>
  </si>
  <si>
    <t>Advisory?</t>
  </si>
  <si>
    <t>Role</t>
  </si>
  <si>
    <t>Total Revenue at Rack Rate</t>
  </si>
  <si>
    <t>Onsite Revenue at Rack Rate</t>
  </si>
  <si>
    <t>India Revenue at Rack Rate</t>
  </si>
  <si>
    <t>Revenue w/ Contingency</t>
  </si>
  <si>
    <t>Cost w/ Contingency</t>
  </si>
  <si>
    <t>One-Time Discount</t>
  </si>
  <si>
    <t>Total Revenue</t>
  </si>
  <si>
    <t>Onsite Revenue</t>
  </si>
  <si>
    <t>India Revenue</t>
  </si>
  <si>
    <t>Total Cost</t>
  </si>
  <si>
    <t>Onsite Cost</t>
  </si>
  <si>
    <t>India Cost</t>
  </si>
  <si>
    <t>Total Hours</t>
  </si>
  <si>
    <t>Onsite Hours</t>
  </si>
  <si>
    <t>India Hours</t>
  </si>
  <si>
    <t>Onsite Contingency Hours</t>
  </si>
  <si>
    <t>India Contingency Hours</t>
  </si>
  <si>
    <t>Onshore</t>
  </si>
  <si>
    <t>MS - Architect</t>
  </si>
  <si>
    <t>USA</t>
  </si>
  <si>
    <t>MS - Engineer</t>
  </si>
  <si>
    <t>Offshore</t>
  </si>
  <si>
    <t>Senior Project Manager or Program Manager</t>
  </si>
  <si>
    <t>MS - Platform Analyst</t>
  </si>
  <si>
    <t>Subtotal</t>
  </si>
  <si>
    <t>Contingency (for fixed-price only)</t>
  </si>
  <si>
    <t>One-time discount</t>
  </si>
  <si>
    <t>Deal Review Questions</t>
  </si>
  <si>
    <t>What percentage of TCV will be invoiced upon SOW signature?</t>
  </si>
  <si>
    <t>Note:</t>
  </si>
  <si>
    <t>Is there any restriction to using global delivery on this project?</t>
  </si>
  <si>
    <t xml:space="preserve">If yes, then explain: </t>
  </si>
  <si>
    <t>Bill rate is based on client location, whether the resource is in India or not.</t>
  </si>
  <si>
    <t>What is the primary client delivery location?</t>
  </si>
  <si>
    <t>Cost rate is based on billing location, resource location and resource.</t>
  </si>
  <si>
    <t>Is our proposal or SOW solution-based with defined scope and deliverables?</t>
  </si>
  <si>
    <t xml:space="preserve">If no, then engagement type: </t>
  </si>
  <si>
    <t>Are any specialized skills, including security clearances, required to deliver the project?</t>
  </si>
  <si>
    <t xml:space="preserve">If yes, then list skills: </t>
  </si>
  <si>
    <t>Have we successfully delivered this type of project previously?  Do we have assumptions to mitigate any substantial risks?</t>
  </si>
  <si>
    <t>Are any of the standard SOW terms and conditions to be modified?</t>
  </si>
  <si>
    <t xml:space="preserve">If yes, then list modifications: </t>
  </si>
  <si>
    <t>If any fields in this Pricing Tool are highlighted in red, then provide reason(s).</t>
  </si>
  <si>
    <t>Will any NewRocket product licenses be included as part of this opportunity?</t>
  </si>
  <si>
    <t xml:space="preserve">If yes, then list products: </t>
  </si>
  <si>
    <t>Term (years):</t>
  </si>
  <si>
    <t>Price per yr:</t>
  </si>
  <si>
    <t>Account</t>
  </si>
  <si>
    <t>Currency</t>
  </si>
  <si>
    <t>TCV</t>
  </si>
  <si>
    <t>Rate discount</t>
  </si>
  <si>
    <t>Pre-payment</t>
  </si>
  <si>
    <t>India Restriction</t>
  </si>
  <si>
    <t>Operate</t>
  </si>
  <si>
    <t>Enhance</t>
  </si>
  <si>
    <t>Hypercare</t>
  </si>
  <si>
    <t>As of 6/19 the Operate changed to the new structure of adding more hours to the Analyst vs Engineer.</t>
  </si>
  <si>
    <t>References below from pricing files taken June 4th, 2024</t>
  </si>
  <si>
    <t>Resource Location</t>
  </si>
  <si>
    <t>Community</t>
  </si>
  <si>
    <t>Grade</t>
  </si>
  <si>
    <t>CM</t>
  </si>
  <si>
    <t>Platform</t>
  </si>
  <si>
    <t>B - Staff</t>
  </si>
  <si>
    <t>Platform Administrator</t>
  </si>
  <si>
    <t>Engineering</t>
  </si>
  <si>
    <t>C - Senior</t>
  </si>
  <si>
    <t>Senior Engineer</t>
  </si>
  <si>
    <t>Architecture</t>
  </si>
  <si>
    <t>D - Lead</t>
  </si>
  <si>
    <t>Lead Architect</t>
  </si>
  <si>
    <t>PMO</t>
  </si>
  <si>
    <t>Delivery Management</t>
  </si>
  <si>
    <t>Version 2.02</t>
  </si>
  <si>
    <t>Release Date: 2024-06-25</t>
  </si>
  <si>
    <t>2. Fill out the roles on the Pricing tab.</t>
  </si>
  <si>
    <t>Role Mapping - Professional Services</t>
  </si>
  <si>
    <t>Old Role</t>
  </si>
  <si>
    <t>New Role</t>
  </si>
  <si>
    <t>Staff Architect, Senior Architect, Lead Architect</t>
  </si>
  <si>
    <t>Associate BA, Staff BA, Senior BA, Lead BA</t>
  </si>
  <si>
    <t>Business Process Consultant</t>
  </si>
  <si>
    <t>Principal BPA, Chief BPA, Principal Architect, Chief Architect</t>
  </si>
  <si>
    <t>Workflow/Practice Strategist</t>
  </si>
  <si>
    <t>Senior Advisor, Lead Advisor</t>
  </si>
  <si>
    <t>Advisory Consultant</t>
  </si>
  <si>
    <t>Project Coordinator</t>
  </si>
  <si>
    <t>Associate Engineer, Staff Engineer</t>
  </si>
  <si>
    <t>Technical Consultant</t>
  </si>
  <si>
    <t>Senior Engineer, Lead Engineer</t>
  </si>
  <si>
    <t>Senior Technical Consultant</t>
  </si>
  <si>
    <t>Staff Tester, Senior Tester</t>
  </si>
  <si>
    <t>Tester</t>
  </si>
  <si>
    <t>Change Adoption Specialist</t>
  </si>
  <si>
    <t>Trainer</t>
  </si>
  <si>
    <t>Staff, Senior, Lead UI/UX Content Strategist</t>
  </si>
  <si>
    <t>Content Strategist</t>
  </si>
  <si>
    <t>Staff, Senior, Lead Designer</t>
  </si>
  <si>
    <t>Principal Designer, Chief Designer, Principal Content Strategist, Principal Content Strategist</t>
  </si>
  <si>
    <t>N/A</t>
  </si>
  <si>
    <t>Solution Consultant</t>
  </si>
  <si>
    <t>This is presales</t>
  </si>
  <si>
    <t>Role Mapping - Managed Services</t>
  </si>
  <si>
    <t>Staff Engineer, Senior Engineer, Lead Engineer</t>
  </si>
  <si>
    <t>2. Fill out the Opportunity Details Tab to the best of your ability</t>
  </si>
  <si>
    <t>3. Fill out the roles, oversight and skills on the Pricing tab.</t>
  </si>
  <si>
    <t xml:space="preserve">3. Fill out the Tasks and Estimates tab for your respective application deployments. </t>
  </si>
  <si>
    <t>4. Review the T&amp;E summary tab, and enter the schedule length and adjust to reduce fractionalization as much as possible.</t>
  </si>
  <si>
    <t>5. Review the week by week breakout on the T&amp;E Summary sheet (scroll down) to review projected hours a week by role.</t>
  </si>
  <si>
    <t>NewRocket Basic Pricing Tool</t>
  </si>
  <si>
    <t>Technology</t>
  </si>
  <si>
    <t>Technology: ITAM</t>
  </si>
  <si>
    <t>Time &amp; Materials</t>
  </si>
  <si>
    <t>Billable Hours</t>
  </si>
  <si>
    <t>Non-Billable Hours</t>
  </si>
  <si>
    <t>Customer</t>
  </si>
  <si>
    <t>Canada</t>
  </si>
  <si>
    <t>Items that should be reviewed</t>
  </si>
  <si>
    <t>Right resources are tied to the scope (e.g., architect, BA, PM, engineer vs senior engineer)</t>
  </si>
  <si>
    <t>Read the SOW and ensure the scope makes sense, what business issues we are trying to solve will be met with the solution</t>
  </si>
  <si>
    <t>Review deliverables that are in scope</t>
  </si>
  <si>
    <t>Make sure the assumptions, out of scope, in scope look accurate</t>
  </si>
  <si>
    <t>Review and adjust project Timeline (not based on resource availability but more in terms of is the timeline accurate to get the work done) - we cannot add more weeks and therefore hours because we don't have the resources, that is a TA problem they will need to solve for otherwise we lose the deal on price.</t>
  </si>
  <si>
    <t>Review that the architect and BA are on the project for the correct phases (e.g., if there is a potential ability to reduce roles needed then lets shift the hours - for instance if its an integration project and the SC scoped in BA time for Execute/Deliver/Close, perhaps that can be done by the SA).</t>
  </si>
  <si>
    <t>Oversight is accurately accounted for on this scope (look at week by week breakdown, not percentages)</t>
  </si>
  <si>
    <t>Try to identify areas to reduce fractionalization (e.g., shifting some engineer hours to architect if it cuts down on timeline).</t>
  </si>
  <si>
    <t>The following is guidance for hours for each oversight role based on phases of the engagement (per week).
This covers things like internal and external status calls, testing of code, story refinement throughout delivery, etc. This does not cover the oversight roles doing engineering tasks.</t>
  </si>
  <si>
    <t>More complex go to 20 hours a week</t>
  </si>
  <si>
    <t>Schumacher or Lorelai Haggan or Candace</t>
  </si>
  <si>
    <t>ITSM</t>
  </si>
  <si>
    <t>ITOM</t>
  </si>
  <si>
    <t>HRSD</t>
  </si>
  <si>
    <t>CSM</t>
  </si>
  <si>
    <t>FSM</t>
  </si>
  <si>
    <t>Domain Separation</t>
  </si>
  <si>
    <t>SR&amp;R</t>
  </si>
  <si>
    <t>Experience</t>
  </si>
  <si>
    <t>FSO</t>
  </si>
  <si>
    <t>Business Consulting</t>
  </si>
  <si>
    <t>Initiate (2 weeks)</t>
  </si>
  <si>
    <t>Plan</t>
  </si>
  <si>
    <t>Advisor</t>
  </si>
  <si>
    <t>Every workshop</t>
  </si>
  <si>
    <t>ADD MORE ROLES PHIL :)</t>
  </si>
  <si>
    <t>CSM is more BPA vs BA. More consultative</t>
  </si>
  <si>
    <t>20 hours a week for Plan to not overcommit on timelines</t>
  </si>
  <si>
    <t>Engineering Guidance</t>
  </si>
  <si>
    <t>For Engineering the Deliver should be 40 hours per week per engineer. On average the Deliver phase should be 2 to 3 weeks.</t>
  </si>
  <si>
    <t>For Engineering for the Close phase it should be 20 hours or 40 hours per week for at least 1 engineer</t>
  </si>
  <si>
    <t>Opportunity Details</t>
  </si>
  <si>
    <t>Salesforce Opportunity URL</t>
  </si>
  <si>
    <t>Acme Opportunity</t>
  </si>
  <si>
    <t>Boeing ITSM Now Assist AI POC</t>
  </si>
  <si>
    <t>Harry Tomczyk</t>
  </si>
  <si>
    <t>Pre-Sales Lead (Preparer's Name)</t>
  </si>
  <si>
    <t>Jason Hagen</t>
  </si>
  <si>
    <t>Delivery Lead</t>
  </si>
  <si>
    <t>Sean Iannuzzi</t>
  </si>
  <si>
    <t>Technology: ITSM</t>
  </si>
  <si>
    <t>ServiceNow</t>
  </si>
  <si>
    <t>Restriction from using global delivery?</t>
  </si>
  <si>
    <t>Agile Project?</t>
  </si>
  <si>
    <t>Opportunity Close Date</t>
  </si>
  <si>
    <t>Expected Project Start Date</t>
  </si>
  <si>
    <t>Override Expected Project Start Date</t>
  </si>
  <si>
    <t>Background</t>
  </si>
  <si>
    <t>ITSM Pro Plus Now Assist POC</t>
  </si>
  <si>
    <t>Challenges to solve</t>
  </si>
  <si>
    <t>These are the challenges they're trying to solve.</t>
  </si>
  <si>
    <t>Targeted business benefits</t>
  </si>
  <si>
    <t>These are the business benefits.</t>
  </si>
  <si>
    <t>NewRocket Manticore</t>
  </si>
  <si>
    <t>Global % of hours for PS deal</t>
  </si>
  <si>
    <t>This is a Proof of Concept for Boeing using ITSM Now Assist (50 licenses).  It is designed to deliver rapid value for AI evaluation by Boeing.</t>
  </si>
  <si>
    <t>10 hrs per week</t>
  </si>
  <si>
    <t>AI Now Assist ITSM</t>
  </si>
  <si>
    <t>Anusha DasFedele</t>
  </si>
  <si>
    <t>Start Week</t>
  </si>
  <si>
    <t>End Week</t>
  </si>
  <si>
    <t>Hide Row from SOW</t>
  </si>
  <si>
    <t>Presales Notes (Internal)</t>
  </si>
  <si>
    <t>Role 1</t>
  </si>
  <si>
    <t>Role 2</t>
  </si>
  <si>
    <t>Role 3</t>
  </si>
  <si>
    <t>Role 4</t>
  </si>
  <si>
    <t>Role 5</t>
  </si>
  <si>
    <t>Role 6</t>
  </si>
  <si>
    <t>Role 7</t>
  </si>
  <si>
    <t>Role 8</t>
  </si>
  <si>
    <t>Role 9</t>
  </si>
  <si>
    <t>Role 10</t>
  </si>
  <si>
    <t>Role 11</t>
  </si>
  <si>
    <t>Role 12</t>
  </si>
  <si>
    <t>Role 13</t>
  </si>
  <si>
    <t>Role 14</t>
  </si>
  <si>
    <t>Role 15</t>
  </si>
  <si>
    <t>Roles</t>
  </si>
  <si>
    <t>Intentionally left blank.</t>
  </si>
  <si>
    <t>Initiate</t>
  </si>
  <si>
    <t>Billable</t>
  </si>
  <si>
    <t>Initiate Oversight &amp; Calculated Hours</t>
  </si>
  <si>
    <t>The calculated hours in the Initiate cover the project setup, onboarding of resources. It also covers an internal team kick-off, setting up the base project plan and conducting a formal project initiation with the customer to review goals, objectives, scope and other engagement information.</t>
  </si>
  <si>
    <t>Now Assist Agentic AI Workshop</t>
  </si>
  <si>
    <t>Use Case Development</t>
  </si>
  <si>
    <t>Time based, implementation is limited to up to 3 use cases</t>
  </si>
  <si>
    <t>Story Development and Review</t>
  </si>
  <si>
    <t>Business Process Map Workshop (Use-Case Based)</t>
  </si>
  <si>
    <t>Limited to the single use case identified from Use Case Dev above</t>
  </si>
  <si>
    <t>Now Assist Agentic AI Accelerator Pack</t>
  </si>
  <si>
    <t>Boeing AI Roadmap Maturation Workshops</t>
  </si>
  <si>
    <t>Review and update existing customer AI roadmap, including integration recommendations for 3rd party systems (moveworks for example)</t>
  </si>
  <si>
    <t>Value Realization Dashboard Workshop</t>
  </si>
  <si>
    <t>Value realization dashboard use case development in support of AI Roadmap</t>
  </si>
  <si>
    <t>Integrations Evaluation and Recommendations Workshop</t>
  </si>
  <si>
    <t>Review of existing Boeing 3rd party systems, such as Moveworks, and develop integration recommendations</t>
  </si>
  <si>
    <t>AI Governance Memo</t>
  </si>
  <si>
    <t>Governance framework memo for AI</t>
  </si>
  <si>
    <t>deliverable</t>
  </si>
  <si>
    <t>Plan Oversight &amp; Calculated Hours</t>
  </si>
  <si>
    <t>This covers any oversight necessary during the plan phase to coordinate meetings, schedule workshops, updating project plan, etc. In addition for the PM it covers the finalization of the Project Plan.</t>
  </si>
  <si>
    <t>Workshop for Testing and Test Plan Document Creation</t>
  </si>
  <si>
    <t>Remove this if the Testing package is not being sold</t>
  </si>
  <si>
    <t>Now Assist Implementation - up to 3 use cases</t>
  </si>
  <si>
    <t>Portal to include enhanced widgets, layout and functionality as determined during the design phase. Standard out of the box pages / functionality will be implemented for anything that was not enhanced during the design phase.</t>
  </si>
  <si>
    <t>Limited to ITSM based on 50 licenses purchased for POC, halftime TC - 3 sprints</t>
  </si>
  <si>
    <t xml:space="preserve">Use Case Documentation </t>
  </si>
  <si>
    <t>Business Case, ROI documentation creation</t>
  </si>
  <si>
    <t>Configuration Runbook Creation</t>
  </si>
  <si>
    <t>Creation of configurations document to capture existin Now Assist config changes and NR AI Agent product configurations</t>
  </si>
  <si>
    <t>Execute Oversight &amp; Calculated Hours</t>
  </si>
  <si>
    <t>This covers the hours for the BA and/or SA to do the sprint demos, unit testing. Then for the PM it covers the oversight to manage the project during the Execute phase.</t>
  </si>
  <si>
    <t>Create System Test Cases &amp; System Test Execution Report</t>
  </si>
  <si>
    <t>Develop test cases as per agreed Test plan document.
Execute system test cases E2E which showcase test execution status of each requirement.</t>
  </si>
  <si>
    <t>Remove if not selling testing package. If you are keeping, make srue Agile for practice is set.</t>
  </si>
  <si>
    <t>Smoke test of UAT Environment &amp; UAT Support</t>
  </si>
  <si>
    <t>E2E Smoke test of code migrated to UAT environment.
Includes Customer User support &amp; Defect Management</t>
  </si>
  <si>
    <t>Remove if not selling testing package.</t>
  </si>
  <si>
    <t>Training Preparation</t>
  </si>
  <si>
    <t>Review training scope and the final content to be included in training based on the Deploy stage configurations.</t>
  </si>
  <si>
    <t>Leave to 2 hours unless large engagement then increase to 4.</t>
  </si>
  <si>
    <t>Create Training Materials</t>
  </si>
  <si>
    <t>Up to 1 Quick Reference Guide included - Now Assist ITSM</t>
  </si>
  <si>
    <t>• Training Materials will be limited to 1 Quick Reference Guide (QRG)
• Training Materials will be in English and any other languages will be done by the Client</t>
  </si>
  <si>
    <t>Adjust based on notes in Description:
QRGs are correctly scoped unless the customer has a specific template they want to use. Add two hours. Alternative is to list the QRG as 8 to 10 hours for 3 to 4 pages of content.
The PPT presentation is per application. Depending on the application, PPTs may take between 12 and 16 hours to complete.
The Full Guide option should say 16 hours per application. Example: Incident Management Training Guide = 16 hours, Incident and Change Management = 32 hours, a full ITSM suite = 48 hours. 
Will need to add Video Demonstrations. Each video demonstration will be between 2 minutes and 8 minutes in length and cover individual topics. One hour should be allotted for every 5 minutes of video demo created.</t>
  </si>
  <si>
    <t>Training Sessions</t>
  </si>
  <si>
    <t xml:space="preserve">Perform Now Assist ITSm training for end-users.  </t>
  </si>
  <si>
    <t>• Trainings will be limited to 2 training sessions for each module (6 total hours)
• Trainings will be done via Train the Trainer Method
• Training will be done remotely
• Training will be provided in English</t>
  </si>
  <si>
    <t>Adjust based on notes in Description:
PER APPLICATION:
Onsite training up to 4 hours per application.
Remote training up to 3 hours per application.</t>
  </si>
  <si>
    <t>Deliver Oversight and UAT Support</t>
  </si>
  <si>
    <t>The calculated hours in the Deliver phase cover the updating of user stories to reflect high-lvel test steps to validate functionality. This also covers demoing of the functionaliy to Client testers ahead of UAT, and supporting the UAT as a whole. In addition this includes the time it takes to migrate to UAT, creating a rollout plan, migrate to Production, as well as updating configuration documentation.</t>
  </si>
  <si>
    <t>Close Oversight &amp; Calculated Hours</t>
  </si>
  <si>
    <t>The calculated hours in the Close phase cover the post-live support in a part-time capacity unless stated otherwise. It also covers a technical knowledge transfer session with the customer, a closeout meeting and the sending of the CSAT survey and updating of the deployment record.</t>
  </si>
  <si>
    <t>Minimums</t>
  </si>
  <si>
    <t>Calculated Padding for minimums</t>
  </si>
  <si>
    <t>Yes</t>
  </si>
  <si>
    <t>Padding</t>
  </si>
  <si>
    <t>Roles and Skills</t>
  </si>
  <si>
    <t>OPTIONAL - Add Oversight</t>
  </si>
  <si>
    <t>Roles and skills</t>
  </si>
  <si>
    <t>Role #</t>
  </si>
  <si>
    <t>Role + Practice</t>
  </si>
  <si>
    <t>Initiate %</t>
  </si>
  <si>
    <t>Initiate Hours</t>
  </si>
  <si>
    <t>Plan %</t>
  </si>
  <si>
    <t>Plan Hours</t>
  </si>
  <si>
    <t>Execute %</t>
  </si>
  <si>
    <t>Execute Hours</t>
  </si>
  <si>
    <t>Deliver %</t>
  </si>
  <si>
    <t>Deliver Hours</t>
  </si>
  <si>
    <t>Close %</t>
  </si>
  <si>
    <t>Close Hours</t>
  </si>
  <si>
    <t>Scope &amp; Assumptions</t>
  </si>
  <si>
    <t>List Project Assumptions Here:</t>
  </si>
  <si>
    <t>List Out of Scope Here:</t>
  </si>
  <si>
    <t>Deliverables/Artifacts</t>
  </si>
  <si>
    <t>Deliverable/ Artifact</t>
  </si>
  <si>
    <t>In Scope?</t>
  </si>
  <si>
    <t>Project Kick Off</t>
  </si>
  <si>
    <t>NewRocket Kickoff PowerPoint</t>
  </si>
  <si>
    <t>YES</t>
  </si>
  <si>
    <t>Status Reports</t>
  </si>
  <si>
    <t>Weekly reports, which may include some, or all, of the following:</t>
  </si>
  <si>
    <t xml:space="preserve">User Stories </t>
  </si>
  <si>
    <t xml:space="preserve">All requirements collected throughout the Workshops documented in the Client’s Service Now instance. Describes in detail the customization needed to meet each requirement. </t>
  </si>
  <si>
    <t>Unit Test Steps</t>
  </si>
  <si>
    <t>Test steps prepared for each of the specifications and configurations in their respective story.</t>
  </si>
  <si>
    <t>Configuration/Design Approach Document</t>
  </si>
  <si>
    <t>End state documentation with all of the configuration completed by NewRocket</t>
  </si>
  <si>
    <t>Rollout Plan</t>
  </si>
  <si>
    <t>Step-by-step run book of go-live events</t>
  </si>
  <si>
    <t>Training Materials</t>
  </si>
  <si>
    <t>Quick Reference guides (QRG) for [modules] to support users post go-live</t>
  </si>
  <si>
    <t>(UK)</t>
  </si>
  <si>
    <t>Project Initiation Document</t>
  </si>
  <si>
    <t>NO</t>
  </si>
  <si>
    <t xml:space="preserve">(UK) Solution Design Document </t>
  </si>
  <si>
    <t>(SR&amp;R) Configuration/Design Approach Document</t>
  </si>
  <si>
    <t>The design approach document details at a high-level:
- Problem Statement
- Business Outcomes
- High-level architectural diagram
- Unique customer requirements that deviate from OOTB
- Design Assumptions</t>
  </si>
  <si>
    <t>(SR&amp;R) System Deployment Plan (SDP)</t>
  </si>
  <si>
    <t>(UI/UX) Taxonomy Recommendations</t>
  </si>
  <si>
    <t>NewRocket will document specific recommendations for how to content on the site should be organized for browsing.</t>
  </si>
  <si>
    <t>(UI/UX) Research Plan</t>
  </si>
  <si>
    <t>NewRocket will document the activities that will be undertaken to gather information about portal usage and user feedback. The plan will include a description of each activity and who will facilitate the activity. Activities may include: UX evaluation of existing solution, data analysis, focus groups, stakeholder interviews, persona definition.</t>
  </si>
  <si>
    <t>(UI/UX) Research Results</t>
  </si>
  <si>
    <t>For user research activities facilitated by NewRocket, NewRocket will document a summary of the results and the recommendations based on those results.</t>
  </si>
  <si>
    <t>(UI/UX) NewRocket Portal Requirements Backlog</t>
  </si>
  <si>
    <t>NewRocket will document the requirements gathered during the workshops in such a way that implementation of those requirements may be architected and planned.</t>
  </si>
  <si>
    <t>(UI/UX) Portal Wireframes</t>
  </si>
  <si>
    <t>NewRocket will provide access to a Figma file that visualizes the navigation and functionality of the new portal. The wireframes will contain hotspots that allow the Client to better understand how the user will navigate in the portal.</t>
  </si>
  <si>
    <t>(UI/UX) Portal Mockups</t>
  </si>
  <si>
    <r>
      <t>NewRocket will provide access to a Figma file that visualizes how branding will be applied to the site.</t>
    </r>
    <r>
      <rPr>
        <sz val="11"/>
        <color rgb="FF062B33"/>
        <rFont val="Calibri"/>
        <family val="2"/>
        <scheme val="minor"/>
      </rPr>
      <t xml:space="preserve">  </t>
    </r>
  </si>
  <si>
    <t>(OCM) Communication Roadmap</t>
  </si>
  <si>
    <t>Document detailing how, when, and who will deliver and receive communications about the change.</t>
  </si>
  <si>
    <t>(OCM) Sponsorship Roadmap</t>
  </si>
  <si>
    <t>Roadmap for the Primary and Peripheral Sponsors to define sponsor responsibilities throughout the change.</t>
  </si>
  <si>
    <t>(OCM) Coaching Roadmap</t>
  </si>
  <si>
    <t>Artifact with strategies for how change champions can coach their peers throughout the change.</t>
  </si>
  <si>
    <t>(OCM) Resistance Management Roadmap</t>
  </si>
  <si>
    <t>Plan documenting anticipated areas of resistance and strategies for addressing those risks.</t>
  </si>
  <si>
    <t>(OCM) Training Roadmap</t>
  </si>
  <si>
    <t>Document produced in conjunction with the NewRocket Solution Architect or Trainer contextualizing how NewRocket’s training deliverables should be used and any additional training recommendations Client should pursue beyond the scope of the SOW.</t>
  </si>
  <si>
    <t>(OCM) Communication Plan</t>
  </si>
  <si>
    <t xml:space="preserve">Detailed document, detailing how, when and who will deliver all communications.  Client Project Manager will work with NewRocket to develop this plan. </t>
  </si>
  <si>
    <t>(POC) Implementation Roadmap</t>
  </si>
  <si>
    <t>Business outcomes &amp; technical prioritization roadmap detailing the future implementation phases and maturity plan</t>
  </si>
  <si>
    <t xml:space="preserve">(Health Assessment) Findings and Recommendations Document- </t>
  </si>
  <si>
    <t>Documentation of findings and recommendations for [module] and [module], including recommendations for improvement considerations, governance recommendations, workflows, and notifications where applicable.</t>
  </si>
  <si>
    <t xml:space="preserve">Operational Readiness Training (ORT) </t>
  </si>
  <si>
    <t>Baseline training package for Client’s environment. 1 set of sessions for each of the X modules of ORT for [category]</t>
  </si>
  <si>
    <t>OTHER</t>
  </si>
  <si>
    <t>DESCRIBE</t>
  </si>
  <si>
    <t>Milestones</t>
  </si>
  <si>
    <t>Milestone #</t>
  </si>
  <si>
    <t>Trigger</t>
  </si>
  <si>
    <t>%</t>
  </si>
  <si>
    <t>Price</t>
  </si>
  <si>
    <t>Milestone 0</t>
  </si>
  <si>
    <t>Milestone 1</t>
  </si>
  <si>
    <t>Milestone 2</t>
  </si>
  <si>
    <t>Milestone 3</t>
  </si>
  <si>
    <t>Milestone 4</t>
  </si>
  <si>
    <t>Milestone 5</t>
  </si>
  <si>
    <t>Milestone 6</t>
  </si>
  <si>
    <t>Milestone 7</t>
  </si>
  <si>
    <t>Milestone 8</t>
  </si>
  <si>
    <t>Milestone 9</t>
  </si>
  <si>
    <t>Milestone 10</t>
  </si>
  <si>
    <t>Milestone 11</t>
  </si>
  <si>
    <t>Milestone 12</t>
  </si>
  <si>
    <t>Milestone 13</t>
  </si>
  <si>
    <t>Milestone 14</t>
  </si>
  <si>
    <t>Milestone 15</t>
  </si>
  <si>
    <t>Milestone 16</t>
  </si>
  <si>
    <t>Milestone 17</t>
  </si>
  <si>
    <t>Milestone 18</t>
  </si>
  <si>
    <t>Milestone 19</t>
  </si>
  <si>
    <t>Milestone 20</t>
  </si>
  <si>
    <t>Milestone 21</t>
  </si>
  <si>
    <t>Milestone 22</t>
  </si>
  <si>
    <t>Milestone 23</t>
  </si>
  <si>
    <t>Milestone 24</t>
  </si>
  <si>
    <t>Milestone 25</t>
  </si>
  <si>
    <t>Milestone 26</t>
  </si>
  <si>
    <t>Milestone 27</t>
  </si>
  <si>
    <t>Milestone 28</t>
  </si>
  <si>
    <t>Milestone 29</t>
  </si>
  <si>
    <t>Milestone 30</t>
  </si>
  <si>
    <t>Total from Pricing Tool.  MUST MATCH</t>
  </si>
  <si>
    <t>Project Length</t>
  </si>
  <si>
    <t>Phase Start and End Dates</t>
  </si>
  <si>
    <t>PM Percentage Hours</t>
  </si>
  <si>
    <t>Length (weeks)</t>
  </si>
  <si>
    <t>Start date</t>
  </si>
  <si>
    <t>End Date</t>
  </si>
  <si>
    <t>GOAL:</t>
  </si>
  <si>
    <t>Start</t>
  </si>
  <si>
    <t>End</t>
  </si>
  <si>
    <r>
      <rPr>
        <b/>
        <sz val="11"/>
        <rFont val="Calibri"/>
        <family val="2"/>
        <scheme val="minor"/>
      </rPr>
      <t xml:space="preserve">PM Percentage: </t>
    </r>
    <r>
      <rPr>
        <sz val="11"/>
        <rFont val="Calibri"/>
        <family val="2"/>
        <scheme val="minor"/>
      </rPr>
      <t xml:space="preserve">Ensure timeline is correct and PM has enough hours for the weeks (roughly 10 hours per week for Initiate and Close and then 12-15 hours a week on standard implementations for Plan, Execute, Deliver)
</t>
    </r>
    <r>
      <rPr>
        <b/>
        <sz val="11"/>
        <rFont val="Calibri"/>
        <family val="2"/>
        <scheme val="minor"/>
      </rPr>
      <t>Initiate</t>
    </r>
    <r>
      <rPr>
        <sz val="11"/>
        <rFont val="Calibri"/>
        <family val="2"/>
        <scheme val="minor"/>
      </rPr>
      <t xml:space="preserve">: Always has to be  2 weeks, 20 hours for PM and about 5-10 for each lead role.
</t>
    </r>
    <r>
      <rPr>
        <b/>
        <sz val="11"/>
        <rFont val="Calibri"/>
        <family val="2"/>
        <scheme val="minor"/>
      </rPr>
      <t>Plan</t>
    </r>
    <r>
      <rPr>
        <sz val="11"/>
        <rFont val="Calibri"/>
        <family val="2"/>
        <scheme val="minor"/>
      </rPr>
      <t xml:space="preserve">: Workshop duration is maximum 24 hours a week per SA and BA.
</t>
    </r>
    <r>
      <rPr>
        <b/>
        <sz val="11"/>
        <rFont val="Calibri"/>
        <family val="2"/>
        <scheme val="minor"/>
      </rPr>
      <t>Execute and Deliver:</t>
    </r>
    <r>
      <rPr>
        <sz val="11"/>
        <rFont val="Calibri"/>
        <family val="2"/>
        <scheme val="minor"/>
      </rPr>
      <t xml:space="preserve"> Goal is 40 hours a week for Engineer roles and at least 16-20 hours for oversight roles. Minimum 8 hours per week for SA and BA roles. Minimum 16 hours per week for Engineer roles for Execute. </t>
    </r>
  </si>
  <si>
    <t>Totals</t>
  </si>
  <si>
    <t>Hours per week</t>
  </si>
  <si>
    <t>Resource Percentage by Phase</t>
  </si>
  <si>
    <t>Recommended Initial Draft Staffing Plan</t>
  </si>
  <si>
    <t>Total Hours (Pricing Tab)</t>
  </si>
  <si>
    <t>Total Hours (Calculated)</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</si>
  <si>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</si>
  <si>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</si>
  <si>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</si>
  <si>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</si>
  <si>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</si>
  <si>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</si>
  <si>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</si>
  <si>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</si>
  <si>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</si>
  <si>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</si>
  <si>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</si>
  <si>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</si>
  <si>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</si>
  <si>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</si>
  <si>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</si>
  <si>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</si>
  <si>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</si>
  <si>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</si>
  <si>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</si>
  <si>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</si>
  <si>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</si>
  <si>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</si>
  <si>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</si>
  <si>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</si>
  <si>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</si>
  <si>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</si>
  <si>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</si>
  <si>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</si>
  <si>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</si>
  <si>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</si>
  <si>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</si>
  <si>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</si>
  <si>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</si>
  <si>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</si>
  <si>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</si>
  <si>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</si>
  <si>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</si>
  <si>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</si>
  <si>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</si>
  <si>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</si>
  <si>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</si>
  <si>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</si>
  <si>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</si>
  <si>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</si>
  <si>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</si>
  <si>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</si>
  <si>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</si>
  <si>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</si>
  <si>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</si>
  <si>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</si>
  <si>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</si>
  <si>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</si>
  <si>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Resource Location (for Billing Rates)</t>
  </si>
  <si>
    <t>Resource Location (for Cost Rates)</t>
  </si>
  <si>
    <t>Role Name (Concatenated for Bill Lookup)</t>
  </si>
  <si>
    <t>Index (Rates)</t>
  </si>
  <si>
    <t>Index (Costs)</t>
  </si>
  <si>
    <t>Bill Location Index</t>
  </si>
  <si>
    <t>Rate (Lookup)</t>
  </si>
  <si>
    <t>FX Rate</t>
  </si>
  <si>
    <t>Resource Location Index</t>
  </si>
  <si>
    <t>Cost Rate (in Client Location Currency)</t>
  </si>
  <si>
    <t>Old Rate</t>
  </si>
  <si>
    <t>EU</t>
  </si>
  <si>
    <t>Designer</t>
  </si>
  <si>
    <t>Client Partner</t>
  </si>
  <si>
    <t>Delivery Director</t>
  </si>
  <si>
    <t>Location</t>
  </si>
  <si>
    <t>Yes/No</t>
  </si>
  <si>
    <t>Engagement Type</t>
  </si>
  <si>
    <t>Project Phases</t>
  </si>
  <si>
    <t>Billable/NonBillable</t>
  </si>
  <si>
    <t>Updated Role Names</t>
  </si>
  <si>
    <t>Managed Services Offering</t>
  </si>
  <si>
    <t>File Type</t>
  </si>
  <si>
    <t>Onshore/Offshore</t>
  </si>
  <si>
    <t>Min</t>
  </si>
  <si>
    <t>Advisory</t>
  </si>
  <si>
    <t>Customer: Customer Service Management</t>
  </si>
  <si>
    <t>CAD</t>
  </si>
  <si>
    <t>A - Associate</t>
  </si>
  <si>
    <t>Application Program Support (APS)</t>
  </si>
  <si>
    <t>--- Oversight ---</t>
  </si>
  <si>
    <t>Pricing File Only</t>
  </si>
  <si>
    <t>Customer: Customer Service Management Domain Separation Specialization</t>
  </si>
  <si>
    <t>EUR</t>
  </si>
  <si>
    <t>Services Order Form (SOF)</t>
  </si>
  <si>
    <t>Non-Billable</t>
  </si>
  <si>
    <t>Employee</t>
  </si>
  <si>
    <t>Customer: Field Service Management</t>
  </si>
  <si>
    <t>INR</t>
  </si>
  <si>
    <t>Change Management</t>
  </si>
  <si>
    <t>Staff Augmentation</t>
  </si>
  <si>
    <t>Professional Services - Manticore</t>
  </si>
  <si>
    <t>Employee: Human Resources</t>
  </si>
  <si>
    <t>GBP</t>
  </si>
  <si>
    <t>Content Consulting</t>
  </si>
  <si>
    <t>Employee: Legal Service Delivery</t>
  </si>
  <si>
    <t>USD</t>
  </si>
  <si>
    <t>E - Principal</t>
  </si>
  <si>
    <t>Employee: Safe Workplace Suite</t>
  </si>
  <si>
    <t>Design Consulting</t>
  </si>
  <si>
    <t>F - Chief</t>
  </si>
  <si>
    <t>--- Project Management ---</t>
  </si>
  <si>
    <t>Public Sector</t>
  </si>
  <si>
    <t>Employee: Workplace Service Delivery</t>
  </si>
  <si>
    <t>Enablement</t>
  </si>
  <si>
    <t>Risk and Resilience</t>
  </si>
  <si>
    <t>Experience: Content Consulting</t>
  </si>
  <si>
    <t>Experience: Custom Application Development</t>
  </si>
  <si>
    <t>Experience: Design Consulting</t>
  </si>
  <si>
    <t>Strategy</t>
  </si>
  <si>
    <t xml:space="preserve"> --- Development ---</t>
  </si>
  <si>
    <t>Experience: Native Mobile</t>
  </si>
  <si>
    <t>Testing</t>
  </si>
  <si>
    <t>Experience: Service Portals</t>
  </si>
  <si>
    <t>Risk and Resilience: Compliance and Audit</t>
  </si>
  <si>
    <t>--- Testing ---</t>
  </si>
  <si>
    <t>Risk and Resilience: IT Risk</t>
  </si>
  <si>
    <t>Risk and Resilience: Operational and Enterprise Risk</t>
  </si>
  <si>
    <t>--- Enablement ---</t>
  </si>
  <si>
    <t>Risk and Resilience: Operational Resilience, Business Continuity, Disaster Recovery</t>
  </si>
  <si>
    <t>Risk and Resilience: Security Incident Response</t>
  </si>
  <si>
    <t>Risk and Resilience: Vendor and Supplier Risk</t>
  </si>
  <si>
    <t>--- UI/UX ---</t>
  </si>
  <si>
    <t>Risk and Resilience: Vulnerability Response</t>
  </si>
  <si>
    <t>Technology: Integrations</t>
  </si>
  <si>
    <t>--- Managed Services ---</t>
  </si>
  <si>
    <t>Technology: ITBM</t>
  </si>
  <si>
    <t>Technology: ITOM</t>
  </si>
  <si>
    <t>--- Solution Consulting ---</t>
  </si>
  <si>
    <t>--- Tier 1 and 2 Management ---</t>
  </si>
  <si>
    <t>Total Hours w/o Oversight</t>
  </si>
  <si>
    <t>Source</t>
  </si>
  <si>
    <t>Target</t>
  </si>
  <si>
    <t>Check</t>
  </si>
  <si>
    <t>Updated using www.oanda.com on 2024-05-29</t>
  </si>
  <si>
    <t>https://www.oanda.com/currency-converter</t>
  </si>
  <si>
    <t>Index</t>
  </si>
  <si>
    <t>No resources in EU so no need to include EU in "Resource Location" above.</t>
  </si>
  <si>
    <t>ROLES</t>
  </si>
  <si>
    <t>Business Process Architect</t>
  </si>
  <si>
    <t>Application Developer/Engineer</t>
  </si>
  <si>
    <t>Senior Application Developer/Engineer</t>
  </si>
  <si>
    <t>** Role Does Not Exist **</t>
  </si>
  <si>
    <t>Senior Architect</t>
  </si>
  <si>
    <t>Principal Architect</t>
  </si>
  <si>
    <t>Associate Business Analyst</t>
  </si>
  <si>
    <t>Staff Business Analyst</t>
  </si>
  <si>
    <t>Senior Business Analyst</t>
  </si>
  <si>
    <t>Lead Business Process Architect</t>
  </si>
  <si>
    <t>Principal Business Process Architect</t>
  </si>
  <si>
    <t>Chief Business Process Architect</t>
  </si>
  <si>
    <t>OCM Specialist</t>
  </si>
  <si>
    <t>Associate UI/UX Content Strategist</t>
  </si>
  <si>
    <t>Staff UI/UX Content Strategist</t>
  </si>
  <si>
    <t>Senior UI/UX Content Strategist</t>
  </si>
  <si>
    <t>Lead UI/UX Content Strategist</t>
  </si>
  <si>
    <t>Principal UI/UX Content Strategist</t>
  </si>
  <si>
    <t>Chief UI/UX Content Strategist</t>
  </si>
  <si>
    <t>Project Analyst</t>
  </si>
  <si>
    <t>Portfolio Director</t>
  </si>
  <si>
    <t>Senior Portfolio Director</t>
  </si>
  <si>
    <t>Associate UI/UX Designer</t>
  </si>
  <si>
    <t>Staff UI/UX Designer</t>
  </si>
  <si>
    <t>Senior UI/UX Designer</t>
  </si>
  <si>
    <t>Lead UI/UX Designer</t>
  </si>
  <si>
    <t>Principal UI/UX Designer</t>
  </si>
  <si>
    <t>Chief UI/UX Designer</t>
  </si>
  <si>
    <t xml:space="preserve">Trainer  </t>
  </si>
  <si>
    <t>Associate Engineer</t>
  </si>
  <si>
    <t>Staff Engineer</t>
  </si>
  <si>
    <t>Lead Engineer</t>
  </si>
  <si>
    <t>Principal Engineer</t>
  </si>
  <si>
    <t>Chief Engineer</t>
  </si>
  <si>
    <t>Senior Advisor</t>
  </si>
  <si>
    <t>Lead Advisor</t>
  </si>
  <si>
    <t>Principal Advisor</t>
  </si>
  <si>
    <t>Chief Advisor</t>
  </si>
  <si>
    <t>Associate Tester</t>
  </si>
  <si>
    <t>Staff Tester</t>
  </si>
  <si>
    <t>Senior Tester</t>
  </si>
  <si>
    <t>Lead Tester</t>
  </si>
  <si>
    <t>Principal Tester</t>
  </si>
  <si>
    <t>Chief Tester</t>
  </si>
  <si>
    <t>Platform Area</t>
  </si>
  <si>
    <t>Customer and Employee</t>
  </si>
  <si>
    <t xml:space="preserve">Architect  </t>
  </si>
  <si>
    <t>Engineer</t>
  </si>
  <si>
    <t>Chief</t>
  </si>
  <si>
    <t>Principal</t>
  </si>
  <si>
    <t>Lead</t>
  </si>
  <si>
    <t>Senior</t>
  </si>
  <si>
    <t>Staff</t>
  </si>
  <si>
    <t>Associate</t>
  </si>
  <si>
    <t>Capability Area</t>
  </si>
  <si>
    <t>US Rate (USD)</t>
  </si>
  <si>
    <t>Canada Rate (CAD)</t>
  </si>
  <si>
    <t>UK Rate (GBP)</t>
  </si>
  <si>
    <t>US (India) Rate (USD)</t>
  </si>
  <si>
    <t>Canada (India) Rate (CAD)</t>
  </si>
  <si>
    <t>UK (India) Rate (GBP)</t>
  </si>
  <si>
    <t>India (India) Rate (INR)</t>
  </si>
  <si>
    <t>Level</t>
  </si>
  <si>
    <t>F</t>
  </si>
  <si>
    <t>E</t>
  </si>
  <si>
    <t>D</t>
  </si>
  <si>
    <t>C</t>
  </si>
  <si>
    <t>B</t>
  </si>
  <si>
    <t>A</t>
  </si>
  <si>
    <t xml:space="preserve">B </t>
  </si>
  <si>
    <t xml:space="preserve">A </t>
  </si>
  <si>
    <t>India Rate (INR)</t>
  </si>
  <si>
    <t>This worksheet is for reference only.  No cells in this workbook reference this worksheet.</t>
  </si>
  <si>
    <t>Use Case</t>
  </si>
  <si>
    <t>Practice Lead</t>
  </si>
  <si>
    <t>Administrator</t>
  </si>
  <si>
    <t>Platform Architect</t>
  </si>
  <si>
    <t>Business Aanalyst</t>
  </si>
  <si>
    <t>Business analyst</t>
  </si>
  <si>
    <t>CSM Rollout</t>
  </si>
  <si>
    <t>CSM Deployment</t>
  </si>
  <si>
    <t>Background &amp; Objectives:</t>
  </si>
  <si>
    <t>PLEASE ADD A HIGH-LEVEL, BRIEF OVERVIEW OF THE PROJECT i.e.. Client is implementing a new ServiceNow instance to replace on On-prem Customer Service Desk. Phase 1 includes CSM and core integrations.</t>
  </si>
  <si>
    <t>Project Assumptions:</t>
  </si>
  <si>
    <t>LIST OVERALL PROJECT ASSUMPTIONS</t>
  </si>
  <si>
    <t>Out of Scope:</t>
  </si>
  <si>
    <t>LIST OUT OF SCOPE</t>
  </si>
  <si>
    <t>Target End Date (if any):</t>
  </si>
  <si>
    <t>Blended Rate</t>
  </si>
  <si>
    <t>OPEN QUESTIONS</t>
  </si>
  <si>
    <t>VR Only?</t>
  </si>
  <si>
    <t>Optional?</t>
  </si>
  <si>
    <t>Project Planning &amp; Baseline Creation</t>
  </si>
  <si>
    <t>Project Initiation</t>
  </si>
  <si>
    <t>PLAN</t>
  </si>
  <si>
    <t>Review Pre-Engagement Questionnaire response/ current state analysis</t>
  </si>
  <si>
    <t>Prepare Draft Design Approach for FMO1</t>
  </si>
  <si>
    <t>Current Instance Review</t>
  </si>
  <si>
    <t>Review the current state of Client's Production ServiceNow environment.</t>
  </si>
  <si>
    <t>Client has an existing ServiceNow instance.</t>
  </si>
  <si>
    <t>Foundation Workshops</t>
  </si>
  <si>
    <t>Kick off all workshops. Introduction to the platform and the way that Foundation Data works and the necessary collection of this information. Potential topic: Use Case Review</t>
  </si>
  <si>
    <t>Incident Management Workshop</t>
  </si>
  <si>
    <t>Walk through Incident Management and discuss process flows, assignments, and notifications.</t>
  </si>
  <si>
    <t>Problem Management Workshop</t>
  </si>
  <si>
    <t>Walk through Problem Management and discuss process flows, assignments, and notifications.</t>
  </si>
  <si>
    <t>Change Management Workshop</t>
  </si>
  <si>
    <t>Walk through Change Management and discuss process flows, assignments, categorizations, and notifications.</t>
  </si>
  <si>
    <t>Knowledge Management Workshop</t>
  </si>
  <si>
    <t>Walk through Knowledge Management and discuss process flows, assignments, categorizations, and notifications.</t>
  </si>
  <si>
    <t>Service Level Management Workshop</t>
  </si>
  <si>
    <r>
      <t xml:space="preserve">Discuss and define service targets for use with </t>
    </r>
    <r>
      <rPr>
        <sz val="9"/>
        <color rgb="FFFF0000"/>
        <rFont val="Arial"/>
        <family val="2"/>
      </rPr>
      <t>LIST APPLICATIONS</t>
    </r>
  </si>
  <si>
    <t>Request Management / Service Portal Workshop</t>
  </si>
  <si>
    <t>Discuss Service Portal Components and Request Requirements including Catalog(s) and Catalog Items.</t>
  </si>
  <si>
    <t>Asset Management / CMDB Workshop</t>
  </si>
  <si>
    <t>Discuss and determine the CMDB classes to be used along with the data that will be loaded into the system. Define CI relationship, data dependencies, and modules that will be using CMDB data.</t>
  </si>
  <si>
    <t>Contract Management Workshop</t>
  </si>
  <si>
    <t>Walk through Contract Management and discuss process flows,  contract types, contract lifecycles, and notifications.</t>
  </si>
  <si>
    <t>Mobile Functionality Workshop</t>
  </si>
  <si>
    <t>Walk through the default mobile functionality and map it to Client requirements.</t>
  </si>
  <si>
    <t>Reporting and Dashboards Workshop</t>
  </si>
  <si>
    <t>Discuss and evaluate the reports to be generated by ServiceNow.</t>
  </si>
  <si>
    <t>Only base level reporting will be reviewed, Performance Analytics is not in scope.</t>
  </si>
  <si>
    <t>Virtual Agent Workshop</t>
  </si>
  <si>
    <t>Walk through Virtual Agent functionality.</t>
  </si>
  <si>
    <t>Discovery Requirements Workshop</t>
  </si>
  <si>
    <t>Discuss and evaluate all discovery tools in use and walk through ServiceNow's IT Operation Management suite in order to document requirements</t>
  </si>
  <si>
    <t>Service Mapping Workshop</t>
  </si>
  <si>
    <t>Discuss and evaluate the Service Mapping application and walk through ServiceNow's IT Operation Management suite to document requirements
 - Service Graph Connector: XXXX</t>
  </si>
  <si>
    <t>Event Management Workshop</t>
  </si>
  <si>
    <t>Discuss and evaluate the Event Management application and walk through ServiceNow's IT Operation Management suite in order to document requirements</t>
  </si>
  <si>
    <t>Orchestration Workshop</t>
  </si>
  <si>
    <t>Discuss and evaluate the Orchestration application and walk through ServiceNow's IT Operation Management suite in order to document requirements</t>
  </si>
  <si>
    <t>Integrations Requirements Workshop</t>
  </si>
  <si>
    <t>Discuss all integrations and the mechanics that will be involved including use cases, data mappings, data sources/targets, and error handling.</t>
  </si>
  <si>
    <t>Integrations to be discussed:
&gt; User Data Feed
&gt; Single Sign On
&gt; List other integrations</t>
  </si>
  <si>
    <t>Legacy Ticket Data Workshop</t>
  </si>
  <si>
    <t>Walkthrough and discuss the Legacy data to be migrated from the Client's Legacy system to ServiceNow.</t>
  </si>
  <si>
    <t>Develop user stories and document acceptance criteria.</t>
  </si>
  <si>
    <t>Complete Upgrade Planning Checklist</t>
  </si>
  <si>
    <t>Complete NewRocket's best practice upgrade planning checklist which guides the entire process for preparing for the upgrade.</t>
  </si>
  <si>
    <t>Client will be going through an upgrade as a predecessor for starting this engagement.</t>
  </si>
  <si>
    <t>Clone Down Production</t>
  </si>
  <si>
    <t>Schedule a clone from Production to all non-Production instances to allow development in like environments</t>
  </si>
  <si>
    <t>System Provisioning &amp; Configuration</t>
  </si>
  <si>
    <t>Provision Service Now instances, initial system setup, as well as plugin activation/configuration.</t>
  </si>
  <si>
    <t>PeopleFeed Setup and Configuration</t>
  </si>
  <si>
    <t>Active Directory integration for user / group sync using default LDAP transform mappings supplied out of the box ("OOTB").</t>
  </si>
  <si>
    <t>Single Sign On ("SSO") Configuration</t>
  </si>
  <si>
    <t>Configure SSO in ServiceNow to work with one (1) external tool such as ADFS, Okta, SailPoint, Secure AUTH.</t>
  </si>
  <si>
    <t>Data Population &amp; Remediation</t>
  </si>
  <si>
    <t>Populate foundation data for the following items, (based on the FRD new modules may be required):
 - Company Data, Groups, Group Users, Categories, Sub-categories and Roles</t>
  </si>
  <si>
    <t>NewRocket will load data up to two (2) times, and Client will have an opportunity to review/remediate data after the first load.</t>
  </si>
  <si>
    <t>Email Setup and Configuration</t>
  </si>
  <si>
    <r>
      <t xml:space="preserve">Setup/Configure </t>
    </r>
    <r>
      <rPr>
        <sz val="10"/>
        <color rgb="FFFF0000"/>
        <rFont val="Calibri"/>
        <family val="2"/>
        <scheme val="minor"/>
      </rPr>
      <t>one (1)</t>
    </r>
    <r>
      <rPr>
        <sz val="10"/>
        <rFont val="Calibri"/>
        <family val="2"/>
        <scheme val="minor"/>
      </rPr>
      <t xml:space="preserve"> Email Mailbox</t>
    </r>
  </si>
  <si>
    <t>Client will be leveraging the Basic email setup.</t>
  </si>
  <si>
    <t>Load Knowledge Articles</t>
  </si>
  <si>
    <r>
      <t>Load up to</t>
    </r>
    <r>
      <rPr>
        <sz val="10"/>
        <color rgb="FFFF0000"/>
        <rFont val="Calibri"/>
        <family val="2"/>
        <scheme val="minor"/>
      </rPr>
      <t xml:space="preserve"> XX </t>
    </r>
    <r>
      <rPr>
        <sz val="10"/>
        <rFont val="Calibri"/>
        <family val="2"/>
        <scheme val="minor"/>
      </rPr>
      <t>knowledge articles. NewRocket is not responsible for content generation or formatting, and Client will provide Knowledge Articles in a format that can be loaded per NewRocket's instruction.</t>
    </r>
  </si>
  <si>
    <t>NewRocket will load data up to two (2) times, and Client will have an opportunity to review/remediate data after the first load.
NewRocket will not create any articles or attachments this a data loading only activity</t>
  </si>
  <si>
    <t>Upgrade</t>
  </si>
  <si>
    <t>Update</t>
  </si>
  <si>
    <t>Data Loads</t>
  </si>
  <si>
    <t>Legacy Ticket Migrations</t>
  </si>
  <si>
    <t>Migrate up to XXX records or XX months of [ticket…list types of records to be brought in] data from the legacy environment via data mappings
NewRocket will load data up to two (2) times, and Client will have an opportunity to review/remediate data after the first load.</t>
  </si>
  <si>
    <t>Auto-Assignment Configuration</t>
  </si>
  <si>
    <r>
      <t xml:space="preserve">Create auto-assignments for </t>
    </r>
    <r>
      <rPr>
        <sz val="9"/>
        <color rgb="FFFF0000"/>
        <rFont val="Arial"/>
        <family val="2"/>
      </rPr>
      <t>LIST APPLICATIONS</t>
    </r>
    <r>
      <rPr>
        <sz val="9"/>
        <color theme="1"/>
        <rFont val="Arial"/>
        <family val="2"/>
      </rPr>
      <t xml:space="preserve"> so that records are automatically routed to the proper users/groups.</t>
    </r>
  </si>
  <si>
    <t>Approval Configuration</t>
  </si>
  <si>
    <t xml:space="preserve">Create and load approvals for use during the various Change and Request Management approval stages. </t>
  </si>
  <si>
    <t>Incident Management Configuration</t>
  </si>
  <si>
    <t>Configure  Incident Management as defined during workshops, limited to:
&gt; Using the OOTB predefined process and flow of the ServiceNow Incident Management application and modules
&gt; Using the OOTB predefined interoperability and flow of the ServiceNow Incident Management application, interacting with change, problem, knowledge, service level management and portal
&gt;  Updating the Incident Table - up to ten (10) custom fields, up to two (2) business rule, up to two (2) UI actions, up to two (2) client scripts - to support a minimal change to the incident interface and workflow
&gt;  Configure list view of the incident form 
&gt;  Configuration of the OOTB related lists (parent / child), providing visibility to OOTB related lists.</t>
  </si>
  <si>
    <t>ITSM Agent Workspace Configuration</t>
  </si>
  <si>
    <t>Configurations around the ITSM Agent Workspace for Form and UI Behavior Updates</t>
  </si>
  <si>
    <t>Problem Management Configuration</t>
  </si>
  <si>
    <t>Configure  Problem Management as defined during workshops, limited to:
&gt; Using the OOTB predefined process and flow of the ServiceNow Problem Management application and modules
&gt; Using the OOTB predefined interoperability and flow of the ServiceNow Problem Management application, interacting with change, incident, knowledge, service level management and portal
&gt;  Updating the Problem Table - up to ten (10) custom fields, up to two (2) business rule, up to two (2) UI actions, up to two (2) client scripts - to support a minimal change to the problem interface and workflow
&gt;  Configure  list view of the problem form 
&gt;  Configuration of the OOTB related lists (parent / child), providing visibility to OOTB related lists.</t>
  </si>
  <si>
    <t>Change Management Configuration</t>
  </si>
  <si>
    <t>Configure Change Management as defined during workshops, limited to:
&gt; Using the OOTB predefined process and flow of the ServiceNow Change Management application and modules
&gt; Using the OOTB predefined interoperability and flow of the ServiceNow Change Management application, interacting with problem, incident, knowledge, service level management and portal
&gt;  Updating the Change Table - up to ten (10) custom fields, up to two (2) business rule, up to two (2) UI actions, up to two (2) client scripts - to support a minimal change to the incident interface and workflows for Normal, Emergency and Standard Changes
&gt;  Creating a up to two (2) stage approval process accommodating an individual user and group approval for normal change process
&gt;  Creating a up to one (1) stage approval process accommodating a group approval for emergency change process
&gt;  Configure list view of the change form 
&gt;  Configuration of the OOTB related lists (parent / child), providing visibility to OOTB related lists.</t>
  </si>
  <si>
    <t>Knowledge Management Configuration</t>
  </si>
  <si>
    <t>Configure Knowledge Management as defined in workshops, limited to:
&gt; Up to two (2) global knowledge bases - end user / customer and fulfiller - with up to two (2) user criteria
&gt; Setup up to one (1) knowledge management approval process, to a single Knowledge Management group, that allows a knowledge article to move into published
&gt; Enforce that a knowledge article has to be approved to be published</t>
  </si>
  <si>
    <t>Virtual Agent</t>
  </si>
  <si>
    <r>
      <t xml:space="preserve">Configure Virtual Agent for chat with up to </t>
    </r>
    <r>
      <rPr>
        <sz val="9"/>
        <color rgb="FFFF0000"/>
        <rFont val="Arial"/>
        <family val="2"/>
      </rPr>
      <t xml:space="preserve">XX </t>
    </r>
    <r>
      <rPr>
        <sz val="9"/>
        <rFont val="Arial"/>
        <family val="2"/>
      </rPr>
      <t xml:space="preserve">topics and </t>
    </r>
    <r>
      <rPr>
        <sz val="9"/>
        <color rgb="FFFF0000"/>
        <rFont val="Arial"/>
        <family val="2"/>
      </rPr>
      <t>XX</t>
    </r>
    <r>
      <rPr>
        <sz val="9"/>
        <rFont val="Arial"/>
        <family val="2"/>
      </rPr>
      <t xml:space="preserve"> questions per topic.</t>
    </r>
  </si>
  <si>
    <t>Request Management Configuration</t>
  </si>
  <si>
    <t>Perform Request Management configurations as captured in the workshops.</t>
  </si>
  <si>
    <t>Service Portal Branding</t>
  </si>
  <si>
    <t xml:space="preserve">Brand the Service Portal to contain client logo, color scheme, and imagery. </t>
  </si>
  <si>
    <t>Only OOTB widgets will be configured.</t>
  </si>
  <si>
    <t>Catalog Item Configuration - Low</t>
  </si>
  <si>
    <t xml:space="preserve">Create up to XX Low Complexity Unique Catalog Items with corresponding workflows for Request Management. </t>
  </si>
  <si>
    <t xml:space="preserve">Low Complexity Catalog items contain up to five (5) variables, do not have dynamic menus or dependent values, do not have more than 1 approval task, do not have scripted Approvals, up to two (2) UI Policies or Client Scripts and do not explicitly necessitate their own unique workflow.  Low Complexity Catalog Items typically have less than 5 total activities as part of their workflow, including one (1) task to fulfill the request. </t>
  </si>
  <si>
    <t>Catalog Item Configuration - Moderate</t>
  </si>
  <si>
    <t xml:space="preserve">Create up to XX Moderate Complexity Unique Catalog Items with corresponding workflows for Request Management. </t>
  </si>
  <si>
    <t>Moderate Complexity Catalog Items contain up to fifteen (15) variables, have dynamic data-driven menus or dependent values, have up to three (3)  Approval Steps or require scripted Approvals, and up to five (5) UI Policies or Client Scripts.  Moderate Complexity Catalog items typically require their own workflow, however still may share workflows depending on the use case.  Moderate Complexity Catalog Items typically have less than 10 total activities as part of their workflow, including up to six (6) tasks to fulfill the request.</t>
  </si>
  <si>
    <t>Catalog Item Configuration - High</t>
  </si>
  <si>
    <t>Create up to XX High Complexity Unique Catalog Items with corresponding workflows for Request Management.</t>
  </si>
  <si>
    <t>High Complexity Catalog Items contain up to twenty-five (25) variables, have dynamic data-driven menus or dependent values, have up to five (5) Approval Steps or require scripted Approvals, and up to ten (10) UI Policies or Client Scripts.  High Complexity Catalog Items require their own workflow and can have up to twenty (20) total activities, including up to ten (10) tasks as part of their workflow with multiple logic paths, to fulfill the request.</t>
  </si>
  <si>
    <t>SCCM Configuration</t>
  </si>
  <si>
    <t>Configure ServiceNow only for population by SCCM (excludes configuration of the source system)</t>
  </si>
  <si>
    <t>Client is licensed for the ServiceNow Graph Connector.</t>
  </si>
  <si>
    <t>Perform Asset / CMDB Data Load &amp; Remediation</t>
  </si>
  <si>
    <t>Once the mappings are developed, perform the initial data load and verify normalization and reconciliation.
&gt; Up to one (1) single import file of data - no truncation or work with governance limits from the source system / file
NewRocket will load data up to two (2) times, and Client will have an opportunity to review/remediate data after the first load.</t>
  </si>
  <si>
    <t>CMDB Normalization &amp; Reconciliation Configuration</t>
  </si>
  <si>
    <r>
      <t xml:space="preserve">Develop </t>
    </r>
    <r>
      <rPr>
        <sz val="9"/>
        <color rgb="FFFF0000"/>
        <rFont val="Arial"/>
        <family val="2"/>
      </rPr>
      <t xml:space="preserve">up to XX </t>
    </r>
    <r>
      <rPr>
        <sz val="9"/>
        <color theme="1"/>
        <rFont val="Arial"/>
        <family val="2"/>
      </rPr>
      <t>Normalization mappings and reconciliation rules.</t>
    </r>
  </si>
  <si>
    <t>Create Transform Maps for Asset Loads</t>
  </si>
  <si>
    <t>Create up to XX transform maps</t>
  </si>
  <si>
    <t>Asset Management / CMDB Configuration</t>
  </si>
  <si>
    <t>Configure Asset Management as defined in workshops limited to:
&gt; Leverage the OOTB CMDB classes and OOTB Asset Model mappings
&gt; Mapping up to fifteen (15) fields with like for like data from the source system / file to the fields in ServiceNow - a unique identifier from the source system / file must be available
&gt; Leverage the OOTB lifecycle and interdependencies from ServiceNow for CI and Asset</t>
  </si>
  <si>
    <t>Contract Management Configuration</t>
  </si>
  <si>
    <t>Configure Contract Management as defined during workshops, limited to:
&gt; Using the OOTB predefined process and flow of the ServiceNow Contract Management application and modules
&gt; Using the OOTB predefined interoperability and flow of the ServiceNow Contract Management application, interacting with other in-scope applications.
&gt;  Updating the Contract Table - up to ten (10) custom fields, up to two (2) business rule, up to two (2) UI actions, up to two (2) client scripts - to support a minimal change to the incident interface and workflow
&gt;  Configure  list view of the Contract form 
&gt;  Configuration of the OOTB related lists (parent / child), providing visibility to OOTB related lists.</t>
  </si>
  <si>
    <t>Develop Integrations</t>
  </si>
  <si>
    <t xml:space="preserve">Develop the following integrations with ServiceNow:
&gt; 
&gt; 
&gt; </t>
  </si>
  <si>
    <t>MID Server Setup</t>
  </si>
  <si>
    <r>
      <t xml:space="preserve">Assist Client with installation and configuration of up to </t>
    </r>
    <r>
      <rPr>
        <sz val="9"/>
        <color rgb="FFFF0000"/>
        <rFont val="Arial"/>
        <family val="2"/>
      </rPr>
      <t>XX</t>
    </r>
    <r>
      <rPr>
        <sz val="9"/>
        <color theme="1"/>
        <rFont val="Arial"/>
        <family val="2"/>
      </rPr>
      <t xml:space="preserve"> MID server(s) required for data loading and integrations.  
This is assistance in configuration of the MID server connection within ServiceNow. Client will be responsible for any hardware provisioning or installations steps outside of ServiceNow.</t>
    </r>
  </si>
  <si>
    <t>Configure and Deploy ServiceNow Discovery</t>
  </si>
  <si>
    <t>Define and Configure Discovery:
&gt; Windows\Linux Servers, AIX, LB &amp; Network, VMware, Storage, Database devices
&gt; Behaviors
&gt; IP Range
&gt; Credentials</t>
  </si>
  <si>
    <t>Scan Schedule Creation</t>
  </si>
  <si>
    <t>Design up to twenty (20) Discovery schedules:
&gt; Target up to two (2) Customer datacenters
&gt; Range Sets, Frequency's
&gt; Pilot Discovery for Server, Workstation, Virtual, Network,, Storage</t>
  </si>
  <si>
    <t>Business Rules Creation</t>
  </si>
  <si>
    <t xml:space="preserve">Create up to four (4) Discovery Business Rules. </t>
  </si>
  <si>
    <r>
      <t xml:space="preserve">Cloud Discovery </t>
    </r>
    <r>
      <rPr>
        <sz val="9"/>
        <color rgb="FFFF0000"/>
        <rFont val="Arial"/>
        <family val="2"/>
      </rPr>
      <t>(AWS\AZURE)</t>
    </r>
  </si>
  <si>
    <t xml:space="preserve">Define and Configure Cloud Discovery:
&gt; Target AWS accounts for resource discovery
&gt; Infra, RDS, EKS, S3, EC2 services </t>
  </si>
  <si>
    <r>
      <t xml:space="preserve">Service Graph Connector - </t>
    </r>
    <r>
      <rPr>
        <sz val="9"/>
        <color rgb="FFFF0000"/>
        <rFont val="Arial"/>
        <family val="2"/>
      </rPr>
      <t>Microsoft Intune</t>
    </r>
  </si>
  <si>
    <r>
      <t>Deploy and configure Service Graph connector for one (1) instance of</t>
    </r>
    <r>
      <rPr>
        <sz val="9"/>
        <color rgb="FFFF0000"/>
        <rFont val="Arial"/>
        <family val="2"/>
      </rPr>
      <t xml:space="preserve"> XXX</t>
    </r>
    <r>
      <rPr>
        <sz val="9"/>
        <color theme="1"/>
        <rFont val="Arial"/>
        <family val="2"/>
      </rPr>
      <t xml:space="preserve">
&gt; Setup -instance and authentication
&gt; Data Mapping four up to 10 classes
&gt; sync schedule</t>
    </r>
  </si>
  <si>
    <t>Configure and Deploy Service Mapping</t>
  </si>
  <si>
    <r>
      <t xml:space="preserve">Creation of Deployment of up to </t>
    </r>
    <r>
      <rPr>
        <b/>
        <sz val="9"/>
        <color rgb="FFFF0000"/>
        <rFont val="Arial"/>
        <family val="2"/>
      </rPr>
      <t>XX</t>
    </r>
    <r>
      <rPr>
        <sz val="9"/>
        <color theme="1"/>
        <rFont val="Arial"/>
        <family val="2"/>
      </rPr>
      <t xml:space="preserve"> Business Service Models: 
- Business Services are estimated at Medium (Moderate) Sizing
- Each Business Service will need to be fully qualified  and document in the "Service Mapping Business Service Data Gathering Questionnaire" document prior to deployment
NOTE:  The level of detail defined in the Service Mapping Questionnaire may increase the time associated with building each Business Service mapping, therefore a change request may be required to associate additional time with this task</t>
    </r>
  </si>
  <si>
    <t>Configure Event Management Connectors</t>
  </si>
  <si>
    <t xml:space="preserve">Assumption per Ensono - no new Connectors 
--------------------------------------------------------------
Configure instance connection and definition for up to seven (7) Monitoring tools( BMC TrueSight, Entity, Datadog, Vcenter, CA Automation Point, NetApp OCI, Ironstream)
OOB Connectors:
&gt; EM connection are limited to out of box instance Definitions. 
&gt; BMC TrueSight, Vcenter, Datadog
Custom Connectors: 
&gt;Design and build Push(Webservice) connector from Monitoring source . 
&gt; CA Automation Point, NetApp OCI, IronStream
</t>
  </si>
  <si>
    <t>Event Rule design</t>
  </si>
  <si>
    <t>Assumption per Ensono - no new Connectors 
--------------------------------------------------------------
Configure and build Event Management Rules for Events and Alerts
&gt; Create and configure up to ten (60) event rules
&gt; Create and configure up to ten (10) event field mappings</t>
  </si>
  <si>
    <t>Alert Rule design</t>
  </si>
  <si>
    <t>Assumption per Ensono - no new Connectors 
--------------------------------------------------------------
Configure and build Event Management Rules for Events and Alert
&gt; Create and configure up to twenty (20) Alert Management rules
&gt; Configure Maintenance windows for Alerts
&gt; KB article matching to Alert</t>
  </si>
  <si>
    <t>Flow Designer - Orchestration</t>
  </si>
  <si>
    <t xml:space="preserve">Assumption per Ensono - no new Flows, just migration of new customers 
--------------------------------------------------------------
Configure and build automated Action tasks for Alerts.  Build and Design up to three (3) Flows to interact with third party tools( i.e. request server logs, restart Win\Linux Service)
- create up to six (6) Flows:  Alert Management
- create up to one (1) Subflow Flows:
</t>
  </si>
  <si>
    <t>Configure Service Level Agreements ("SLAs")</t>
  </si>
  <si>
    <r>
      <t xml:space="preserve">Implement  SLAs as defined during workshops limited to:
&gt; Using the OOTB predefined process, and configuration of the Service Level Management Application
&gt;  Up to eight (8) simple SLAs - up to four (4) response and up to four (4) resolution driven from a up to four (4) tiered priority level - these will contain start, stop, closed and cancelled conditions based on the OOTB status field
&gt; </t>
    </r>
    <r>
      <rPr>
        <sz val="10"/>
        <color rgb="FFFF0000"/>
        <rFont val="Calibri"/>
        <family val="2"/>
        <scheme val="minor"/>
      </rPr>
      <t>Incident Management</t>
    </r>
    <r>
      <rPr>
        <sz val="10"/>
        <rFont val="Calibri"/>
        <family val="2"/>
        <scheme val="minor"/>
      </rPr>
      <t xml:space="preserve"> SLAs only
</t>
    </r>
  </si>
  <si>
    <t>Configure Mobile Functionality</t>
  </si>
  <si>
    <r>
      <t xml:space="preserve">Configure the mobile applications as determined from the workshops. Limit to creating </t>
    </r>
    <r>
      <rPr>
        <sz val="10"/>
        <color rgb="FFFF0000"/>
        <rFont val="Calibri"/>
        <family val="2"/>
        <scheme val="minor"/>
      </rPr>
      <t>5</t>
    </r>
    <r>
      <rPr>
        <sz val="10"/>
        <rFont val="Calibri"/>
        <family val="2"/>
        <scheme val="minor"/>
      </rPr>
      <t xml:space="preserve"> new applets and launchers.</t>
    </r>
  </si>
  <si>
    <t>Notification Enablement / Configuration</t>
  </si>
  <si>
    <r>
      <t xml:space="preserve">Enable/Disable OOTB Notifications for the in-scope applications based on workshop results. Modify content variables and conditions, and create </t>
    </r>
    <r>
      <rPr>
        <sz val="9"/>
        <color rgb="FFFF0000"/>
        <rFont val="Arial"/>
        <family val="2"/>
      </rPr>
      <t>XX</t>
    </r>
    <r>
      <rPr>
        <sz val="9"/>
        <color theme="1"/>
        <rFont val="Arial"/>
        <family val="2"/>
      </rPr>
      <t xml:space="preserve"> branding templates.</t>
    </r>
  </si>
  <si>
    <t>Dashboard &amp; Reports Buildout</t>
  </si>
  <si>
    <r>
      <t xml:space="preserve">NewRocket will create/update up to </t>
    </r>
    <r>
      <rPr>
        <sz val="10"/>
        <color rgb="FFFF0000"/>
        <rFont val="Calibri"/>
        <family val="2"/>
        <scheme val="minor"/>
      </rPr>
      <t xml:space="preserve">XX </t>
    </r>
    <r>
      <rPr>
        <sz val="10"/>
        <rFont val="Calibri"/>
        <family val="2"/>
        <scheme val="minor"/>
      </rPr>
      <t xml:space="preserve">dashboards and up to </t>
    </r>
    <r>
      <rPr>
        <sz val="10"/>
        <color rgb="FFFF0000"/>
        <rFont val="Calibri"/>
        <family val="2"/>
        <scheme val="minor"/>
      </rPr>
      <t>XX</t>
    </r>
    <r>
      <rPr>
        <sz val="10"/>
        <rFont val="Calibri"/>
        <family val="2"/>
        <scheme val="minor"/>
      </rPr>
      <t xml:space="preserve"> non-Performance Analytics reports for the </t>
    </r>
    <r>
      <rPr>
        <sz val="10"/>
        <color rgb="FFFF0000"/>
        <rFont val="Calibri"/>
        <family val="2"/>
        <scheme val="minor"/>
      </rPr>
      <t>LIST MODULES</t>
    </r>
    <r>
      <rPr>
        <sz val="10"/>
        <rFont val="Calibri"/>
        <family val="2"/>
        <scheme val="minor"/>
      </rPr>
      <t xml:space="preserve"> applications.</t>
    </r>
  </si>
  <si>
    <t>Sprint Demos &amp; Unit Testing</t>
  </si>
  <si>
    <t>Conduct unit testing and end of sprint demos to show functionality.</t>
  </si>
  <si>
    <t>THIS IS FORMULA DRIVEN - 15% (changeable below)</t>
  </si>
  <si>
    <t>Agile</t>
  </si>
  <si>
    <t>Testing Steps and Demo</t>
  </si>
  <si>
    <t>Update the backlog to reflect high--level test steps to validate functionality. Test steps to validate business process is Client's responsibility. Demo functionality to Client testers ahead of UAT.</t>
  </si>
  <si>
    <t>Migration to UAT Environment</t>
  </si>
  <si>
    <t>Migrate the configurations made in Development to the UAT environment.</t>
  </si>
  <si>
    <t>Test the changes in a pre-prod instance and be available during Client UAT for immediate remediation of any issues. NewRocket will support UAT by remediating prioritized defects and providing high-level explanations of the applications and associated workflow to individuals tasked to test the system operation. UAT issues will be triaged and assigned one of the following types:
1.	Defect: there is a flaw with the configuration, which NewRocket will correct
2.	Training: the issue is due to a tester misunderstanding of functionality and will be corrected via training/education
3.	Enhancement: the issue submitted is not functionality that was agreed upon in the FRO and was therefore never configured and is out of scope
All resolved defects would then be retested to ensure completeness of the resolution. Testing will be done on the in-scope ServiceNow applications, processes, workflows, and integrations. 
NewRocket assumes UAT will be staffed by one (1) full-time resource for up to four (4) consecutive weeks. Additional resources will decrease the duration of UAT or will require a Change Request</t>
  </si>
  <si>
    <t>UAT Support - ITOM</t>
  </si>
  <si>
    <r>
      <t xml:space="preserve">Create the training materials for </t>
    </r>
    <r>
      <rPr>
        <sz val="10"/>
        <color rgb="FFFF0000"/>
        <rFont val="Calibri"/>
        <family val="2"/>
        <scheme val="minor"/>
      </rPr>
      <t>LIST APPLICATIONS</t>
    </r>
    <r>
      <rPr>
        <sz val="10"/>
        <rFont val="Calibri"/>
        <family val="2"/>
        <scheme val="minor"/>
      </rPr>
      <t xml:space="preserve">. </t>
    </r>
  </si>
  <si>
    <t>• Training Materials will be limited to Quick Reference Guides (QRG)
• Training Materials will be in English and any other languages will be done by the Client</t>
  </si>
  <si>
    <t>Create Guided Tour</t>
  </si>
  <si>
    <t>Create New Guided Tour for the Service Portal. Guide the user on first login, showing the basics of navigation and Service Portal features, including accessing their User Preferences to select time zone settings.</t>
  </si>
  <si>
    <r>
      <t xml:space="preserve">Perform </t>
    </r>
    <r>
      <rPr>
        <sz val="10"/>
        <color rgb="FFFF0000"/>
        <rFont val="Calibri"/>
        <family val="2"/>
        <scheme val="minor"/>
      </rPr>
      <t xml:space="preserve">LIST APPLICATIONS </t>
    </r>
    <r>
      <rPr>
        <sz val="10"/>
        <rFont val="Calibri"/>
        <family val="2"/>
        <scheme val="minor"/>
      </rPr>
      <t xml:space="preserve">training for end-users.  </t>
    </r>
  </si>
  <si>
    <t>• Trainings will be done via Train the Trainer Method
• Training will be done remotely
• Training will be provided in English</t>
  </si>
  <si>
    <t>Service Catalog Admin Training</t>
  </si>
  <si>
    <t>Perform training of service catalog buildout to include at least one catalog item build for administrators.</t>
  </si>
  <si>
    <t xml:space="preserve">• </t>
  </si>
  <si>
    <t>Establish a plan for rollout including timing and recommendations for when to communicate to end users.</t>
  </si>
  <si>
    <t>Discovery Rollout</t>
  </si>
  <si>
    <t>Discovery roll out to the production environment</t>
  </si>
  <si>
    <t>Service Mapping Rollout</t>
  </si>
  <si>
    <t>Service Mapping roll out to the production environment</t>
  </si>
  <si>
    <t>Orchestration Rollout</t>
  </si>
  <si>
    <t>Orchestration  roll out to the production environment</t>
  </si>
  <si>
    <t>Event Management Rollout</t>
  </si>
  <si>
    <t>Event Management  roll out to the production environment</t>
  </si>
  <si>
    <t>ITOM - Documentation Updates</t>
  </si>
  <si>
    <t>Support for two (2) consecutive weeks post-release to resolve any defects associated with NewRocket configuration.</t>
  </si>
  <si>
    <t>ITOM - Technical Knowledge Transfer</t>
  </si>
  <si>
    <t>ITOM - Post production support</t>
  </si>
  <si>
    <t>OPTIONAL - Principal Business Process Architect</t>
  </si>
  <si>
    <t>Ongoing practice lead oversight from a Practice Lead to guide on best practices and senior industry leadership.</t>
  </si>
  <si>
    <t>OPTIONAL - Chief Architect</t>
  </si>
  <si>
    <t xml:space="preserve">Ongoing senior architectural oversight from a Chief Architect to guide and advise on platform and architectural elements. </t>
  </si>
  <si>
    <t>Maintain project objectives and timelines by providing oversight throughout the lifecycle of the project</t>
  </si>
  <si>
    <t>Lead Business Process Architect Oversight. Provide technical guidance and oversight throughout the lifecycle of the project</t>
  </si>
  <si>
    <t>Provide technical guidance and oversight throughout the lifecycle of the project</t>
  </si>
  <si>
    <t>UPFRONT PAYMENT</t>
  </si>
  <si>
    <t>Oversight</t>
  </si>
  <si>
    <t>Percentage</t>
  </si>
  <si>
    <t>Agile Tax</t>
  </si>
  <si>
    <t xml:space="preserve">One Time Discount </t>
  </si>
  <si>
    <t>Upfront Payment</t>
  </si>
  <si>
    <t>Resource</t>
  </si>
  <si>
    <t>Estimated Hours</t>
  </si>
  <si>
    <t>Rate / Hour</t>
  </si>
  <si>
    <t>General Project Assumptions</t>
  </si>
  <si>
    <t>1.1      Specific Project Use Case Assumptions</t>
  </si>
  <si>
    <t xml:space="preserve">1.      Upon execution of the SOW, NewRocket may require up to 20 business days to identify and schedule resources for this project.   </t>
  </si>
  <si>
    <t>1.      No mandatory training will be required for this engagement.</t>
  </si>
  <si>
    <t>2.      Prior to the start of the project, Nelnet’s functional and technical resources will have completed the appropriate ServiceNow training.  NewRocket is available to recommend the appropriate training.</t>
  </si>
  <si>
    <t>2.      Nelnet has identified their implementation team and communicated that team to NewRocket.</t>
  </si>
  <si>
    <t>3.      At the start of this project, Nelnet will have current and valid licenses to all required third party software applications, necessary or appropriate for the configuration and implementation services contemplated by this SOW, including, but not limited to the ServiceNow software.</t>
  </si>
  <si>
    <t>3.      Each sprint will have one (1) hour for story grooming and sprint planning and one (1) hour for demonstrations and one (1) hour for questions and answers per sprint</t>
  </si>
  <si>
    <t>4.      Nelnet will provide the appropriate functional and technical resource to support NewRocket in the effort outlined in this SOW.</t>
  </si>
  <si>
    <t xml:space="preserve">4.      Throughout the solution, OOTB permissions and roles will be used. </t>
  </si>
  <si>
    <t>5.      Nelnet functional and technical management resources are responsible for coordinating and driving the decision-making process within Nelnet’s organization.</t>
  </si>
  <si>
    <t>5.      For all data loads, NewRocket will provide the templates from ServiceNow and Nelnet will populate it.</t>
  </si>
  <si>
    <t xml:space="preserve">6.      Nelnet’s stakeholders will be available within two (2) business days during this project for meetings to capture requirements, review iterations of the solution during development and return with answers to any questions. Delays greater than two (2) business days may affect the project budget and/or schedule and result in a change request. In the event of delays greater than five (5) business days, NewRocket may reassign project resources to other projects. </t>
  </si>
  <si>
    <t>6.      Authoritative Documents and Citations will be used OOTB.</t>
  </si>
  <si>
    <t xml:space="preserve">7.      Workshops and meetings may be performed remotely via online meetings as the project team is geographically diverse. Any onsite services will be subject to expense reimbursement.  </t>
  </si>
  <si>
    <t xml:space="preserve">7.      Only meta-data (fields which do not impact workflow, permissions, or calculations) will be updated. </t>
  </si>
  <si>
    <t xml:space="preserve">8.      All necessary Nelnet functional and technical representatives that fully understand the business processes and requirements will be present during the workshops. Any additional effort required by NewRocket to facilitate the requirement gathering process is not in scope of this SOW.  </t>
  </si>
  <si>
    <t xml:space="preserve">8.      OOTB workflow for ALL IRM components will be used and no changes will be made to the workflow or states. </t>
  </si>
  <si>
    <t>9.      No ‘clone-backs’ will be performed between PROD and Non-PROD environments. If ‘clone-backs’ are performed, the project budget and/or schedule may be affected and require a change request to address unanticipated re-work.</t>
  </si>
  <si>
    <t>9.      Loading of legacy data is out of scope.</t>
  </si>
  <si>
    <t>10.   No platform or use case plug-in upgrades will be performed during the project. If any are performed, the project budget and/or schedule may be affected and require a change request to address unanticipated re-work.</t>
  </si>
  <si>
    <t>10.    Notifications will have no additional recipients or logic.  Changes will be made to wording only.</t>
  </si>
  <si>
    <t>11.   Nelnet will provide process diagram(s) so that current processes may be reviewed.</t>
  </si>
  <si>
    <t>11.   Nelnet has concept of "assessable objects" that can be aligned to ServiceNow function of entities and to which controls can be applied.</t>
  </si>
  <si>
    <t>12.   Development of user stories will serve as the primary requirements definition mechanism. Nelnet’s process owners will be responsible for story definition and acceptance criteria with support from NewRocket.</t>
  </si>
  <si>
    <t>12.   Up to three (3) entity types and profiles will be created"</t>
  </si>
  <si>
    <t xml:space="preserve">13.   NewRocket will use ServiceNow to manage the stories and sprints, which will be hosted in Nelnet’s production environment. </t>
  </si>
  <si>
    <t>13.   Control Libraries exist and are in a standardized format to be used within ServiceNow</t>
  </si>
  <si>
    <t>14.   Nelnet has documented the relationship between control libraries and asset library already.</t>
  </si>
  <si>
    <t>14.   The number of sprints will be based on the workshops and user stories. The number of sprints in this SOW is merely an estimate and is based on a typical deployment of identified ServiceNow modules. Some sprints may proceed in parallel based on use case and resource availability.</t>
  </si>
  <si>
    <t>Single approval level for Issues will be applied consistently across Issue types.  Automated identifier of an approver will involve no more than one (1) condition.</t>
  </si>
  <si>
    <t xml:space="preserve">15.   Build estimates are based on staying within the OOTB configurations available from ServiceNow. ServiceNow provides a great deal of flexibility within these capabilities. Any requirements that go outside of typical ServiceNow configuration may affect the project schedule and/or budget and result in a change request.  </t>
  </si>
  <si>
    <t xml:space="preserve">The Design Approach document in not intended to document OOTB functionality and does not capture technical configuration changes. </t>
  </si>
  <si>
    <t>16.   Any requirements that go outside of typical ServiceNow configuration that could limit upgrades or add administration complexity will be raised for Nelnet’s approval before being implemented.</t>
  </si>
  <si>
    <t>One attestation template will be generated to apply to controls.</t>
  </si>
  <si>
    <t>17.   Build sprint durations assume QA and technical testing activities will be performed as part of each sprint. ServiceNow ATF test cases are out of scope for this project.</t>
  </si>
  <si>
    <t>Risks will be assessed using a qualitative methodology.  
Risk Assessments will use Standard Risk Assessments within ServiceNow.</t>
  </si>
  <si>
    <t>18.   NewRocket will use its own templates for the Design Approach document, SDP and any other documents.</t>
  </si>
  <si>
    <t>19.   NewRocket will follow its own SDLC and the SIM.</t>
  </si>
  <si>
    <t>20.   During testing in UAT, testing will be performed against the in-scope user stories and acceptance criteria. Any assumptions, inferences, or expectations of behavior are considered new requirements.</t>
  </si>
  <si>
    <t xml:space="preserve">21.   Nelnet will be responsible for writing any necessary test plans or scripts.  </t>
  </si>
  <si>
    <t xml:space="preserve">22.   NewRocket will provide one (1) configuration change package containing the fixes for any defects identified during UAT.  </t>
  </si>
  <si>
    <t xml:space="preserve">23.   NewRocket will conduct one (1) knowledge transfer session to Nelnet in preparation for UAT. NewRocket will not be delivering training or developing any training materials as part of this project.  </t>
  </si>
  <si>
    <t xml:space="preserve">24.   Once the SOW is approved, additions to the number of applications in the solution or the number of participants or stages to the approval workflow will impact the schedule and budget and result in a change request.  </t>
  </si>
  <si>
    <t>25.   NewRocket will provide basic technical knowledge transfer on deployed solutions. Nelnet’s ServiceNow platform team will be responsible for production support of solutions after production release.  Nelnet will be responsible for developing any training materials and for training users.</t>
  </si>
  <si>
    <t>26.   Nelnet will ensure that internal ServiceNow DEV and TEST environments will be in place at the start of the project that will be used for development and test activities with the appropriate ServiceNow modules installed. NewRocket can assist with module setup if necessary.</t>
  </si>
  <si>
    <t>27.   Nelnet will provide NewRocket with access including appropriate rights to Nelnet’s ServiceNow non-PROD environments.</t>
  </si>
  <si>
    <t xml:space="preserve">28.   NewRocket will perform all development work remotely.  </t>
  </si>
  <si>
    <t>29.   Nelnet will use the following ServiceNow release: San Diego.</t>
  </si>
  <si>
    <t xml:space="preserve">30.   Nelnet will use the latest versions of ServiceNow solutions (i.e., applications, plugins) available from the ServiceNow store as of the date of the first installation in Nelnet’s DEV environment.  NewRocket will record the versions installed in the DEV environment during the installation process to baseline the versions to be used for the duration of the project.  Any upgrades to newer versions of the applications or plugins during the project will be considered out of scope and subject to a change request.  </t>
  </si>
  <si>
    <t xml:space="preserve">31.   Nelnet’s PM will be responsible for coordinating all required internal change management processes necessary for migrating solutions to PROD. Nelnet’s ServiceNow platform team will handle required change management processes and migration of update sets to PROD. NewRocket developers will not have administrative access to PROD environment.  </t>
  </si>
  <si>
    <t>32.   All materials will be provided in the English language only.</t>
  </si>
  <si>
    <t xml:space="preserve">33.   All services under this SOW will be performed during regular business hours from 9 am to 5 pm Eastern Time. If required, NewRocket and Nelnet will mutually agree to work outside of these regular business hours during key project activities.  </t>
  </si>
  <si>
    <t xml:space="preserve">34.   The project will be delivered by NewRocket in a contiguous fashion. Nelnet and NewRocket are jointly responsible for maintaining this timeframe.  </t>
  </si>
  <si>
    <t>35.   Should any additional services be required or requested beyond those noted to address the scope outline in this SOW, NewRocket will work with Nelnet to mutually agree upon and define such services as part of an additional SOW or change request.</t>
  </si>
  <si>
    <t>#</t>
  </si>
  <si>
    <t>Milestone</t>
  </si>
  <si>
    <t>Payment</t>
  </si>
  <si>
    <t>Signature of SOW</t>
  </si>
  <si>
    <t>Completion of draft Design Approach document or four (4) weeks from project kickoff meeting, whichever is earlier</t>
  </si>
  <si>
    <t>Completion of Sprint #3 or 10 weeks from project kickoff meeting, whichever is earlier</t>
  </si>
  <si>
    <t>Migration from DEV to UAT or 16 weeks from project kickoff meeting, whichever is earlier</t>
  </si>
  <si>
    <t>Migration from UAT to PROD or 20 weeks from project kickoff meeting, whichever is earlier</t>
  </si>
  <si>
    <t>Total Project Services</t>
  </si>
  <si>
    <t>Estimated Travel Expenses</t>
  </si>
  <si>
    <t>Grand Total</t>
  </si>
  <si>
    <t>Onshore / Offshore</t>
  </si>
  <si>
    <t>Published Rate</t>
  </si>
  <si>
    <t>Discounted Rate</t>
  </si>
  <si>
    <t>Engineer - UAT</t>
  </si>
  <si>
    <t>Program Manager</t>
  </si>
  <si>
    <t>Chief Designer</t>
  </si>
  <si>
    <t>Principal Designer</t>
  </si>
  <si>
    <t>Lead Designer</t>
  </si>
  <si>
    <t>Staff Designer</t>
  </si>
  <si>
    <t>IRM/SecOps</t>
  </si>
  <si>
    <t>Flat Cost</t>
  </si>
  <si>
    <t>Security Incident Response</t>
  </si>
  <si>
    <t>e-mail Parsing</t>
  </si>
  <si>
    <t>Document and configure three (3) e-mail parsing rules using drop down values available from existing ServiceNow tables.</t>
  </si>
  <si>
    <t>No scripting will be developed</t>
  </si>
  <si>
    <t>All</t>
  </si>
  <si>
    <t>New Rocket Launch Pad</t>
  </si>
  <si>
    <t>Currency:</t>
  </si>
  <si>
    <t>Platform:</t>
  </si>
  <si>
    <t>Contract Type:</t>
  </si>
  <si>
    <t>Partner:</t>
  </si>
  <si>
    <t>Phase:</t>
  </si>
  <si>
    <t>Bill Type</t>
  </si>
  <si>
    <t>Use Case(s):</t>
  </si>
  <si>
    <t>Workflow Types</t>
  </si>
  <si>
    <t>SOW Roles</t>
  </si>
  <si>
    <t>Program Director</t>
  </si>
  <si>
    <t>IT Service Management</t>
  </si>
  <si>
    <t>ITAM</t>
  </si>
  <si>
    <t>Non-Billable - Onshore</t>
  </si>
  <si>
    <t>IT Operations Management</t>
  </si>
  <si>
    <t>SAM</t>
  </si>
  <si>
    <t>Non-Billable - Offshore</t>
  </si>
  <si>
    <t>Strategic Portfolio Management</t>
  </si>
  <si>
    <t>ITx Chief Business Process Architect</t>
  </si>
  <si>
    <t>IT Asset Management</t>
  </si>
  <si>
    <t>Policy and Compliance</t>
  </si>
  <si>
    <t>ITx Business Analyst</t>
  </si>
  <si>
    <t>Risk</t>
  </si>
  <si>
    <t>Audit</t>
  </si>
  <si>
    <t>ITx Solution Architect</t>
  </si>
  <si>
    <t>Vendor Risk Management</t>
  </si>
  <si>
    <t>Business Continuity</t>
  </si>
  <si>
    <t>ITx Lead Engineer</t>
  </si>
  <si>
    <t>Vulnerability Response</t>
  </si>
  <si>
    <t>Configuration Compliance</t>
  </si>
  <si>
    <t>HR Workflow</t>
  </si>
  <si>
    <t>Customer Workflow</t>
  </si>
  <si>
    <t>Design (UI/UX)</t>
  </si>
  <si>
    <t>OLD</t>
  </si>
  <si>
    <t>Direct Labor (Title)</t>
  </si>
  <si>
    <t>Fully Loaded Cost Per Hour (CAD)</t>
  </si>
  <si>
    <t>Fully Loaded Cost Per Hour (USD)</t>
  </si>
  <si>
    <t>Work Breakdown Structure</t>
  </si>
  <si>
    <t>Timeline</t>
  </si>
  <si>
    <t>Task ID</t>
  </si>
  <si>
    <t>Stage</t>
  </si>
  <si>
    <t>Task / Activity</t>
  </si>
  <si>
    <t>Deliverable</t>
  </si>
  <si>
    <t>Dependency</t>
  </si>
  <si>
    <t>Notes/ Comments</t>
  </si>
  <si>
    <t>TOTAL COST</t>
  </si>
  <si>
    <t>TOTAL REVENUE</t>
  </si>
  <si>
    <t>1-1</t>
  </si>
  <si>
    <t>Setup project</t>
  </si>
  <si>
    <t>Project setup, assigned project team members and completed internal project kickoff meeting.</t>
  </si>
  <si>
    <t>Should consider time to complete sales to delivery handover, set up of project in Mavenlink, SharePoint and  teams site, time to review SOW and TDATE.</t>
  </si>
  <si>
    <t>1-2</t>
  </si>
  <si>
    <t>Conduct project planning</t>
  </si>
  <si>
    <t>Initial co-developed draft project plan and agreement on governance process that will be used for project delivery with client PM.</t>
  </si>
  <si>
    <t xml:space="preserve">Should consider time to have a PM introduction call and initial conversations regarding logistics. 
Should assume Iceberg SSDLC process will be utilized, unless otherwise agreed during sales cycle. If other arrangements were made this should be well documented.
Should consider time to internally align on the project plan and governance as well as with the client PM. </t>
  </si>
  <si>
    <t>1-3</t>
  </si>
  <si>
    <t>Coordinate onboarding of team members to client environments</t>
  </si>
  <si>
    <t>Coordination with client PM to arrange Iceberg access to client's environment(s).</t>
  </si>
  <si>
    <t xml:space="preserve">Should consider time to have a PM introduction call and initial conversations regarding logistics and any time needed to arrange for access and complete client on-boarding processes including mandatory client training. </t>
  </si>
  <si>
    <t>1-4</t>
  </si>
  <si>
    <t>Conduct executive sponsor visioning and objective setting meeting</t>
  </si>
  <si>
    <t>Executive sponsor visioning meeting to review immediate and long-term plans. The outcome of the meeting are clear project outcomes and success criteria for immediate delivery and a vision of the desired state.</t>
  </si>
  <si>
    <t xml:space="preserve">Should include time for PM and SC to meet with AM and executive sponsor. Should allocate time to prep and de-brief. </t>
  </si>
  <si>
    <t>1-5</t>
  </si>
  <si>
    <t>Prepare for project kickoff meeting</t>
  </si>
  <si>
    <t>Project kickoff slide deck and dry run with client PM.</t>
  </si>
  <si>
    <t>1-6</t>
  </si>
  <si>
    <t>Conduct project kickoff meeting</t>
  </si>
  <si>
    <t>Formal project kickoff meeting to review goals and objectives, scope, engagement team and initial timeline.</t>
  </si>
  <si>
    <t>1-7</t>
  </si>
  <si>
    <t>1-8</t>
  </si>
  <si>
    <t>1-9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</si>
  <si>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</si>
  <si>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</si>
  <si>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</si>
  <si>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</si>
  <si>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</si>
  <si>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</si>
  <si>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</si>
  <si>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</si>
  <si>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</si>
  <si>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</si>
  <si>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</si>
  <si>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</si>
  <si>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</si>
  <si>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</si>
  <si>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</si>
  <si>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</si>
  <si>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</si>
  <si>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</si>
  <si>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</si>
  <si>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</si>
  <si>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</si>
  <si>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</si>
  <si>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</si>
  <si>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</si>
  <si>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</si>
  <si>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</si>
  <si>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</si>
  <si>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</si>
  <si>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</si>
  <si>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</si>
  <si>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</si>
  <si>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</si>
  <si>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</si>
  <si>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</si>
  <si>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</si>
  <si>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</si>
  <si>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</si>
  <si>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</si>
  <si>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</si>
  <si>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</si>
  <si>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</si>
  <si>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2-1</t>
  </si>
  <si>
    <t>Prepare for and plan workshop</t>
  </si>
  <si>
    <r>
      <t xml:space="preserve">Development of workshop agenda and pre-workshop questionnaire and documentation request  that will be submitted to the </t>
    </r>
    <r>
      <rPr>
        <sz val="11"/>
        <color rgb="FFFF0000"/>
        <rFont val="Calibri"/>
        <family val="2"/>
        <scheme val="minor"/>
      </rPr>
      <t>client</t>
    </r>
    <r>
      <rPr>
        <sz val="11"/>
        <rFont val="Calibri"/>
        <family val="2"/>
        <scheme val="minor"/>
      </rPr>
      <t xml:space="preserve"> PM for completion prior to workshop.</t>
    </r>
  </si>
  <si>
    <t>Client completion of pre-workshop questionnaire and documentation is a dependency on being able to complete the CMO and FMO workshops. 
Client must complete platform training prior to workshops.</t>
  </si>
  <si>
    <t>Should include time for 
- PM to coordinate workshops. 
- SC to draft workshop agenda and update pre-workshop questionnaire.</t>
  </si>
  <si>
    <t>2-2</t>
  </si>
  <si>
    <t>Conduct CMO workshop</t>
  </si>
  <si>
    <r>
      <t xml:space="preserve">Workshop for client to present the CMO. This workshop will focus on the current tools, processes, users and operational objectives.  The maximum duration of the CMO workshop is </t>
    </r>
    <r>
      <rPr>
        <sz val="11"/>
        <color rgb="FFFF0000"/>
        <rFont val="Calibri"/>
        <family val="2"/>
        <scheme val="minor"/>
      </rPr>
      <t>xx</t>
    </r>
    <r>
      <rPr>
        <sz val="11"/>
        <rFont val="Calibri"/>
        <family val="2"/>
        <scheme val="minor"/>
      </rPr>
      <t xml:space="preserve"> hours.</t>
    </r>
  </si>
  <si>
    <t>2-3</t>
  </si>
  <si>
    <t>Conduct FMO workshop</t>
  </si>
  <si>
    <r>
      <t xml:space="preserve">Workshop to review the OOTB ServiceNow use case functionality and perform a detailed look into the workflow, screens and processes. The outcome of the workshop will be to define the FMO through data mapping, requirements gathering and design inputs. The maximum duration of the FMO workshop is </t>
    </r>
    <r>
      <rPr>
        <sz val="11"/>
        <color rgb="FFFF0000"/>
        <rFont val="Calibri"/>
        <family val="2"/>
        <scheme val="minor"/>
      </rPr>
      <t>xx</t>
    </r>
    <r>
      <rPr>
        <sz val="11"/>
        <rFont val="Calibri"/>
        <family val="2"/>
        <scheme val="minor"/>
      </rPr>
      <t xml:space="preserve"> hours.  </t>
    </r>
  </si>
  <si>
    <t>2-4</t>
  </si>
  <si>
    <t>Mock up solution</t>
  </si>
  <si>
    <t xml:space="preserve">Leverage the OOTB solution to configure a simple mock-up to demonstrate at a high level how the business outcomes can be achieved. </t>
  </si>
  <si>
    <t>2-5</t>
  </si>
  <si>
    <t>Develop draft Design Approach document</t>
  </si>
  <si>
    <t>Draft design approach document detailing at a high-level :
- Problem Statement
- Business Outcomes
- High-level architectural diagram
- Unique customer requirements that deviate from OOTB
- Design Assumptions</t>
  </si>
  <si>
    <t>2-6</t>
  </si>
  <si>
    <t>Support development of draft user stories</t>
  </si>
  <si>
    <t>Support of client with drafting initial user stories.</t>
  </si>
  <si>
    <t>2-7</t>
  </si>
  <si>
    <t>2-8</t>
  </si>
  <si>
    <t>2-9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</si>
  <si>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</si>
  <si>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</si>
  <si>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</si>
  <si>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</si>
  <si>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</si>
  <si>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</si>
  <si>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</si>
  <si>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</si>
  <si>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</si>
  <si>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</si>
  <si>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</si>
  <si>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</si>
  <si>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</si>
  <si>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</si>
  <si>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</si>
  <si>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</si>
  <si>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</si>
  <si>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</si>
  <si>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</si>
  <si>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</si>
  <si>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</si>
  <si>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</si>
  <si>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</si>
  <si>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</si>
  <si>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</si>
  <si>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</si>
  <si>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</si>
  <si>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</si>
  <si>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</si>
  <si>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</si>
  <si>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</si>
  <si>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</si>
  <si>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</si>
  <si>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</si>
  <si>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</si>
  <si>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</si>
  <si>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</si>
  <si>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</si>
  <si>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</si>
  <si>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</si>
  <si>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</si>
  <si>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Create</t>
  </si>
  <si>
    <t>3-1</t>
  </si>
  <si>
    <t>3-2</t>
  </si>
  <si>
    <t>3-3</t>
  </si>
  <si>
    <t>3-4</t>
  </si>
  <si>
    <t>3-5</t>
  </si>
  <si>
    <t>3-6</t>
  </si>
  <si>
    <t>3-7</t>
  </si>
  <si>
    <t>3-8</t>
  </si>
  <si>
    <t>3-9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</si>
  <si>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</si>
  <si>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</si>
  <si>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</si>
  <si>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</si>
  <si>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</si>
  <si>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</si>
  <si>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</si>
  <si>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</si>
  <si>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</si>
  <si>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</si>
  <si>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</si>
  <si>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</si>
  <si>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</si>
  <si>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</si>
  <si>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</si>
  <si>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</si>
  <si>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</si>
  <si>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</si>
  <si>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</si>
  <si>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</si>
  <si>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</si>
  <si>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</si>
  <si>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</si>
  <si>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</si>
  <si>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</si>
  <si>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</si>
  <si>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</si>
  <si>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</si>
  <si>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</si>
  <si>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</si>
  <si>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</si>
  <si>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</si>
  <si>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</si>
  <si>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</si>
  <si>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</si>
  <si>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</si>
  <si>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</si>
  <si>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</si>
  <si>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</si>
  <si>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</si>
  <si>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</si>
  <si>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Transition</t>
  </si>
  <si>
    <t>4-1</t>
  </si>
  <si>
    <t>Support development of UAT test cases</t>
  </si>
  <si>
    <t>Support for client with their development of UAT test cases.</t>
  </si>
  <si>
    <t>4-2</t>
  </si>
  <si>
    <t>Support migration from DEV to TEST</t>
  </si>
  <si>
    <t>Support for client with migrating solution from DEV to TEST environment.</t>
  </si>
  <si>
    <t>4-3</t>
  </si>
  <si>
    <t>Develop SDP</t>
  </si>
  <si>
    <t>SDP</t>
  </si>
  <si>
    <t>4-4</t>
  </si>
  <si>
    <t>Support UAT</t>
  </si>
  <si>
    <t>Support for two (2) weeks for resolving defects only.</t>
  </si>
  <si>
    <t>4-5</t>
  </si>
  <si>
    <t>Support migration from TEST to PROD</t>
  </si>
  <si>
    <t>Support for client with migrating solution from TEST to PROD.</t>
  </si>
  <si>
    <t>4-6</t>
  </si>
  <si>
    <t>Provide post-production support</t>
  </si>
  <si>
    <t>Support f.or two (2) weeks for resolving defects only.</t>
  </si>
  <si>
    <t>4-7</t>
  </si>
  <si>
    <t>4-8</t>
  </si>
  <si>
    <t>4-9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</si>
  <si>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</si>
  <si>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</si>
  <si>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</si>
  <si>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</si>
  <si>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</si>
  <si>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</si>
  <si>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</si>
  <si>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</si>
  <si>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</si>
  <si>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</si>
  <si>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</si>
  <si>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</si>
  <si>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</si>
  <si>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</si>
  <si>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</si>
  <si>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</si>
  <si>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</si>
  <si>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</si>
  <si>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</si>
  <si>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</si>
  <si>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</si>
  <si>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</si>
  <si>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</si>
  <si>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</si>
  <si>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</si>
  <si>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</si>
  <si>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</si>
  <si>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</si>
  <si>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</si>
  <si>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</si>
  <si>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</si>
  <si>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</si>
  <si>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</si>
  <si>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</si>
  <si>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</si>
  <si>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</si>
  <si>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</si>
  <si>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</si>
  <si>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</si>
  <si>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</si>
  <si>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</si>
  <si>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5-1</t>
  </si>
  <si>
    <t>Prepare for project closeout meeting</t>
  </si>
  <si>
    <t>Scheduling and preparation for project closeout meeting.</t>
  </si>
  <si>
    <t>5-2</t>
  </si>
  <si>
    <t>Conduct project closeout meeting</t>
  </si>
  <si>
    <t>Closeout meeting to cover project status, lessons learned and next steps.</t>
  </si>
  <si>
    <t>5-3</t>
  </si>
  <si>
    <t>Conduct CSAT survey</t>
  </si>
  <si>
    <t>CSAT survey.</t>
  </si>
  <si>
    <t>5-4</t>
  </si>
  <si>
    <t>5-5</t>
  </si>
  <si>
    <t>5-6</t>
  </si>
  <si>
    <t>5-7</t>
  </si>
  <si>
    <t>5-8</t>
  </si>
  <si>
    <t>5-9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</si>
  <si>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</si>
  <si>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</si>
  <si>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</si>
  <si>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</si>
  <si>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</si>
  <si>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</si>
  <si>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</si>
  <si>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</si>
  <si>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</si>
  <si>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</si>
  <si>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</si>
  <si>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</si>
  <si>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</si>
  <si>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</si>
  <si>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</si>
  <si>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</si>
  <si>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</si>
  <si>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</si>
  <si>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</si>
  <si>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</si>
  <si>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</si>
  <si>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</si>
  <si>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</si>
  <si>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</si>
  <si>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</si>
  <si>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</si>
  <si>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</si>
  <si>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</si>
  <si>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</si>
  <si>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</si>
  <si>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</si>
  <si>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</si>
  <si>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</si>
  <si>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</si>
  <si>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</si>
  <si>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</si>
  <si>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</si>
  <si>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</si>
  <si>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</si>
  <si>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</si>
  <si>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</si>
  <si>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Resource Request</t>
  </si>
  <si>
    <t>Client</t>
  </si>
  <si>
    <t>Engagement Name</t>
  </si>
  <si>
    <t>Account Exec</t>
  </si>
  <si>
    <t>Skills or Experience Notes</t>
  </si>
  <si>
    <t>Restriction from using Global Delivery?</t>
  </si>
  <si>
    <t>Softbooked Resource Name</t>
  </si>
  <si>
    <t>Initiate Start Date</t>
  </si>
  <si>
    <t>Initiate - Hrs per week</t>
  </si>
  <si>
    <t>Plan Start Date</t>
  </si>
  <si>
    <t>Plan  - Hrs per week</t>
  </si>
  <si>
    <t>Execute Start Date</t>
  </si>
  <si>
    <t>Execute  - Hrs per week</t>
  </si>
  <si>
    <t>Deliver Start Date</t>
  </si>
  <si>
    <t>Deliver - Hrs per week</t>
  </si>
  <si>
    <t>Close Start Date</t>
  </si>
  <si>
    <t>Close - Hrs per week</t>
  </si>
  <si>
    <t>NEWROCKET OPPORTUNITY OVERVIEW</t>
  </si>
  <si>
    <t>ACV</t>
  </si>
  <si>
    <t>Account Executive</t>
  </si>
  <si>
    <t>PS</t>
  </si>
  <si>
    <t>SC/ESC</t>
  </si>
  <si>
    <t>MS</t>
  </si>
  <si>
    <t>Opportunity Description</t>
  </si>
  <si>
    <t>ex. IRM Implementation plus Hypercare</t>
  </si>
  <si>
    <t>Licenses</t>
  </si>
  <si>
    <t>Close Date</t>
  </si>
  <si>
    <t>Type</t>
  </si>
  <si>
    <t>NNL, Upsell, Renewal</t>
  </si>
  <si>
    <t>Term (Months)</t>
  </si>
  <si>
    <t>Opportunity Overview</t>
  </si>
  <si>
    <t>Summarize the scope of the opportunity and the customer value proposition</t>
  </si>
  <si>
    <t>Customer Timeline</t>
  </si>
  <si>
    <t>What are the key sales milestones or compelling event for the customer?</t>
  </si>
  <si>
    <t>Undetanding of Procurement/Signature Process</t>
  </si>
  <si>
    <t>What is the process/timing on the customer side once decision has been made?</t>
  </si>
  <si>
    <t>NOTES:</t>
  </si>
  <si>
    <t>Global Delivery Restrictions</t>
  </si>
  <si>
    <t>No or If Yes, Why?</t>
  </si>
  <si>
    <t>Account Executive is responsible for ensuring this data is filled out and then pasted into the PowerPoint for presentation.</t>
  </si>
  <si>
    <t>Solution Consultant is responsible for this cell</t>
  </si>
  <si>
    <t>Account Executive is responsible for this cell</t>
  </si>
  <si>
    <t>Special Considerations &amp; Notes</t>
  </si>
  <si>
    <t>What are the key roles and where can they reside?</t>
  </si>
  <si>
    <t>The architect is the most important and they can be anywwhere</t>
  </si>
  <si>
    <t>Notes/Special Considerations (e.g., complex integrations, Alaska timezone, etc.)</t>
  </si>
  <si>
    <t>Describe Pricing (onshore rates, blended rates, OTD, etc.)</t>
  </si>
  <si>
    <t>We did a OTD of 6k to get the price under 150k as that is what the executive can sign.</t>
  </si>
  <si>
    <t>Asks, Risks, Actions, Issues, Decisions?</t>
  </si>
  <si>
    <t>None right now</t>
  </si>
  <si>
    <t>Project Length by Phase</t>
  </si>
  <si>
    <t>Length (Weeks)</t>
  </si>
  <si>
    <t>ATF - Baseline</t>
  </si>
  <si>
    <t>App Engine</t>
  </si>
  <si>
    <t>Experience (Creator)</t>
  </si>
  <si>
    <t>FSO - Baseline</t>
  </si>
  <si>
    <t>CIWF</t>
  </si>
  <si>
    <t>CSM - Baseline</t>
  </si>
  <si>
    <t>From</t>
  </si>
  <si>
    <t>CSM - Performance Analytics</t>
  </si>
  <si>
    <t>CSM - Public Sector Digital</t>
  </si>
  <si>
    <t>App Engine - Performance Analytics</t>
  </si>
  <si>
    <t>FSM - Baseline</t>
  </si>
  <si>
    <t>FSM - Performance Analytics</t>
  </si>
  <si>
    <t>HCLS - Baseline</t>
  </si>
  <si>
    <t>HCLS</t>
  </si>
  <si>
    <t>HR - Baseline</t>
  </si>
  <si>
    <t>HR Pro</t>
  </si>
  <si>
    <t>HR - Performance Analytics</t>
  </si>
  <si>
    <t>IRM - Baseline</t>
  </si>
  <si>
    <t>IRM</t>
  </si>
  <si>
    <t>Security, Risk, &amp; Resillience</t>
  </si>
  <si>
    <t>IRM - Performance Analytics</t>
  </si>
  <si>
    <t>ITAM - HAM EAM</t>
  </si>
  <si>
    <t>HAM Pro</t>
  </si>
  <si>
    <t>ITAM - SAM EAM</t>
  </si>
  <si>
    <t>SAM Pro</t>
  </si>
  <si>
    <t>ITAM - HAM</t>
  </si>
  <si>
    <t>ITAM - HAM Integrations</t>
  </si>
  <si>
    <t>ITAM - SAM Integrations</t>
  </si>
  <si>
    <t>ITAM - HAM Performance Analytics</t>
  </si>
  <si>
    <t>ITAM - SAM Performance Analytics</t>
  </si>
  <si>
    <t>ITAM - HAM Predictive Intelligence</t>
  </si>
  <si>
    <t>ITAM - SAM Predictive Intelligence</t>
  </si>
  <si>
    <t>ITAM - SAM</t>
  </si>
  <si>
    <t>TNI</t>
  </si>
  <si>
    <t>TMT</t>
  </si>
  <si>
    <t>TSM</t>
  </si>
  <si>
    <t>TPSM</t>
  </si>
  <si>
    <t>OMT</t>
  </si>
  <si>
    <t>ITOM - Cloud</t>
  </si>
  <si>
    <t>ITOM Visibility</t>
  </si>
  <si>
    <t>ITOM - Discovery</t>
  </si>
  <si>
    <t>ITOM - Event Management</t>
  </si>
  <si>
    <t>ITOM Health</t>
  </si>
  <si>
    <t>ITOM - HLA</t>
  </si>
  <si>
    <t>ITOM - Service Mapping</t>
  </si>
  <si>
    <t>ITSM - DevOps</t>
  </si>
  <si>
    <t>ITSM Pro</t>
  </si>
  <si>
    <t>ITSM - DPM</t>
  </si>
  <si>
    <t>ITSM Standard</t>
  </si>
  <si>
    <t>ITSM - Gen AI</t>
  </si>
  <si>
    <t>ITSM - Baseline</t>
  </si>
  <si>
    <t>ITSM - Mobile Agent</t>
  </si>
  <si>
    <t>ITSM - Performance Analytics</t>
  </si>
  <si>
    <t>ITSM - Pro</t>
  </si>
  <si>
    <t>Security - Baseline</t>
  </si>
  <si>
    <t>SIR</t>
  </si>
  <si>
    <t>Security - Performance Analytics</t>
  </si>
  <si>
    <t>VR</t>
  </si>
  <si>
    <t>SPM - EA</t>
  </si>
  <si>
    <t>EA</t>
  </si>
  <si>
    <t>SPM - EA Performance Analytics</t>
  </si>
  <si>
    <t>SPM - SPW</t>
  </si>
  <si>
    <t>SPM Pro</t>
  </si>
  <si>
    <t>SPM - Integrations</t>
  </si>
  <si>
    <t>SPM - Performance Analytics</t>
  </si>
  <si>
    <t>SPM - PPM</t>
  </si>
  <si>
    <t>AI Now Assist CSM</t>
  </si>
  <si>
    <t>AI Now Assist HR</t>
  </si>
  <si>
    <t>AI Now Assist Creator</t>
  </si>
  <si>
    <t>AI for SPM</t>
  </si>
  <si>
    <t>AI for EA</t>
  </si>
  <si>
    <t>AI for FSM</t>
  </si>
  <si>
    <t>AI for FSO</t>
  </si>
  <si>
    <t>AI for HAM</t>
  </si>
  <si>
    <t>AI for HCLS</t>
  </si>
  <si>
    <t>AI for IRM</t>
  </si>
  <si>
    <t>AI for ITOM</t>
  </si>
  <si>
    <t>AI for SAM</t>
  </si>
  <si>
    <t>AI for SIR</t>
  </si>
  <si>
    <t>AI for TMT</t>
  </si>
  <si>
    <t>AI for VR</t>
  </si>
  <si>
    <t>AI for AppEngine</t>
  </si>
  <si>
    <t>Canada (CAD)</t>
  </si>
  <si>
    <t>India (INR)</t>
  </si>
  <si>
    <t>UK (GBP)</t>
  </si>
  <si>
    <t>USA (USD)</t>
  </si>
  <si>
    <t>Finance provided rates in December 2021.</t>
  </si>
  <si>
    <t>Updated India rates on 2022-08-05 per Finance.</t>
  </si>
  <si>
    <t>Updated India rates on 2023-07-14 per Finance.</t>
  </si>
  <si>
    <t xml:space="preserve">Standard costs updated 17 Mar 25 by Derek Byrne as per rates from Anthony Kres and Harsha </t>
  </si>
  <si>
    <t>Standard Costs</t>
  </si>
  <si>
    <t>Worked off 1,440 hour formula</t>
  </si>
  <si>
    <t>Took higher amount from Census because Census had 2 grades</t>
  </si>
  <si>
    <t>Took normal architect amount from Census - due to us not breaking this out today</t>
  </si>
  <si>
    <t>Took higher amount from Census (Senior Developer) - due to us not breaking this out today</t>
  </si>
  <si>
    <t>Rates updated 5-29-2024 from Finance via the Census</t>
  </si>
  <si>
    <t>New roles for Client Partner and Deliovery Director added 17 Mar 25 Derek Byrne, under unstrucution from Anthony K and Harsha</t>
  </si>
  <si>
    <t>Standard Rates</t>
  </si>
  <si>
    <t>Billing Role</t>
  </si>
  <si>
    <t>EU (EURO)</t>
  </si>
  <si>
    <t>Revision History</t>
  </si>
  <si>
    <t>Rev #</t>
  </si>
  <si>
    <t>Prepared By</t>
  </si>
  <si>
    <t>Sections Affected</t>
  </si>
  <si>
    <t>Candace Chadwick</t>
  </si>
  <si>
    <t>First Release</t>
  </si>
  <si>
    <t>Scott Knecht</t>
  </si>
  <si>
    <t>Updates to Scoping Template</t>
  </si>
  <si>
    <t>Added Client Rates and Roles tab and released ITSM tab to Presales</t>
  </si>
  <si>
    <t>Kristina Dingle</t>
  </si>
  <si>
    <t>NR Marketing Color Scheme applied, spelling and language updates</t>
  </si>
  <si>
    <t>Lindsey Hobbs / Scott Knecht</t>
  </si>
  <si>
    <t>Estimate - ITSM tab</t>
  </si>
  <si>
    <t>Milestone calculator added, User Stories replace Backlog/FRO reference &amp; Updated Trainer line to be Grade Level D (Lead Engineer) so it matches the Pricing file.</t>
  </si>
  <si>
    <t>Updates to Experience rates to allow Engineers to be chosen as well as other updates based on feedback from Delivery. Addition of OCM Specialist and Trainer role, as well as Hours by Phase table.</t>
  </si>
  <si>
    <t>Updated all internal costs, simplified roles, added sheets for Pricing file, MS and PS.</t>
  </si>
  <si>
    <t>Fixed issue in Pricing file with copy/paste for billable hours.</t>
  </si>
  <si>
    <t>TDATE</t>
  </si>
  <si>
    <t>Client Name</t>
  </si>
  <si>
    <t xml:space="preserve"> </t>
  </si>
  <si>
    <t>Proposal Title</t>
  </si>
  <si>
    <t>Description of Proposed Work</t>
  </si>
  <si>
    <t>Project Risk Factor</t>
  </si>
  <si>
    <t>Direct Labor</t>
  </si>
  <si>
    <t>Direct Labor (Role)</t>
  </si>
  <si>
    <t>Cost per Hr</t>
  </si>
  <si>
    <t>Bill per Hr</t>
  </si>
  <si>
    <t>Direct Labor Subtotal</t>
  </si>
  <si>
    <t>Insert Cost Contingency % and Revenue (FP Projects Only)</t>
  </si>
  <si>
    <t>Direct Labor Summary</t>
  </si>
  <si>
    <t>Labor Markup</t>
  </si>
  <si>
    <t>Subcontractor Labour</t>
  </si>
  <si>
    <t>Subcontractor Labor</t>
  </si>
  <si>
    <t>Subcontractor 1</t>
  </si>
  <si>
    <t>Subcontractor 2</t>
  </si>
  <si>
    <t>Subcontractor 3</t>
  </si>
  <si>
    <t>Subcontractor 4</t>
  </si>
  <si>
    <t>Contractor Labor Summary</t>
  </si>
  <si>
    <t>Subcontractor Markup</t>
  </si>
  <si>
    <t>Travel</t>
  </si>
  <si>
    <t>Travel and Per Diem</t>
  </si>
  <si>
    <t>U/M</t>
  </si>
  <si>
    <t>Quantity</t>
  </si>
  <si>
    <t>Cost per Unit</t>
  </si>
  <si>
    <t xml:space="preserve">Airfare  </t>
  </si>
  <si>
    <t>Roundtrips</t>
  </si>
  <si>
    <t>Train</t>
  </si>
  <si>
    <t>Hotel</t>
  </si>
  <si>
    <t>Nights</t>
  </si>
  <si>
    <t>Meals</t>
  </si>
  <si>
    <t>Days</t>
  </si>
  <si>
    <t xml:space="preserve">Rental Car  </t>
  </si>
  <si>
    <t>Gas for Rental Car</t>
  </si>
  <si>
    <t>Tankfuls</t>
  </si>
  <si>
    <t>Personal Car Mileage</t>
  </si>
  <si>
    <t>KM or Miles</t>
  </si>
  <si>
    <t xml:space="preserve">Taxi  </t>
  </si>
  <si>
    <t>Trips</t>
  </si>
  <si>
    <t>Transit/Bus</t>
  </si>
  <si>
    <t>Tolls</t>
  </si>
  <si>
    <t xml:space="preserve">Parking  </t>
  </si>
  <si>
    <t>Misc. Travel</t>
  </si>
  <si>
    <r>
      <t xml:space="preserve">Insert Total Other Travel </t>
    </r>
    <r>
      <rPr>
        <sz val="10"/>
        <rFont val="Calibri"/>
        <family val="2"/>
      </rPr>
      <t>→</t>
    </r>
  </si>
  <si>
    <t>Total Travel Costs</t>
  </si>
  <si>
    <t>Revenue on Travel</t>
  </si>
  <si>
    <r>
      <t xml:space="preserve">Insert Travel Markup </t>
    </r>
    <r>
      <rPr>
        <b/>
        <sz val="10"/>
        <rFont val="Calibri"/>
        <family val="2"/>
      </rPr>
      <t>→</t>
    </r>
  </si>
  <si>
    <t>Other Direct Costs</t>
  </si>
  <si>
    <t>ODC Description</t>
  </si>
  <si>
    <t>Total ODCs</t>
  </si>
  <si>
    <t>Revenue on ODCs</t>
  </si>
  <si>
    <r>
      <t xml:space="preserve">Insert ODC Markup </t>
    </r>
    <r>
      <rPr>
        <b/>
        <sz val="10"/>
        <rFont val="Calibri"/>
        <family val="2"/>
      </rPr>
      <t>→</t>
    </r>
  </si>
  <si>
    <t>Financial Summary</t>
  </si>
  <si>
    <t>Gross Profit ($)</t>
  </si>
  <si>
    <t>Gross Profit (%)</t>
  </si>
  <si>
    <t>Labor (Direct and Subcontractor)</t>
  </si>
  <si>
    <t>Travel and ODC Rev</t>
  </si>
  <si>
    <t>Project Revenue</t>
  </si>
  <si>
    <t>Actual</t>
  </si>
  <si>
    <t>Delta</t>
  </si>
  <si>
    <t>Labor gross profit</t>
  </si>
  <si>
    <t>Project gross profit</t>
  </si>
  <si>
    <t>Labor gross profit delta</t>
  </si>
  <si>
    <t>Project gross profit delta</t>
  </si>
  <si>
    <t>Labor gross profit -- make red</t>
  </si>
  <si>
    <t>Project gross profit -- make red</t>
  </si>
  <si>
    <t>Assumptions:</t>
  </si>
  <si>
    <t>10% SC, 20% SA, 50% TC, 20% EM</t>
  </si>
  <si>
    <t>Travel on $200K project is no more than $20K</t>
  </si>
  <si>
    <t>AS-Advisory - D - Senior Manager, Advisory</t>
  </si>
  <si>
    <t>AS-Advisory - E - Director, Advisory</t>
  </si>
  <si>
    <t>AS-Advisory - F - VP, Advisory</t>
  </si>
  <si>
    <t>PS-Del Mgmt - A - Associate PMO Analyst</t>
  </si>
  <si>
    <t>PS-Del Mgmt - B - PMO Analyst</t>
  </si>
  <si>
    <t>PS-Del Mgmt - C - Project Manager</t>
  </si>
  <si>
    <t>PS-Del Mgmt - D - Senior Project Manager</t>
  </si>
  <si>
    <t>PS-Del Mgmt - D - Program Manager</t>
  </si>
  <si>
    <t>PS-Del Mgmt - E - Director, Program Management</t>
  </si>
  <si>
    <t>PS-Del Mgmt - E - Director, Global Delivery Mgmt</t>
  </si>
  <si>
    <t>PS-Del Mgmt - E - Director, Global Gov &amp; Risk</t>
  </si>
  <si>
    <t>PS-Del Mgmt - F - VP, Global Delivery Excl &amp; Gov</t>
  </si>
  <si>
    <t>PS-OCM - C - Training Manager</t>
  </si>
  <si>
    <t>PS-OCM - E - Director, OCM</t>
  </si>
  <si>
    <t>PS-Business Cnslt - A - Associate Business Analyst</t>
  </si>
  <si>
    <t>PS-Business Cnslt - B - Business Analyst</t>
  </si>
  <si>
    <t>PS-Business Cnslt - C - Senior Business Analyst</t>
  </si>
  <si>
    <t xml:space="preserve">PS-Business Cnslt - D - Business Process Architect </t>
  </si>
  <si>
    <t>PS-Business Cnslt - E - Director, Business Process Architecture</t>
  </si>
  <si>
    <t xml:space="preserve">PS-Business Cnslt - E - Director, Global Business Consulting </t>
  </si>
  <si>
    <t>PS-Business Cnslt - F - VP, Business &amp; Design Consulting</t>
  </si>
  <si>
    <t>PS-Design Cnslt - A - Associate UI/UX Designer</t>
  </si>
  <si>
    <t>PS-Design Cnslt - B - UI/UX Designer</t>
  </si>
  <si>
    <t>PS-Design Cnslt - C - Senior UI/UX Designer</t>
  </si>
  <si>
    <t>PS-Design Cnslt - D - UI/UX Architect</t>
  </si>
  <si>
    <t>PS-Design Cnslt - E - Director, Design Consulting</t>
  </si>
  <si>
    <t>PS-Design Cnslt - E - Director, Global Design Consulting</t>
  </si>
  <si>
    <t>PS-Design Cnslt - F - VP, Business &amp; Design Consulting</t>
  </si>
  <si>
    <t>PS-Engineering - A - Associate Software Engineer</t>
  </si>
  <si>
    <t>PS-Engineering - B - Software Engineer</t>
  </si>
  <si>
    <t>PS-Engineering - C - Senior Software Engineer</t>
  </si>
  <si>
    <t>PS-Engineering - D - Managing Engineer</t>
  </si>
  <si>
    <t>PS-Engineering - E - Director, Engineering</t>
  </si>
  <si>
    <t xml:space="preserve">PS-Engineering - E - Director, Global Engineering </t>
  </si>
  <si>
    <t>PS-Engineering - F - VP, Architecture &amp; Engineering</t>
  </si>
  <si>
    <t>PS-Architecture - C - Solution Architect</t>
  </si>
  <si>
    <t>PS-Architecture - C - Platform Architect</t>
  </si>
  <si>
    <t>PS-Architecture - D - Solution Architect</t>
  </si>
  <si>
    <t>PS-Architecture - D - Platform Architect</t>
  </si>
  <si>
    <t>PS-Architecture - D - Senior Solution Architect</t>
  </si>
  <si>
    <t>PS-Architecture - D - Senior Platform Architect</t>
  </si>
  <si>
    <t>PS-Architecture - E - Director, Architecture</t>
  </si>
  <si>
    <t xml:space="preserve">PS-Architecture - E - Director, Global Architecture </t>
  </si>
  <si>
    <t>PS-Architecture - F - VP, Architecture &amp; Engineering</t>
  </si>
  <si>
    <t>PS-CoI&amp;I - A - Associate Product Analyst</t>
  </si>
  <si>
    <t>PS-CoI&amp;I - B - Product Industrialization Engineer</t>
  </si>
  <si>
    <t>PS-CoI&amp;I - C - Senior Product Industrialization Engineer</t>
  </si>
  <si>
    <t>PS-CoI&amp;I - D - Product Manager</t>
  </si>
  <si>
    <t>PS-CoI&amp;I - E - Director, COI&amp;I</t>
  </si>
  <si>
    <t>MS-Plat Serv Del - A - Associate Technical Account Manager (PE)</t>
  </si>
  <si>
    <t>MS-Plat Serv Del - A - Associate Platform Analyst (PE)</t>
  </si>
  <si>
    <t>MS-Plat Serv Del - A - Associate Software Engineer (PE)</t>
  </si>
  <si>
    <t>MS-Plat Serv Del - B - Technical Account Manager (PE)</t>
  </si>
  <si>
    <t>MS-Plat Serv Del - B - Platform Analyst (PE)</t>
  </si>
  <si>
    <t>MS-Plat Serv Del - B - Software Engineer (PE)</t>
  </si>
  <si>
    <t>MS-Plat Serv Del - C - Senior Technical Account Manager (PE)</t>
  </si>
  <si>
    <t>MS-Plat Serv Del - C - Senior Software Engineer (PE)</t>
  </si>
  <si>
    <t>MS-Plat Serv Del - D - Platform Development Services Manager</t>
  </si>
  <si>
    <t>MS-Plat Serv Del - D - Manager, TAM</t>
  </si>
  <si>
    <t>MS-Plat Serv Del - D - Manager, Platform Administration</t>
  </si>
  <si>
    <t>MS-Plat Serv Del - D - Senior Manager, Service Delivery (PE)</t>
  </si>
  <si>
    <t>MS-Plat Serv Del - E - Director, Global Platform Services Delivery</t>
  </si>
  <si>
    <t>MS-Plat Serv Del - F - VP, Platform Excellence</t>
  </si>
  <si>
    <t>MS-DMP - A - Associate PMO Analyst (PE)</t>
  </si>
  <si>
    <t>MS-DMP - A - Business Analyst (PE)</t>
  </si>
  <si>
    <t>MS-DMP - B - PMO Analyst (PE)</t>
  </si>
  <si>
    <t>MS-DMP - B - Quality Analyst (PE)</t>
  </si>
  <si>
    <t>MS-DMP - B - Software Engineer (DMP)</t>
  </si>
  <si>
    <t>MS-DMP - C - Senior Platform Analyst (PE)</t>
  </si>
  <si>
    <t>MS-DMP - C - Senior QA Analyst (PE)</t>
  </si>
  <si>
    <t>MS-DMP - C - Project Manager (PE)</t>
  </si>
  <si>
    <t>MS-DMP - C - Senior Business Analyst (PE)</t>
  </si>
  <si>
    <t>MS-DMP - D - DMP Program Director (PE)</t>
  </si>
  <si>
    <t>MS-DMP - D - Managing Architect (PE)</t>
  </si>
  <si>
    <t>MS-DMP - D - Business Process Architect (PE)</t>
  </si>
  <si>
    <t>MS-DMP - D - Platform Architect (PE)</t>
  </si>
  <si>
    <t>MS-BOM - B - BOM Practioner (PE)</t>
  </si>
  <si>
    <t>MS-BOM - C - Senior BOM Practioner (PE)</t>
  </si>
  <si>
    <t>MS-BOM - D - BOM Architect (PE)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</si>
</sst>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4">
    <numFmt numFmtId="6" formatCode="&quot;$&quot;#,##0_);[Red]\(&quot;$&quot;#,##0\)"/>
    <numFmt numFmtId="8" formatCode="&quot;$&quot;#,##0.00_);[Red]\(&quot;$&quot;#,##0.00\)"/>
    <numFmt numFmtId="44" formatCode="_(&quot;$&quot;* #,##0.00_);_(&quot;$&quot;* \(#,##0.00\);_(&quot;$&quot;* &quot;-&quot;??_);_(@_)"/>
    <numFmt numFmtId="164" formatCode="_-* #,##0.00_-;\-* #,##0.00_-;_-* &quot;-&quot;??_-;_-@_-"/>
    <numFmt numFmtId="165" formatCode="&quot;$&quot;#,##0.00;[Red]\-&quot;$&quot;#,##0.00"/>
    <numFmt numFmtId="166" formatCode="_-&quot;$&quot;* #,##0.00_-;\-&quot;$&quot;* #,##0.00_-;_-&quot;$&quot;* &quot;-&quot;??_-;_-@_-"/>
    <numFmt numFmtId="167" formatCode="&quot;$&quot;0_);\(&quot;$&quot;0\)"/>
    <numFmt numFmtId="168" formatCode="0.0"/>
    <numFmt numFmtId="169" formatCode="0.0%"/>
    <numFmt numFmtId="170" formatCode="[$-1009]d/mmm/yy;@"/>
    <numFmt numFmtId="171" formatCode="&quot;$&quot;#,##0.00"/>
    <numFmt numFmtId="172" formatCode="[$-409]d\-mmm\-yy;@"/>
    <numFmt numFmtId="173" formatCode="&quot;$&quot;#,##0"/>
    <numFmt numFmtId="174" formatCode="_(&quot;£&quot;* #,##0.00_);_(&quot;£&quot;* \(#,##0.00\);_(&quot;£&quot;* &quot;-&quot;??_);_(@_)"/>
    <numFmt numFmtId="175" formatCode="_-* #,##0_-;\-* #,##0_-;_-* &quot;-&quot;??_-;_-@_-"/>
    <numFmt numFmtId="176" formatCode="#,##0.00_ ;[Red]\-#,##0.00\ "/>
    <numFmt numFmtId="177" formatCode="#,##0_ ;[Red]\-#,##0\ "/>
    <numFmt numFmtId="178" formatCode="yyyy/mm/dd;@"/>
    <numFmt numFmtId="179" formatCode="_-* #,##0.000_-;\-* #,##0.000_-;_-* &quot;-&quot;??_-;_-@_-"/>
    <numFmt numFmtId="180" formatCode="_-* #,##0.0000_-;\-* #,##0.0000_-;_-* &quot;-&quot;??_-;_-@_-"/>
    <numFmt numFmtId="181" formatCode="[$£-809]#,##0;[Red][$£-809]#,##0"/>
    <numFmt numFmtId="182" formatCode="&quot;£&quot;#,##0"/>
    <numFmt numFmtId="183" formatCode="_-* #,##0.0_-;\-* #,##0.0_-;_-* &quot;-&quot;??_-;_-@_-"/>
    <numFmt numFmtId="184" formatCode="#,##0.0000000_ ;[Red]\-#,##0.0000000\ "/>
  </numFmts>
  <fonts count="91">
    <font>
      <sz val="10"/>
      <name val="Geneva"/>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0"/>
      <name val="Geneva"/>
      <family val="2"/>
    </font>
    <font>
      <sz val="10"/>
      <name val="Geneva"/>
      <family val="2"/>
    </font>
    <font>
      <sz val="10"/>
      <name val="Arial"/>
      <family val="2"/>
    </font>
    <font>
      <b/>
      <sz val="10"/>
      <name val="Arial"/>
      <family val="2"/>
    </font>
    <font>
      <b/>
      <sz val="10"/>
      <color theme="1"/>
      <name val="Arial"/>
      <family val="2"/>
    </font>
    <font>
      <sz val="10"/>
      <name val="Geneva"/>
    </font>
    <font>
      <b/>
      <sz val="10"/>
      <name val="Geneva"/>
    </font>
    <font>
      <b/>
      <sz val="14"/>
      <name val="Arial"/>
      <family val="2"/>
    </font>
    <font>
      <sz val="8"/>
      <name val="Geneva"/>
    </font>
    <font>
      <sz val="10"/>
      <name val="Calibri"/>
      <family val="2"/>
      <scheme val="minor"/>
    </font>
    <font>
      <b/>
      <sz val="10"/>
      <name val="Calibri"/>
      <family val="2"/>
      <scheme val="minor"/>
    </font>
    <font>
      <b/>
      <sz val="11"/>
      <name val="Calibri"/>
      <family val="2"/>
      <scheme val="minor"/>
    </font>
    <font>
      <sz val="11"/>
      <name val="Calibri"/>
      <family val="2"/>
      <scheme val="minor"/>
    </font>
    <font>
      <b/>
      <sz val="11"/>
      <color theme="0"/>
      <name val="Calibri"/>
      <family val="2"/>
      <scheme val="minor"/>
    </font>
    <font>
      <sz val="11"/>
      <color theme="0"/>
      <name val="Calibri"/>
      <family val="2"/>
      <scheme val="minor"/>
    </font>
    <font>
      <sz val="10"/>
      <color theme="0"/>
      <name val="Calibri"/>
      <family val="2"/>
      <scheme val="minor"/>
    </font>
    <font>
      <b/>
      <sz val="16"/>
      <color rgb="FF023873"/>
      <name val="Calibri"/>
      <family val="2"/>
      <scheme val="minor"/>
    </font>
    <font>
      <sz val="11"/>
      <color rgb="FF000000"/>
      <name val="Calibri"/>
      <family val="2"/>
    </font>
    <font>
      <b/>
      <sz val="14"/>
      <color rgb="FF023873"/>
      <name val="Arial"/>
      <family val="2"/>
    </font>
    <font>
      <b/>
      <sz val="11"/>
      <color rgb="FFFF0000"/>
      <name val="Arial"/>
      <family val="2"/>
    </font>
    <font>
      <b/>
      <sz val="10"/>
      <name val="Calibri"/>
      <family val="2"/>
    </font>
    <font>
      <sz val="10"/>
      <name val="Calibri"/>
      <family val="2"/>
    </font>
    <font>
      <sz val="10"/>
      <color theme="1"/>
      <name val="Arial"/>
      <family val="2"/>
    </font>
    <font>
      <sz val="11"/>
      <color rgb="FFFF0000"/>
      <name val="Calibri"/>
      <family val="2"/>
      <scheme val="minor"/>
    </font>
    <font>
      <b/>
      <sz val="18"/>
      <color theme="0"/>
      <name val="Arial"/>
      <family val="2"/>
    </font>
    <font>
      <sz val="11"/>
      <color rgb="FF000000"/>
      <name val="Calibri"/>
      <family val="2"/>
      <scheme val="minor"/>
    </font>
    <font>
      <sz val="10"/>
      <color rgb="FF95C63F"/>
      <name val="Geneva"/>
    </font>
    <font>
      <sz val="12"/>
      <color theme="1"/>
      <name val="Calibri"/>
      <family val="2"/>
      <scheme val="minor"/>
    </font>
    <font>
      <sz val="10"/>
      <color rgb="FFFF0000"/>
      <name val="Calibri"/>
      <family val="2"/>
      <scheme val="minor"/>
    </font>
    <font>
      <sz val="12"/>
      <name val="Calibri"/>
      <family val="2"/>
      <scheme val="minor"/>
    </font>
    <font>
      <b/>
      <sz val="12"/>
      <color theme="0"/>
      <name val="Calibri"/>
      <family val="2"/>
      <scheme val="minor"/>
    </font>
    <font>
      <b/>
      <sz val="10"/>
      <color theme="0"/>
      <name val="Arial"/>
      <family val="2"/>
    </font>
    <font>
      <b/>
      <sz val="10"/>
      <color theme="0"/>
      <name val="Calibri"/>
      <family val="2"/>
      <scheme val="minor"/>
    </font>
    <font>
      <u/>
      <sz val="10"/>
      <color theme="10"/>
      <name val="Geneva"/>
    </font>
    <font>
      <sz val="9"/>
      <color theme="1"/>
      <name val="Arial"/>
      <family val="2"/>
    </font>
    <font>
      <sz val="9"/>
      <color rgb="FFFF0000"/>
      <name val="Arial"/>
      <family val="2"/>
    </font>
    <font>
      <sz val="9"/>
      <name val="Arial"/>
      <family val="2"/>
    </font>
    <font>
      <b/>
      <sz val="9"/>
      <color rgb="FFFF0000"/>
      <name val="Arial"/>
      <family val="2"/>
    </font>
    <font>
      <b/>
      <sz val="11"/>
      <color theme="3"/>
      <name val="Calibri"/>
      <family val="2"/>
      <scheme val="minor"/>
    </font>
    <font>
      <u/>
      <sz val="11"/>
      <color theme="10"/>
      <name val="Calibri"/>
      <family val="2"/>
      <scheme val="minor"/>
    </font>
    <font>
      <b/>
      <sz val="9"/>
      <name val="Arial"/>
      <family val="2"/>
    </font>
    <font>
      <sz val="12"/>
      <color rgb="FFFF0000"/>
      <name val="Calibri"/>
      <family val="2"/>
      <scheme val="minor"/>
    </font>
    <font>
      <b/>
      <sz val="18"/>
      <color rgb="FFFFFFFF"/>
      <name val="Arial"/>
      <family val="2"/>
    </font>
    <font>
      <sz val="10"/>
      <color rgb="FFFFFFFF"/>
      <name val="Arial"/>
      <family val="2"/>
    </font>
    <font>
      <b/>
      <sz val="12"/>
      <color rgb="FFFFFFFF"/>
      <name val="Calibri"/>
      <family val="2"/>
      <scheme val="minor"/>
    </font>
    <font>
      <sz val="12"/>
      <color rgb="FFFFFFFF"/>
      <name val="Calibri"/>
      <family val="2"/>
      <scheme val="minor"/>
    </font>
    <font>
      <b/>
      <sz val="10"/>
      <color rgb="FFFFFFFF"/>
      <name val="Arial"/>
      <family val="2"/>
    </font>
    <font>
      <sz val="10"/>
      <color rgb="FFFFFFFF"/>
      <name val="Calibri"/>
      <family val="2"/>
      <scheme val="minor"/>
    </font>
    <font>
      <sz val="11"/>
      <name val="Calibri"/>
      <family val="2"/>
    </font>
    <font>
      <b/>
      <sz val="11"/>
      <color rgb="FF000000"/>
      <name val="Calibri"/>
      <family val="2"/>
    </font>
    <font>
      <b/>
      <sz val="11"/>
      <name val="Calibri"/>
      <family val="2"/>
    </font>
    <font>
      <b/>
      <sz val="11"/>
      <color theme="1"/>
      <name val="Calibri"/>
      <family val="2"/>
      <scheme val="minor"/>
    </font>
    <font>
      <b/>
      <sz val="14"/>
      <name val="Calibri"/>
      <family val="2"/>
      <scheme val="minor"/>
    </font>
    <font>
      <b/>
      <sz val="14"/>
      <color theme="1"/>
      <name val="Calibri"/>
      <family val="2"/>
      <scheme val="minor"/>
    </font>
    <font>
      <b/>
      <sz val="11"/>
      <color rgb="FFFF0000"/>
      <name val="Calibri"/>
      <family val="2"/>
      <scheme val="minor"/>
    </font>
    <font>
      <sz val="8"/>
      <color theme="1"/>
      <name val="Calibri"/>
      <family val="2"/>
      <scheme val="minor"/>
    </font>
    <font>
      <sz val="9"/>
      <name val="Calibri"/>
      <family val="2"/>
      <scheme val="minor"/>
    </font>
    <font>
      <b/>
      <sz val="18"/>
      <color rgb="FFFFFFFF"/>
      <name val="Calibri"/>
      <family val="2"/>
    </font>
    <font>
      <sz val="11"/>
      <color rgb="FFFFFFFF"/>
      <name val="Calibri"/>
      <family val="2"/>
    </font>
    <font>
      <b/>
      <sz val="11"/>
      <color theme="4" tint="-0.249977111117893"/>
      <name val="Calibri"/>
      <family val="2"/>
      <scheme val="minor"/>
    </font>
    <font>
      <sz val="11"/>
      <color theme="4" tint="-0.249977111117893"/>
      <name val="Calibri"/>
      <family val="2"/>
      <scheme val="minor"/>
    </font>
    <font>
      <sz val="14"/>
      <name val="Calibri"/>
      <family val="2"/>
      <scheme val="minor"/>
    </font>
    <font>
      <b/>
      <sz val="14"/>
      <color theme="4" tint="-0.249977111117893"/>
      <name val="Calibri"/>
      <family val="2"/>
      <scheme val="minor"/>
    </font>
    <font>
      <b/>
      <sz val="18"/>
      <color rgb="FFFFFFFF"/>
      <name val="Calibri"/>
      <family val="2"/>
      <scheme val="minor"/>
    </font>
    <font>
      <sz val="14"/>
      <color rgb="FFFFFFFF"/>
      <name val="Calibri"/>
      <family val="2"/>
      <scheme val="minor"/>
    </font>
    <font>
      <b/>
      <sz val="14"/>
      <color rgb="FFFFFFFF"/>
      <name val="Calibri"/>
      <family val="2"/>
      <scheme val="minor"/>
    </font>
    <font>
      <sz val="11"/>
      <color rgb="FFFFFFFF"/>
      <name val="Calibri"/>
      <family val="2"/>
      <scheme val="minor"/>
    </font>
    <font>
      <sz val="11"/>
      <color rgb="FF062B33"/>
      <name val="Calibri"/>
      <family val="2"/>
      <scheme val="minor"/>
    </font>
    <font>
      <sz val="11"/>
      <color rgb="FF242B3A"/>
      <name val="Calibri"/>
      <family val="2"/>
    </font>
    <font>
      <b/>
      <sz val="11"/>
      <color rgb="FF242B3A"/>
      <name val="Calibri"/>
      <family val="2"/>
    </font>
    <font>
      <b/>
      <sz val="11"/>
      <color rgb="FFFFFFFF"/>
      <name val="Calibri"/>
      <family val="2"/>
      <scheme val="minor"/>
    </font>
    <font>
      <b/>
      <sz val="10"/>
      <color rgb="FFFF0000"/>
      <name val="Calibri"/>
      <family val="2"/>
      <scheme val="minor"/>
    </font>
    <font>
      <sz val="14"/>
      <name val="Calibri"/>
      <family val="2"/>
    </font>
    <font>
      <b/>
      <sz val="11"/>
      <color rgb="FF000000"/>
      <name val="Calibri"/>
      <family val="2"/>
      <scheme val="minor"/>
    </font>
    <font>
      <b/>
      <sz val="12"/>
      <name val="Calibri"/>
      <family val="2"/>
      <scheme val="minor"/>
    </font>
    <font>
      <b/>
      <sz val="12"/>
      <color theme="1"/>
      <name val="Calibri"/>
      <family val="2"/>
      <scheme val="minor"/>
    </font>
    <font>
      <sz val="18"/>
      <name val="Arial"/>
      <family val="2"/>
    </font>
    <font>
      <sz val="12"/>
      <color rgb="FF000000"/>
      <name val="Calibri"/>
      <family val="2"/>
    </font>
    <font>
      <b/>
      <sz val="12"/>
      <color rgb="FF000000"/>
      <name val="Calibri"/>
      <family val="2"/>
    </font>
    <font>
      <sz val="11"/>
      <color rgb="FF000000"/>
      <name val="Aptos Narrow"/>
      <family val="2"/>
    </font>
    <font>
      <sz val="11"/>
      <color rgb="FF0000FF"/>
      <name val="Calibri"/>
      <family val="2"/>
      <scheme val="minor"/>
    </font>
  </fonts>
  <fills count="58">
    <fill>
      <patternFill patternType="none"/>
    </fill>
    <fill>
      <patternFill patternType="gray125"/>
    </fill>
    <fill>
      <patternFill patternType="solid">
        <fgColor rgb="FFFFFEB8"/>
        <bgColor indexed="64"/>
      </patternFill>
    </fill>
    <fill>
      <patternFill patternType="solid">
        <fgColor theme="0"/>
        <bgColor indexed="64"/>
      </patternFill>
    </fill>
    <fill>
      <patternFill patternType="solid">
        <fgColor rgb="FF023873"/>
        <bgColor indexed="64"/>
      </patternFill>
    </fill>
    <fill>
      <patternFill patternType="solid">
        <fgColor theme="0" tint="-0.249977111117893"/>
        <bgColor indexed="64"/>
      </patternFill>
    </fill>
    <fill>
      <patternFill patternType="lightUp"/>
    </fill>
    <fill>
      <patternFill patternType="solid">
        <fgColor theme="0" tint="-0.14999847407452621"/>
        <bgColor indexed="64"/>
      </patternFill>
    </fill>
    <fill>
      <patternFill patternType="solid">
        <fgColor theme="0" tint="-4.9989318521683403E-2"/>
        <bgColor indexed="64"/>
      </patternFill>
    </fill>
    <fill>
      <patternFill patternType="solid">
        <fgColor theme="1"/>
        <bgColor indexed="64"/>
      </patternFill>
    </fill>
    <fill>
      <patternFill patternType="solid">
        <fgColor rgb="FF573D82"/>
        <bgColor indexed="64"/>
      </patternFill>
    </fill>
    <fill>
      <patternFill patternType="solid">
        <fgColor rgb="FFF0F5FA"/>
        <bgColor indexed="64"/>
      </patternFill>
    </fill>
    <fill>
      <patternFill patternType="solid">
        <fgColor theme="4" tint="0.79998168889431442"/>
        <bgColor theme="4" tint="0.79998168889431442"/>
      </patternFill>
    </fill>
    <fill>
      <patternFill patternType="solid">
        <fgColor theme="9" tint="0.79998168889431442"/>
        <bgColor indexed="64"/>
      </patternFill>
    </fill>
    <fill>
      <patternFill patternType="solid">
        <fgColor rgb="FFA1B4C8"/>
        <bgColor indexed="64"/>
      </patternFill>
    </fill>
    <fill>
      <patternFill patternType="solid">
        <fgColor rgb="FF1EA9C3"/>
        <bgColor indexed="64"/>
      </patternFill>
    </fill>
    <fill>
      <patternFill patternType="solid">
        <fgColor rgb="FFF0C748"/>
        <bgColor indexed="64"/>
      </patternFill>
    </fill>
    <fill>
      <patternFill patternType="solid">
        <fgColor rgb="FFFFC000"/>
        <bgColor indexed="64"/>
      </patternFill>
    </fill>
    <fill>
      <patternFill patternType="solid">
        <fgColor rgb="FF95C63F"/>
        <bgColor indexed="64"/>
      </patternFill>
    </fill>
    <fill>
      <patternFill patternType="solid">
        <fgColor rgb="FFFB664D"/>
        <bgColor indexed="64"/>
      </patternFill>
    </fill>
    <fill>
      <patternFill patternType="solid">
        <fgColor rgb="FFFFFF00"/>
        <bgColor indexed="64"/>
      </patternFill>
    </fill>
    <fill>
      <patternFill patternType="solid">
        <fgColor theme="2"/>
        <bgColor indexed="64"/>
      </patternFill>
    </fill>
    <fill>
      <patternFill patternType="solid">
        <fgColor rgb="FFFFF2CC"/>
        <bgColor indexed="64"/>
      </patternFill>
    </fill>
    <fill>
      <patternFill patternType="solid">
        <fgColor rgb="FF92D050"/>
        <bgColor indexed="64"/>
      </patternFill>
    </fill>
    <fill>
      <patternFill patternType="solid">
        <fgColor theme="6" tint="-0.249977111117893"/>
        <bgColor indexed="64"/>
      </patternFill>
    </fill>
    <fill>
      <patternFill patternType="solid">
        <fgColor rgb="FF002060"/>
        <bgColor indexed="64"/>
      </patternFill>
    </fill>
    <fill>
      <patternFill patternType="solid">
        <fgColor theme="5" tint="0.39997558519241921"/>
        <bgColor indexed="64"/>
      </patternFill>
    </fill>
    <fill>
      <patternFill patternType="solid">
        <fgColor rgb="FFFFFFCC"/>
        <bgColor indexed="64"/>
      </patternFill>
    </fill>
    <fill>
      <patternFill patternType="solid">
        <fgColor rgb="FF003300"/>
        <bgColor indexed="64"/>
      </patternFill>
    </fill>
    <fill>
      <patternFill patternType="solid">
        <fgColor theme="4"/>
        <bgColor indexed="64"/>
      </patternFill>
    </fill>
    <fill>
      <patternFill patternType="solid">
        <fgColor theme="3"/>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theme="0" tint="0.79998168889431442"/>
        <bgColor indexed="64"/>
      </patternFill>
    </fill>
    <fill>
      <patternFill patternType="solid">
        <fgColor rgb="FFD9D9D9"/>
        <bgColor indexed="64"/>
      </patternFill>
    </fill>
    <fill>
      <patternFill patternType="solid">
        <fgColor rgb="FFE6CFFF"/>
        <bgColor indexed="64"/>
      </patternFill>
    </fill>
    <fill>
      <patternFill patternType="solid">
        <fgColor rgb="FFFFFFFF"/>
        <bgColor indexed="64"/>
      </patternFill>
    </fill>
    <fill>
      <patternFill patternType="solid">
        <fgColor rgb="FFFFFFFF"/>
        <bgColor theme="4" tint="0.79998168889431442"/>
      </patternFill>
    </fill>
    <fill>
      <patternFill patternType="solid">
        <fgColor indexed="65"/>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rgb="FF7030A0"/>
        <bgColor indexed="64"/>
      </patternFill>
    </fill>
    <fill>
      <patternFill patternType="solid">
        <fgColor theme="4" tint="-0.249977111117893"/>
        <bgColor indexed="64"/>
      </patternFill>
    </fill>
    <fill>
      <patternFill patternType="solid">
        <fgColor theme="9" tint="0.79998168889431442"/>
        <bgColor theme="4" tint="0.79998168889431442"/>
      </patternFill>
    </fill>
    <fill>
      <patternFill patternType="solid">
        <fgColor rgb="FF969696"/>
        <bgColor indexed="64"/>
      </patternFill>
    </fill>
    <fill>
      <patternFill patternType="solid">
        <fgColor theme="2" tint="-9.9978637043366805E-2"/>
        <bgColor indexed="64"/>
      </patternFill>
    </fill>
    <fill>
      <patternFill patternType="solid">
        <fgColor rgb="FF412E61"/>
        <bgColor indexed="64"/>
      </patternFill>
    </fill>
    <fill>
      <patternFill patternType="solid">
        <fgColor rgb="FF3E87CC"/>
        <bgColor indexed="64"/>
      </patternFill>
    </fill>
    <fill>
      <patternFill patternType="solid">
        <fgColor rgb="FFFFFFCC"/>
        <bgColor rgb="FF000000"/>
      </patternFill>
    </fill>
    <fill>
      <patternFill patternType="solid">
        <fgColor theme="5"/>
        <bgColor indexed="64"/>
      </patternFill>
    </fill>
    <fill>
      <patternFill patternType="solid">
        <fgColor rgb="FFFFFFFF"/>
        <bgColor rgb="FF000000"/>
      </patternFill>
    </fill>
  </fills>
  <borders count="111">
    <border>
      <left/>
      <right/>
      <top/>
      <bottom/>
      <diagonal/>
    </border>
    <border>
      <left/>
      <right/>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diagonal/>
    </border>
    <border>
      <left style="medium">
        <color indexed="64"/>
      </left>
      <right style="thin">
        <color indexed="64"/>
      </right>
      <top style="thin">
        <color indexed="64"/>
      </top>
      <bottom style="thin">
        <color indexed="64"/>
      </bottom>
      <diagonal/>
    </border>
    <border>
      <left/>
      <right style="medium">
        <color indexed="64"/>
      </right>
      <top/>
      <bottom/>
      <diagonal/>
    </border>
    <border>
      <left style="medium">
        <color indexed="64"/>
      </left>
      <right/>
      <top/>
      <bottom style="thin">
        <color indexed="64"/>
      </bottom>
      <diagonal/>
    </border>
    <border>
      <left/>
      <right style="medium">
        <color indexed="64"/>
      </right>
      <top style="thin">
        <color indexed="64"/>
      </top>
      <bottom/>
      <diagonal/>
    </border>
    <border>
      <left style="medium">
        <color indexed="64"/>
      </left>
      <right/>
      <top style="thin">
        <color indexed="64"/>
      </top>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diagonal/>
    </border>
    <border>
      <left/>
      <right style="thin">
        <color indexed="64"/>
      </right>
      <top style="medium">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thin">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bottom style="hair">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bottom style="hair">
        <color indexed="64"/>
      </bottom>
      <diagonal/>
    </border>
    <border>
      <left style="medium">
        <color indexed="64"/>
      </left>
      <right/>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style="medium">
        <color indexed="64"/>
      </top>
      <bottom style="hair">
        <color indexed="64"/>
      </bottom>
      <diagonal/>
    </border>
    <border>
      <left style="medium">
        <color indexed="64"/>
      </left>
      <right style="medium">
        <color indexed="64"/>
      </right>
      <top/>
      <bottom style="hair">
        <color indexed="64"/>
      </bottom>
      <diagonal/>
    </border>
    <border>
      <left style="medium">
        <color indexed="64"/>
      </left>
      <right style="medium">
        <color indexed="64"/>
      </right>
      <top/>
      <bottom style="medium">
        <color indexed="64"/>
      </bottom>
      <diagonal/>
    </border>
    <border>
      <left style="thin">
        <color indexed="64"/>
      </left>
      <right style="medium">
        <color indexed="64"/>
      </right>
      <top style="hair">
        <color indexed="64"/>
      </top>
      <bottom style="thin">
        <color indexed="64"/>
      </bottom>
      <diagonal/>
    </border>
    <border>
      <left/>
      <right/>
      <top style="thin">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thin">
        <color indexed="64"/>
      </right>
      <top style="medium">
        <color indexed="64"/>
      </top>
      <bottom style="hair">
        <color indexed="64"/>
      </bottom>
      <diagonal/>
    </border>
    <border>
      <left/>
      <right/>
      <top/>
      <bottom style="medium">
        <color indexed="64"/>
      </bottom>
      <diagonal/>
    </border>
    <border>
      <left style="thin">
        <color indexed="64"/>
      </left>
      <right/>
      <top style="medium">
        <color indexed="64"/>
      </top>
      <bottom style="thin">
        <color indexed="64"/>
      </bottom>
      <diagonal/>
    </border>
    <border>
      <left style="medium">
        <color indexed="64"/>
      </left>
      <right/>
      <top/>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bottom style="medium">
        <color indexed="64"/>
      </bottom>
      <diagonal/>
    </border>
    <border>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diagonal/>
    </border>
    <border>
      <left/>
      <right style="thin">
        <color theme="4" tint="0.39997558519241921"/>
      </right>
      <top style="thin">
        <color theme="4" tint="0.39997558519241921"/>
      </top>
      <bottom style="thin">
        <color theme="4" tint="0.39997558519241921"/>
      </bottom>
      <diagonal/>
    </border>
    <border>
      <left/>
      <right/>
      <top style="medium">
        <color indexed="64"/>
      </top>
      <bottom style="thin">
        <color indexed="64"/>
      </bottom>
      <diagonal/>
    </border>
    <border>
      <left style="thin">
        <color indexed="64"/>
      </left>
      <right/>
      <top/>
      <bottom/>
      <diagonal/>
    </border>
    <border>
      <left style="thin">
        <color indexed="64"/>
      </left>
      <right/>
      <top style="thin">
        <color indexed="64"/>
      </top>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top/>
      <bottom style="medium">
        <color theme="4" tint="0.39997558519241921"/>
      </bottom>
      <diagonal/>
    </border>
    <border>
      <left style="medium">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medium">
        <color theme="0" tint="-0.34998626667073579"/>
      </right>
      <top style="thin">
        <color theme="0" tint="-0.34998626667073579"/>
      </top>
      <bottom style="thin">
        <color theme="0" tint="-0.34998626667073579"/>
      </bottom>
      <diagonal/>
    </border>
    <border>
      <left style="medium">
        <color theme="0" tint="-0.34998626667073579"/>
      </left>
      <right style="thin">
        <color theme="0" tint="-0.34998626667073579"/>
      </right>
      <top/>
      <bottom style="thin">
        <color theme="0" tint="-0.34998626667073579"/>
      </bottom>
      <diagonal/>
    </border>
    <border>
      <left style="medium">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medium">
        <color theme="0" tint="-0.34998626667073579"/>
      </right>
      <top style="thin">
        <color theme="0" tint="-0.34998626667073579"/>
      </top>
      <bottom/>
      <diagonal/>
    </border>
    <border>
      <left/>
      <right style="thin">
        <color theme="0" tint="-0.34998626667073579"/>
      </right>
      <top/>
      <bottom style="thin">
        <color theme="0" tint="-0.34998626667073579"/>
      </bottom>
      <diagonal/>
    </border>
    <border>
      <left/>
      <right style="medium">
        <color theme="0" tint="-0.34998626667073579"/>
      </right>
      <top/>
      <bottom style="thin">
        <color theme="0" tint="-0.34998626667073579"/>
      </bottom>
      <diagonal/>
    </border>
    <border>
      <left/>
      <right style="thin">
        <color indexed="64"/>
      </right>
      <top/>
      <bottom/>
      <diagonal/>
    </border>
    <border>
      <left style="medium">
        <color indexed="64"/>
      </left>
      <right style="medium">
        <color indexed="64"/>
      </right>
      <top style="medium">
        <color indexed="64"/>
      </top>
      <bottom/>
      <diagonal/>
    </border>
    <border>
      <left style="thin">
        <color indexed="64"/>
      </left>
      <right style="thin">
        <color indexed="64"/>
      </right>
      <top/>
      <bottom style="thin">
        <color theme="4"/>
      </bottom>
      <diagonal/>
    </border>
    <border>
      <left style="thin">
        <color indexed="64"/>
      </left>
      <right style="thin">
        <color indexed="64"/>
      </right>
      <top style="thin">
        <color rgb="FF000000"/>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top/>
      <bottom style="medium">
        <color indexed="64"/>
      </bottom>
      <diagonal/>
    </border>
    <border>
      <left/>
      <right/>
      <top/>
      <bottom style="thin">
        <color rgb="FF000000"/>
      </bottom>
      <diagonal/>
    </border>
    <border>
      <left style="thin">
        <color rgb="FF000000"/>
      </left>
      <right/>
      <top style="thin">
        <color rgb="FF000000"/>
      </top>
      <bottom style="thin">
        <color rgb="FF000000"/>
      </bottom>
      <diagonal/>
    </border>
    <border>
      <left/>
      <right style="thin">
        <color rgb="FF000000"/>
      </right>
      <top/>
      <bottom/>
      <diagonal/>
    </border>
    <border>
      <left/>
      <right style="thin">
        <color rgb="FF000000"/>
      </right>
      <top style="thin">
        <color rgb="FF000000"/>
      </top>
      <bottom style="thin">
        <color rgb="FF000000"/>
      </bottom>
      <diagonal/>
    </border>
    <border>
      <left style="medium">
        <color indexed="64"/>
      </left>
      <right style="medium">
        <color indexed="64"/>
      </right>
      <top style="thin">
        <color indexed="64"/>
      </top>
      <bottom/>
      <diagonal/>
    </border>
  </borders>
  <cellStyleXfs count="27">
    <xf numFmtId="0" fontId="0" fillId="0" borderId="0"/>
    <xf numFmtId="40" fontId="11" fillId="0" borderId="0" applyFont="0" applyFill="0" applyBorder="0" applyAlignment="0" applyProtection="0"/>
    <xf numFmtId="8" fontId="11" fillId="0" borderId="0" applyFont="0" applyFill="0" applyBorder="0" applyAlignment="0" applyProtection="0"/>
    <xf numFmtId="9" fontId="15" fillId="0" borderId="0" applyFont="0" applyFill="0" applyBorder="0" applyAlignment="0" applyProtection="0"/>
    <xf numFmtId="0" fontId="15" fillId="0" borderId="0"/>
    <xf numFmtId="9" fontId="9" fillId="0" borderId="0" applyFont="0" applyFill="0" applyBorder="0" applyAlignment="0" applyProtection="0"/>
    <xf numFmtId="166" fontId="9" fillId="0" borderId="0" applyFont="0" applyFill="0" applyBorder="0" applyAlignment="0" applyProtection="0"/>
    <xf numFmtId="0" fontId="9" fillId="0" borderId="0"/>
    <xf numFmtId="0" fontId="8" fillId="0" borderId="0"/>
    <xf numFmtId="0" fontId="37" fillId="0" borderId="0"/>
    <xf numFmtId="44" fontId="37" fillId="0" borderId="0" applyFont="0" applyFill="0" applyBorder="0" applyAlignment="0" applyProtection="0"/>
    <xf numFmtId="0" fontId="7" fillId="0" borderId="0"/>
    <xf numFmtId="9" fontId="7" fillId="0" borderId="0" applyFont="0" applyFill="0" applyBorder="0" applyAlignment="0" applyProtection="0"/>
    <xf numFmtId="0" fontId="43" fillId="0" borderId="0" applyNumberFormat="0" applyFill="0" applyBorder="0" applyAlignment="0" applyProtection="0"/>
    <xf numFmtId="0" fontId="48" fillId="0" borderId="89" applyNumberFormat="0" applyFill="0" applyAlignment="0" applyProtection="0"/>
    <xf numFmtId="0" fontId="6" fillId="0" borderId="0"/>
    <xf numFmtId="174" fontId="6" fillId="0" borderId="0" applyFont="0" applyFill="0" applyBorder="0" applyAlignment="0" applyProtection="0"/>
    <xf numFmtId="0" fontId="49" fillId="0" borderId="0" applyNumberFormat="0" applyFill="0" applyBorder="0" applyAlignment="0" applyProtection="0"/>
    <xf numFmtId="9" fontId="6" fillId="0" borderId="0" applyFont="0" applyFill="0" applyBorder="0" applyAlignment="0" applyProtection="0"/>
    <xf numFmtId="0" fontId="5" fillId="0" borderId="0"/>
    <xf numFmtId="9" fontId="5" fillId="0" borderId="0" applyFont="0" applyFill="0" applyBorder="0" applyAlignment="0" applyProtection="0"/>
    <xf numFmtId="164" fontId="5" fillId="0" borderId="0" applyFont="0" applyFill="0" applyBorder="0" applyAlignment="0" applyProtection="0"/>
    <xf numFmtId="0" fontId="2" fillId="0" borderId="0"/>
    <xf numFmtId="164" fontId="2" fillId="0" borderId="0" applyFont="0" applyFill="0" applyBorder="0" applyAlignment="0" applyProtection="0"/>
    <xf numFmtId="9" fontId="2" fillId="0" borderId="0" applyFont="0" applyFill="0" applyBorder="0" applyAlignment="0" applyProtection="0"/>
    <xf numFmtId="0" fontId="2" fillId="0" borderId="0"/>
    <xf numFmtId="164" fontId="2" fillId="0" borderId="0" applyFont="0" applyFill="0" applyBorder="0" applyAlignment="0" applyProtection="0"/>
  </cellStyleXfs>
  <cellXfs count="1396">
    <xf numFmtId="0" fontId="0" fillId="0" borderId="0" xfId="0"/>
    <xf numFmtId="1" fontId="12" fillId="2" borderId="9" xfId="0" applyNumberFormat="1" applyFont="1" applyFill="1" applyBorder="1" applyAlignment="1" applyProtection="1">
      <alignment horizontal="center"/>
      <protection locked="0"/>
    </xf>
    <xf numFmtId="0" fontId="13" fillId="0" borderId="11" xfId="0" applyFont="1" applyBorder="1"/>
    <xf numFmtId="0" fontId="12" fillId="1" borderId="0" xfId="0" applyFont="1" applyFill="1"/>
    <xf numFmtId="0" fontId="12" fillId="0" borderId="4" xfId="0" applyFont="1" applyBorder="1"/>
    <xf numFmtId="0" fontId="12" fillId="0" borderId="5" xfId="0" applyFont="1" applyBorder="1"/>
    <xf numFmtId="9" fontId="0" fillId="0" borderId="0" xfId="0" applyNumberFormat="1"/>
    <xf numFmtId="0" fontId="12" fillId="1" borderId="0" xfId="0" applyFont="1" applyFill="1" applyAlignment="1">
      <alignment horizontal="left"/>
    </xf>
    <xf numFmtId="168" fontId="12" fillId="1" borderId="0" xfId="0" applyNumberFormat="1" applyFont="1" applyFill="1" applyAlignment="1">
      <alignment horizontal="center"/>
    </xf>
    <xf numFmtId="0" fontId="12" fillId="0" borderId="4" xfId="0" applyFont="1" applyBorder="1" applyAlignment="1">
      <alignment horizontal="right"/>
    </xf>
    <xf numFmtId="0" fontId="12" fillId="0" borderId="4" xfId="0" applyFont="1" applyBorder="1" applyAlignment="1">
      <alignment horizontal="center"/>
    </xf>
    <xf numFmtId="0" fontId="12" fillId="1" borderId="2" xfId="0" applyFont="1" applyFill="1" applyBorder="1"/>
    <xf numFmtId="2" fontId="13" fillId="0" borderId="11" xfId="0" applyNumberFormat="1" applyFont="1" applyBorder="1" applyAlignment="1">
      <alignment horizontal="left"/>
    </xf>
    <xf numFmtId="0" fontId="16" fillId="0" borderId="0" xfId="0" applyFont="1" applyAlignment="1">
      <alignment horizontal="center"/>
    </xf>
    <xf numFmtId="0" fontId="16" fillId="0" borderId="0" xfId="0" applyFont="1" applyAlignment="1">
      <alignment horizontal="center" wrapText="1"/>
    </xf>
    <xf numFmtId="38" fontId="0" fillId="0" borderId="0" xfId="1" applyNumberFormat="1" applyFont="1" applyProtection="1"/>
    <xf numFmtId="9" fontId="0" fillId="0" borderId="0" xfId="3" applyFont="1" applyProtection="1"/>
    <xf numFmtId="10" fontId="0" fillId="0" borderId="0" xfId="3" applyNumberFormat="1" applyFont="1" applyProtection="1"/>
    <xf numFmtId="0" fontId="19" fillId="1" borderId="0" xfId="0" applyFont="1" applyFill="1"/>
    <xf numFmtId="0" fontId="19" fillId="1" borderId="0" xfId="0" applyFont="1" applyFill="1" applyAlignment="1">
      <alignment wrapText="1"/>
    </xf>
    <xf numFmtId="1" fontId="12" fillId="2" borderId="13" xfId="0" applyNumberFormat="1" applyFont="1" applyFill="1" applyBorder="1" applyAlignment="1" applyProtection="1">
      <alignment horizontal="center"/>
      <protection locked="0"/>
    </xf>
    <xf numFmtId="0" fontId="19" fillId="1" borderId="0" xfId="0" applyFont="1" applyFill="1" applyAlignment="1">
      <alignment horizontal="left" vertical="top" wrapText="1"/>
    </xf>
    <xf numFmtId="0" fontId="0" fillId="0" borderId="0" xfId="0" applyAlignment="1">
      <alignment vertical="center" wrapText="1"/>
    </xf>
    <xf numFmtId="6" fontId="12" fillId="2" borderId="44" xfId="2" applyNumberFormat="1" applyFont="1" applyFill="1" applyBorder="1" applyAlignment="1" applyProtection="1">
      <alignment horizontal="center"/>
      <protection locked="0"/>
    </xf>
    <xf numFmtId="6" fontId="12" fillId="2" borderId="45" xfId="2" applyNumberFormat="1" applyFont="1" applyFill="1" applyBorder="1" applyAlignment="1" applyProtection="1">
      <alignment horizontal="center"/>
      <protection locked="0"/>
    </xf>
    <xf numFmtId="6" fontId="12" fillId="2" borderId="15" xfId="2" applyNumberFormat="1" applyFont="1" applyFill="1" applyBorder="1" applyAlignment="1" applyProtection="1">
      <alignment horizontal="center"/>
      <protection locked="0"/>
    </xf>
    <xf numFmtId="6" fontId="12" fillId="0" borderId="46" xfId="2" applyNumberFormat="1" applyFont="1" applyBorder="1" applyAlignment="1" applyProtection="1">
      <alignment horizontal="center"/>
    </xf>
    <xf numFmtId="6" fontId="12" fillId="0" borderId="45" xfId="2" applyNumberFormat="1" applyFont="1" applyBorder="1" applyAlignment="1" applyProtection="1">
      <alignment horizontal="center"/>
    </xf>
    <xf numFmtId="6" fontId="12" fillId="0" borderId="23" xfId="2" applyNumberFormat="1" applyFont="1" applyBorder="1" applyAlignment="1" applyProtection="1">
      <alignment horizontal="center"/>
    </xf>
    <xf numFmtId="6" fontId="12" fillId="0" borderId="15" xfId="2" applyNumberFormat="1" applyFont="1" applyBorder="1" applyAlignment="1" applyProtection="1">
      <alignment horizontal="center"/>
    </xf>
    <xf numFmtId="0" fontId="0" fillId="0" borderId="0" xfId="0" applyAlignment="1">
      <alignment vertical="center"/>
    </xf>
    <xf numFmtId="0" fontId="27" fillId="0" borderId="0" xfId="8" applyFont="1" applyAlignment="1">
      <alignment horizontal="right" vertical="center"/>
    </xf>
    <xf numFmtId="0" fontId="13" fillId="0" borderId="47" xfId="0" applyFont="1" applyBorder="1" applyAlignment="1">
      <alignment horizontal="center" vertical="center" wrapText="1"/>
    </xf>
    <xf numFmtId="0" fontId="13" fillId="0" borderId="48" xfId="0" applyFont="1" applyBorder="1" applyAlignment="1">
      <alignment horizontal="center" vertical="center" wrapText="1"/>
    </xf>
    <xf numFmtId="0" fontId="22" fillId="2" borderId="11" xfId="0" applyFont="1" applyFill="1" applyBorder="1" applyAlignment="1" applyProtection="1">
      <alignment horizontal="left" vertical="top" wrapText="1" shrinkToFit="1"/>
      <protection locked="0"/>
    </xf>
    <xf numFmtId="0" fontId="22" fillId="2" borderId="12" xfId="4" applyFont="1" applyFill="1" applyBorder="1" applyAlignment="1" applyProtection="1">
      <alignment vertical="center" wrapText="1" shrinkToFit="1"/>
      <protection locked="0"/>
    </xf>
    <xf numFmtId="168" fontId="22" fillId="2" borderId="12" xfId="4" applyNumberFormat="1" applyFont="1" applyFill="1" applyBorder="1" applyAlignment="1" applyProtection="1">
      <alignment horizontal="center" vertical="center"/>
      <protection locked="0"/>
    </xf>
    <xf numFmtId="0" fontId="22" fillId="2" borderId="11" xfId="4" applyFont="1" applyFill="1" applyBorder="1" applyAlignment="1" applyProtection="1">
      <alignment vertical="center" wrapText="1" shrinkToFit="1"/>
      <protection locked="0"/>
    </xf>
    <xf numFmtId="168" fontId="22" fillId="2" borderId="11" xfId="4" applyNumberFormat="1" applyFont="1" applyFill="1" applyBorder="1" applyAlignment="1" applyProtection="1">
      <alignment horizontal="center" vertical="center"/>
      <protection locked="0"/>
    </xf>
    <xf numFmtId="168" fontId="22" fillId="2" borderId="14" xfId="4" applyNumberFormat="1" applyFont="1" applyFill="1" applyBorder="1" applyAlignment="1" applyProtection="1">
      <alignment horizontal="center" vertical="center"/>
      <protection locked="0"/>
    </xf>
    <xf numFmtId="0" fontId="13" fillId="0" borderId="49" xfId="0" applyFont="1" applyBorder="1" applyAlignment="1">
      <alignment vertical="center" wrapText="1"/>
    </xf>
    <xf numFmtId="0" fontId="13" fillId="0" borderId="50" xfId="0" applyFont="1" applyBorder="1" applyAlignment="1">
      <alignment horizontal="center" vertical="center" wrapText="1"/>
    </xf>
    <xf numFmtId="0" fontId="13" fillId="0" borderId="54" xfId="0" applyFont="1" applyBorder="1" applyAlignment="1">
      <alignment horizontal="center" vertical="center" wrapText="1"/>
    </xf>
    <xf numFmtId="0" fontId="13" fillId="0" borderId="41" xfId="0" applyFont="1" applyBorder="1"/>
    <xf numFmtId="0" fontId="13" fillId="0" borderId="54" xfId="0" applyFont="1" applyBorder="1" applyAlignment="1">
      <alignment horizontal="center" vertical="center"/>
    </xf>
    <xf numFmtId="0" fontId="13" fillId="0" borderId="48" xfId="0" applyFont="1" applyBorder="1" applyAlignment="1">
      <alignment horizontal="center" vertical="center"/>
    </xf>
    <xf numFmtId="0" fontId="13" fillId="0" borderId="47" xfId="0" applyFont="1" applyBorder="1" applyAlignment="1">
      <alignment horizontal="center"/>
    </xf>
    <xf numFmtId="0" fontId="13" fillId="0" borderId="47" xfId="0" applyFont="1" applyBorder="1"/>
    <xf numFmtId="6" fontId="12" fillId="0" borderId="59" xfId="2" applyNumberFormat="1" applyFont="1" applyBorder="1" applyAlignment="1" applyProtection="1">
      <alignment horizontal="center"/>
    </xf>
    <xf numFmtId="6" fontId="12" fillId="0" borderId="17" xfId="2" applyNumberFormat="1" applyFont="1" applyBorder="1" applyAlignment="1" applyProtection="1">
      <alignment horizontal="center"/>
    </xf>
    <xf numFmtId="6" fontId="12" fillId="9" borderId="8" xfId="2" applyNumberFormat="1" applyFont="1" applyFill="1" applyBorder="1" applyAlignment="1" applyProtection="1">
      <alignment horizontal="center"/>
    </xf>
    <xf numFmtId="0" fontId="12" fillId="0" borderId="23" xfId="0" applyFont="1" applyBorder="1" applyAlignment="1">
      <alignment horizontal="center"/>
    </xf>
    <xf numFmtId="0" fontId="12" fillId="0" borderId="16" xfId="0" applyFont="1" applyBorder="1" applyAlignment="1">
      <alignment horizontal="center"/>
    </xf>
    <xf numFmtId="0" fontId="12" fillId="0" borderId="15" xfId="0" applyFont="1" applyBorder="1" applyAlignment="1">
      <alignment horizontal="center"/>
    </xf>
    <xf numFmtId="6" fontId="12" fillId="9" borderId="23" xfId="2" applyNumberFormat="1" applyFont="1" applyFill="1" applyBorder="1" applyAlignment="1" applyProtection="1">
      <alignment horizontal="center"/>
    </xf>
    <xf numFmtId="6" fontId="12" fillId="9" borderId="15" xfId="2" applyNumberFormat="1" applyFont="1" applyFill="1" applyBorder="1" applyAlignment="1" applyProtection="1">
      <alignment horizontal="center"/>
    </xf>
    <xf numFmtId="6" fontId="12" fillId="0" borderId="47" xfId="2" applyNumberFormat="1" applyFont="1" applyBorder="1" applyAlignment="1" applyProtection="1">
      <alignment horizontal="center"/>
    </xf>
    <xf numFmtId="6" fontId="12" fillId="0" borderId="48" xfId="2" applyNumberFormat="1" applyFont="1" applyBorder="1" applyAlignment="1" applyProtection="1">
      <alignment horizontal="center"/>
    </xf>
    <xf numFmtId="9" fontId="12" fillId="2" borderId="54" xfId="3" applyFont="1" applyFill="1" applyBorder="1" applyAlignment="1" applyProtection="1">
      <alignment horizontal="center"/>
      <protection locked="0"/>
    </xf>
    <xf numFmtId="6" fontId="12" fillId="0" borderId="54" xfId="2" applyNumberFormat="1" applyFont="1" applyBorder="1" applyAlignment="1" applyProtection="1">
      <alignment horizontal="center"/>
    </xf>
    <xf numFmtId="6" fontId="12" fillId="2" borderId="48" xfId="2" applyNumberFormat="1" applyFont="1" applyFill="1" applyBorder="1" applyAlignment="1" applyProtection="1">
      <alignment horizontal="center"/>
      <protection locked="0"/>
    </xf>
    <xf numFmtId="0" fontId="13" fillId="0" borderId="49" xfId="0" applyFont="1" applyBorder="1" applyAlignment="1">
      <alignment horizontal="center"/>
    </xf>
    <xf numFmtId="0" fontId="13" fillId="0" borderId="60" xfId="0" applyFont="1" applyBorder="1"/>
    <xf numFmtId="1" fontId="12" fillId="0" borderId="23" xfId="0" applyNumberFormat="1" applyFont="1" applyBorder="1" applyAlignment="1">
      <alignment horizontal="center"/>
    </xf>
    <xf numFmtId="1" fontId="12" fillId="0" borderId="16" xfId="0" applyNumberFormat="1" applyFont="1" applyBorder="1" applyAlignment="1">
      <alignment horizontal="center"/>
    </xf>
    <xf numFmtId="1" fontId="12" fillId="0" borderId="15" xfId="0" applyNumberFormat="1" applyFont="1" applyBorder="1" applyAlignment="1">
      <alignment horizontal="center"/>
    </xf>
    <xf numFmtId="6" fontId="12" fillId="9" borderId="7" xfId="2" applyNumberFormat="1" applyFont="1" applyFill="1" applyBorder="1" applyAlignment="1" applyProtection="1">
      <alignment horizontal="center"/>
    </xf>
    <xf numFmtId="1" fontId="12" fillId="2" borderId="43" xfId="0" applyNumberFormat="1" applyFont="1" applyFill="1" applyBorder="1" applyAlignment="1" applyProtection="1">
      <alignment horizontal="center"/>
      <protection locked="0"/>
    </xf>
    <xf numFmtId="8" fontId="12" fillId="2" borderId="45" xfId="2" applyFont="1" applyFill="1" applyBorder="1" applyAlignment="1" applyProtection="1">
      <alignment horizontal="center"/>
      <protection locked="0"/>
    </xf>
    <xf numFmtId="8" fontId="12" fillId="2" borderId="65" xfId="2" applyFont="1" applyFill="1" applyBorder="1" applyAlignment="1" applyProtection="1">
      <alignment horizontal="center"/>
      <protection locked="0"/>
    </xf>
    <xf numFmtId="6" fontId="12" fillId="0" borderId="62" xfId="2" applyNumberFormat="1" applyFont="1" applyBorder="1" applyAlignment="1" applyProtection="1">
      <alignment horizontal="center"/>
    </xf>
    <xf numFmtId="6" fontId="12" fillId="0" borderId="63" xfId="2" applyNumberFormat="1" applyFont="1" applyBorder="1" applyAlignment="1" applyProtection="1">
      <alignment horizontal="center"/>
    </xf>
    <xf numFmtId="6" fontId="12" fillId="0" borderId="67" xfId="2" applyNumberFormat="1" applyFont="1" applyBorder="1" applyAlignment="1" applyProtection="1">
      <alignment horizontal="center"/>
    </xf>
    <xf numFmtId="167" fontId="12" fillId="2" borderId="68" xfId="0" applyNumberFormat="1" applyFont="1" applyFill="1" applyBorder="1" applyAlignment="1" applyProtection="1">
      <alignment horizontal="center" vertical="center"/>
      <protection locked="0"/>
    </xf>
    <xf numFmtId="0" fontId="13" fillId="0" borderId="51" xfId="0" applyFont="1" applyBorder="1"/>
    <xf numFmtId="0" fontId="12" fillId="0" borderId="52" xfId="0" applyFont="1" applyBorder="1"/>
    <xf numFmtId="0" fontId="12" fillId="0" borderId="36" xfId="0" applyFont="1" applyBorder="1"/>
    <xf numFmtId="6" fontId="13" fillId="0" borderId="34" xfId="2" applyNumberFormat="1" applyFont="1" applyBorder="1" applyAlignment="1" applyProtection="1">
      <alignment horizontal="center"/>
    </xf>
    <xf numFmtId="0" fontId="13" fillId="0" borderId="41" xfId="0" applyFont="1" applyBorder="1" applyAlignment="1">
      <alignment horizontal="center"/>
    </xf>
    <xf numFmtId="0" fontId="13" fillId="0" borderId="47" xfId="0" applyFont="1" applyBorder="1" applyAlignment="1">
      <alignment vertical="center"/>
    </xf>
    <xf numFmtId="0" fontId="12" fillId="0" borderId="62" xfId="0" applyFont="1" applyBorder="1"/>
    <xf numFmtId="0" fontId="12" fillId="0" borderId="63" xfId="0" applyFont="1" applyBorder="1"/>
    <xf numFmtId="0" fontId="12" fillId="0" borderId="64" xfId="0" applyFont="1" applyBorder="1"/>
    <xf numFmtId="0" fontId="10" fillId="0" borderId="51" xfId="0" applyFont="1" applyBorder="1"/>
    <xf numFmtId="0" fontId="10" fillId="0" borderId="52" xfId="0" applyFont="1" applyBorder="1"/>
    <xf numFmtId="0" fontId="0" fillId="0" borderId="52" xfId="0" applyBorder="1"/>
    <xf numFmtId="0" fontId="12" fillId="0" borderId="53" xfId="0" applyFont="1" applyBorder="1" applyAlignment="1">
      <alignment horizontal="right"/>
    </xf>
    <xf numFmtId="0" fontId="13" fillId="0" borderId="57" xfId="0" applyFont="1" applyBorder="1" applyAlignment="1">
      <alignment horizontal="left"/>
    </xf>
    <xf numFmtId="14" fontId="12" fillId="2" borderId="76" xfId="0" applyNumberFormat="1" applyFont="1" applyFill="1" applyBorder="1" applyAlignment="1" applyProtection="1">
      <alignment horizontal="center"/>
      <protection locked="0"/>
    </xf>
    <xf numFmtId="0" fontId="12" fillId="2" borderId="76" xfId="0" applyFont="1" applyFill="1" applyBorder="1" applyAlignment="1" applyProtection="1">
      <alignment horizontal="center"/>
      <protection locked="0"/>
    </xf>
    <xf numFmtId="0" fontId="12" fillId="1" borderId="74" xfId="0" applyFont="1" applyFill="1" applyBorder="1"/>
    <xf numFmtId="0" fontId="12" fillId="1" borderId="30" xfId="0" applyFont="1" applyFill="1" applyBorder="1"/>
    <xf numFmtId="9" fontId="12" fillId="0" borderId="76" xfId="3" applyFont="1" applyBorder="1" applyAlignment="1" applyProtection="1">
      <alignment horizontal="center"/>
    </xf>
    <xf numFmtId="2" fontId="12" fillId="1" borderId="0" xfId="0" applyNumberFormat="1" applyFont="1" applyFill="1" applyAlignment="1">
      <alignment horizontal="right"/>
    </xf>
    <xf numFmtId="167" fontId="12" fillId="1" borderId="30" xfId="0" applyNumberFormat="1" applyFont="1" applyFill="1" applyBorder="1" applyAlignment="1">
      <alignment horizontal="center"/>
    </xf>
    <xf numFmtId="0" fontId="12" fillId="1" borderId="30" xfId="0" applyFont="1" applyFill="1" applyBorder="1" applyAlignment="1">
      <alignment horizontal="center" vertical="center"/>
    </xf>
    <xf numFmtId="0" fontId="12" fillId="1" borderId="51" xfId="0" applyFont="1" applyFill="1" applyBorder="1"/>
    <xf numFmtId="0" fontId="12" fillId="1" borderId="60" xfId="0" applyFont="1" applyFill="1" applyBorder="1"/>
    <xf numFmtId="0" fontId="13" fillId="0" borderId="37" xfId="0" applyFont="1" applyBorder="1" applyAlignment="1">
      <alignment horizontal="center" vertical="center" wrapText="1"/>
    </xf>
    <xf numFmtId="0" fontId="13" fillId="0" borderId="48" xfId="0" applyFont="1" applyBorder="1" applyAlignment="1">
      <alignment horizontal="center"/>
    </xf>
    <xf numFmtId="0" fontId="12" fillId="1" borderId="72" xfId="0" applyFont="1" applyFill="1" applyBorder="1"/>
    <xf numFmtId="0" fontId="12" fillId="1" borderId="77" xfId="0" applyFont="1" applyFill="1" applyBorder="1"/>
    <xf numFmtId="6" fontId="16" fillId="0" borderId="54" xfId="0" applyNumberFormat="1" applyFont="1" applyBorder="1" applyAlignment="1">
      <alignment horizontal="center" vertical="center"/>
    </xf>
    <xf numFmtId="169" fontId="14" fillId="0" borderId="48" xfId="0" applyNumberFormat="1" applyFont="1" applyBorder="1" applyAlignment="1">
      <alignment horizontal="center" vertical="center"/>
    </xf>
    <xf numFmtId="6" fontId="0" fillId="0" borderId="39" xfId="0" applyNumberFormat="1" applyBorder="1" applyAlignment="1">
      <alignment horizontal="center" vertical="center"/>
    </xf>
    <xf numFmtId="169" fontId="32" fillId="0" borderId="38" xfId="0" applyNumberFormat="1" applyFont="1" applyBorder="1" applyAlignment="1">
      <alignment horizontal="center" vertical="center"/>
    </xf>
    <xf numFmtId="6" fontId="0" fillId="0" borderId="19" xfId="0" applyNumberFormat="1" applyBorder="1" applyAlignment="1">
      <alignment horizontal="center" vertical="center"/>
    </xf>
    <xf numFmtId="169" fontId="32" fillId="0" borderId="15" xfId="0" applyNumberFormat="1" applyFont="1" applyBorder="1" applyAlignment="1">
      <alignment horizontal="center" vertical="center"/>
    </xf>
    <xf numFmtId="1" fontId="22" fillId="2" borderId="8" xfId="4" applyNumberFormat="1" applyFont="1" applyFill="1" applyBorder="1" applyAlignment="1" applyProtection="1">
      <alignment horizontal="center" vertical="center" shrinkToFit="1"/>
      <protection locked="0"/>
    </xf>
    <xf numFmtId="1" fontId="22" fillId="2" borderId="12" xfId="4" applyNumberFormat="1" applyFont="1" applyFill="1" applyBorder="1" applyAlignment="1" applyProtection="1">
      <alignment horizontal="center" vertical="center" shrinkToFit="1"/>
      <protection locked="0"/>
    </xf>
    <xf numFmtId="1" fontId="22" fillId="2" borderId="5" xfId="4" applyNumberFormat="1" applyFont="1" applyFill="1" applyBorder="1" applyAlignment="1" applyProtection="1">
      <alignment horizontal="center" vertical="center" shrinkToFit="1"/>
      <protection locked="0"/>
    </xf>
    <xf numFmtId="0" fontId="16" fillId="0" borderId="54" xfId="0" applyFont="1" applyBorder="1" applyAlignment="1">
      <alignment horizontal="center"/>
    </xf>
    <xf numFmtId="0" fontId="13" fillId="0" borderId="35" xfId="0" applyFont="1" applyBorder="1" applyAlignment="1">
      <alignment horizontal="center" vertical="center" wrapText="1"/>
    </xf>
    <xf numFmtId="0" fontId="13" fillId="0" borderId="35" xfId="0" applyFont="1" applyBorder="1" applyAlignment="1">
      <alignment horizontal="center" vertical="center"/>
    </xf>
    <xf numFmtId="0" fontId="13" fillId="0" borderId="34" xfId="0" applyFont="1" applyBorder="1" applyAlignment="1">
      <alignment horizontal="center" vertical="center"/>
    </xf>
    <xf numFmtId="6" fontId="12" fillId="2" borderId="11" xfId="2" applyNumberFormat="1" applyFont="1" applyFill="1" applyBorder="1" applyAlignment="1" applyProtection="1">
      <alignment horizontal="center"/>
      <protection locked="0"/>
    </xf>
    <xf numFmtId="6" fontId="12" fillId="2" borderId="39" xfId="2" applyNumberFormat="1" applyFont="1" applyFill="1" applyBorder="1" applyAlignment="1" applyProtection="1">
      <alignment horizontal="center"/>
      <protection locked="0"/>
    </xf>
    <xf numFmtId="6" fontId="12" fillId="0" borderId="38" xfId="2" applyNumberFormat="1" applyFont="1" applyBorder="1" applyAlignment="1" applyProtection="1">
      <alignment horizontal="center"/>
    </xf>
    <xf numFmtId="6" fontId="12" fillId="0" borderId="27" xfId="2" applyNumberFormat="1" applyFont="1" applyBorder="1" applyAlignment="1" applyProtection="1">
      <alignment horizontal="center"/>
    </xf>
    <xf numFmtId="6" fontId="12" fillId="2" borderId="19" xfId="2" applyNumberFormat="1" applyFont="1" applyFill="1" applyBorder="1" applyAlignment="1" applyProtection="1">
      <alignment horizontal="center"/>
      <protection locked="0"/>
    </xf>
    <xf numFmtId="6" fontId="12" fillId="0" borderId="18" xfId="2" applyNumberFormat="1" applyFont="1" applyBorder="1" applyAlignment="1" applyProtection="1">
      <alignment horizontal="center"/>
    </xf>
    <xf numFmtId="0" fontId="13" fillId="0" borderId="51" xfId="0" applyFont="1" applyBorder="1" applyAlignment="1">
      <alignment vertical="center"/>
    </xf>
    <xf numFmtId="0" fontId="13" fillId="0" borderId="36" xfId="0" applyFont="1" applyBorder="1" applyAlignment="1">
      <alignment horizontal="center" vertical="center"/>
    </xf>
    <xf numFmtId="6" fontId="12" fillId="0" borderId="78" xfId="2" applyNumberFormat="1" applyFont="1" applyBorder="1" applyAlignment="1" applyProtection="1">
      <alignment horizontal="center"/>
    </xf>
    <xf numFmtId="6" fontId="12" fillId="0" borderId="5" xfId="2" applyNumberFormat="1" applyFont="1" applyBorder="1" applyAlignment="1" applyProtection="1">
      <alignment horizontal="center"/>
    </xf>
    <xf numFmtId="6" fontId="12" fillId="0" borderId="22" xfId="2" applyNumberFormat="1" applyFont="1" applyBorder="1" applyAlignment="1" applyProtection="1">
      <alignment horizontal="center"/>
    </xf>
    <xf numFmtId="6" fontId="12" fillId="2" borderId="38" xfId="2" applyNumberFormat="1" applyFont="1" applyFill="1" applyBorder="1" applyAlignment="1" applyProtection="1">
      <alignment horizontal="center"/>
      <protection locked="0"/>
    </xf>
    <xf numFmtId="6" fontId="12" fillId="2" borderId="27" xfId="2" applyNumberFormat="1" applyFont="1" applyFill="1" applyBorder="1" applyAlignment="1" applyProtection="1">
      <alignment horizontal="center"/>
      <protection locked="0"/>
    </xf>
    <xf numFmtId="6" fontId="12" fillId="2" borderId="18" xfId="2" applyNumberFormat="1" applyFont="1" applyFill="1" applyBorder="1" applyAlignment="1" applyProtection="1">
      <alignment horizontal="center"/>
      <protection locked="0"/>
    </xf>
    <xf numFmtId="0" fontId="0" fillId="3" borderId="42" xfId="6" applyNumberFormat="1" applyFont="1" applyFill="1" applyBorder="1" applyAlignment="1" applyProtection="1">
      <alignment vertical="center"/>
    </xf>
    <xf numFmtId="0" fontId="12" fillId="3" borderId="26" xfId="0" applyFont="1" applyFill="1" applyBorder="1" applyAlignment="1">
      <alignment horizontal="center"/>
    </xf>
    <xf numFmtId="0" fontId="12" fillId="3" borderId="12" xfId="0" applyFont="1" applyFill="1" applyBorder="1" applyAlignment="1">
      <alignment horizontal="center"/>
    </xf>
    <xf numFmtId="0" fontId="12" fillId="3" borderId="25" xfId="0" applyFont="1" applyFill="1" applyBorder="1" applyAlignment="1">
      <alignment horizontal="center"/>
    </xf>
    <xf numFmtId="0" fontId="0" fillId="3" borderId="57" xfId="6" applyNumberFormat="1" applyFont="1" applyFill="1" applyBorder="1" applyAlignment="1" applyProtection="1">
      <alignment vertical="center"/>
    </xf>
    <xf numFmtId="0" fontId="12" fillId="3" borderId="29" xfId="0" applyFont="1" applyFill="1" applyBorder="1" applyAlignment="1">
      <alignment horizontal="center"/>
    </xf>
    <xf numFmtId="0" fontId="12" fillId="3" borderId="11" xfId="0" applyFont="1" applyFill="1" applyBorder="1" applyAlignment="1">
      <alignment horizontal="center"/>
    </xf>
    <xf numFmtId="0" fontId="12" fillId="3" borderId="27" xfId="0" applyFont="1" applyFill="1" applyBorder="1" applyAlignment="1">
      <alignment horizontal="center"/>
    </xf>
    <xf numFmtId="0" fontId="0" fillId="3" borderId="58" xfId="6" applyNumberFormat="1" applyFont="1" applyFill="1" applyBorder="1" applyAlignment="1" applyProtection="1">
      <alignment vertical="center"/>
    </xf>
    <xf numFmtId="0" fontId="12" fillId="3" borderId="20" xfId="0" applyFont="1" applyFill="1" applyBorder="1" applyAlignment="1">
      <alignment horizontal="center"/>
    </xf>
    <xf numFmtId="0" fontId="12" fillId="3" borderId="19" xfId="0" applyFont="1" applyFill="1" applyBorder="1" applyAlignment="1">
      <alignment horizontal="center"/>
    </xf>
    <xf numFmtId="0" fontId="12" fillId="3" borderId="18" xfId="0" applyFont="1" applyFill="1" applyBorder="1" applyAlignment="1">
      <alignment horizontal="center"/>
    </xf>
    <xf numFmtId="0" fontId="12" fillId="0" borderId="40" xfId="0" applyFont="1" applyBorder="1" applyAlignment="1">
      <alignment horizontal="center"/>
    </xf>
    <xf numFmtId="0" fontId="12" fillId="0" borderId="39" xfId="0" applyFont="1" applyBorder="1" applyAlignment="1">
      <alignment horizontal="center"/>
    </xf>
    <xf numFmtId="0" fontId="12" fillId="0" borderId="29" xfId="0" applyFont="1" applyBorder="1" applyAlignment="1">
      <alignment horizontal="center"/>
    </xf>
    <xf numFmtId="0" fontId="12" fillId="0" borderId="11" xfId="0" applyFont="1" applyBorder="1" applyAlignment="1">
      <alignment horizontal="center"/>
    </xf>
    <xf numFmtId="0" fontId="12" fillId="0" borderId="20" xfId="0" applyFont="1" applyBorder="1" applyAlignment="1">
      <alignment horizontal="center"/>
    </xf>
    <xf numFmtId="0" fontId="12" fillId="0" borderId="19" xfId="0" applyFont="1" applyBorder="1" applyAlignment="1">
      <alignment horizontal="center"/>
    </xf>
    <xf numFmtId="0" fontId="19" fillId="0" borderId="0" xfId="4" applyFont="1" applyAlignment="1">
      <alignment vertical="center"/>
    </xf>
    <xf numFmtId="0" fontId="26" fillId="3" borderId="49" xfId="7" applyFont="1" applyFill="1" applyBorder="1" applyAlignment="1">
      <alignment horizontal="left" vertical="center"/>
    </xf>
    <xf numFmtId="0" fontId="26" fillId="3" borderId="56" xfId="7" applyFont="1" applyFill="1" applyBorder="1" applyAlignment="1">
      <alignment horizontal="left" vertical="center"/>
    </xf>
    <xf numFmtId="0" fontId="26" fillId="3" borderId="56" xfId="7" applyFont="1" applyFill="1" applyBorder="1" applyAlignment="1">
      <alignment horizontal="left" vertical="top" wrapText="1"/>
    </xf>
    <xf numFmtId="0" fontId="26" fillId="3" borderId="55" xfId="7" applyFont="1" applyFill="1" applyBorder="1" applyAlignment="1">
      <alignment horizontal="left" vertical="center"/>
    </xf>
    <xf numFmtId="9" fontId="26" fillId="3" borderId="6" xfId="5" applyFont="1" applyFill="1" applyBorder="1" applyAlignment="1" applyProtection="1">
      <alignment horizontal="left" vertical="center"/>
    </xf>
    <xf numFmtId="0" fontId="19" fillId="3" borderId="4" xfId="4" applyFont="1" applyFill="1" applyBorder="1" applyAlignment="1">
      <alignment vertical="center" wrapText="1"/>
    </xf>
    <xf numFmtId="1" fontId="19" fillId="3" borderId="4" xfId="4" applyNumberFormat="1" applyFont="1" applyFill="1" applyBorder="1" applyAlignment="1">
      <alignment horizontal="center" vertical="center"/>
    </xf>
    <xf numFmtId="0" fontId="19" fillId="3" borderId="4" xfId="4" applyFont="1" applyFill="1" applyBorder="1" applyAlignment="1">
      <alignment vertical="center"/>
    </xf>
    <xf numFmtId="0" fontId="19" fillId="1" borderId="0" xfId="4" applyFont="1" applyFill="1" applyAlignment="1">
      <alignment vertical="center"/>
    </xf>
    <xf numFmtId="0" fontId="21" fillId="0" borderId="38" xfId="4" applyFont="1" applyBorder="1" applyAlignment="1">
      <alignment horizontal="center" vertical="center" wrapText="1"/>
    </xf>
    <xf numFmtId="168" fontId="21" fillId="0" borderId="39" xfId="4" applyNumberFormat="1" applyFont="1" applyBorder="1" applyAlignment="1">
      <alignment horizontal="center" vertical="center" textRotation="90" wrapText="1"/>
    </xf>
    <xf numFmtId="168" fontId="21" fillId="0" borderId="37" xfId="4" applyNumberFormat="1" applyFont="1" applyBorder="1" applyAlignment="1">
      <alignment horizontal="center" vertical="center" textRotation="90" wrapText="1"/>
    </xf>
    <xf numFmtId="166" fontId="21" fillId="0" borderId="35" xfId="6" applyFont="1" applyBorder="1" applyAlignment="1" applyProtection="1">
      <alignment horizontal="center" vertical="center" textRotation="90" wrapText="1"/>
    </xf>
    <xf numFmtId="166" fontId="21" fillId="0" borderId="34" xfId="6" applyFont="1" applyBorder="1" applyAlignment="1" applyProtection="1">
      <alignment horizontal="center" vertical="center" textRotation="90" wrapText="1"/>
    </xf>
    <xf numFmtId="170" fontId="20" fillId="1" borderId="0" xfId="4" applyNumberFormat="1" applyFont="1" applyFill="1" applyAlignment="1">
      <alignment horizontal="center" vertical="center" textRotation="90"/>
    </xf>
    <xf numFmtId="170" fontId="20" fillId="0" borderId="0" xfId="4" applyNumberFormat="1" applyFont="1" applyAlignment="1">
      <alignment horizontal="center" vertical="center" textRotation="90"/>
    </xf>
    <xf numFmtId="0" fontId="21" fillId="8" borderId="27" xfId="4" applyFont="1" applyFill="1" applyBorder="1" applyAlignment="1">
      <alignment horizontal="left" vertical="center"/>
    </xf>
    <xf numFmtId="171" fontId="22" fillId="8" borderId="11" xfId="6" applyNumberFormat="1" applyFont="1" applyFill="1" applyBorder="1" applyAlignment="1" applyProtection="1">
      <alignment horizontal="center" vertical="center"/>
    </xf>
    <xf numFmtId="168" fontId="21" fillId="6" borderId="33" xfId="4" applyNumberFormat="1" applyFont="1" applyFill="1" applyBorder="1" applyAlignment="1">
      <alignment horizontal="center" vertical="center"/>
    </xf>
    <xf numFmtId="166" fontId="21" fillId="6" borderId="2" xfId="6" applyFont="1" applyFill="1" applyBorder="1" applyAlignment="1" applyProtection="1">
      <alignment horizontal="center" vertical="center"/>
    </xf>
    <xf numFmtId="166" fontId="21" fillId="6" borderId="32" xfId="6" applyFont="1" applyFill="1" applyBorder="1" applyAlignment="1" applyProtection="1">
      <alignment horizontal="center" vertical="center"/>
    </xf>
    <xf numFmtId="170" fontId="20" fillId="1" borderId="0" xfId="4" applyNumberFormat="1" applyFont="1" applyFill="1" applyAlignment="1">
      <alignment horizontal="center" vertical="center"/>
    </xf>
    <xf numFmtId="170" fontId="20" fillId="0" borderId="0" xfId="4" applyNumberFormat="1" applyFont="1" applyAlignment="1">
      <alignment horizontal="center" vertical="center"/>
    </xf>
    <xf numFmtId="0" fontId="21" fillId="7" borderId="27" xfId="4" applyFont="1" applyFill="1" applyBorder="1" applyAlignment="1">
      <alignment horizontal="left" vertical="center"/>
    </xf>
    <xf numFmtId="171" fontId="22" fillId="7" borderId="11" xfId="6" applyNumberFormat="1" applyFont="1" applyFill="1" applyBorder="1" applyAlignment="1" applyProtection="1">
      <alignment horizontal="center" vertical="center"/>
    </xf>
    <xf numFmtId="168" fontId="21" fillId="6" borderId="31" xfId="4" applyNumberFormat="1" applyFont="1" applyFill="1" applyBorder="1" applyAlignment="1">
      <alignment horizontal="center" vertical="center"/>
    </xf>
    <xf numFmtId="166" fontId="21" fillId="6" borderId="1" xfId="6" applyFont="1" applyFill="1" applyBorder="1" applyAlignment="1" applyProtection="1">
      <alignment horizontal="center" vertical="center"/>
    </xf>
    <xf numFmtId="166" fontId="21" fillId="6" borderId="30" xfId="6" applyFont="1" applyFill="1" applyBorder="1" applyAlignment="1" applyProtection="1">
      <alignment horizontal="center" vertical="center"/>
    </xf>
    <xf numFmtId="0" fontId="21" fillId="0" borderId="27" xfId="4" applyFont="1" applyBorder="1" applyAlignment="1">
      <alignment horizontal="left" vertical="center"/>
    </xf>
    <xf numFmtId="168" fontId="22" fillId="0" borderId="11" xfId="4" applyNumberFormat="1" applyFont="1" applyBorder="1" applyAlignment="1">
      <alignment horizontal="center" vertical="center"/>
    </xf>
    <xf numFmtId="168" fontId="21" fillId="0" borderId="29" xfId="4" applyNumberFormat="1" applyFont="1" applyBorder="1" applyAlignment="1">
      <alignment horizontal="center" vertical="center"/>
    </xf>
    <xf numFmtId="166" fontId="21" fillId="0" borderId="11" xfId="6" applyFont="1" applyBorder="1" applyAlignment="1" applyProtection="1">
      <alignment horizontal="center" vertical="center"/>
    </xf>
    <xf numFmtId="166" fontId="21" fillId="6" borderId="25" xfId="6" applyFont="1" applyFill="1" applyBorder="1" applyAlignment="1" applyProtection="1">
      <alignment horizontal="center" vertical="center"/>
    </xf>
    <xf numFmtId="168" fontId="21" fillId="0" borderId="26" xfId="4" applyNumberFormat="1" applyFont="1" applyBorder="1" applyAlignment="1">
      <alignment horizontal="center" vertical="center"/>
    </xf>
    <xf numFmtId="166" fontId="21" fillId="0" borderId="25" xfId="6" applyFont="1" applyBorder="1" applyAlignment="1" applyProtection="1">
      <alignment horizontal="center" vertical="center"/>
    </xf>
    <xf numFmtId="0" fontId="21" fillId="5" borderId="21" xfId="4" applyFont="1" applyFill="1" applyBorder="1" applyAlignment="1">
      <alignment horizontal="left" vertical="center"/>
    </xf>
    <xf numFmtId="168" fontId="21" fillId="5" borderId="22" xfId="4" applyNumberFormat="1" applyFont="1" applyFill="1" applyBorder="1" applyAlignment="1">
      <alignment horizontal="center" vertical="center"/>
    </xf>
    <xf numFmtId="166" fontId="21" fillId="0" borderId="19" xfId="6" applyFont="1" applyBorder="1" applyAlignment="1" applyProtection="1">
      <alignment horizontal="center" vertical="center"/>
    </xf>
    <xf numFmtId="170" fontId="19" fillId="1" borderId="0" xfId="4" applyNumberFormat="1" applyFont="1" applyFill="1" applyAlignment="1">
      <alignment vertical="center"/>
    </xf>
    <xf numFmtId="170" fontId="19" fillId="0" borderId="0" xfId="4" applyNumberFormat="1" applyFont="1" applyAlignment="1">
      <alignment vertical="center"/>
    </xf>
    <xf numFmtId="0" fontId="23" fillId="4" borderId="7" xfId="4" applyFont="1" applyFill="1" applyBorder="1" applyAlignment="1">
      <alignment vertical="center"/>
    </xf>
    <xf numFmtId="0" fontId="23" fillId="4" borderId="1" xfId="4" applyFont="1" applyFill="1" applyBorder="1" applyAlignment="1">
      <alignment vertical="center"/>
    </xf>
    <xf numFmtId="0" fontId="24" fillId="4" borderId="1" xfId="4" applyFont="1" applyFill="1" applyBorder="1" applyAlignment="1">
      <alignment horizontal="left" vertical="top"/>
    </xf>
    <xf numFmtId="168" fontId="24" fillId="4" borderId="1" xfId="4" applyNumberFormat="1" applyFont="1" applyFill="1" applyBorder="1" applyAlignment="1">
      <alignment horizontal="center" vertical="center"/>
    </xf>
    <xf numFmtId="166" fontId="23" fillId="4" borderId="1" xfId="6" applyFont="1" applyFill="1" applyBorder="1" applyAlignment="1" applyProtection="1">
      <alignment horizontal="center" vertical="center"/>
    </xf>
    <xf numFmtId="0" fontId="23" fillId="4" borderId="6" xfId="4" applyFont="1" applyFill="1" applyBorder="1" applyAlignment="1">
      <alignment vertical="center"/>
    </xf>
    <xf numFmtId="0" fontId="23" fillId="4" borderId="4" xfId="4" applyFont="1" applyFill="1" applyBorder="1" applyAlignment="1">
      <alignment vertical="center" wrapText="1"/>
    </xf>
    <xf numFmtId="1" fontId="24" fillId="4" borderId="4" xfId="4" applyNumberFormat="1" applyFont="1" applyFill="1" applyBorder="1" applyAlignment="1">
      <alignment horizontal="center" vertical="center"/>
    </xf>
    <xf numFmtId="0" fontId="25" fillId="4" borderId="4" xfId="4" applyFont="1" applyFill="1" applyBorder="1" applyAlignment="1">
      <alignment vertical="center"/>
    </xf>
    <xf numFmtId="0" fontId="25" fillId="1" borderId="0" xfId="4" applyFont="1" applyFill="1" applyAlignment="1">
      <alignment vertical="center"/>
    </xf>
    <xf numFmtId="0" fontId="25" fillId="0" borderId="0" xfId="4" applyFont="1" applyAlignment="1">
      <alignment vertical="center"/>
    </xf>
    <xf numFmtId="49" fontId="22" fillId="0" borderId="12" xfId="4" applyNumberFormat="1" applyFont="1" applyBorder="1" applyAlignment="1">
      <alignment vertical="center"/>
    </xf>
    <xf numFmtId="0" fontId="22" fillId="0" borderId="11" xfId="0" applyFont="1" applyBorder="1" applyAlignment="1">
      <alignment horizontal="center" vertical="top" shrinkToFit="1"/>
    </xf>
    <xf numFmtId="168" fontId="22" fillId="0" borderId="12" xfId="4" applyNumberFormat="1" applyFont="1" applyBorder="1" applyAlignment="1">
      <alignment horizontal="center" vertical="center"/>
    </xf>
    <xf numFmtId="166" fontId="22" fillId="0" borderId="12" xfId="6" applyFont="1" applyFill="1" applyBorder="1" applyAlignment="1" applyProtection="1">
      <alignment horizontal="center" vertical="center"/>
    </xf>
    <xf numFmtId="0" fontId="22" fillId="0" borderId="12" xfId="4" applyFont="1" applyBorder="1" applyAlignment="1">
      <alignment vertical="center" wrapText="1"/>
    </xf>
    <xf numFmtId="0" fontId="22" fillId="0" borderId="12" xfId="4" applyFont="1" applyBorder="1" applyAlignment="1">
      <alignment vertical="center"/>
    </xf>
    <xf numFmtId="0" fontId="22" fillId="0" borderId="7" xfId="4" applyFont="1" applyBorder="1" applyAlignment="1">
      <alignment vertical="center"/>
    </xf>
    <xf numFmtId="49" fontId="22" fillId="0" borderId="11" xfId="4" applyNumberFormat="1" applyFont="1" applyBorder="1" applyAlignment="1">
      <alignment vertical="center"/>
    </xf>
    <xf numFmtId="0" fontId="22" fillId="0" borderId="11" xfId="4" applyFont="1" applyBorder="1" applyAlignment="1">
      <alignment vertical="center"/>
    </xf>
    <xf numFmtId="0" fontId="22" fillId="0" borderId="6" xfId="4" applyFont="1" applyBorder="1" applyAlignment="1">
      <alignment vertical="center"/>
    </xf>
    <xf numFmtId="49" fontId="22" fillId="0" borderId="14" xfId="4" applyNumberFormat="1" applyFont="1" applyBorder="1" applyAlignment="1">
      <alignment vertical="center"/>
    </xf>
    <xf numFmtId="168" fontId="22" fillId="0" borderId="14" xfId="4" applyNumberFormat="1" applyFont="1" applyBorder="1" applyAlignment="1">
      <alignment horizontal="center" vertical="center"/>
    </xf>
    <xf numFmtId="0" fontId="23" fillId="4" borderId="4" xfId="4" applyFont="1" applyFill="1" applyBorder="1" applyAlignment="1">
      <alignment vertical="center"/>
    </xf>
    <xf numFmtId="0" fontId="24" fillId="4" borderId="4" xfId="4" applyFont="1" applyFill="1" applyBorder="1" applyAlignment="1">
      <alignment horizontal="left" vertical="top"/>
    </xf>
    <xf numFmtId="0" fontId="24" fillId="4" borderId="4" xfId="4" applyFont="1" applyFill="1" applyBorder="1" applyAlignment="1">
      <alignment vertical="center"/>
    </xf>
    <xf numFmtId="168" fontId="24" fillId="4" borderId="4" xfId="4" applyNumberFormat="1" applyFont="1" applyFill="1" applyBorder="1" applyAlignment="1">
      <alignment horizontal="center" vertical="center"/>
    </xf>
    <xf numFmtId="0" fontId="22" fillId="0" borderId="11" xfId="4" applyFont="1" applyBorder="1" applyAlignment="1">
      <alignment vertical="center" wrapText="1"/>
    </xf>
    <xf numFmtId="0" fontId="23" fillId="4" borderId="4" xfId="4" applyFont="1" applyFill="1" applyBorder="1" applyAlignment="1">
      <alignment horizontal="center" vertical="center"/>
    </xf>
    <xf numFmtId="0" fontId="19" fillId="0" borderId="0" xfId="4" applyFont="1" applyAlignment="1">
      <alignment horizontal="left" vertical="top" wrapText="1"/>
    </xf>
    <xf numFmtId="168" fontId="19" fillId="0" borderId="0" xfId="4" applyNumberFormat="1" applyFont="1" applyAlignment="1">
      <alignment horizontal="center" vertical="center"/>
    </xf>
    <xf numFmtId="166" fontId="19" fillId="0" borderId="0" xfId="6" applyFont="1" applyAlignment="1" applyProtection="1">
      <alignment horizontal="center" vertical="center"/>
    </xf>
    <xf numFmtId="0" fontId="19" fillId="3" borderId="0" xfId="4" applyFont="1" applyFill="1" applyAlignment="1">
      <alignment vertical="center"/>
    </xf>
    <xf numFmtId="0" fontId="19" fillId="0" borderId="0" xfId="4" applyFont="1" applyAlignment="1">
      <alignment vertical="center" wrapText="1"/>
    </xf>
    <xf numFmtId="1" fontId="19" fillId="0" borderId="0" xfId="4" applyNumberFormat="1" applyFont="1" applyAlignment="1">
      <alignment horizontal="center" vertical="center"/>
    </xf>
    <xf numFmtId="1" fontId="24" fillId="4" borderId="4" xfId="4" applyNumberFormat="1" applyFont="1" applyFill="1" applyBorder="1" applyAlignment="1" applyProtection="1">
      <alignment horizontal="center" vertical="center"/>
      <protection locked="0"/>
    </xf>
    <xf numFmtId="2" fontId="13" fillId="0" borderId="48" xfId="3" applyNumberFormat="1" applyFont="1" applyBorder="1" applyAlignment="1" applyProtection="1">
      <alignment horizontal="center"/>
    </xf>
    <xf numFmtId="2" fontId="13" fillId="2" borderId="54" xfId="3" applyNumberFormat="1" applyFont="1" applyFill="1" applyBorder="1" applyAlignment="1" applyProtection="1">
      <alignment horizontal="center"/>
      <protection locked="0"/>
    </xf>
    <xf numFmtId="2" fontId="12" fillId="2" borderId="42" xfId="0" applyNumberFormat="1" applyFont="1" applyFill="1" applyBorder="1" applyProtection="1">
      <protection locked="0"/>
    </xf>
    <xf numFmtId="2" fontId="12" fillId="2" borderId="57" xfId="0" applyNumberFormat="1" applyFont="1" applyFill="1" applyBorder="1" applyProtection="1">
      <protection locked="0"/>
    </xf>
    <xf numFmtId="0" fontId="0" fillId="0" borderId="0" xfId="0" applyAlignment="1">
      <alignment horizontal="left" indent="2"/>
    </xf>
    <xf numFmtId="0" fontId="0" fillId="0" borderId="0" xfId="0" applyAlignment="1">
      <alignment horizontal="left" wrapText="1" indent="2"/>
    </xf>
    <xf numFmtId="0" fontId="0" fillId="0" borderId="0" xfId="0" applyAlignment="1">
      <alignment wrapText="1"/>
    </xf>
    <xf numFmtId="0" fontId="12" fillId="0" borderId="0" xfId="0" applyFont="1" applyAlignment="1">
      <alignment horizontal="left" vertical="center" wrapText="1"/>
    </xf>
    <xf numFmtId="0" fontId="12" fillId="0" borderId="0" xfId="0" applyFont="1" applyAlignment="1">
      <alignment horizontal="left" vertical="center"/>
    </xf>
    <xf numFmtId="172" fontId="12" fillId="0" borderId="0" xfId="0" applyNumberFormat="1" applyFont="1" applyAlignment="1">
      <alignment horizontal="left" vertical="center"/>
    </xf>
    <xf numFmtId="172" fontId="13" fillId="11" borderId="0" xfId="0" applyNumberFormat="1" applyFont="1" applyFill="1" applyAlignment="1">
      <alignment horizontal="left" vertical="center"/>
    </xf>
    <xf numFmtId="0" fontId="13" fillId="11" borderId="0" xfId="0" applyFont="1" applyFill="1" applyAlignment="1">
      <alignment horizontal="left" vertical="center" wrapText="1"/>
    </xf>
    <xf numFmtId="1" fontId="13" fillId="11" borderId="0" xfId="0" applyNumberFormat="1" applyFont="1" applyFill="1" applyAlignment="1">
      <alignment horizontal="left" vertical="center"/>
    </xf>
    <xf numFmtId="1" fontId="12" fillId="0" borderId="0" xfId="0" applyNumberFormat="1" applyFont="1" applyAlignment="1">
      <alignment horizontal="left" vertical="center"/>
    </xf>
    <xf numFmtId="0" fontId="35" fillId="12" borderId="81" xfId="8" applyFont="1" applyFill="1" applyBorder="1"/>
    <xf numFmtId="0" fontId="35" fillId="0" borderId="81" xfId="8" applyFont="1" applyBorder="1"/>
    <xf numFmtId="0" fontId="35" fillId="12" borderId="81" xfId="8" applyFont="1" applyFill="1" applyBorder="1" applyAlignment="1">
      <alignment textRotation="90"/>
    </xf>
    <xf numFmtId="0" fontId="35" fillId="0" borderId="81" xfId="8" applyFont="1" applyBorder="1" applyAlignment="1">
      <alignment textRotation="90"/>
    </xf>
    <xf numFmtId="0" fontId="8" fillId="0" borderId="81" xfId="8" applyBorder="1" applyAlignment="1">
      <alignment textRotation="90"/>
    </xf>
    <xf numFmtId="0" fontId="8" fillId="12" borderId="81" xfId="8" applyFill="1" applyBorder="1" applyAlignment="1">
      <alignment textRotation="90"/>
    </xf>
    <xf numFmtId="0" fontId="0" fillId="0" borderId="0" xfId="0" applyAlignment="1">
      <alignment textRotation="90"/>
    </xf>
    <xf numFmtId="0" fontId="35" fillId="12" borderId="0" xfId="8" applyFont="1" applyFill="1"/>
    <xf numFmtId="0" fontId="35" fillId="0" borderId="0" xfId="8" applyFont="1"/>
    <xf numFmtId="0" fontId="34" fillId="10" borderId="56" xfId="0" applyFont="1" applyFill="1" applyBorder="1" applyAlignment="1">
      <alignment horizontal="center" vertical="top" wrapText="1"/>
    </xf>
    <xf numFmtId="0" fontId="12" fillId="0" borderId="0" xfId="0" applyFont="1"/>
    <xf numFmtId="0" fontId="12" fillId="3" borderId="0" xfId="0" applyFont="1" applyFill="1" applyAlignment="1">
      <alignment horizontal="center" vertical="top" wrapText="1"/>
    </xf>
    <xf numFmtId="0" fontId="12" fillId="3" borderId="0" xfId="0" applyFont="1" applyFill="1" applyAlignment="1">
      <alignment vertical="top" wrapText="1"/>
    </xf>
    <xf numFmtId="0" fontId="12" fillId="0" borderId="0" xfId="0" applyFont="1" applyAlignment="1">
      <alignment textRotation="90"/>
    </xf>
    <xf numFmtId="0" fontId="12" fillId="0" borderId="0" xfId="0" applyFont="1" applyAlignment="1">
      <alignment vertical="top" wrapText="1"/>
    </xf>
    <xf numFmtId="0" fontId="12" fillId="0" borderId="0" xfId="0" applyFont="1" applyAlignment="1">
      <alignment horizontal="center" vertical="top" wrapText="1"/>
    </xf>
    <xf numFmtId="0" fontId="13" fillId="3" borderId="0" xfId="0" applyFont="1" applyFill="1" applyAlignment="1">
      <alignment horizontal="center" vertical="top" wrapText="1"/>
    </xf>
    <xf numFmtId="0" fontId="34" fillId="10" borderId="49" xfId="0" applyFont="1" applyFill="1" applyBorder="1" applyAlignment="1">
      <alignment vertical="top" wrapText="1"/>
    </xf>
    <xf numFmtId="0" fontId="34" fillId="10" borderId="56" xfId="0" applyFont="1" applyFill="1" applyBorder="1" applyAlignment="1">
      <alignment vertical="top" wrapText="1"/>
    </xf>
    <xf numFmtId="0" fontId="13" fillId="0" borderId="0" xfId="0" applyFont="1" applyAlignment="1">
      <alignment horizontal="center" vertical="top" wrapText="1"/>
    </xf>
    <xf numFmtId="0" fontId="12" fillId="11" borderId="0" xfId="0" applyFont="1" applyFill="1" applyAlignment="1">
      <alignment vertical="center"/>
    </xf>
    <xf numFmtId="0" fontId="12" fillId="11" borderId="0" xfId="0" applyFont="1" applyFill="1" applyAlignment="1">
      <alignment vertical="center" wrapText="1"/>
    </xf>
    <xf numFmtId="0" fontId="12" fillId="0" borderId="0" xfId="0" applyFont="1" applyAlignment="1">
      <alignment vertical="center"/>
    </xf>
    <xf numFmtId="0" fontId="12" fillId="0" borderId="0" xfId="0" applyFont="1" applyAlignment="1">
      <alignment vertical="center" wrapText="1"/>
    </xf>
    <xf numFmtId="0" fontId="12" fillId="10" borderId="55" xfId="0" applyFont="1" applyFill="1" applyBorder="1"/>
    <xf numFmtId="0" fontId="34" fillId="10" borderId="55" xfId="0" applyFont="1" applyFill="1" applyBorder="1" applyAlignment="1">
      <alignment horizontal="center" vertical="top" wrapText="1"/>
    </xf>
    <xf numFmtId="0" fontId="0" fillId="0" borderId="0" xfId="0" applyAlignment="1">
      <alignment horizontal="center"/>
    </xf>
    <xf numFmtId="0" fontId="34" fillId="0" borderId="0" xfId="0" applyFont="1" applyAlignment="1">
      <alignment vertical="top" wrapText="1"/>
    </xf>
    <xf numFmtId="0" fontId="12" fillId="3" borderId="0" xfId="0" applyFont="1" applyFill="1"/>
    <xf numFmtId="0" fontId="14" fillId="0" borderId="0" xfId="0" applyFont="1" applyAlignment="1">
      <alignment horizontal="center" vertical="center" wrapText="1"/>
    </xf>
    <xf numFmtId="0" fontId="14" fillId="0" borderId="0" xfId="0" applyFont="1" applyAlignment="1">
      <alignment horizontal="center" vertical="center" textRotation="90" wrapText="1"/>
    </xf>
    <xf numFmtId="0" fontId="14" fillId="14" borderId="47" xfId="0" applyFont="1" applyFill="1" applyBorder="1" applyAlignment="1">
      <alignment vertical="center" wrapText="1"/>
    </xf>
    <xf numFmtId="0" fontId="14" fillId="15" borderId="54" xfId="0" applyFont="1" applyFill="1" applyBorder="1" applyAlignment="1">
      <alignment horizontal="center" vertical="center" textRotation="90" wrapText="1"/>
    </xf>
    <xf numFmtId="0" fontId="14" fillId="15" borderId="47" xfId="0" applyFont="1" applyFill="1" applyBorder="1" applyAlignment="1">
      <alignment horizontal="center" vertical="center" textRotation="90" wrapText="1"/>
    </xf>
    <xf numFmtId="0" fontId="14" fillId="11" borderId="48" xfId="0" applyFont="1" applyFill="1" applyBorder="1" applyAlignment="1">
      <alignment horizontal="center" vertical="center" textRotation="90" wrapText="1"/>
    </xf>
    <xf numFmtId="0" fontId="14" fillId="14" borderId="61" xfId="0" applyFont="1" applyFill="1" applyBorder="1" applyAlignment="1">
      <alignment vertical="center" wrapText="1"/>
    </xf>
    <xf numFmtId="0" fontId="16" fillId="11" borderId="49" xfId="0" applyFont="1" applyFill="1" applyBorder="1"/>
    <xf numFmtId="0" fontId="16" fillId="0" borderId="0" xfId="0" applyFont="1"/>
    <xf numFmtId="0" fontId="0" fillId="11" borderId="82" xfId="0" applyFill="1" applyBorder="1"/>
    <xf numFmtId="0" fontId="0" fillId="11" borderId="4" xfId="0" applyFill="1" applyBorder="1"/>
    <xf numFmtId="0" fontId="0" fillId="11" borderId="2" xfId="0" applyFill="1" applyBorder="1"/>
    <xf numFmtId="0" fontId="16" fillId="11" borderId="56" xfId="0" applyFont="1" applyFill="1" applyBorder="1"/>
    <xf numFmtId="0" fontId="0" fillId="0" borderId="40" xfId="0" applyBorder="1" applyAlignment="1">
      <alignment horizontal="center"/>
    </xf>
    <xf numFmtId="0" fontId="0" fillId="0" borderId="39" xfId="0" applyBorder="1" applyAlignment="1">
      <alignment horizontal="center"/>
    </xf>
    <xf numFmtId="0" fontId="0" fillId="0" borderId="29" xfId="0" applyBorder="1" applyAlignment="1">
      <alignment horizontal="center"/>
    </xf>
    <xf numFmtId="0" fontId="0" fillId="0" borderId="11" xfId="0" applyBorder="1" applyAlignment="1">
      <alignment horizontal="center"/>
    </xf>
    <xf numFmtId="0" fontId="0" fillId="0" borderId="86" xfId="0" applyBorder="1" applyAlignment="1">
      <alignment horizontal="center"/>
    </xf>
    <xf numFmtId="0" fontId="0" fillId="0" borderId="14" xfId="0" applyBorder="1" applyAlignment="1">
      <alignment horizontal="center"/>
    </xf>
    <xf numFmtId="0" fontId="16" fillId="11" borderId="47" xfId="0" applyFont="1" applyFill="1" applyBorder="1" applyAlignment="1">
      <alignment horizontal="center"/>
    </xf>
    <xf numFmtId="0" fontId="16" fillId="11" borderId="54" xfId="0" applyFont="1" applyFill="1" applyBorder="1" applyAlignment="1">
      <alignment horizontal="center"/>
    </xf>
    <xf numFmtId="0" fontId="16" fillId="11" borderId="48" xfId="0" applyFont="1" applyFill="1" applyBorder="1" applyAlignment="1">
      <alignment horizontal="center"/>
    </xf>
    <xf numFmtId="0" fontId="0" fillId="0" borderId="26" xfId="0" applyBorder="1" applyAlignment="1">
      <alignment horizontal="center"/>
    </xf>
    <xf numFmtId="0" fontId="0" fillId="0" borderId="12" xfId="0" applyBorder="1" applyAlignment="1">
      <alignment horizontal="center"/>
    </xf>
    <xf numFmtId="0" fontId="16" fillId="0" borderId="47" xfId="0" applyFont="1" applyBorder="1" applyAlignment="1">
      <alignment horizontal="center"/>
    </xf>
    <xf numFmtId="0" fontId="16" fillId="11" borderId="38" xfId="0" applyFont="1" applyFill="1" applyBorder="1" applyAlignment="1">
      <alignment horizontal="center"/>
    </xf>
    <xf numFmtId="0" fontId="16" fillId="11" borderId="27" xfId="0" applyFont="1" applyFill="1" applyBorder="1" applyAlignment="1">
      <alignment horizontal="center"/>
    </xf>
    <xf numFmtId="0" fontId="16" fillId="11" borderId="80" xfId="0" applyFont="1" applyFill="1" applyBorder="1" applyAlignment="1">
      <alignment horizontal="center"/>
    </xf>
    <xf numFmtId="0" fontId="16" fillId="11" borderId="25" xfId="0" applyFont="1" applyFill="1" applyBorder="1" applyAlignment="1">
      <alignment horizontal="center"/>
    </xf>
    <xf numFmtId="0" fontId="16" fillId="11" borderId="20" xfId="0" applyFont="1" applyFill="1" applyBorder="1" applyAlignment="1">
      <alignment horizontal="center"/>
    </xf>
    <xf numFmtId="0" fontId="16" fillId="11" borderId="19" xfId="0" applyFont="1" applyFill="1" applyBorder="1" applyAlignment="1">
      <alignment horizontal="center"/>
    </xf>
    <xf numFmtId="0" fontId="16" fillId="11" borderId="18" xfId="0" applyFont="1" applyFill="1" applyBorder="1" applyAlignment="1">
      <alignment horizontal="center"/>
    </xf>
    <xf numFmtId="0" fontId="13" fillId="3" borderId="0" xfId="0" applyFont="1" applyFill="1" applyAlignment="1">
      <alignment vertical="top" wrapText="1"/>
    </xf>
    <xf numFmtId="3" fontId="34" fillId="10" borderId="56" xfId="0" applyNumberFormat="1" applyFont="1" applyFill="1" applyBorder="1" applyAlignment="1">
      <alignment vertical="top" wrapText="1"/>
    </xf>
    <xf numFmtId="3" fontId="12" fillId="3" borderId="0" xfId="0" applyNumberFormat="1" applyFont="1" applyFill="1" applyAlignment="1">
      <alignment horizontal="center" vertical="top" wrapText="1"/>
    </xf>
    <xf numFmtId="3" fontId="13" fillId="16" borderId="11" xfId="2" applyNumberFormat="1" applyFont="1" applyFill="1" applyBorder="1" applyAlignment="1">
      <alignment horizontal="center" vertical="top" wrapText="1"/>
    </xf>
    <xf numFmtId="3" fontId="12" fillId="0" borderId="0" xfId="0" applyNumberFormat="1" applyFont="1" applyAlignment="1">
      <alignment horizontal="center" vertical="top" wrapText="1"/>
    </xf>
    <xf numFmtId="3" fontId="13" fillId="18" borderId="11" xfId="2" applyNumberFormat="1" applyFont="1" applyFill="1" applyBorder="1" applyAlignment="1">
      <alignment horizontal="center" vertical="top" wrapText="1"/>
    </xf>
    <xf numFmtId="3" fontId="13" fillId="0" borderId="0" xfId="0" applyNumberFormat="1" applyFont="1" applyAlignment="1">
      <alignment horizontal="center" vertical="top" wrapText="1"/>
    </xf>
    <xf numFmtId="0" fontId="13" fillId="18" borderId="11" xfId="0" applyFont="1" applyFill="1" applyBorder="1" applyAlignment="1">
      <alignment horizontal="center" vertical="center" textRotation="90" wrapText="1"/>
    </xf>
    <xf numFmtId="0" fontId="12" fillId="18" borderId="11" xfId="0" applyFont="1" applyFill="1" applyBorder="1" applyAlignment="1">
      <alignment vertical="center" wrapText="1"/>
    </xf>
    <xf numFmtId="171" fontId="23" fillId="19" borderId="84" xfId="9" applyNumberFormat="1" applyFont="1" applyFill="1" applyBorder="1" applyAlignment="1">
      <alignment horizontal="center" vertical="center" wrapText="1"/>
    </xf>
    <xf numFmtId="173" fontId="22" fillId="22" borderId="84" xfId="10" applyNumberFormat="1" applyFont="1" applyFill="1" applyBorder="1" applyAlignment="1">
      <alignment horizontal="center" vertical="center"/>
    </xf>
    <xf numFmtId="0" fontId="12" fillId="21" borderId="0" xfId="0" applyFont="1" applyFill="1" applyAlignment="1">
      <alignment vertical="center"/>
    </xf>
    <xf numFmtId="0" fontId="12" fillId="21" borderId="0" xfId="0" applyFont="1" applyFill="1" applyAlignment="1">
      <alignment vertical="center" wrapText="1"/>
    </xf>
    <xf numFmtId="0" fontId="12" fillId="21" borderId="0" xfId="0" applyFont="1" applyFill="1" applyAlignment="1">
      <alignment horizontal="left" vertical="center" wrapText="1"/>
    </xf>
    <xf numFmtId="0" fontId="14" fillId="14" borderId="56" xfId="0" applyFont="1" applyFill="1" applyBorder="1" applyAlignment="1">
      <alignment vertical="center" wrapText="1"/>
    </xf>
    <xf numFmtId="0" fontId="16" fillId="11" borderId="82" xfId="0" applyFont="1" applyFill="1" applyBorder="1" applyAlignment="1">
      <alignment horizontal="center" vertical="center"/>
    </xf>
    <xf numFmtId="0" fontId="16" fillId="11" borderId="4" xfId="0" applyFont="1" applyFill="1" applyBorder="1" applyAlignment="1">
      <alignment horizontal="center" vertical="center"/>
    </xf>
    <xf numFmtId="0" fontId="16" fillId="11" borderId="2" xfId="0" applyFont="1" applyFill="1" applyBorder="1" applyAlignment="1">
      <alignment horizontal="center" vertical="center"/>
    </xf>
    <xf numFmtId="0" fontId="16" fillId="11" borderId="72" xfId="0" applyFont="1" applyFill="1" applyBorder="1" applyAlignment="1">
      <alignment horizontal="center" vertical="center"/>
    </xf>
    <xf numFmtId="0" fontId="0" fillId="11" borderId="87" xfId="0" applyFill="1" applyBorder="1"/>
    <xf numFmtId="0" fontId="0" fillId="11" borderId="88" xfId="0" applyFill="1" applyBorder="1"/>
    <xf numFmtId="0" fontId="0" fillId="11" borderId="68" xfId="0" applyFill="1" applyBorder="1"/>
    <xf numFmtId="3" fontId="19" fillId="16" borderId="11" xfId="0" applyNumberFormat="1" applyFont="1" applyFill="1" applyBorder="1" applyAlignment="1">
      <alignment horizontal="center" vertical="center" textRotation="90" wrapText="1"/>
    </xf>
    <xf numFmtId="0" fontId="20" fillId="16" borderId="11" xfId="0" applyFont="1" applyFill="1" applyBorder="1" applyAlignment="1">
      <alignment horizontal="center" vertical="center" textRotation="90" wrapText="1"/>
    </xf>
    <xf numFmtId="0" fontId="19" fillId="16" borderId="11" xfId="0" applyFont="1" applyFill="1" applyBorder="1" applyAlignment="1">
      <alignment horizontal="left" vertical="center" wrapText="1"/>
    </xf>
    <xf numFmtId="3" fontId="19" fillId="18" borderId="11" xfId="0" applyNumberFormat="1" applyFont="1" applyFill="1" applyBorder="1" applyAlignment="1">
      <alignment horizontal="center" vertical="center" textRotation="90" wrapText="1"/>
    </xf>
    <xf numFmtId="0" fontId="20" fillId="18" borderId="11" xfId="0" applyFont="1" applyFill="1" applyBorder="1" applyAlignment="1">
      <alignment horizontal="center" vertical="center" textRotation="90" wrapText="1"/>
    </xf>
    <xf numFmtId="0" fontId="19" fillId="18" borderId="11" xfId="0" applyFont="1" applyFill="1" applyBorder="1" applyAlignment="1">
      <alignment vertical="center" wrapText="1"/>
    </xf>
    <xf numFmtId="3" fontId="19" fillId="18" borderId="11" xfId="0" applyNumberFormat="1" applyFont="1" applyFill="1" applyBorder="1" applyAlignment="1">
      <alignment vertical="center" textRotation="90" wrapText="1"/>
    </xf>
    <xf numFmtId="0" fontId="19" fillId="0" borderId="0" xfId="0" applyFont="1" applyAlignment="1">
      <alignment vertical="top" wrapText="1"/>
    </xf>
    <xf numFmtId="3" fontId="19" fillId="0" borderId="0" xfId="0" applyNumberFormat="1" applyFont="1" applyAlignment="1">
      <alignment horizontal="center" vertical="top" wrapText="1"/>
    </xf>
    <xf numFmtId="171" fontId="19" fillId="0" borderId="0" xfId="0" applyNumberFormat="1" applyFont="1" applyAlignment="1">
      <alignment horizontal="center" vertical="top" wrapText="1"/>
    </xf>
    <xf numFmtId="0" fontId="20" fillId="0" borderId="0" xfId="0" applyFont="1" applyAlignment="1">
      <alignment horizontal="center" vertical="top" wrapText="1"/>
    </xf>
    <xf numFmtId="0" fontId="19" fillId="0" borderId="0" xfId="0" applyFont="1" applyAlignment="1">
      <alignment horizontal="center" vertical="top" wrapText="1"/>
    </xf>
    <xf numFmtId="3" fontId="20" fillId="0" borderId="0" xfId="0" applyNumberFormat="1" applyFont="1" applyAlignment="1">
      <alignment horizontal="center" vertical="top" wrapText="1"/>
    </xf>
    <xf numFmtId="0" fontId="13" fillId="0" borderId="0" xfId="0" applyFont="1"/>
    <xf numFmtId="9" fontId="12" fillId="0" borderId="0" xfId="3" applyFont="1" applyFill="1" applyBorder="1"/>
    <xf numFmtId="3" fontId="19" fillId="23" borderId="0" xfId="0" applyNumberFormat="1" applyFont="1" applyFill="1" applyAlignment="1">
      <alignment horizontal="center" vertical="top" wrapText="1"/>
    </xf>
    <xf numFmtId="0" fontId="20" fillId="23" borderId="0" xfId="0" applyFont="1" applyFill="1" applyAlignment="1">
      <alignment horizontal="center" vertical="top" wrapText="1"/>
    </xf>
    <xf numFmtId="0" fontId="19" fillId="23" borderId="0" xfId="0" applyFont="1" applyFill="1" applyAlignment="1">
      <alignment horizontal="center" vertical="top" wrapText="1"/>
    </xf>
    <xf numFmtId="3" fontId="20" fillId="23" borderId="0" xfId="0" applyNumberFormat="1" applyFont="1" applyFill="1" applyAlignment="1">
      <alignment horizontal="center" vertical="top" wrapText="1"/>
    </xf>
    <xf numFmtId="0" fontId="0" fillId="0" borderId="78" xfId="0" applyBorder="1" applyAlignment="1">
      <alignment horizontal="center"/>
    </xf>
    <xf numFmtId="0" fontId="39" fillId="10" borderId="11" xfId="0" applyFont="1" applyFill="1" applyBorder="1" applyAlignment="1">
      <alignment vertical="center" wrapText="1"/>
    </xf>
    <xf numFmtId="0" fontId="39" fillId="10" borderId="11" xfId="0" applyFont="1" applyFill="1" applyBorder="1" applyAlignment="1">
      <alignment horizontal="left" vertical="center" wrapText="1"/>
    </xf>
    <xf numFmtId="3" fontId="39" fillId="16" borderId="11" xfId="0" applyNumberFormat="1" applyFont="1" applyFill="1" applyBorder="1" applyAlignment="1">
      <alignment horizontal="center" vertical="center" textRotation="90" wrapText="1"/>
    </xf>
    <xf numFmtId="1" fontId="39" fillId="11" borderId="11" xfId="0" applyNumberFormat="1" applyFont="1" applyFill="1" applyBorder="1" applyAlignment="1">
      <alignment vertical="top" wrapText="1"/>
    </xf>
    <xf numFmtId="3" fontId="19" fillId="16" borderId="0" xfId="0" applyNumberFormat="1" applyFont="1" applyFill="1" applyAlignment="1">
      <alignment horizontal="center" vertical="top" wrapText="1"/>
    </xf>
    <xf numFmtId="171" fontId="19" fillId="16" borderId="0" xfId="0" applyNumberFormat="1" applyFont="1" applyFill="1" applyAlignment="1">
      <alignment horizontal="center" vertical="top" wrapText="1"/>
    </xf>
    <xf numFmtId="0" fontId="12" fillId="17" borderId="0" xfId="0" applyFont="1" applyFill="1"/>
    <xf numFmtId="0" fontId="19" fillId="17" borderId="0" xfId="0" applyFont="1" applyFill="1" applyAlignment="1">
      <alignment vertical="top" wrapText="1"/>
    </xf>
    <xf numFmtId="0" fontId="19" fillId="17" borderId="0" xfId="0" applyFont="1" applyFill="1" applyAlignment="1">
      <alignment horizontal="left" vertical="top" wrapText="1"/>
    </xf>
    <xf numFmtId="0" fontId="41" fillId="17" borderId="0" xfId="0" applyFont="1" applyFill="1"/>
    <xf numFmtId="0" fontId="40" fillId="10" borderId="11" xfId="0" applyFont="1" applyFill="1" applyBorder="1" applyAlignment="1">
      <alignment vertical="center" wrapText="1"/>
    </xf>
    <xf numFmtId="0" fontId="19" fillId="15" borderId="0" xfId="0" applyFont="1" applyFill="1" applyAlignment="1">
      <alignment vertical="top" wrapText="1"/>
    </xf>
    <xf numFmtId="3" fontId="19" fillId="15" borderId="0" xfId="0" applyNumberFormat="1" applyFont="1" applyFill="1" applyAlignment="1">
      <alignment horizontal="center" vertical="top" wrapText="1"/>
    </xf>
    <xf numFmtId="171" fontId="19" fillId="15" borderId="0" xfId="0" applyNumberFormat="1" applyFont="1" applyFill="1" applyAlignment="1">
      <alignment horizontal="center" vertical="top" wrapText="1"/>
    </xf>
    <xf numFmtId="0" fontId="12" fillId="15" borderId="0" xfId="0" applyFont="1" applyFill="1"/>
    <xf numFmtId="0" fontId="41" fillId="15" borderId="0" xfId="0" applyFont="1" applyFill="1"/>
    <xf numFmtId="0" fontId="19" fillId="24" borderId="0" xfId="0" applyFont="1" applyFill="1" applyAlignment="1">
      <alignment vertical="top" wrapText="1"/>
    </xf>
    <xf numFmtId="3" fontId="19" fillId="24" borderId="0" xfId="0" applyNumberFormat="1" applyFont="1" applyFill="1" applyAlignment="1">
      <alignment horizontal="center" vertical="top" wrapText="1"/>
    </xf>
    <xf numFmtId="171" fontId="19" fillId="24" borderId="0" xfId="0" applyNumberFormat="1" applyFont="1" applyFill="1" applyAlignment="1">
      <alignment horizontal="center" vertical="top" wrapText="1"/>
    </xf>
    <xf numFmtId="0" fontId="41" fillId="24" borderId="0" xfId="0" applyFont="1" applyFill="1"/>
    <xf numFmtId="0" fontId="12" fillId="24" borderId="0" xfId="0" applyFont="1" applyFill="1"/>
    <xf numFmtId="0" fontId="41" fillId="25" borderId="0" xfId="0" applyFont="1" applyFill="1"/>
    <xf numFmtId="0" fontId="19" fillId="25" borderId="0" xfId="0" applyFont="1" applyFill="1" applyAlignment="1">
      <alignment vertical="top" wrapText="1"/>
    </xf>
    <xf numFmtId="3" fontId="19" fillId="25" borderId="0" xfId="0" applyNumberFormat="1" applyFont="1" applyFill="1" applyAlignment="1">
      <alignment horizontal="center" vertical="top" wrapText="1"/>
    </xf>
    <xf numFmtId="171" fontId="19" fillId="25" borderId="0" xfId="0" applyNumberFormat="1" applyFont="1" applyFill="1" applyAlignment="1">
      <alignment horizontal="center" vertical="top" wrapText="1"/>
    </xf>
    <xf numFmtId="0" fontId="12" fillId="25" borderId="0" xfId="0" applyFont="1" applyFill="1"/>
    <xf numFmtId="0" fontId="41" fillId="26" borderId="0" xfId="0" applyFont="1" applyFill="1"/>
    <xf numFmtId="0" fontId="19" fillId="26" borderId="0" xfId="0" applyFont="1" applyFill="1" applyAlignment="1">
      <alignment vertical="top" wrapText="1"/>
    </xf>
    <xf numFmtId="3" fontId="19" fillId="26" borderId="0" xfId="0" applyNumberFormat="1" applyFont="1" applyFill="1" applyAlignment="1">
      <alignment horizontal="center" vertical="top" wrapText="1"/>
    </xf>
    <xf numFmtId="171" fontId="19" fillId="26" borderId="0" xfId="0" applyNumberFormat="1" applyFont="1" applyFill="1" applyAlignment="1">
      <alignment horizontal="center" vertical="top" wrapText="1"/>
    </xf>
    <xf numFmtId="0" fontId="12" fillId="26" borderId="0" xfId="0" applyFont="1" applyFill="1"/>
    <xf numFmtId="0" fontId="12" fillId="27" borderId="0" xfId="0" applyFont="1" applyFill="1"/>
    <xf numFmtId="0" fontId="19" fillId="27" borderId="0" xfId="0" applyFont="1" applyFill="1" applyAlignment="1">
      <alignment vertical="top" wrapText="1"/>
    </xf>
    <xf numFmtId="3" fontId="19" fillId="27" borderId="0" xfId="0" applyNumberFormat="1" applyFont="1" applyFill="1" applyAlignment="1">
      <alignment horizontal="center" vertical="top" wrapText="1"/>
    </xf>
    <xf numFmtId="0" fontId="12" fillId="0" borderId="11" xfId="0" applyFont="1" applyBorder="1"/>
    <xf numFmtId="0" fontId="12" fillId="0" borderId="11" xfId="0" applyFont="1" applyBorder="1" applyAlignment="1">
      <alignment vertical="top" wrapText="1"/>
    </xf>
    <xf numFmtId="3" fontId="20" fillId="0" borderId="11" xfId="0" applyNumberFormat="1" applyFont="1" applyBorder="1" applyAlignment="1">
      <alignment vertical="top" wrapText="1"/>
    </xf>
    <xf numFmtId="0" fontId="12" fillId="0" borderId="6" xfId="0" applyFont="1" applyBorder="1"/>
    <xf numFmtId="3" fontId="12" fillId="0" borderId="11" xfId="0" applyNumberFormat="1" applyFont="1" applyBorder="1" applyAlignment="1">
      <alignment vertical="top" wrapText="1"/>
    </xf>
    <xf numFmtId="171" fontId="20" fillId="0" borderId="11" xfId="0" applyNumberFormat="1" applyFont="1" applyBorder="1" applyAlignment="1">
      <alignment vertical="top" wrapText="1"/>
    </xf>
    <xf numFmtId="0" fontId="20" fillId="0" borderId="11" xfId="0" applyFont="1" applyBorder="1" applyAlignment="1">
      <alignment vertical="top" wrapText="1"/>
    </xf>
    <xf numFmtId="0" fontId="42" fillId="28" borderId="11" xfId="0" applyFont="1" applyFill="1" applyBorder="1" applyAlignment="1">
      <alignment vertical="top" wrapText="1"/>
    </xf>
    <xf numFmtId="171" fontId="42" fillId="28" borderId="11" xfId="0" applyNumberFormat="1" applyFont="1" applyFill="1" applyBorder="1" applyAlignment="1">
      <alignment vertical="top" wrapText="1"/>
    </xf>
    <xf numFmtId="0" fontId="12" fillId="28" borderId="11" xfId="0" applyFont="1" applyFill="1" applyBorder="1" applyAlignment="1">
      <alignment vertical="top" wrapText="1"/>
    </xf>
    <xf numFmtId="171" fontId="12" fillId="0" borderId="0" xfId="0" applyNumberFormat="1" applyFont="1" applyAlignment="1">
      <alignment horizontal="center" vertical="top" wrapText="1"/>
    </xf>
    <xf numFmtId="171" fontId="12" fillId="0" borderId="0" xfId="0" applyNumberFormat="1" applyFont="1" applyAlignment="1">
      <alignment vertical="top" wrapText="1"/>
    </xf>
    <xf numFmtId="0" fontId="44" fillId="0" borderId="90" xfId="15" applyFont="1" applyBorder="1"/>
    <xf numFmtId="0" fontId="50" fillId="0" borderId="94" xfId="15" applyFont="1" applyBorder="1"/>
    <xf numFmtId="0" fontId="12" fillId="0" borderId="91" xfId="15" applyFont="1" applyBorder="1" applyAlignment="1">
      <alignment vertical="top" wrapText="1"/>
    </xf>
    <xf numFmtId="171" fontId="12" fillId="0" borderId="91" xfId="15" applyNumberFormat="1" applyFont="1" applyBorder="1" applyAlignment="1">
      <alignment vertical="top" wrapText="1"/>
    </xf>
    <xf numFmtId="171" fontId="12" fillId="0" borderId="92" xfId="15" applyNumberFormat="1" applyFont="1" applyBorder="1" applyAlignment="1">
      <alignment vertical="top" wrapText="1"/>
    </xf>
    <xf numFmtId="0" fontId="13" fillId="0" borderId="95" xfId="15" applyFont="1" applyBorder="1" applyAlignment="1">
      <alignment vertical="top" wrapText="1"/>
    </xf>
    <xf numFmtId="171" fontId="13" fillId="0" borderId="96" xfId="15" applyNumberFormat="1" applyFont="1" applyBorder="1" applyAlignment="1">
      <alignment vertical="top" wrapText="1"/>
    </xf>
    <xf numFmtId="0" fontId="13" fillId="18" borderId="11" xfId="0" applyFont="1" applyFill="1" applyBorder="1" applyAlignment="1">
      <alignment horizontal="center" vertical="top" wrapText="1"/>
    </xf>
    <xf numFmtId="0" fontId="13" fillId="16" borderId="6" xfId="0" applyFont="1" applyFill="1" applyBorder="1" applyAlignment="1">
      <alignment horizontal="center" vertical="top" wrapText="1"/>
    </xf>
    <xf numFmtId="0" fontId="13" fillId="16" borderId="4" xfId="0" applyFont="1" applyFill="1" applyBorder="1" applyAlignment="1">
      <alignment horizontal="center" vertical="top" wrapText="1"/>
    </xf>
    <xf numFmtId="0" fontId="13" fillId="16" borderId="5" xfId="0" applyFont="1" applyFill="1" applyBorder="1" applyAlignment="1">
      <alignment horizontal="center" vertical="top" wrapText="1"/>
    </xf>
    <xf numFmtId="0" fontId="13" fillId="17" borderId="6" xfId="0" applyFont="1" applyFill="1" applyBorder="1" applyAlignment="1">
      <alignment horizontal="center" vertical="top" wrapText="1"/>
    </xf>
    <xf numFmtId="0" fontId="13" fillId="17" borderId="4" xfId="0" applyFont="1" applyFill="1" applyBorder="1" applyAlignment="1">
      <alignment horizontal="center" vertical="top" wrapText="1"/>
    </xf>
    <xf numFmtId="0" fontId="13" fillId="17" borderId="5" xfId="0" applyFont="1" applyFill="1" applyBorder="1" applyAlignment="1">
      <alignment horizontal="center" vertical="top" wrapText="1"/>
    </xf>
    <xf numFmtId="9" fontId="12" fillId="0" borderId="0" xfId="3" applyFont="1" applyFill="1" applyAlignment="1">
      <alignment vertical="top" wrapText="1"/>
    </xf>
    <xf numFmtId="168" fontId="12" fillId="0" borderId="0" xfId="0" applyNumberFormat="1" applyFont="1" applyAlignment="1">
      <alignment horizontal="left" vertical="center"/>
    </xf>
    <xf numFmtId="171" fontId="12" fillId="0" borderId="0" xfId="3" applyNumberFormat="1" applyFont="1" applyFill="1" applyAlignment="1">
      <alignment vertical="top" wrapText="1"/>
    </xf>
    <xf numFmtId="171" fontId="13" fillId="0" borderId="11" xfId="0" applyNumberFormat="1" applyFont="1" applyBorder="1" applyAlignment="1">
      <alignment vertical="top" wrapText="1"/>
    </xf>
    <xf numFmtId="0" fontId="13" fillId="0" borderId="0" xfId="0" applyFont="1" applyAlignment="1">
      <alignment vertical="top" wrapText="1"/>
    </xf>
    <xf numFmtId="0" fontId="54" fillId="30" borderId="11" xfId="0" applyFont="1" applyFill="1" applyBorder="1" applyAlignment="1">
      <alignment vertical="center" wrapText="1"/>
    </xf>
    <xf numFmtId="0" fontId="55" fillId="30" borderId="11" xfId="0" applyFont="1" applyFill="1" applyBorder="1" applyAlignment="1">
      <alignment vertical="center" wrapText="1"/>
    </xf>
    <xf numFmtId="0" fontId="55" fillId="30" borderId="11" xfId="0" applyFont="1" applyFill="1" applyBorder="1" applyAlignment="1">
      <alignment horizontal="left" vertical="center" wrapText="1"/>
    </xf>
    <xf numFmtId="3" fontId="55" fillId="30" borderId="11" xfId="0" applyNumberFormat="1" applyFont="1" applyFill="1" applyBorder="1" applyAlignment="1">
      <alignment horizontal="center" vertical="center" textRotation="90" wrapText="1"/>
    </xf>
    <xf numFmtId="0" fontId="41" fillId="29" borderId="0" xfId="0" applyFont="1" applyFill="1"/>
    <xf numFmtId="0" fontId="12" fillId="29" borderId="0" xfId="0" applyFont="1" applyFill="1"/>
    <xf numFmtId="0" fontId="56" fillId="29" borderId="0" xfId="0" applyFont="1" applyFill="1"/>
    <xf numFmtId="0" fontId="57" fillId="29" borderId="0" xfId="0" applyFont="1" applyFill="1" applyAlignment="1">
      <alignment vertical="top" wrapText="1"/>
    </xf>
    <xf numFmtId="0" fontId="57" fillId="29" borderId="0" xfId="0" applyFont="1" applyFill="1" applyAlignment="1">
      <alignment horizontal="left" vertical="top" wrapText="1"/>
    </xf>
    <xf numFmtId="3" fontId="57" fillId="29" borderId="0" xfId="0" applyNumberFormat="1" applyFont="1" applyFill="1" applyAlignment="1">
      <alignment horizontal="center" vertical="top" wrapText="1"/>
    </xf>
    <xf numFmtId="171" fontId="57" fillId="29" borderId="0" xfId="0" applyNumberFormat="1" applyFont="1" applyFill="1" applyAlignment="1">
      <alignment horizontal="center" vertical="top" wrapText="1"/>
    </xf>
    <xf numFmtId="0" fontId="19" fillId="31" borderId="0" xfId="0" applyFont="1" applyFill="1" applyAlignment="1">
      <alignment vertical="top" wrapText="1"/>
    </xf>
    <xf numFmtId="3" fontId="19" fillId="31" borderId="0" xfId="0" applyNumberFormat="1" applyFont="1" applyFill="1" applyAlignment="1">
      <alignment horizontal="center" vertical="top" wrapText="1"/>
    </xf>
    <xf numFmtId="171" fontId="19" fillId="31" borderId="0" xfId="0" applyNumberFormat="1" applyFont="1" applyFill="1" applyAlignment="1">
      <alignment horizontal="center" vertical="top" wrapText="1"/>
    </xf>
    <xf numFmtId="0" fontId="56" fillId="31" borderId="0" xfId="0" applyFont="1" applyFill="1"/>
    <xf numFmtId="0" fontId="56" fillId="32" borderId="0" xfId="0" applyFont="1" applyFill="1"/>
    <xf numFmtId="0" fontId="57" fillId="32" borderId="0" xfId="0" applyFont="1" applyFill="1" applyAlignment="1">
      <alignment vertical="top" wrapText="1"/>
    </xf>
    <xf numFmtId="3" fontId="57" fillId="32" borderId="0" xfId="0" applyNumberFormat="1" applyFont="1" applyFill="1" applyAlignment="1">
      <alignment horizontal="center" vertical="top" wrapText="1"/>
    </xf>
    <xf numFmtId="171" fontId="57" fillId="32" borderId="0" xfId="0" applyNumberFormat="1" applyFont="1" applyFill="1" applyAlignment="1">
      <alignment horizontal="center" vertical="top" wrapText="1"/>
    </xf>
    <xf numFmtId="0" fontId="12" fillId="32" borderId="0" xfId="0" applyFont="1" applyFill="1"/>
    <xf numFmtId="0" fontId="41" fillId="33" borderId="0" xfId="0" applyFont="1" applyFill="1"/>
    <xf numFmtId="0" fontId="19" fillId="33" borderId="0" xfId="0" applyFont="1" applyFill="1" applyAlignment="1">
      <alignment vertical="top" wrapText="1"/>
    </xf>
    <xf numFmtId="3" fontId="19" fillId="33" borderId="0" xfId="0" applyNumberFormat="1" applyFont="1" applyFill="1" applyAlignment="1">
      <alignment horizontal="center" vertical="top" wrapText="1"/>
    </xf>
    <xf numFmtId="171" fontId="19" fillId="33" borderId="0" xfId="0" applyNumberFormat="1" applyFont="1" applyFill="1" applyAlignment="1">
      <alignment horizontal="center" vertical="top" wrapText="1"/>
    </xf>
    <xf numFmtId="0" fontId="12" fillId="33" borderId="0" xfId="0" applyFont="1" applyFill="1"/>
    <xf numFmtId="0" fontId="41" fillId="34" borderId="0" xfId="0" applyFont="1" applyFill="1"/>
    <xf numFmtId="0" fontId="19" fillId="34" borderId="0" xfId="0" applyFont="1" applyFill="1" applyAlignment="1">
      <alignment vertical="top" wrapText="1"/>
    </xf>
    <xf numFmtId="3" fontId="19" fillId="34" borderId="0" xfId="0" applyNumberFormat="1" applyFont="1" applyFill="1" applyAlignment="1">
      <alignment horizontal="center" vertical="top" wrapText="1"/>
    </xf>
    <xf numFmtId="171" fontId="19" fillId="34" borderId="0" xfId="0" applyNumberFormat="1" applyFont="1" applyFill="1" applyAlignment="1">
      <alignment horizontal="center" vertical="top" wrapText="1"/>
    </xf>
    <xf numFmtId="0" fontId="12" fillId="34" borderId="0" xfId="0" applyFont="1" applyFill="1"/>
    <xf numFmtId="3" fontId="19" fillId="21" borderId="0" xfId="0" applyNumberFormat="1" applyFont="1" applyFill="1" applyAlignment="1">
      <alignment horizontal="center" vertical="top" wrapText="1"/>
    </xf>
    <xf numFmtId="0" fontId="12" fillId="21" borderId="0" xfId="0" applyFont="1" applyFill="1"/>
    <xf numFmtId="0" fontId="19" fillId="0" borderId="11" xfId="0" applyFont="1" applyBorder="1" applyAlignment="1">
      <alignment vertical="top" wrapText="1"/>
    </xf>
    <xf numFmtId="3" fontId="19" fillId="0" borderId="11" xfId="0" applyNumberFormat="1" applyFont="1" applyBorder="1" applyAlignment="1">
      <alignment horizontal="center" vertical="top" wrapText="1"/>
    </xf>
    <xf numFmtId="171" fontId="19" fillId="0" borderId="11" xfId="0" applyNumberFormat="1" applyFont="1" applyBorder="1" applyAlignment="1">
      <alignment horizontal="center" vertical="top" wrapText="1"/>
    </xf>
    <xf numFmtId="0" fontId="19" fillId="20" borderId="11" xfId="0" applyFont="1" applyFill="1" applyBorder="1" applyAlignment="1">
      <alignment vertical="top" wrapText="1"/>
    </xf>
    <xf numFmtId="0" fontId="38" fillId="0" borderId="11" xfId="0" applyFont="1" applyBorder="1" applyAlignment="1">
      <alignment vertical="top" wrapText="1"/>
    </xf>
    <xf numFmtId="0" fontId="19" fillId="21" borderId="11" xfId="0" applyFont="1" applyFill="1" applyBorder="1" applyAlignment="1">
      <alignment vertical="top" wrapText="1"/>
    </xf>
    <xf numFmtId="3" fontId="19" fillId="21" borderId="11" xfId="0" applyNumberFormat="1" applyFont="1" applyFill="1" applyBorder="1" applyAlignment="1">
      <alignment horizontal="center" vertical="top" wrapText="1"/>
    </xf>
    <xf numFmtId="171" fontId="19" fillId="21" borderId="11" xfId="0" applyNumberFormat="1" applyFont="1" applyFill="1" applyBorder="1" applyAlignment="1">
      <alignment horizontal="center" vertical="top" wrapText="1"/>
    </xf>
    <xf numFmtId="0" fontId="12" fillId="30" borderId="11" xfId="0" applyFont="1" applyFill="1" applyBorder="1" applyAlignment="1">
      <alignment vertical="top" wrapText="1"/>
    </xf>
    <xf numFmtId="0" fontId="50" fillId="0" borderId="93" xfId="14" applyFont="1" applyFill="1" applyBorder="1" applyAlignment="1">
      <alignment wrapText="1"/>
    </xf>
    <xf numFmtId="1" fontId="50" fillId="0" borderId="97" xfId="14" applyNumberFormat="1" applyFont="1" applyFill="1" applyBorder="1" applyAlignment="1">
      <alignment horizontal="center" wrapText="1"/>
    </xf>
    <xf numFmtId="0" fontId="50" fillId="0" borderId="97" xfId="14" applyFont="1" applyFill="1" applyBorder="1" applyAlignment="1">
      <alignment horizontal="center" wrapText="1"/>
    </xf>
    <xf numFmtId="171" fontId="50" fillId="0" borderId="98" xfId="14" applyNumberFormat="1" applyFont="1" applyFill="1" applyBorder="1" applyAlignment="1">
      <alignment horizontal="center" wrapText="1"/>
    </xf>
    <xf numFmtId="1" fontId="39" fillId="30" borderId="11" xfId="0" applyNumberFormat="1" applyFont="1" applyFill="1" applyBorder="1" applyAlignment="1">
      <alignment vertical="top" wrapText="1"/>
    </xf>
    <xf numFmtId="0" fontId="39" fillId="0" borderId="0" xfId="0" applyFont="1" applyAlignment="1">
      <alignment horizontal="center" vertical="top" wrapText="1"/>
    </xf>
    <xf numFmtId="0" fontId="19" fillId="27" borderId="11" xfId="0" applyFont="1" applyFill="1" applyBorder="1" applyAlignment="1">
      <alignment vertical="top" wrapText="1"/>
    </xf>
    <xf numFmtId="0" fontId="13" fillId="33" borderId="0" xfId="0" applyFont="1" applyFill="1"/>
    <xf numFmtId="0" fontId="42" fillId="30" borderId="11" xfId="0" applyFont="1" applyFill="1" applyBorder="1" applyAlignment="1">
      <alignment vertical="top" wrapText="1"/>
    </xf>
    <xf numFmtId="171" fontId="42" fillId="30" borderId="11" xfId="0" applyNumberFormat="1" applyFont="1" applyFill="1" applyBorder="1" applyAlignment="1">
      <alignment vertical="top" wrapText="1"/>
    </xf>
    <xf numFmtId="0" fontId="53" fillId="29" borderId="49" xfId="0" applyFont="1" applyFill="1" applyBorder="1"/>
    <xf numFmtId="0" fontId="52" fillId="29" borderId="56" xfId="0" applyFont="1" applyFill="1" applyBorder="1" applyAlignment="1">
      <alignment vertical="top" wrapText="1"/>
    </xf>
    <xf numFmtId="0" fontId="52" fillId="29" borderId="55" xfId="0" applyFont="1" applyFill="1" applyBorder="1" applyAlignment="1">
      <alignment vertical="top" wrapText="1"/>
    </xf>
    <xf numFmtId="0" fontId="53" fillId="30" borderId="11" xfId="0" applyFont="1" applyFill="1" applyBorder="1" applyAlignment="1">
      <alignment vertical="center" wrapText="1"/>
    </xf>
    <xf numFmtId="0" fontId="53" fillId="30" borderId="11" xfId="0" applyFont="1" applyFill="1" applyBorder="1" applyAlignment="1">
      <alignment horizontal="left" vertical="center" wrapText="1"/>
    </xf>
    <xf numFmtId="0" fontId="53" fillId="30" borderId="11" xfId="0" applyFont="1" applyFill="1" applyBorder="1" applyAlignment="1">
      <alignment horizontal="center" vertical="center" textRotation="90" wrapText="1"/>
    </xf>
    <xf numFmtId="0" fontId="56" fillId="30" borderId="11" xfId="0" applyFont="1" applyFill="1" applyBorder="1" applyAlignment="1">
      <alignment horizontal="center" vertical="center" textRotation="90" wrapText="1"/>
    </xf>
    <xf numFmtId="0" fontId="0" fillId="0" borderId="0" xfId="0" applyAlignment="1">
      <alignment horizontal="left" vertical="top" wrapText="1"/>
    </xf>
    <xf numFmtId="0" fontId="16" fillId="35" borderId="0" xfId="0" applyFont="1" applyFill="1" applyAlignment="1">
      <alignment horizontal="left" vertical="top" wrapText="1"/>
    </xf>
    <xf numFmtId="0" fontId="59" fillId="36" borderId="41" xfId="0" applyFont="1" applyFill="1" applyBorder="1" applyAlignment="1">
      <alignment horizontal="center" vertical="center" wrapText="1"/>
    </xf>
    <xf numFmtId="0" fontId="59" fillId="36" borderId="55" xfId="0" applyFont="1" applyFill="1" applyBorder="1" applyAlignment="1">
      <alignment horizontal="center" vertical="center" wrapText="1"/>
    </xf>
    <xf numFmtId="165" fontId="58" fillId="0" borderId="77" xfId="0" applyNumberFormat="1" applyFont="1" applyBorder="1" applyAlignment="1">
      <alignment horizontal="right" vertical="center" wrapText="1"/>
    </xf>
    <xf numFmtId="9" fontId="60" fillId="0" borderId="77" xfId="0" applyNumberFormat="1" applyFont="1" applyBorder="1" applyAlignment="1">
      <alignment horizontal="center" vertical="center" wrapText="1"/>
    </xf>
    <xf numFmtId="165" fontId="60" fillId="0" borderId="77" xfId="0" applyNumberFormat="1" applyFont="1" applyBorder="1" applyAlignment="1">
      <alignment horizontal="right" vertical="center" wrapText="1"/>
    </xf>
    <xf numFmtId="165" fontId="0" fillId="0" borderId="0" xfId="0" applyNumberFormat="1"/>
    <xf numFmtId="0" fontId="60" fillId="0" borderId="64" xfId="0" applyFont="1" applyBorder="1" applyAlignment="1">
      <alignment vertical="center" wrapText="1"/>
    </xf>
    <xf numFmtId="0" fontId="60" fillId="0" borderId="77" xfId="0" applyFont="1" applyBorder="1" applyAlignment="1">
      <alignment vertical="center" wrapText="1"/>
    </xf>
    <xf numFmtId="9" fontId="0" fillId="38" borderId="11" xfId="3" applyFont="1" applyFill="1" applyBorder="1"/>
    <xf numFmtId="0" fontId="0" fillId="38" borderId="11" xfId="0" applyFill="1" applyBorder="1" applyAlignment="1">
      <alignment wrapText="1"/>
    </xf>
    <xf numFmtId="0" fontId="0" fillId="38" borderId="11" xfId="0" applyFill="1" applyBorder="1"/>
    <xf numFmtId="0" fontId="61" fillId="0" borderId="0" xfId="19" applyFont="1" applyProtection="1">
      <protection hidden="1"/>
    </xf>
    <xf numFmtId="0" fontId="19" fillId="1" borderId="0" xfId="19" applyFont="1" applyFill="1" applyProtection="1">
      <protection hidden="1"/>
    </xf>
    <xf numFmtId="175" fontId="22" fillId="0" borderId="11" xfId="19" applyNumberFormat="1" applyFont="1" applyBorder="1" applyProtection="1">
      <protection hidden="1"/>
    </xf>
    <xf numFmtId="0" fontId="61" fillId="0" borderId="0" xfId="19" applyFont="1" applyAlignment="1" applyProtection="1">
      <alignment horizontal="center" wrapText="1"/>
      <protection hidden="1"/>
    </xf>
    <xf numFmtId="0" fontId="61" fillId="0" borderId="0" xfId="19" applyFont="1" applyAlignment="1" applyProtection="1">
      <alignment horizontal="center"/>
      <protection hidden="1"/>
    </xf>
    <xf numFmtId="0" fontId="61" fillId="0" borderId="11" xfId="19" applyFont="1" applyBorder="1" applyAlignment="1" applyProtection="1">
      <alignment horizontal="center" wrapText="1"/>
      <protection hidden="1"/>
    </xf>
    <xf numFmtId="0" fontId="61" fillId="0" borderId="29" xfId="19" applyFont="1" applyBorder="1" applyAlignment="1" applyProtection="1">
      <alignment horizontal="center" wrapText="1"/>
      <protection hidden="1"/>
    </xf>
    <xf numFmtId="0" fontId="61" fillId="0" borderId="23" xfId="19" applyFont="1" applyBorder="1" applyProtection="1">
      <protection hidden="1"/>
    </xf>
    <xf numFmtId="0" fontId="61" fillId="0" borderId="29" xfId="19" applyFont="1" applyBorder="1" applyProtection="1">
      <protection hidden="1"/>
    </xf>
    <xf numFmtId="175" fontId="61" fillId="0" borderId="0" xfId="21" applyNumberFormat="1" applyFont="1" applyProtection="1">
      <protection hidden="1"/>
    </xf>
    <xf numFmtId="0" fontId="61" fillId="0" borderId="27" xfId="19" applyFont="1" applyBorder="1" applyAlignment="1" applyProtection="1">
      <alignment horizontal="center"/>
      <protection hidden="1"/>
    </xf>
    <xf numFmtId="0" fontId="61" fillId="0" borderId="11" xfId="19" applyFont="1" applyBorder="1" applyAlignment="1" applyProtection="1">
      <alignment horizontal="center"/>
      <protection hidden="1"/>
    </xf>
    <xf numFmtId="0" fontId="5" fillId="0" borderId="0" xfId="19"/>
    <xf numFmtId="0" fontId="61" fillId="0" borderId="0" xfId="19" applyFont="1" applyAlignment="1">
      <alignment horizontal="center" wrapText="1"/>
    </xf>
    <xf numFmtId="164" fontId="61" fillId="0" borderId="0" xfId="21" applyFont="1" applyFill="1" applyAlignment="1">
      <alignment horizontal="center" wrapText="1"/>
    </xf>
    <xf numFmtId="0" fontId="5" fillId="0" borderId="11" xfId="19" applyBorder="1"/>
    <xf numFmtId="0" fontId="61" fillId="0" borderId="11" xfId="19" applyFont="1" applyBorder="1" applyAlignment="1">
      <alignment horizontal="center" wrapText="1"/>
    </xf>
    <xf numFmtId="0" fontId="22" fillId="0" borderId="0" xfId="19" applyFont="1" applyAlignment="1">
      <alignment horizontal="center" vertical="center"/>
    </xf>
    <xf numFmtId="175" fontId="66" fillId="0" borderId="0" xfId="19" applyNumberFormat="1" applyFont="1" applyAlignment="1">
      <alignment horizontal="center" vertical="center"/>
    </xf>
    <xf numFmtId="175" fontId="66" fillId="0" borderId="0" xfId="21" applyNumberFormat="1" applyFont="1" applyAlignment="1">
      <alignment horizontal="center" vertical="center"/>
    </xf>
    <xf numFmtId="0" fontId="23" fillId="48" borderId="11" xfId="9" applyFont="1" applyFill="1" applyBorder="1" applyAlignment="1">
      <alignment horizontal="center" vertical="center" wrapText="1"/>
    </xf>
    <xf numFmtId="175" fontId="22" fillId="41" borderId="11" xfId="21" applyNumberFormat="1" applyFont="1" applyFill="1" applyBorder="1" applyAlignment="1">
      <alignment horizontal="center" vertical="center"/>
    </xf>
    <xf numFmtId="175" fontId="22" fillId="42" borderId="11" xfId="21" applyNumberFormat="1" applyFont="1" applyFill="1" applyBorder="1" applyAlignment="1">
      <alignment horizontal="center" vertical="center"/>
    </xf>
    <xf numFmtId="175" fontId="22" fillId="43" borderId="11" xfId="21" applyNumberFormat="1" applyFont="1" applyFill="1" applyBorder="1" applyAlignment="1">
      <alignment horizontal="center" vertical="center"/>
    </xf>
    <xf numFmtId="175" fontId="22" fillId="44" borderId="11" xfId="21" applyNumberFormat="1" applyFont="1" applyFill="1" applyBorder="1" applyAlignment="1">
      <alignment horizontal="center" vertical="center"/>
    </xf>
    <xf numFmtId="175" fontId="22" fillId="13" borderId="11" xfId="21" applyNumberFormat="1" applyFont="1" applyFill="1" applyBorder="1" applyAlignment="1">
      <alignment horizontal="center" vertical="center"/>
    </xf>
    <xf numFmtId="175" fontId="22" fillId="45" borderId="11" xfId="21" applyNumberFormat="1" applyFont="1" applyFill="1" applyBorder="1" applyAlignment="1">
      <alignment horizontal="center" vertical="center"/>
    </xf>
    <xf numFmtId="175" fontId="22" fillId="46" borderId="11" xfId="21" applyNumberFormat="1" applyFont="1" applyFill="1" applyBorder="1" applyAlignment="1">
      <alignment horizontal="center" vertical="center"/>
    </xf>
    <xf numFmtId="175" fontId="22" fillId="47" borderId="11" xfId="21" applyNumberFormat="1" applyFont="1" applyFill="1" applyBorder="1" applyAlignment="1">
      <alignment horizontal="center" vertical="center"/>
    </xf>
    <xf numFmtId="175" fontId="22" fillId="5" borderId="11" xfId="21" applyNumberFormat="1" applyFont="1" applyFill="1" applyBorder="1" applyAlignment="1">
      <alignment horizontal="center" vertical="center"/>
    </xf>
    <xf numFmtId="171" fontId="23" fillId="48" borderId="11" xfId="9" applyNumberFormat="1" applyFont="1" applyFill="1" applyBorder="1" applyAlignment="1">
      <alignment horizontal="center" vertical="center" wrapText="1"/>
    </xf>
    <xf numFmtId="181" fontId="22" fillId="41" borderId="11" xfId="10" applyNumberFormat="1" applyFont="1" applyFill="1" applyBorder="1" applyAlignment="1">
      <alignment horizontal="center" vertical="center"/>
    </xf>
    <xf numFmtId="181" fontId="22" fillId="42" borderId="11" xfId="10" applyNumberFormat="1" applyFont="1" applyFill="1" applyBorder="1" applyAlignment="1">
      <alignment horizontal="center" vertical="center"/>
    </xf>
    <xf numFmtId="181" fontId="22" fillId="43" borderId="11" xfId="10" applyNumberFormat="1" applyFont="1" applyFill="1" applyBorder="1" applyAlignment="1">
      <alignment horizontal="center" vertical="center"/>
    </xf>
    <xf numFmtId="181" fontId="22" fillId="44" borderId="11" xfId="10" applyNumberFormat="1" applyFont="1" applyFill="1" applyBorder="1" applyAlignment="1">
      <alignment horizontal="center" vertical="center"/>
    </xf>
    <xf numFmtId="181" fontId="22" fillId="13" borderId="11" xfId="10" applyNumberFormat="1" applyFont="1" applyFill="1" applyBorder="1" applyAlignment="1">
      <alignment horizontal="center" vertical="center"/>
    </xf>
    <xf numFmtId="181" fontId="22" fillId="45" borderId="11" xfId="10" applyNumberFormat="1" applyFont="1" applyFill="1" applyBorder="1" applyAlignment="1">
      <alignment horizontal="center" vertical="center"/>
    </xf>
    <xf numFmtId="181" fontId="22" fillId="46" borderId="11" xfId="10" applyNumberFormat="1" applyFont="1" applyFill="1" applyBorder="1" applyAlignment="1">
      <alignment horizontal="center" vertical="center"/>
    </xf>
    <xf numFmtId="181" fontId="22" fillId="47" borderId="11" xfId="10" applyNumberFormat="1" applyFont="1" applyFill="1" applyBorder="1" applyAlignment="1">
      <alignment horizontal="center" vertical="center"/>
    </xf>
    <xf numFmtId="181" fontId="22" fillId="5" borderId="11" xfId="10" applyNumberFormat="1" applyFont="1" applyFill="1" applyBorder="1" applyAlignment="1">
      <alignment horizontal="center" vertical="center"/>
    </xf>
    <xf numFmtId="6" fontId="22" fillId="41" borderId="11" xfId="10" applyNumberFormat="1" applyFont="1" applyFill="1" applyBorder="1" applyAlignment="1">
      <alignment horizontal="center" vertical="center"/>
    </xf>
    <xf numFmtId="6" fontId="22" fillId="42" borderId="11" xfId="10" applyNumberFormat="1" applyFont="1" applyFill="1" applyBorder="1" applyAlignment="1">
      <alignment horizontal="center" vertical="center"/>
    </xf>
    <xf numFmtId="6" fontId="22" fillId="43" borderId="11" xfId="10" applyNumberFormat="1" applyFont="1" applyFill="1" applyBorder="1" applyAlignment="1">
      <alignment horizontal="center" vertical="center"/>
    </xf>
    <xf numFmtId="6" fontId="22" fillId="44" borderId="11" xfId="10" applyNumberFormat="1" applyFont="1" applyFill="1" applyBorder="1" applyAlignment="1">
      <alignment horizontal="center" vertical="center"/>
    </xf>
    <xf numFmtId="6" fontId="22" fillId="13" borderId="11" xfId="10" applyNumberFormat="1" applyFont="1" applyFill="1" applyBorder="1" applyAlignment="1">
      <alignment horizontal="center" vertical="center"/>
    </xf>
    <xf numFmtId="6" fontId="22" fillId="45" borderId="11" xfId="10" applyNumberFormat="1" applyFont="1" applyFill="1" applyBorder="1" applyAlignment="1">
      <alignment horizontal="center" vertical="center"/>
    </xf>
    <xf numFmtId="6" fontId="22" fillId="46" borderId="11" xfId="10" applyNumberFormat="1" applyFont="1" applyFill="1" applyBorder="1" applyAlignment="1">
      <alignment horizontal="center" vertical="center"/>
    </xf>
    <xf numFmtId="6" fontId="22" fillId="47" borderId="11" xfId="10" applyNumberFormat="1" applyFont="1" applyFill="1" applyBorder="1" applyAlignment="1">
      <alignment horizontal="center" vertical="center"/>
    </xf>
    <xf numFmtId="6" fontId="22" fillId="5" borderId="11" xfId="10" applyNumberFormat="1" applyFont="1" applyFill="1" applyBorder="1" applyAlignment="1">
      <alignment horizontal="center" vertical="center"/>
    </xf>
    <xf numFmtId="182" fontId="22" fillId="41" borderId="11" xfId="10" applyNumberFormat="1" applyFont="1" applyFill="1" applyBorder="1" applyAlignment="1">
      <alignment horizontal="center" vertical="center"/>
    </xf>
    <xf numFmtId="182" fontId="22" fillId="42" borderId="11" xfId="10" applyNumberFormat="1" applyFont="1" applyFill="1" applyBorder="1" applyAlignment="1">
      <alignment horizontal="center" vertical="center"/>
    </xf>
    <xf numFmtId="182" fontId="22" fillId="43" borderId="11" xfId="10" applyNumberFormat="1" applyFont="1" applyFill="1" applyBorder="1" applyAlignment="1">
      <alignment horizontal="center" vertical="center"/>
    </xf>
    <xf numFmtId="182" fontId="22" fillId="44" borderId="11" xfId="10" applyNumberFormat="1" applyFont="1" applyFill="1" applyBorder="1" applyAlignment="1">
      <alignment horizontal="center" vertical="center"/>
    </xf>
    <xf numFmtId="182" fontId="22" fillId="13" borderId="11" xfId="10" applyNumberFormat="1" applyFont="1" applyFill="1" applyBorder="1" applyAlignment="1">
      <alignment horizontal="center" vertical="center"/>
    </xf>
    <xf numFmtId="182" fontId="22" fillId="45" borderId="11" xfId="10" applyNumberFormat="1" applyFont="1" applyFill="1" applyBorder="1" applyAlignment="1">
      <alignment horizontal="center" vertical="center"/>
    </xf>
    <xf numFmtId="182" fontId="22" fillId="5" borderId="11" xfId="10" applyNumberFormat="1" applyFont="1" applyFill="1" applyBorder="1" applyAlignment="1">
      <alignment horizontal="center" vertical="center"/>
    </xf>
    <xf numFmtId="173" fontId="22" fillId="41" borderId="11" xfId="10" applyNumberFormat="1" applyFont="1" applyFill="1" applyBorder="1" applyAlignment="1">
      <alignment horizontal="center" vertical="center"/>
    </xf>
    <xf numFmtId="173" fontId="22" fillId="42" borderId="11" xfId="10" applyNumberFormat="1" applyFont="1" applyFill="1" applyBorder="1" applyAlignment="1">
      <alignment horizontal="center" vertical="center"/>
    </xf>
    <xf numFmtId="173" fontId="22" fillId="43" borderId="11" xfId="10" applyNumberFormat="1" applyFont="1" applyFill="1" applyBorder="1" applyAlignment="1">
      <alignment horizontal="center" vertical="center"/>
    </xf>
    <xf numFmtId="173" fontId="22" fillId="44" borderId="11" xfId="10" applyNumberFormat="1" applyFont="1" applyFill="1" applyBorder="1" applyAlignment="1">
      <alignment horizontal="center" vertical="center"/>
    </xf>
    <xf numFmtId="173" fontId="22" fillId="13" borderId="11" xfId="10" applyNumberFormat="1" applyFont="1" applyFill="1" applyBorder="1" applyAlignment="1">
      <alignment horizontal="center" vertical="center"/>
    </xf>
    <xf numFmtId="173" fontId="22" fillId="45" borderId="11" xfId="10" applyNumberFormat="1" applyFont="1" applyFill="1" applyBorder="1" applyAlignment="1">
      <alignment horizontal="center" vertical="center"/>
    </xf>
    <xf numFmtId="173" fontId="22" fillId="46" borderId="11" xfId="10" applyNumberFormat="1" applyFont="1" applyFill="1" applyBorder="1" applyAlignment="1">
      <alignment horizontal="center" vertical="center"/>
    </xf>
    <xf numFmtId="173" fontId="22" fillId="47" borderId="11" xfId="10" applyNumberFormat="1" applyFont="1" applyFill="1" applyBorder="1" applyAlignment="1">
      <alignment horizontal="center" vertical="center"/>
    </xf>
    <xf numFmtId="173" fontId="22" fillId="5" borderId="11" xfId="10" applyNumberFormat="1" applyFont="1" applyFill="1" applyBorder="1" applyAlignment="1">
      <alignment horizontal="center" vertical="center"/>
    </xf>
    <xf numFmtId="0" fontId="22" fillId="0" borderId="0" xfId="19" applyFont="1" applyAlignment="1">
      <alignment horizontal="center" vertical="center" textRotation="90"/>
    </xf>
    <xf numFmtId="0" fontId="22" fillId="41" borderId="11" xfId="9" applyFont="1" applyFill="1" applyBorder="1" applyAlignment="1">
      <alignment horizontal="center" vertical="center" textRotation="90"/>
    </xf>
    <xf numFmtId="0" fontId="22" fillId="42" borderId="11" xfId="9" applyFont="1" applyFill="1" applyBorder="1" applyAlignment="1">
      <alignment horizontal="center" vertical="center" textRotation="90"/>
    </xf>
    <xf numFmtId="0" fontId="22" fillId="43" borderId="11" xfId="9" applyFont="1" applyFill="1" applyBorder="1" applyAlignment="1">
      <alignment horizontal="center" vertical="center" textRotation="90"/>
    </xf>
    <xf numFmtId="0" fontId="22" fillId="13" borderId="11" xfId="9" applyFont="1" applyFill="1" applyBorder="1" applyAlignment="1">
      <alignment horizontal="center" vertical="center" textRotation="90"/>
    </xf>
    <xf numFmtId="0" fontId="22" fillId="46" borderId="11" xfId="9" applyFont="1" applyFill="1" applyBorder="1" applyAlignment="1">
      <alignment horizontal="center" vertical="center" textRotation="90"/>
    </xf>
    <xf numFmtId="0" fontId="22" fillId="44" borderId="11" xfId="9" applyFont="1" applyFill="1" applyBorder="1" applyAlignment="1">
      <alignment horizontal="center" vertical="center" textRotation="90"/>
    </xf>
    <xf numFmtId="0" fontId="22" fillId="45" borderId="11" xfId="9" applyFont="1" applyFill="1" applyBorder="1" applyAlignment="1">
      <alignment horizontal="center" vertical="center" textRotation="90"/>
    </xf>
    <xf numFmtId="0" fontId="22" fillId="47" borderId="11" xfId="9" applyFont="1" applyFill="1" applyBorder="1" applyAlignment="1">
      <alignment horizontal="center" vertical="center" textRotation="90"/>
    </xf>
    <xf numFmtId="0" fontId="61" fillId="0" borderId="0" xfId="19" applyFont="1"/>
    <xf numFmtId="0" fontId="21" fillId="0" borderId="0" xfId="0" applyFont="1" applyAlignment="1" applyProtection="1">
      <alignment horizontal="center"/>
      <protection locked="0" hidden="1"/>
    </xf>
    <xf numFmtId="0" fontId="22" fillId="0" borderId="0" xfId="0" applyFont="1" applyProtection="1">
      <protection locked="0"/>
    </xf>
    <xf numFmtId="0" fontId="22" fillId="38" borderId="5" xfId="0" applyFont="1" applyFill="1" applyBorder="1" applyProtection="1">
      <protection hidden="1"/>
    </xf>
    <xf numFmtId="0" fontId="22" fillId="38" borderId="6" xfId="0" applyFont="1" applyFill="1" applyBorder="1" applyProtection="1">
      <protection hidden="1"/>
    </xf>
    <xf numFmtId="0" fontId="22" fillId="38" borderId="0" xfId="0" applyFont="1" applyFill="1" applyProtection="1">
      <protection hidden="1"/>
    </xf>
    <xf numFmtId="0" fontId="22" fillId="38" borderId="4" xfId="0" applyFont="1" applyFill="1" applyBorder="1" applyProtection="1">
      <protection hidden="1"/>
    </xf>
    <xf numFmtId="0" fontId="22" fillId="38" borderId="3" xfId="0" applyFont="1" applyFill="1" applyBorder="1" applyProtection="1">
      <protection hidden="1"/>
    </xf>
    <xf numFmtId="0" fontId="70" fillId="38" borderId="11" xfId="0" applyFont="1" applyFill="1" applyBorder="1" applyProtection="1">
      <protection hidden="1"/>
    </xf>
    <xf numFmtId="0" fontId="19" fillId="0" borderId="0" xfId="0" applyFont="1"/>
    <xf numFmtId="0" fontId="19" fillId="0" borderId="0" xfId="0" applyFont="1" applyAlignment="1">
      <alignment wrapText="1"/>
    </xf>
    <xf numFmtId="0" fontId="69" fillId="38" borderId="12" xfId="0" applyFont="1" applyFill="1" applyBorder="1"/>
    <xf numFmtId="0" fontId="69" fillId="38" borderId="12" xfId="0" applyFont="1" applyFill="1" applyBorder="1" applyAlignment="1">
      <alignment wrapText="1"/>
    </xf>
    <xf numFmtId="0" fontId="70" fillId="39" borderId="11" xfId="0" applyFont="1" applyFill="1" applyBorder="1" applyProtection="1">
      <protection hidden="1"/>
    </xf>
    <xf numFmtId="0" fontId="70" fillId="39" borderId="11" xfId="0" applyFont="1" applyFill="1" applyBorder="1" applyAlignment="1" applyProtection="1">
      <alignment wrapText="1"/>
      <protection hidden="1"/>
    </xf>
    <xf numFmtId="1" fontId="70" fillId="39" borderId="12" xfId="0" applyNumberFormat="1" applyFont="1" applyFill="1" applyBorder="1" applyAlignment="1" applyProtection="1">
      <alignment wrapText="1"/>
      <protection hidden="1"/>
    </xf>
    <xf numFmtId="14" fontId="70" fillId="39" borderId="12" xfId="0" applyNumberFormat="1" applyFont="1" applyFill="1" applyBorder="1" applyAlignment="1" applyProtection="1">
      <alignment wrapText="1"/>
      <protection hidden="1"/>
    </xf>
    <xf numFmtId="1" fontId="70" fillId="39" borderId="11" xfId="0" applyNumberFormat="1" applyFont="1" applyFill="1" applyBorder="1" applyAlignment="1" applyProtection="1">
      <alignment wrapText="1"/>
      <protection hidden="1"/>
    </xf>
    <xf numFmtId="14" fontId="70" fillId="39" borderId="11" xfId="0" applyNumberFormat="1" applyFont="1" applyFill="1" applyBorder="1" applyAlignment="1" applyProtection="1">
      <alignment wrapText="1"/>
      <protection hidden="1"/>
    </xf>
    <xf numFmtId="14" fontId="22" fillId="38" borderId="11" xfId="0" applyNumberFormat="1" applyFont="1" applyFill="1" applyBorder="1" applyAlignment="1" applyProtection="1">
      <alignment wrapText="1"/>
      <protection hidden="1"/>
    </xf>
    <xf numFmtId="0" fontId="22" fillId="38" borderId="99" xfId="0" applyFont="1" applyFill="1" applyBorder="1" applyProtection="1">
      <protection hidden="1"/>
    </xf>
    <xf numFmtId="0" fontId="22" fillId="38" borderId="10" xfId="0" applyFont="1" applyFill="1" applyBorder="1" applyAlignment="1" applyProtection="1">
      <alignment wrapText="1"/>
      <protection hidden="1"/>
    </xf>
    <xf numFmtId="14" fontId="22" fillId="38" borderId="10" xfId="0" applyNumberFormat="1" applyFont="1" applyFill="1" applyBorder="1" applyAlignment="1" applyProtection="1">
      <alignment wrapText="1"/>
      <protection hidden="1"/>
    </xf>
    <xf numFmtId="1" fontId="22" fillId="38" borderId="83" xfId="0" applyNumberFormat="1" applyFont="1" applyFill="1" applyBorder="1" applyAlignment="1" applyProtection="1">
      <alignment wrapText="1"/>
      <protection hidden="1"/>
    </xf>
    <xf numFmtId="0" fontId="62" fillId="0" borderId="41" xfId="0" applyFont="1" applyBorder="1" applyAlignment="1" applyProtection="1">
      <alignment vertical="center" wrapText="1"/>
      <protection locked="0"/>
    </xf>
    <xf numFmtId="0" fontId="63" fillId="38" borderId="8" xfId="0" applyFont="1" applyFill="1" applyBorder="1" applyAlignment="1" applyProtection="1">
      <alignment horizontal="center" wrapText="1"/>
      <protection locked="0" hidden="1"/>
    </xf>
    <xf numFmtId="0" fontId="63" fillId="38" borderId="7" xfId="0" applyFont="1" applyFill="1" applyBorder="1" applyAlignment="1" applyProtection="1">
      <alignment horizontal="center" wrapText="1"/>
      <protection locked="0" hidden="1"/>
    </xf>
    <xf numFmtId="0" fontId="63" fillId="38" borderId="1" xfId="0" applyFont="1" applyFill="1" applyBorder="1" applyAlignment="1" applyProtection="1">
      <alignment horizontal="center" wrapText="1"/>
      <protection locked="0" hidden="1"/>
    </xf>
    <xf numFmtId="0" fontId="63" fillId="38" borderId="12" xfId="0" applyFont="1" applyFill="1" applyBorder="1" applyAlignment="1" applyProtection="1">
      <alignment horizontal="center" wrapText="1"/>
      <protection locked="0" hidden="1"/>
    </xf>
    <xf numFmtId="0" fontId="22" fillId="0" borderId="0" xfId="0" applyFont="1"/>
    <xf numFmtId="0" fontId="22" fillId="0" borderId="0" xfId="0" applyFont="1" applyAlignment="1">
      <alignment wrapText="1"/>
    </xf>
    <xf numFmtId="178" fontId="22" fillId="0" borderId="0" xfId="0" applyNumberFormat="1" applyFont="1" applyAlignment="1">
      <alignment wrapText="1"/>
    </xf>
    <xf numFmtId="178" fontId="22" fillId="0" borderId="0" xfId="0" applyNumberFormat="1" applyFont="1"/>
    <xf numFmtId="0" fontId="22" fillId="38" borderId="11" xfId="0" applyFont="1" applyFill="1" applyBorder="1"/>
    <xf numFmtId="0" fontId="22" fillId="38" borderId="11" xfId="0" applyFont="1" applyFill="1" applyBorder="1" applyAlignment="1">
      <alignment wrapText="1"/>
    </xf>
    <xf numFmtId="1" fontId="22" fillId="38" borderId="11" xfId="0" applyNumberFormat="1" applyFont="1" applyFill="1" applyBorder="1"/>
    <xf numFmtId="9" fontId="22" fillId="38" borderId="11" xfId="3" applyFont="1" applyFill="1" applyBorder="1"/>
    <xf numFmtId="0" fontId="70" fillId="39" borderId="11" xfId="0" applyFont="1" applyFill="1" applyBorder="1"/>
    <xf numFmtId="0" fontId="70" fillId="39" borderId="11" xfId="0" applyFont="1" applyFill="1" applyBorder="1" applyAlignment="1">
      <alignment wrapText="1"/>
    </xf>
    <xf numFmtId="0" fontId="70" fillId="38" borderId="11" xfId="0" applyFont="1" applyFill="1" applyBorder="1"/>
    <xf numFmtId="0" fontId="22" fillId="38" borderId="99" xfId="0" applyFont="1" applyFill="1" applyBorder="1"/>
    <xf numFmtId="0" fontId="22" fillId="38" borderId="10" xfId="0" applyFont="1" applyFill="1" applyBorder="1" applyAlignment="1">
      <alignment wrapText="1"/>
    </xf>
    <xf numFmtId="1" fontId="22" fillId="38" borderId="83" xfId="0" applyNumberFormat="1" applyFont="1" applyFill="1" applyBorder="1"/>
    <xf numFmtId="0" fontId="71" fillId="38" borderId="11" xfId="0" applyFont="1" applyFill="1" applyBorder="1"/>
    <xf numFmtId="0" fontId="71" fillId="38" borderId="11" xfId="0" applyFont="1" applyFill="1" applyBorder="1" applyAlignment="1">
      <alignment wrapText="1"/>
    </xf>
    <xf numFmtId="0" fontId="72" fillId="38" borderId="12" xfId="0" applyFont="1" applyFill="1" applyBorder="1"/>
    <xf numFmtId="0" fontId="72" fillId="38" borderId="12" xfId="0" applyFont="1" applyFill="1" applyBorder="1" applyAlignment="1">
      <alignment wrapText="1"/>
    </xf>
    <xf numFmtId="0" fontId="71" fillId="0" borderId="0" xfId="0" applyFont="1"/>
    <xf numFmtId="0" fontId="71" fillId="0" borderId="0" xfId="0" applyFont="1" applyAlignment="1">
      <alignment wrapText="1"/>
    </xf>
    <xf numFmtId="0" fontId="19" fillId="0" borderId="0" xfId="0" applyFont="1" applyAlignment="1">
      <alignment horizontal="left" indent="2"/>
    </xf>
    <xf numFmtId="0" fontId="19" fillId="0" borderId="0" xfId="0" applyFont="1" applyAlignment="1">
      <alignment horizontal="left" wrapText="1" indent="2"/>
    </xf>
    <xf numFmtId="0" fontId="20" fillId="0" borderId="0" xfId="0" applyFont="1"/>
    <xf numFmtId="14" fontId="58" fillId="0" borderId="34" xfId="0" applyNumberFormat="1" applyFont="1" applyBorder="1" applyAlignment="1" applyProtection="1">
      <alignment horizontal="left" vertical="center" wrapText="1"/>
      <protection hidden="1"/>
    </xf>
    <xf numFmtId="0" fontId="71" fillId="0" borderId="78" xfId="0" applyFont="1" applyBorder="1" applyProtection="1">
      <protection locked="0"/>
    </xf>
    <xf numFmtId="0" fontId="71" fillId="0" borderId="39" xfId="0" applyFont="1" applyBorder="1" applyProtection="1">
      <protection locked="0"/>
    </xf>
    <xf numFmtId="0" fontId="22" fillId="0" borderId="5" xfId="0" applyFont="1" applyBorder="1" applyProtection="1">
      <protection locked="0"/>
    </xf>
    <xf numFmtId="0" fontId="22" fillId="0" borderId="11" xfId="0" applyFont="1" applyBorder="1" applyProtection="1">
      <protection locked="0"/>
    </xf>
    <xf numFmtId="0" fontId="22" fillId="0" borderId="11" xfId="0" applyFont="1" applyBorder="1" applyAlignment="1" applyProtection="1">
      <alignment wrapText="1"/>
      <protection locked="0"/>
    </xf>
    <xf numFmtId="0" fontId="22" fillId="0" borderId="27" xfId="0" applyFont="1" applyBorder="1" applyProtection="1">
      <protection locked="0"/>
    </xf>
    <xf numFmtId="0" fontId="22" fillId="0" borderId="8" xfId="0" applyFont="1" applyBorder="1" applyProtection="1">
      <protection locked="0"/>
    </xf>
    <xf numFmtId="0" fontId="22" fillId="0" borderId="12" xfId="0" applyFont="1" applyBorder="1" applyProtection="1">
      <protection locked="0"/>
    </xf>
    <xf numFmtId="0" fontId="22" fillId="0" borderId="12" xfId="0" applyFont="1" applyBorder="1" applyAlignment="1" applyProtection="1">
      <alignment wrapText="1"/>
      <protection locked="0"/>
    </xf>
    <xf numFmtId="0" fontId="22" fillId="0" borderId="14" xfId="0" applyFont="1" applyBorder="1" applyProtection="1">
      <protection locked="0"/>
    </xf>
    <xf numFmtId="0" fontId="22" fillId="0" borderId="6" xfId="0" applyFont="1" applyBorder="1" applyProtection="1">
      <protection locked="0"/>
    </xf>
    <xf numFmtId="0" fontId="76" fillId="49" borderId="5" xfId="0" applyFont="1" applyFill="1" applyBorder="1" applyProtection="1">
      <protection hidden="1"/>
    </xf>
    <xf numFmtId="0" fontId="74" fillId="49" borderId="11" xfId="0" applyFont="1" applyFill="1" applyBorder="1" applyProtection="1">
      <protection hidden="1"/>
    </xf>
    <xf numFmtId="0" fontId="74" fillId="49" borderId="11" xfId="0" applyFont="1" applyFill="1" applyBorder="1" applyAlignment="1" applyProtection="1">
      <alignment wrapText="1"/>
      <protection hidden="1"/>
    </xf>
    <xf numFmtId="9" fontId="22" fillId="13" borderId="0" xfId="3" applyFont="1" applyFill="1" applyProtection="1">
      <protection locked="0"/>
    </xf>
    <xf numFmtId="0" fontId="58" fillId="13" borderId="11" xfId="0" applyFont="1" applyFill="1" applyBorder="1" applyAlignment="1" applyProtection="1">
      <alignment horizontal="left" vertical="center"/>
      <protection locked="0"/>
    </xf>
    <xf numFmtId="14" fontId="58" fillId="13" borderId="35" xfId="0" applyNumberFormat="1" applyFont="1" applyFill="1" applyBorder="1" applyAlignment="1" applyProtection="1">
      <alignment horizontal="left" vertical="center"/>
      <protection locked="0"/>
    </xf>
    <xf numFmtId="1" fontId="70" fillId="50" borderId="12" xfId="0" applyNumberFormat="1" applyFont="1" applyFill="1" applyBorder="1" applyAlignment="1" applyProtection="1">
      <alignment wrapText="1"/>
      <protection locked="0"/>
    </xf>
    <xf numFmtId="1" fontId="70" fillId="50" borderId="11" xfId="0" applyNumberFormat="1" applyFont="1" applyFill="1" applyBorder="1" applyAlignment="1" applyProtection="1">
      <alignment wrapText="1"/>
      <protection locked="0"/>
    </xf>
    <xf numFmtId="9" fontId="22" fillId="0" borderId="0" xfId="3" applyFont="1" applyProtection="1">
      <protection locked="0"/>
    </xf>
    <xf numFmtId="9" fontId="22" fillId="0" borderId="0" xfId="0" applyNumberFormat="1" applyFont="1" applyProtection="1">
      <protection hidden="1"/>
    </xf>
    <xf numFmtId="0" fontId="22" fillId="0" borderId="0" xfId="0" applyFont="1" applyProtection="1">
      <protection hidden="1"/>
    </xf>
    <xf numFmtId="8" fontId="22" fillId="0" borderId="100" xfId="2" applyFont="1" applyBorder="1" applyProtection="1">
      <protection hidden="1"/>
    </xf>
    <xf numFmtId="0" fontId="75" fillId="49" borderId="100" xfId="0" applyFont="1" applyFill="1" applyBorder="1" applyAlignment="1" applyProtection="1">
      <alignment horizontal="center" vertical="center" textRotation="180" wrapText="1"/>
      <protection locked="0"/>
    </xf>
    <xf numFmtId="0" fontId="22" fillId="38" borderId="60" xfId="0" applyFont="1" applyFill="1" applyBorder="1" applyProtection="1">
      <protection hidden="1"/>
    </xf>
    <xf numFmtId="0" fontId="22" fillId="38" borderId="72" xfId="0" applyFont="1" applyFill="1" applyBorder="1" applyProtection="1">
      <protection hidden="1"/>
    </xf>
    <xf numFmtId="14" fontId="58" fillId="13" borderId="14" xfId="0" applyNumberFormat="1" applyFont="1" applyFill="1" applyBorder="1" applyAlignment="1" applyProtection="1">
      <alignment horizontal="left" vertical="center"/>
      <protection locked="0"/>
    </xf>
    <xf numFmtId="9" fontId="22" fillId="0" borderId="0" xfId="3" applyFont="1" applyFill="1" applyProtection="1">
      <protection locked="0"/>
    </xf>
    <xf numFmtId="0" fontId="22" fillId="0" borderId="0" xfId="0" applyFont="1" applyAlignment="1" applyProtection="1">
      <alignment wrapText="1"/>
      <protection locked="0"/>
    </xf>
    <xf numFmtId="0" fontId="58" fillId="0" borderId="0" xfId="0" applyFont="1" applyAlignment="1" applyProtection="1">
      <alignment vertical="center" wrapText="1"/>
      <protection locked="0"/>
    </xf>
    <xf numFmtId="0" fontId="56" fillId="0" borderId="0" xfId="0" applyFont="1" applyAlignment="1" applyProtection="1">
      <alignment vertical="center" wrapText="1"/>
      <protection locked="0"/>
    </xf>
    <xf numFmtId="0" fontId="22" fillId="13" borderId="11" xfId="0" applyFont="1" applyFill="1" applyBorder="1" applyProtection="1">
      <protection locked="0"/>
    </xf>
    <xf numFmtId="0" fontId="74" fillId="49" borderId="27" xfId="0" applyFont="1" applyFill="1" applyBorder="1" applyAlignment="1" applyProtection="1">
      <alignment wrapText="1"/>
      <protection hidden="1"/>
    </xf>
    <xf numFmtId="0" fontId="19" fillId="1" borderId="0" xfId="0" applyFont="1" applyFill="1" applyProtection="1">
      <protection hidden="1"/>
    </xf>
    <xf numFmtId="0" fontId="58" fillId="13" borderId="11" xfId="0" applyFont="1" applyFill="1" applyBorder="1" applyAlignment="1" applyProtection="1">
      <alignment horizontal="left" vertical="top"/>
      <protection locked="0"/>
    </xf>
    <xf numFmtId="0" fontId="19" fillId="40" borderId="0" xfId="0" applyFont="1" applyFill="1" applyProtection="1">
      <protection hidden="1"/>
    </xf>
    <xf numFmtId="0" fontId="19" fillId="0" borderId="0" xfId="0" applyFont="1" applyProtection="1">
      <protection hidden="1"/>
    </xf>
    <xf numFmtId="175" fontId="19" fillId="0" borderId="0" xfId="21" applyNumberFormat="1" applyFont="1" applyProtection="1">
      <protection hidden="1"/>
    </xf>
    <xf numFmtId="169" fontId="19" fillId="0" borderId="0" xfId="20" applyNumberFormat="1" applyFont="1" applyProtection="1">
      <protection hidden="1"/>
    </xf>
    <xf numFmtId="9" fontId="19" fillId="0" borderId="0" xfId="20" applyFont="1" applyProtection="1">
      <protection hidden="1"/>
    </xf>
    <xf numFmtId="177" fontId="19" fillId="0" borderId="0" xfId="21" applyNumberFormat="1" applyFont="1" applyProtection="1">
      <protection hidden="1"/>
    </xf>
    <xf numFmtId="177" fontId="19" fillId="0" borderId="1" xfId="21" applyNumberFormat="1" applyFont="1" applyBorder="1" applyProtection="1">
      <protection hidden="1"/>
    </xf>
    <xf numFmtId="9" fontId="22" fillId="27" borderId="11" xfId="0" applyNumberFormat="1" applyFont="1" applyFill="1" applyBorder="1" applyProtection="1">
      <protection locked="0"/>
    </xf>
    <xf numFmtId="0" fontId="22" fillId="27" borderId="11" xfId="0" applyFont="1" applyFill="1" applyBorder="1" applyAlignment="1" applyProtection="1">
      <alignment horizontal="center"/>
      <protection locked="0"/>
    </xf>
    <xf numFmtId="0" fontId="22" fillId="0" borderId="40" xfId="0" applyFont="1" applyBorder="1" applyProtection="1">
      <protection hidden="1"/>
    </xf>
    <xf numFmtId="0" fontId="22" fillId="0" borderId="38" xfId="0" applyFont="1" applyBorder="1" applyProtection="1">
      <protection hidden="1"/>
    </xf>
    <xf numFmtId="0" fontId="22" fillId="0" borderId="29" xfId="0" applyFont="1" applyBorder="1" applyProtection="1">
      <protection hidden="1"/>
    </xf>
    <xf numFmtId="0" fontId="22" fillId="0" borderId="27" xfId="0" applyFont="1" applyBorder="1" applyProtection="1">
      <protection hidden="1"/>
    </xf>
    <xf numFmtId="175" fontId="22" fillId="0" borderId="27" xfId="0" applyNumberFormat="1" applyFont="1" applyBorder="1" applyProtection="1">
      <protection hidden="1"/>
    </xf>
    <xf numFmtId="9" fontId="22" fillId="0" borderId="27" xfId="0" applyNumberFormat="1" applyFont="1" applyBorder="1" applyProtection="1">
      <protection hidden="1"/>
    </xf>
    <xf numFmtId="0" fontId="22" fillId="0" borderId="20" xfId="0" applyFont="1" applyBorder="1" applyProtection="1">
      <protection hidden="1"/>
    </xf>
    <xf numFmtId="9" fontId="22" fillId="0" borderId="18" xfId="0" applyNumberFormat="1" applyFont="1" applyBorder="1" applyProtection="1">
      <protection hidden="1"/>
    </xf>
    <xf numFmtId="0" fontId="61" fillId="0" borderId="0" xfId="0" applyFont="1" applyAlignment="1">
      <alignment horizontal="center" wrapText="1"/>
    </xf>
    <xf numFmtId="0" fontId="64" fillId="0" borderId="0" xfId="0" applyFont="1"/>
    <xf numFmtId="0" fontId="4" fillId="0" borderId="0" xfId="19" applyFont="1"/>
    <xf numFmtId="175" fontId="61" fillId="0" borderId="0" xfId="1" applyNumberFormat="1" applyFont="1" applyAlignment="1">
      <alignment horizontal="center" wrapText="1"/>
    </xf>
    <xf numFmtId="0" fontId="22" fillId="0" borderId="0" xfId="0" applyFont="1" applyAlignment="1">
      <alignment horizontal="center" wrapText="1"/>
    </xf>
    <xf numFmtId="175" fontId="22" fillId="0" borderId="0" xfId="1" applyNumberFormat="1" applyFont="1"/>
    <xf numFmtId="164" fontId="22" fillId="0" borderId="0" xfId="21" applyFont="1" applyFill="1"/>
    <xf numFmtId="0" fontId="61" fillId="0" borderId="11" xfId="0" applyFont="1" applyBorder="1" applyAlignment="1">
      <alignment horizontal="center"/>
    </xf>
    <xf numFmtId="179" fontId="61" fillId="0" borderId="11" xfId="1" applyNumberFormat="1" applyFont="1" applyBorder="1" applyAlignment="1">
      <alignment horizontal="center"/>
    </xf>
    <xf numFmtId="179" fontId="22" fillId="0" borderId="0" xfId="1" applyNumberFormat="1" applyFont="1"/>
    <xf numFmtId="178" fontId="58" fillId="13" borderId="27" xfId="0" applyNumberFormat="1" applyFont="1" applyFill="1" applyBorder="1" applyAlignment="1" applyProtection="1">
      <alignment horizontal="left" vertical="top" wrapText="1"/>
      <protection locked="0"/>
    </xf>
    <xf numFmtId="0" fontId="58" fillId="13" borderId="27" xfId="0" applyFont="1" applyFill="1" applyBorder="1" applyAlignment="1" applyProtection="1">
      <alignment horizontal="left" vertical="center" wrapText="1"/>
      <protection locked="0"/>
    </xf>
    <xf numFmtId="49" fontId="58" fillId="13" borderId="27" xfId="0" applyNumberFormat="1" applyFont="1" applyFill="1" applyBorder="1" applyAlignment="1" applyProtection="1">
      <alignment horizontal="left" vertical="center" wrapText="1"/>
      <protection locked="0"/>
    </xf>
    <xf numFmtId="0" fontId="3" fillId="0" borderId="0" xfId="19" applyFont="1" applyProtection="1">
      <protection hidden="1"/>
    </xf>
    <xf numFmtId="175" fontId="22" fillId="0" borderId="11" xfId="21" applyNumberFormat="1" applyFont="1" applyFill="1" applyBorder="1" applyProtection="1">
      <protection hidden="1"/>
    </xf>
    <xf numFmtId="2" fontId="22" fillId="0" borderId="11" xfId="21" applyNumberFormat="1" applyFont="1" applyBorder="1" applyProtection="1">
      <protection hidden="1"/>
    </xf>
    <xf numFmtId="176" fontId="22" fillId="27" borderId="11" xfId="21" applyNumberFormat="1" applyFont="1" applyFill="1" applyBorder="1" applyProtection="1">
      <protection locked="0"/>
    </xf>
    <xf numFmtId="0" fontId="22" fillId="51" borderId="72" xfId="19" applyFont="1" applyFill="1" applyBorder="1" applyProtection="1">
      <protection hidden="1"/>
    </xf>
    <xf numFmtId="175" fontId="22" fillId="0" borderId="11" xfId="21" applyNumberFormat="1" applyFont="1" applyBorder="1" applyAlignment="1" applyProtection="1">
      <alignment horizontal="right"/>
      <protection hidden="1"/>
    </xf>
    <xf numFmtId="175" fontId="22" fillId="0" borderId="27" xfId="21" applyNumberFormat="1" applyFont="1" applyBorder="1" applyAlignment="1" applyProtection="1">
      <alignment horizontal="right"/>
      <protection hidden="1"/>
    </xf>
    <xf numFmtId="169" fontId="22" fillId="0" borderId="11" xfId="20" applyNumberFormat="1" applyFont="1" applyBorder="1" applyAlignment="1" applyProtection="1">
      <alignment horizontal="right"/>
      <protection hidden="1"/>
    </xf>
    <xf numFmtId="169" fontId="22" fillId="0" borderId="27" xfId="20" applyNumberFormat="1" applyFont="1" applyBorder="1" applyAlignment="1" applyProtection="1">
      <alignment horizontal="right"/>
      <protection hidden="1"/>
    </xf>
    <xf numFmtId="9" fontId="22" fillId="0" borderId="11" xfId="20" applyFont="1" applyBorder="1" applyAlignment="1" applyProtection="1">
      <alignment horizontal="right"/>
      <protection hidden="1"/>
    </xf>
    <xf numFmtId="9" fontId="22" fillId="0" borderId="27" xfId="20" applyFont="1" applyBorder="1" applyAlignment="1" applyProtection="1">
      <alignment horizontal="right"/>
      <protection hidden="1"/>
    </xf>
    <xf numFmtId="177" fontId="22" fillId="0" borderId="11" xfId="21" applyNumberFormat="1" applyFont="1" applyBorder="1" applyAlignment="1" applyProtection="1">
      <protection hidden="1"/>
    </xf>
    <xf numFmtId="177" fontId="22" fillId="0" borderId="27" xfId="21" applyNumberFormat="1" applyFont="1" applyBorder="1" applyAlignment="1" applyProtection="1">
      <protection hidden="1"/>
    </xf>
    <xf numFmtId="169" fontId="22" fillId="0" borderId="16" xfId="20" applyNumberFormat="1" applyFont="1" applyBorder="1" applyAlignment="1" applyProtection="1">
      <alignment horizontal="right"/>
      <protection hidden="1"/>
    </xf>
    <xf numFmtId="9" fontId="22" fillId="0" borderId="11" xfId="3" applyFont="1" applyBorder="1" applyProtection="1">
      <protection hidden="1"/>
    </xf>
    <xf numFmtId="0" fontId="22" fillId="0" borderId="11" xfId="0" applyFont="1" applyBorder="1" applyAlignment="1" applyProtection="1">
      <alignment horizontal="center"/>
      <protection hidden="1"/>
    </xf>
    <xf numFmtId="0" fontId="31" fillId="0" borderId="0" xfId="0" applyFont="1" applyAlignment="1" applyProtection="1">
      <alignment horizontal="left" vertical="center"/>
      <protection hidden="1"/>
    </xf>
    <xf numFmtId="1" fontId="31" fillId="0" borderId="0" xfId="0" applyNumberFormat="1" applyFont="1" applyAlignment="1" applyProtection="1">
      <alignment horizontal="left" vertical="center"/>
      <protection hidden="1"/>
    </xf>
    <xf numFmtId="172" fontId="31" fillId="0" borderId="0" xfId="0" applyNumberFormat="1" applyFont="1" applyAlignment="1" applyProtection="1">
      <alignment horizontal="left" vertical="center"/>
      <protection hidden="1"/>
    </xf>
    <xf numFmtId="0" fontId="31" fillId="0" borderId="0" xfId="0" applyFont="1" applyAlignment="1" applyProtection="1">
      <alignment horizontal="left" vertical="center" wrapText="1"/>
      <protection hidden="1"/>
    </xf>
    <xf numFmtId="40" fontId="22" fillId="0" borderId="11" xfId="1" applyFont="1" applyBorder="1" applyProtection="1">
      <protection hidden="1"/>
    </xf>
    <xf numFmtId="40" fontId="22" fillId="27" borderId="11" xfId="1" applyFont="1" applyFill="1" applyBorder="1" applyProtection="1">
      <protection locked="0"/>
    </xf>
    <xf numFmtId="40" fontId="22" fillId="0" borderId="11" xfId="21" applyNumberFormat="1" applyFont="1" applyFill="1" applyBorder="1" applyProtection="1">
      <protection hidden="1"/>
    </xf>
    <xf numFmtId="40" fontId="22" fillId="0" borderId="11" xfId="21" applyNumberFormat="1" applyFont="1" applyBorder="1" applyProtection="1">
      <protection hidden="1"/>
    </xf>
    <xf numFmtId="40" fontId="22" fillId="27" borderId="14" xfId="1" applyFont="1" applyFill="1" applyBorder="1" applyProtection="1">
      <protection locked="0"/>
    </xf>
    <xf numFmtId="40" fontId="22" fillId="0" borderId="19" xfId="1" applyFont="1" applyBorder="1" applyProtection="1">
      <protection hidden="1"/>
    </xf>
    <xf numFmtId="0" fontId="75" fillId="10" borderId="11" xfId="0" applyFont="1" applyFill="1" applyBorder="1" applyAlignment="1" applyProtection="1">
      <alignment vertical="center" wrapText="1"/>
      <protection locked="0"/>
    </xf>
    <xf numFmtId="0" fontId="22" fillId="0" borderId="11" xfId="0" applyFont="1" applyBorder="1" applyAlignment="1" applyProtection="1">
      <alignment vertical="center" wrapText="1"/>
      <protection locked="0"/>
    </xf>
    <xf numFmtId="9" fontId="21" fillId="0" borderId="14" xfId="3" applyFont="1" applyBorder="1" applyAlignment="1">
      <alignment wrapText="1"/>
    </xf>
    <xf numFmtId="2" fontId="22" fillId="0" borderId="0" xfId="2" applyNumberFormat="1" applyFont="1" applyProtection="1">
      <protection hidden="1"/>
    </xf>
    <xf numFmtId="2" fontId="22" fillId="0" borderId="64" xfId="2" applyNumberFormat="1" applyFont="1" applyBorder="1" applyProtection="1">
      <protection hidden="1"/>
    </xf>
    <xf numFmtId="0" fontId="21" fillId="0" borderId="11" xfId="0" applyFont="1" applyBorder="1" applyAlignment="1" applyProtection="1">
      <alignment horizontal="center"/>
      <protection locked="0"/>
    </xf>
    <xf numFmtId="0" fontId="21" fillId="0" borderId="14" xfId="0" applyFont="1" applyBorder="1" applyAlignment="1" applyProtection="1">
      <alignment horizontal="center"/>
      <protection locked="0"/>
    </xf>
    <xf numFmtId="0" fontId="22" fillId="27" borderId="14" xfId="0" applyFont="1" applyFill="1" applyBorder="1" applyAlignment="1" applyProtection="1">
      <alignment horizontal="left"/>
      <protection locked="0"/>
    </xf>
    <xf numFmtId="183" fontId="22" fillId="0" borderId="27" xfId="0" applyNumberFormat="1" applyFont="1" applyBorder="1" applyProtection="1">
      <protection hidden="1"/>
    </xf>
    <xf numFmtId="10" fontId="22" fillId="0" borderId="27" xfId="0" applyNumberFormat="1" applyFont="1" applyBorder="1" applyProtection="1">
      <protection hidden="1"/>
    </xf>
    <xf numFmtId="0" fontId="0" fillId="0" borderId="11" xfId="0" applyBorder="1"/>
    <xf numFmtId="180" fontId="0" fillId="0" borderId="11" xfId="1" applyNumberFormat="1" applyFont="1" applyBorder="1"/>
    <xf numFmtId="40" fontId="0" fillId="0" borderId="11" xfId="1" applyFont="1" applyFill="1" applyBorder="1"/>
    <xf numFmtId="180" fontId="0" fillId="0" borderId="11" xfId="0" applyNumberFormat="1" applyBorder="1"/>
    <xf numFmtId="164" fontId="0" fillId="0" borderId="11" xfId="0" applyNumberFormat="1" applyBorder="1"/>
    <xf numFmtId="179" fontId="0" fillId="0" borderId="0" xfId="1" applyNumberFormat="1" applyFont="1"/>
    <xf numFmtId="175" fontId="0" fillId="0" borderId="0" xfId="1" applyNumberFormat="1" applyFont="1"/>
    <xf numFmtId="40" fontId="0" fillId="0" borderId="0" xfId="1" applyFont="1" applyFill="1"/>
    <xf numFmtId="0" fontId="76" fillId="15" borderId="11" xfId="0" applyFont="1" applyFill="1" applyBorder="1" applyProtection="1">
      <protection locked="0"/>
    </xf>
    <xf numFmtId="0" fontId="76" fillId="0" borderId="0" xfId="0" applyFont="1" applyProtection="1">
      <protection locked="0"/>
    </xf>
    <xf numFmtId="0" fontId="76" fillId="15" borderId="11" xfId="0" applyFont="1" applyFill="1" applyBorder="1" applyAlignment="1" applyProtection="1">
      <alignment vertical="top" wrapText="1"/>
      <protection locked="0"/>
    </xf>
    <xf numFmtId="0" fontId="76" fillId="15" borderId="11" xfId="0" applyFont="1" applyFill="1" applyBorder="1" applyAlignment="1" applyProtection="1">
      <alignment wrapText="1"/>
      <protection locked="0"/>
    </xf>
    <xf numFmtId="0" fontId="76" fillId="15" borderId="6" xfId="0" applyFont="1" applyFill="1" applyBorder="1" applyProtection="1">
      <protection locked="0"/>
    </xf>
    <xf numFmtId="0" fontId="22" fillId="38" borderId="83" xfId="0" applyFont="1" applyFill="1" applyBorder="1"/>
    <xf numFmtId="1" fontId="22" fillId="38" borderId="12" xfId="0" applyNumberFormat="1" applyFont="1" applyFill="1" applyBorder="1"/>
    <xf numFmtId="1" fontId="22" fillId="38" borderId="14" xfId="0" applyNumberFormat="1" applyFont="1" applyFill="1" applyBorder="1"/>
    <xf numFmtId="0" fontId="72" fillId="38" borderId="101" xfId="0" applyFont="1" applyFill="1" applyBorder="1"/>
    <xf numFmtId="0" fontId="61" fillId="0" borderId="6" xfId="19" applyFont="1" applyBorder="1" applyAlignment="1" applyProtection="1">
      <alignment horizontal="center" wrapText="1"/>
      <protection hidden="1"/>
    </xf>
    <xf numFmtId="0" fontId="22" fillId="27" borderId="84" xfId="0" applyFont="1" applyFill="1" applyBorder="1" applyAlignment="1" applyProtection="1">
      <alignment horizontal="left"/>
      <protection locked="0"/>
    </xf>
    <xf numFmtId="9" fontId="22" fillId="0" borderId="6" xfId="20" applyFont="1" applyBorder="1" applyProtection="1">
      <protection hidden="1"/>
    </xf>
    <xf numFmtId="9" fontId="22" fillId="0" borderId="79" xfId="20" applyFont="1" applyBorder="1" applyProtection="1">
      <protection hidden="1"/>
    </xf>
    <xf numFmtId="9" fontId="22" fillId="51" borderId="0" xfId="3" applyFont="1" applyFill="1" applyBorder="1" applyProtection="1">
      <protection hidden="1"/>
    </xf>
    <xf numFmtId="9" fontId="22" fillId="51" borderId="72" xfId="3" applyFont="1" applyFill="1" applyBorder="1" applyProtection="1">
      <protection hidden="1"/>
    </xf>
    <xf numFmtId="0" fontId="22" fillId="0" borderId="99" xfId="0" applyFont="1" applyBorder="1" applyProtection="1">
      <protection locked="0"/>
    </xf>
    <xf numFmtId="0" fontId="72" fillId="52" borderId="12" xfId="0" applyFont="1" applyFill="1" applyBorder="1"/>
    <xf numFmtId="0" fontId="72" fillId="41" borderId="12" xfId="0" applyFont="1" applyFill="1" applyBorder="1"/>
    <xf numFmtId="1" fontId="22" fillId="0" borderId="0" xfId="0" applyNumberFormat="1" applyFont="1"/>
    <xf numFmtId="0" fontId="22" fillId="0" borderId="11" xfId="0" applyFont="1" applyBorder="1"/>
    <xf numFmtId="1" fontId="22" fillId="0" borderId="11" xfId="0" applyNumberFormat="1" applyFont="1" applyBorder="1"/>
    <xf numFmtId="0" fontId="72" fillId="0" borderId="12" xfId="0" applyFont="1" applyBorder="1"/>
    <xf numFmtId="0" fontId="69" fillId="38" borderId="5" xfId="0" applyFont="1" applyFill="1" applyBorder="1"/>
    <xf numFmtId="0" fontId="69" fillId="38" borderId="11" xfId="0" applyFont="1" applyFill="1" applyBorder="1" applyAlignment="1">
      <alignment wrapText="1"/>
    </xf>
    <xf numFmtId="0" fontId="21" fillId="0" borderId="12" xfId="0" applyFont="1" applyBorder="1" applyAlignment="1" applyProtection="1">
      <alignment horizontal="center"/>
      <protection locked="0"/>
    </xf>
    <xf numFmtId="0" fontId="22" fillId="0" borderId="7" xfId="0" applyFont="1" applyBorder="1" applyProtection="1">
      <protection locked="0"/>
    </xf>
    <xf numFmtId="0" fontId="76" fillId="49" borderId="5" xfId="0" applyFont="1" applyFill="1" applyBorder="1" applyAlignment="1" applyProtection="1">
      <alignment wrapText="1"/>
      <protection hidden="1"/>
    </xf>
    <xf numFmtId="0" fontId="22" fillId="23" borderId="11" xfId="0" applyFont="1" applyFill="1" applyBorder="1" applyProtection="1">
      <protection locked="0"/>
    </xf>
    <xf numFmtId="0" fontId="22" fillId="23" borderId="11" xfId="0" applyFont="1" applyFill="1" applyBorder="1" applyAlignment="1" applyProtection="1">
      <alignment wrapText="1"/>
      <protection locked="0"/>
    </xf>
    <xf numFmtId="0" fontId="22" fillId="23" borderId="20" xfId="0" applyFont="1" applyFill="1" applyBorder="1" applyProtection="1">
      <protection locked="0"/>
    </xf>
    <xf numFmtId="0" fontId="22" fillId="23" borderId="22" xfId="0" applyFont="1" applyFill="1" applyBorder="1" applyProtection="1">
      <protection locked="0"/>
    </xf>
    <xf numFmtId="0" fontId="22" fillId="23" borderId="19" xfId="0" applyFont="1" applyFill="1" applyBorder="1" applyProtection="1">
      <protection locked="0"/>
    </xf>
    <xf numFmtId="0" fontId="22" fillId="23" borderId="19" xfId="0" applyFont="1" applyFill="1" applyBorder="1" applyAlignment="1" applyProtection="1">
      <alignment wrapText="1"/>
      <protection locked="0"/>
    </xf>
    <xf numFmtId="9" fontId="22" fillId="27" borderId="6" xfId="3" applyFont="1" applyFill="1" applyBorder="1" applyAlignment="1" applyProtection="1">
      <alignment wrapText="1"/>
      <protection locked="0"/>
    </xf>
    <xf numFmtId="0" fontId="22" fillId="0" borderId="6" xfId="0" applyFont="1" applyBorder="1" applyAlignment="1" applyProtection="1">
      <alignment wrapText="1"/>
      <protection locked="0"/>
    </xf>
    <xf numFmtId="0" fontId="21" fillId="0" borderId="102" xfId="0" applyFont="1" applyBorder="1" applyAlignment="1" applyProtection="1">
      <alignment horizontal="center"/>
      <protection locked="0"/>
    </xf>
    <xf numFmtId="0" fontId="22" fillId="0" borderId="25" xfId="0" applyFont="1" applyBorder="1" applyProtection="1">
      <protection locked="0"/>
    </xf>
    <xf numFmtId="0" fontId="79" fillId="0" borderId="103" xfId="0" applyFont="1" applyBorder="1" applyAlignment="1" applyProtection="1">
      <alignment horizontal="center"/>
      <protection locked="0"/>
    </xf>
    <xf numFmtId="0" fontId="21" fillId="0" borderId="104" xfId="0" applyFont="1" applyBorder="1" applyAlignment="1" applyProtection="1">
      <alignment horizontal="center"/>
      <protection locked="0"/>
    </xf>
    <xf numFmtId="0" fontId="22" fillId="0" borderId="104" xfId="0" applyFont="1" applyBorder="1" applyProtection="1">
      <protection locked="0"/>
    </xf>
    <xf numFmtId="0" fontId="22" fillId="0" borderId="102" xfId="0" applyFont="1" applyBorder="1" applyProtection="1">
      <protection locked="0"/>
    </xf>
    <xf numFmtId="0" fontId="22" fillId="0" borderId="102" xfId="0" applyFont="1" applyBorder="1" applyAlignment="1" applyProtection="1">
      <alignment wrapText="1"/>
      <protection locked="0"/>
    </xf>
    <xf numFmtId="0" fontId="78" fillId="0" borderId="103" xfId="0" applyFont="1" applyBorder="1" applyProtection="1">
      <protection locked="0"/>
    </xf>
    <xf numFmtId="0" fontId="22" fillId="0" borderId="104" xfId="0" applyFont="1" applyBorder="1" applyAlignment="1" applyProtection="1">
      <alignment wrapText="1"/>
      <protection locked="0"/>
    </xf>
    <xf numFmtId="0" fontId="22" fillId="27" borderId="76" xfId="20" applyNumberFormat="1" applyFont="1" applyFill="1" applyBorder="1" applyAlignment="1" applyProtection="1">
      <alignment wrapText="1"/>
      <protection locked="0"/>
    </xf>
    <xf numFmtId="0" fontId="22" fillId="27" borderId="11" xfId="20" applyNumberFormat="1" applyFont="1" applyFill="1" applyBorder="1" applyAlignment="1" applyProtection="1">
      <alignment wrapText="1"/>
      <protection locked="0"/>
    </xf>
    <xf numFmtId="0" fontId="61" fillId="0" borderId="76" xfId="19" applyFont="1" applyBorder="1" applyAlignment="1" applyProtection="1">
      <alignment horizontal="center" wrapText="1"/>
      <protection hidden="1"/>
    </xf>
    <xf numFmtId="0" fontId="76" fillId="15" borderId="47" xfId="0" applyFont="1" applyFill="1" applyBorder="1" applyProtection="1">
      <protection locked="0"/>
    </xf>
    <xf numFmtId="0" fontId="76" fillId="15" borderId="16" xfId="0" applyFont="1" applyFill="1" applyBorder="1" applyAlignment="1" applyProtection="1">
      <alignment wrapText="1"/>
      <protection locked="0"/>
    </xf>
    <xf numFmtId="0" fontId="76" fillId="15" borderId="16" xfId="0" applyFont="1" applyFill="1" applyBorder="1" applyProtection="1">
      <protection locked="0"/>
    </xf>
    <xf numFmtId="0" fontId="76" fillId="15" borderId="15" xfId="0" applyFont="1" applyFill="1" applyBorder="1" applyProtection="1">
      <protection locked="0"/>
    </xf>
    <xf numFmtId="1" fontId="22" fillId="38" borderId="11" xfId="20" applyNumberFormat="1" applyFont="1" applyFill="1" applyBorder="1" applyAlignment="1" applyProtection="1">
      <alignment wrapText="1"/>
      <protection hidden="1"/>
    </xf>
    <xf numFmtId="0" fontId="76" fillId="15" borderId="23" xfId="0" applyFont="1" applyFill="1" applyBorder="1" applyProtection="1">
      <protection locked="0"/>
    </xf>
    <xf numFmtId="0" fontId="76" fillId="15" borderId="105" xfId="0" applyFont="1" applyFill="1" applyBorder="1" applyProtection="1">
      <protection locked="0"/>
    </xf>
    <xf numFmtId="0" fontId="72" fillId="38" borderId="0" xfId="0" applyFont="1" applyFill="1" applyAlignment="1">
      <alignment wrapText="1"/>
    </xf>
    <xf numFmtId="1" fontId="70" fillId="39" borderId="11" xfId="0" applyNumberFormat="1" applyFont="1" applyFill="1" applyBorder="1" applyAlignment="1">
      <alignment wrapText="1"/>
    </xf>
    <xf numFmtId="0" fontId="61" fillId="0" borderId="5" xfId="19" applyFont="1" applyBorder="1" applyAlignment="1" applyProtection="1">
      <alignment horizontal="center" wrapText="1"/>
      <protection hidden="1"/>
    </xf>
    <xf numFmtId="0" fontId="22" fillId="0" borderId="82" xfId="0" applyFont="1" applyBorder="1" applyProtection="1">
      <protection hidden="1"/>
    </xf>
    <xf numFmtId="0" fontId="22" fillId="0" borderId="4" xfId="0" applyFont="1" applyBorder="1" applyProtection="1">
      <protection hidden="1"/>
    </xf>
    <xf numFmtId="0" fontId="22" fillId="0" borderId="66" xfId="0" applyFont="1" applyBorder="1" applyProtection="1">
      <protection hidden="1"/>
    </xf>
    <xf numFmtId="0" fontId="0" fillId="20" borderId="0" xfId="0" applyFill="1"/>
    <xf numFmtId="164" fontId="22" fillId="20" borderId="0" xfId="21" applyFont="1" applyFill="1"/>
    <xf numFmtId="0" fontId="61" fillId="0" borderId="7" xfId="19" applyFont="1" applyBorder="1" applyAlignment="1" applyProtection="1">
      <alignment horizontal="center" wrapText="1"/>
      <protection hidden="1"/>
    </xf>
    <xf numFmtId="0" fontId="43" fillId="0" borderId="0" xfId="13"/>
    <xf numFmtId="2" fontId="5" fillId="0" borderId="11" xfId="19" applyNumberFormat="1" applyBorder="1"/>
    <xf numFmtId="0" fontId="21" fillId="0" borderId="0" xfId="0" applyFont="1"/>
    <xf numFmtId="175" fontId="22" fillId="0" borderId="0" xfId="1" applyNumberFormat="1" applyFont="1" applyFill="1"/>
    <xf numFmtId="164" fontId="61" fillId="20" borderId="0" xfId="21" applyFont="1" applyFill="1" applyAlignment="1">
      <alignment horizontal="center" wrapText="1"/>
    </xf>
    <xf numFmtId="2" fontId="5" fillId="23" borderId="11" xfId="19" applyNumberFormat="1" applyFill="1" applyBorder="1"/>
    <xf numFmtId="0" fontId="5" fillId="23" borderId="11" xfId="19" applyFill="1" applyBorder="1"/>
    <xf numFmtId="180" fontId="22" fillId="51" borderId="17" xfId="19" applyNumberFormat="1" applyFont="1" applyFill="1" applyBorder="1" applyProtection="1">
      <protection hidden="1"/>
    </xf>
    <xf numFmtId="9" fontId="22" fillId="27" borderId="11" xfId="3" applyFont="1" applyFill="1" applyBorder="1" applyAlignment="1" applyProtection="1">
      <alignment wrapText="1"/>
      <protection locked="0"/>
    </xf>
    <xf numFmtId="0" fontId="22" fillId="27" borderId="11" xfId="0" applyFont="1" applyFill="1" applyBorder="1" applyAlignment="1" applyProtection="1">
      <alignment horizontal="left"/>
      <protection locked="0"/>
    </xf>
    <xf numFmtId="0" fontId="65" fillId="40" borderId="0" xfId="0" applyFont="1" applyFill="1" applyAlignment="1" applyProtection="1">
      <alignment horizontal="right"/>
      <protection hidden="1"/>
    </xf>
    <xf numFmtId="0" fontId="61" fillId="0" borderId="20" xfId="19" applyFont="1" applyBorder="1" applyProtection="1">
      <protection hidden="1"/>
    </xf>
    <xf numFmtId="169" fontId="22" fillId="0" borderId="19" xfId="20" applyNumberFormat="1" applyFont="1" applyBorder="1" applyAlignment="1" applyProtection="1">
      <alignment horizontal="right"/>
      <protection hidden="1"/>
    </xf>
    <xf numFmtId="0" fontId="22" fillId="51" borderId="11" xfId="19" applyFont="1" applyFill="1" applyBorder="1" applyProtection="1">
      <protection hidden="1"/>
    </xf>
    <xf numFmtId="0" fontId="61" fillId="0" borderId="27" xfId="19" applyFont="1" applyBorder="1" applyAlignment="1" applyProtection="1">
      <alignment horizontal="center" wrapText="1"/>
      <protection hidden="1"/>
    </xf>
    <xf numFmtId="0" fontId="22" fillId="51" borderId="0" xfId="19" applyFont="1" applyFill="1" applyProtection="1">
      <protection hidden="1"/>
    </xf>
    <xf numFmtId="180" fontId="22" fillId="51" borderId="0" xfId="19" applyNumberFormat="1" applyFont="1" applyFill="1" applyProtection="1">
      <protection hidden="1"/>
    </xf>
    <xf numFmtId="40" fontId="22" fillId="51" borderId="0" xfId="19" applyNumberFormat="1" applyFont="1" applyFill="1" applyProtection="1">
      <protection hidden="1"/>
    </xf>
    <xf numFmtId="0" fontId="22" fillId="51" borderId="6" xfId="0" applyFont="1" applyFill="1" applyBorder="1" applyAlignment="1" applyProtection="1">
      <alignment horizontal="left"/>
      <protection locked="0"/>
    </xf>
    <xf numFmtId="0" fontId="22" fillId="51" borderId="4" xfId="0" applyFont="1" applyFill="1" applyBorder="1" applyAlignment="1" applyProtection="1">
      <alignment horizontal="left"/>
      <protection locked="0"/>
    </xf>
    <xf numFmtId="0" fontId="22" fillId="38" borderId="14" xfId="0" applyFont="1" applyFill="1" applyBorder="1" applyAlignment="1" applyProtection="1">
      <alignment horizontal="right"/>
      <protection hidden="1"/>
    </xf>
    <xf numFmtId="0" fontId="22" fillId="51" borderId="76" xfId="0" applyFont="1" applyFill="1" applyBorder="1" applyAlignment="1" applyProtection="1">
      <alignment horizontal="left"/>
      <protection locked="0"/>
    </xf>
    <xf numFmtId="0" fontId="61" fillId="0" borderId="29" xfId="22" applyFont="1" applyBorder="1" applyAlignment="1" applyProtection="1">
      <alignment horizontal="center" wrapText="1"/>
      <protection hidden="1"/>
    </xf>
    <xf numFmtId="0" fontId="61" fillId="0" borderId="11" xfId="22" applyFont="1" applyBorder="1" applyAlignment="1" applyProtection="1">
      <alignment horizontal="center" wrapText="1"/>
      <protection hidden="1"/>
    </xf>
    <xf numFmtId="0" fontId="61" fillId="0" borderId="27" xfId="22" applyFont="1" applyBorder="1" applyAlignment="1" applyProtection="1">
      <alignment horizontal="center" wrapText="1"/>
      <protection hidden="1"/>
    </xf>
    <xf numFmtId="0" fontId="2" fillId="0" borderId="11" xfId="22" applyBorder="1" applyProtection="1">
      <protection hidden="1"/>
    </xf>
    <xf numFmtId="0" fontId="61" fillId="0" borderId="6" xfId="22" applyFont="1" applyBorder="1" applyAlignment="1" applyProtection="1">
      <alignment horizontal="center" wrapText="1"/>
      <protection hidden="1"/>
    </xf>
    <xf numFmtId="0" fontId="2" fillId="27" borderId="29" xfId="25" applyFill="1" applyBorder="1" applyProtection="1">
      <protection locked="0"/>
    </xf>
    <xf numFmtId="0" fontId="2" fillId="27" borderId="11" xfId="25" applyFill="1" applyBorder="1" applyProtection="1">
      <protection locked="0"/>
    </xf>
    <xf numFmtId="176" fontId="22" fillId="27" borderId="11" xfId="26" applyNumberFormat="1" applyFont="1" applyFill="1" applyBorder="1" applyProtection="1">
      <protection locked="0"/>
    </xf>
    <xf numFmtId="0" fontId="2" fillId="0" borderId="11" xfId="25" applyBorder="1" applyProtection="1">
      <protection hidden="1"/>
    </xf>
    <xf numFmtId="0" fontId="27" fillId="55" borderId="29" xfId="0" applyFont="1" applyFill="1" applyBorder="1"/>
    <xf numFmtId="0" fontId="27" fillId="55" borderId="11" xfId="0" applyFont="1" applyFill="1" applyBorder="1"/>
    <xf numFmtId="0" fontId="27" fillId="0" borderId="11" xfId="0" applyFont="1" applyBorder="1"/>
    <xf numFmtId="0" fontId="58" fillId="55" borderId="11" xfId="0" applyFont="1" applyFill="1" applyBorder="1"/>
    <xf numFmtId="3" fontId="27" fillId="0" borderId="11" xfId="0" applyNumberFormat="1" applyFont="1" applyBorder="1"/>
    <xf numFmtId="9" fontId="27" fillId="0" borderId="6" xfId="0" applyNumberFormat="1" applyFont="1" applyBorder="1"/>
    <xf numFmtId="9" fontId="27" fillId="55" borderId="27" xfId="0" applyNumberFormat="1" applyFont="1" applyFill="1" applyBorder="1"/>
    <xf numFmtId="9" fontId="0" fillId="0" borderId="0" xfId="3" applyFont="1"/>
    <xf numFmtId="0" fontId="16" fillId="0" borderId="11" xfId="0" applyFont="1" applyBorder="1"/>
    <xf numFmtId="9" fontId="0" fillId="0" borderId="11" xfId="3" applyFont="1" applyBorder="1"/>
    <xf numFmtId="9" fontId="16" fillId="0" borderId="11" xfId="3" applyFont="1" applyBorder="1"/>
    <xf numFmtId="0" fontId="71" fillId="38" borderId="26" xfId="0" applyFont="1" applyFill="1" applyBorder="1"/>
    <xf numFmtId="0" fontId="71" fillId="0" borderId="25" xfId="0" applyFont="1" applyBorder="1" applyAlignment="1">
      <alignment wrapText="1"/>
    </xf>
    <xf numFmtId="0" fontId="80" fillId="53" borderId="29" xfId="0" applyFont="1" applyFill="1" applyBorder="1"/>
    <xf numFmtId="0" fontId="22" fillId="13" borderId="27" xfId="0" applyFont="1" applyFill="1" applyBorder="1" applyAlignment="1" applyProtection="1">
      <alignment wrapText="1"/>
      <protection locked="0"/>
    </xf>
    <xf numFmtId="0" fontId="80" fillId="15" borderId="29" xfId="0" applyFont="1" applyFill="1" applyBorder="1"/>
    <xf numFmtId="0" fontId="80" fillId="54" borderId="29" xfId="0" applyFont="1" applyFill="1" applyBorder="1"/>
    <xf numFmtId="0" fontId="80" fillId="18" borderId="29" xfId="0" applyFont="1" applyFill="1" applyBorder="1"/>
    <xf numFmtId="0" fontId="80" fillId="16" borderId="20" xfId="0" applyFont="1" applyFill="1" applyBorder="1"/>
    <xf numFmtId="0" fontId="22" fillId="13" borderId="18" xfId="0" applyFont="1" applyFill="1" applyBorder="1" applyAlignment="1" applyProtection="1">
      <alignment wrapText="1"/>
      <protection locked="0"/>
    </xf>
    <xf numFmtId="175" fontId="22" fillId="0" borderId="18" xfId="21" applyNumberFormat="1" applyFont="1" applyBorder="1" applyAlignment="1" applyProtection="1">
      <alignment horizontal="right"/>
      <protection hidden="1"/>
    </xf>
    <xf numFmtId="175" fontId="33" fillId="0" borderId="27" xfId="21" applyNumberFormat="1" applyFont="1" applyBorder="1" applyAlignment="1" applyProtection="1">
      <alignment horizontal="right"/>
      <protection hidden="1"/>
    </xf>
    <xf numFmtId="15" fontId="61" fillId="0" borderId="0" xfId="19" applyNumberFormat="1" applyFont="1"/>
    <xf numFmtId="180" fontId="22" fillId="51" borderId="11" xfId="19" applyNumberFormat="1" applyFont="1" applyFill="1" applyBorder="1" applyProtection="1">
      <protection hidden="1"/>
    </xf>
    <xf numFmtId="9" fontId="22" fillId="0" borderId="11" xfId="20" applyFont="1" applyBorder="1" applyProtection="1">
      <protection hidden="1"/>
    </xf>
    <xf numFmtId="9" fontId="22" fillId="51" borderId="11" xfId="3" applyFont="1" applyFill="1" applyBorder="1" applyProtection="1">
      <protection hidden="1"/>
    </xf>
    <xf numFmtId="40" fontId="22" fillId="51" borderId="11" xfId="19" applyNumberFormat="1" applyFont="1" applyFill="1" applyBorder="1" applyProtection="1">
      <protection hidden="1"/>
    </xf>
    <xf numFmtId="0" fontId="22" fillId="27" borderId="27" xfId="20" applyNumberFormat="1" applyFont="1" applyFill="1" applyBorder="1" applyAlignment="1" applyProtection="1">
      <alignment wrapText="1"/>
      <protection locked="0"/>
    </xf>
    <xf numFmtId="9" fontId="22" fillId="0" borderId="19" xfId="20" applyFont="1" applyBorder="1" applyProtection="1">
      <protection hidden="1"/>
    </xf>
    <xf numFmtId="9" fontId="22" fillId="51" borderId="19" xfId="3" applyFont="1" applyFill="1" applyBorder="1" applyProtection="1">
      <protection hidden="1"/>
    </xf>
    <xf numFmtId="0" fontId="75" fillId="0" borderId="0" xfId="0" applyFont="1" applyAlignment="1" applyProtection="1">
      <alignment horizontal="center"/>
      <protection hidden="1"/>
    </xf>
    <xf numFmtId="0" fontId="22" fillId="0" borderId="0" xfId="0" applyFont="1" applyAlignment="1" applyProtection="1">
      <alignment horizontal="center"/>
      <protection hidden="1"/>
    </xf>
    <xf numFmtId="0" fontId="22" fillId="0" borderId="0" xfId="0" applyFont="1" applyAlignment="1" applyProtection="1">
      <alignment horizontal="left"/>
      <protection locked="0"/>
    </xf>
    <xf numFmtId="0" fontId="22" fillId="0" borderId="0" xfId="0" applyFont="1" applyAlignment="1" applyProtection="1">
      <alignment horizontal="left"/>
      <protection hidden="1"/>
    </xf>
    <xf numFmtId="0" fontId="22" fillId="38" borderId="11" xfId="0" applyFont="1" applyFill="1" applyBorder="1" applyAlignment="1" applyProtection="1">
      <alignment horizontal="right"/>
      <protection hidden="1"/>
    </xf>
    <xf numFmtId="2" fontId="22" fillId="0" borderId="11" xfId="3" applyNumberFormat="1" applyFont="1" applyFill="1" applyBorder="1" applyAlignment="1" applyProtection="1">
      <alignment wrapText="1"/>
      <protection hidden="1"/>
    </xf>
    <xf numFmtId="169" fontId="22" fillId="0" borderId="15" xfId="20" applyNumberFormat="1" applyFont="1" applyBorder="1" applyAlignment="1" applyProtection="1">
      <alignment horizontal="right"/>
      <protection hidden="1"/>
    </xf>
    <xf numFmtId="169" fontId="22" fillId="0" borderId="18" xfId="20" applyNumberFormat="1" applyFont="1" applyBorder="1" applyAlignment="1" applyProtection="1">
      <alignment horizontal="right"/>
      <protection hidden="1"/>
    </xf>
    <xf numFmtId="1" fontId="76" fillId="38" borderId="11" xfId="0" applyNumberFormat="1" applyFont="1" applyFill="1" applyBorder="1" applyProtection="1">
      <protection locked="0"/>
    </xf>
    <xf numFmtId="0" fontId="21" fillId="0" borderId="11" xfId="19" applyFont="1" applyBorder="1" applyAlignment="1" applyProtection="1">
      <alignment horizontal="center" wrapText="1"/>
      <protection hidden="1"/>
    </xf>
    <xf numFmtId="175" fontId="22" fillId="0" borderId="6" xfId="21" applyNumberFormat="1" applyFont="1" applyFill="1" applyBorder="1" applyProtection="1">
      <protection hidden="1"/>
    </xf>
    <xf numFmtId="175" fontId="22" fillId="0" borderId="6" xfId="19" applyNumberFormat="1" applyFont="1" applyBorder="1" applyProtection="1">
      <protection hidden="1"/>
    </xf>
    <xf numFmtId="0" fontId="22" fillId="51" borderId="6" xfId="19" applyFont="1" applyFill="1" applyBorder="1" applyProtection="1">
      <protection hidden="1"/>
    </xf>
    <xf numFmtId="40" fontId="22" fillId="0" borderId="5" xfId="1" applyFont="1" applyBorder="1" applyProtection="1">
      <protection hidden="1"/>
    </xf>
    <xf numFmtId="40" fontId="22" fillId="27" borderId="5" xfId="1" applyFont="1" applyFill="1" applyBorder="1" applyProtection="1">
      <protection locked="0"/>
    </xf>
    <xf numFmtId="40" fontId="22" fillId="0" borderId="22" xfId="1" applyFont="1" applyBorder="1" applyProtection="1">
      <protection hidden="1"/>
    </xf>
    <xf numFmtId="2" fontId="22" fillId="0" borderId="14" xfId="21" applyNumberFormat="1" applyFont="1" applyBorder="1" applyProtection="1">
      <protection hidden="1"/>
    </xf>
    <xf numFmtId="176" fontId="22" fillId="27" borderId="14" xfId="21" applyNumberFormat="1" applyFont="1" applyFill="1" applyBorder="1" applyProtection="1">
      <protection locked="0"/>
    </xf>
    <xf numFmtId="0" fontId="22" fillId="51" borderId="84" xfId="19" applyFont="1" applyFill="1" applyBorder="1" applyProtection="1">
      <protection hidden="1"/>
    </xf>
    <xf numFmtId="0" fontId="22" fillId="51" borderId="2" xfId="19" applyFont="1" applyFill="1" applyBorder="1" applyProtection="1">
      <protection hidden="1"/>
    </xf>
    <xf numFmtId="0" fontId="22" fillId="51" borderId="83" xfId="19" applyFont="1" applyFill="1" applyBorder="1" applyProtection="1">
      <protection hidden="1"/>
    </xf>
    <xf numFmtId="9" fontId="22" fillId="0" borderId="14" xfId="3" applyFont="1" applyBorder="1" applyProtection="1">
      <protection hidden="1"/>
    </xf>
    <xf numFmtId="9" fontId="22" fillId="27" borderId="14" xfId="3" applyFont="1" applyFill="1" applyBorder="1" applyAlignment="1" applyProtection="1">
      <alignment wrapText="1"/>
      <protection locked="0"/>
    </xf>
    <xf numFmtId="0" fontId="22" fillId="27" borderId="14" xfId="20" applyNumberFormat="1" applyFont="1" applyFill="1" applyBorder="1" applyAlignment="1" applyProtection="1">
      <alignment wrapText="1"/>
      <protection locked="0"/>
    </xf>
    <xf numFmtId="1" fontId="22" fillId="38" borderId="14" xfId="20" applyNumberFormat="1" applyFont="1" applyFill="1" applyBorder="1" applyAlignment="1" applyProtection="1">
      <alignment wrapText="1"/>
      <protection hidden="1"/>
    </xf>
    <xf numFmtId="0" fontId="22" fillId="27" borderId="80" xfId="20" applyNumberFormat="1" applyFont="1" applyFill="1" applyBorder="1" applyAlignment="1" applyProtection="1">
      <alignment wrapText="1"/>
      <protection locked="0"/>
    </xf>
    <xf numFmtId="9" fontId="22" fillId="51" borderId="0" xfId="20" applyFont="1" applyFill="1" applyBorder="1" applyProtection="1">
      <protection hidden="1"/>
    </xf>
    <xf numFmtId="0" fontId="22" fillId="51" borderId="105" xfId="19" applyFont="1" applyFill="1" applyBorder="1" applyProtection="1">
      <protection hidden="1"/>
    </xf>
    <xf numFmtId="9" fontId="22" fillId="51" borderId="72" xfId="20" applyFont="1" applyFill="1" applyBorder="1" applyProtection="1">
      <protection hidden="1"/>
    </xf>
    <xf numFmtId="0" fontId="22" fillId="51" borderId="14" xfId="19" applyFont="1" applyFill="1" applyBorder="1" applyProtection="1">
      <protection hidden="1"/>
    </xf>
    <xf numFmtId="180" fontId="22" fillId="51" borderId="14" xfId="19" applyNumberFormat="1" applyFont="1" applyFill="1" applyBorder="1" applyProtection="1">
      <protection hidden="1"/>
    </xf>
    <xf numFmtId="180" fontId="22" fillId="51" borderId="72" xfId="19" applyNumberFormat="1" applyFont="1" applyFill="1" applyBorder="1" applyProtection="1">
      <protection hidden="1"/>
    </xf>
    <xf numFmtId="9" fontId="0" fillId="0" borderId="11" xfId="3" applyFont="1" applyFill="1" applyBorder="1"/>
    <xf numFmtId="0" fontId="82" fillId="0" borderId="0" xfId="0" applyFont="1" applyAlignment="1">
      <alignment horizontal="left" vertical="center" wrapText="1"/>
    </xf>
    <xf numFmtId="0" fontId="83" fillId="0" borderId="0" xfId="0" applyFont="1" applyAlignment="1">
      <alignment vertical="center" wrapText="1" readingOrder="1"/>
    </xf>
    <xf numFmtId="0" fontId="35" fillId="0" borderId="0" xfId="0" applyFont="1" applyAlignment="1">
      <alignment horizontal="left" vertical="center" wrapText="1" indent="1" readingOrder="1"/>
    </xf>
    <xf numFmtId="0" fontId="83" fillId="0" borderId="0" xfId="0" applyFont="1"/>
    <xf numFmtId="0" fontId="35" fillId="0" borderId="0" xfId="0" applyFont="1" applyAlignment="1">
      <alignment horizontal="left" vertical="center" wrapText="1"/>
    </xf>
    <xf numFmtId="0" fontId="22" fillId="0" borderId="0" xfId="0" applyFont="1" applyAlignment="1">
      <alignment horizontal="left" vertical="center" wrapText="1"/>
    </xf>
    <xf numFmtId="0" fontId="76" fillId="29" borderId="11" xfId="0" applyFont="1" applyFill="1" applyBorder="1" applyProtection="1">
      <protection locked="0"/>
    </xf>
    <xf numFmtId="0" fontId="80" fillId="29" borderId="11" xfId="0" applyFont="1" applyFill="1" applyBorder="1" applyProtection="1">
      <protection locked="0"/>
    </xf>
    <xf numFmtId="0" fontId="80" fillId="29" borderId="10" xfId="0" applyFont="1" applyFill="1" applyBorder="1" applyProtection="1">
      <protection locked="0"/>
    </xf>
    <xf numFmtId="0" fontId="21" fillId="0" borderId="11" xfId="0" applyFont="1" applyBorder="1" applyProtection="1">
      <protection locked="0"/>
    </xf>
    <xf numFmtId="0" fontId="22" fillId="45" borderId="11" xfId="0" applyFont="1" applyFill="1" applyBorder="1" applyProtection="1">
      <protection locked="0"/>
    </xf>
    <xf numFmtId="0" fontId="22" fillId="34" borderId="11" xfId="0" applyFont="1" applyFill="1" applyBorder="1" applyProtection="1">
      <protection locked="0"/>
    </xf>
    <xf numFmtId="0" fontId="21" fillId="9" borderId="11" xfId="0" applyFont="1" applyFill="1" applyBorder="1" applyProtection="1">
      <protection locked="0"/>
    </xf>
    <xf numFmtId="0" fontId="22" fillId="9" borderId="11" xfId="0" applyFont="1" applyFill="1" applyBorder="1" applyProtection="1">
      <protection locked="0"/>
    </xf>
    <xf numFmtId="0" fontId="21" fillId="9" borderId="6" xfId="0" applyFont="1" applyFill="1" applyBorder="1" applyAlignment="1" applyProtection="1">
      <alignment horizontal="center" vertical="center"/>
      <protection locked="0"/>
    </xf>
    <xf numFmtId="0" fontId="21" fillId="9" borderId="4" xfId="0" applyFont="1" applyFill="1" applyBorder="1" applyAlignment="1" applyProtection="1">
      <alignment horizontal="center" vertical="center"/>
      <protection locked="0"/>
    </xf>
    <xf numFmtId="0" fontId="22" fillId="9" borderId="4" xfId="0" applyFont="1" applyFill="1" applyBorder="1" applyAlignment="1" applyProtection="1">
      <alignment horizontal="center" vertical="center"/>
      <protection locked="0"/>
    </xf>
    <xf numFmtId="0" fontId="22" fillId="9" borderId="5" xfId="0" applyFont="1" applyFill="1" applyBorder="1" applyAlignment="1" applyProtection="1">
      <alignment horizontal="center" vertical="center"/>
      <protection locked="0"/>
    </xf>
    <xf numFmtId="0" fontId="21" fillId="0" borderId="11" xfId="0" applyFont="1" applyBorder="1" applyAlignment="1" applyProtection="1">
      <alignment horizontal="center" wrapText="1"/>
      <protection locked="0"/>
    </xf>
    <xf numFmtId="0" fontId="24" fillId="0" borderId="11" xfId="0" applyFont="1" applyBorder="1" applyProtection="1">
      <protection locked="0"/>
    </xf>
    <xf numFmtId="0" fontId="24" fillId="0" borderId="11" xfId="0" applyFont="1" applyBorder="1" applyAlignment="1" applyProtection="1">
      <alignment wrapText="1"/>
      <protection locked="0"/>
    </xf>
    <xf numFmtId="0" fontId="22" fillId="20" borderId="12" xfId="0" applyFont="1" applyFill="1" applyBorder="1" applyProtection="1">
      <protection locked="0"/>
    </xf>
    <xf numFmtId="0" fontId="20" fillId="0" borderId="11" xfId="0" applyFont="1" applyBorder="1"/>
    <xf numFmtId="0" fontId="20" fillId="0" borderId="11" xfId="0" applyFont="1" applyBorder="1" applyAlignment="1">
      <alignment wrapText="1"/>
    </xf>
    <xf numFmtId="0" fontId="19" fillId="0" borderId="11" xfId="0" applyFont="1" applyBorder="1" applyAlignment="1">
      <alignment wrapText="1"/>
    </xf>
    <xf numFmtId="0" fontId="39" fillId="0" borderId="0" xfId="0" applyFont="1"/>
    <xf numFmtId="0" fontId="21" fillId="0" borderId="11" xfId="0" applyFont="1" applyBorder="1"/>
    <xf numFmtId="0" fontId="37" fillId="0" borderId="29" xfId="19" applyFont="1" applyBorder="1" applyProtection="1">
      <protection hidden="1"/>
    </xf>
    <xf numFmtId="0" fontId="85" fillId="0" borderId="11" xfId="19" applyFont="1" applyBorder="1" applyAlignment="1" applyProtection="1">
      <alignment horizontal="center"/>
      <protection hidden="1"/>
    </xf>
    <xf numFmtId="0" fontId="85" fillId="0" borderId="27" xfId="19" applyFont="1" applyBorder="1" applyAlignment="1" applyProtection="1">
      <alignment horizontal="center"/>
      <protection hidden="1"/>
    </xf>
    <xf numFmtId="0" fontId="84" fillId="0" borderId="11" xfId="0" applyFont="1" applyBorder="1"/>
    <xf numFmtId="0" fontId="0" fillId="0" borderId="0" xfId="0" applyAlignment="1">
      <alignment horizontal="left" vertical="center" indent="1"/>
    </xf>
    <xf numFmtId="0" fontId="84" fillId="0" borderId="0" xfId="0" applyFont="1"/>
    <xf numFmtId="0" fontId="84" fillId="0" borderId="0" xfId="0" applyFont="1" applyAlignment="1">
      <alignment wrapText="1"/>
    </xf>
    <xf numFmtId="0" fontId="86" fillId="0" borderId="106" xfId="0" applyFont="1" applyBorder="1" applyAlignment="1">
      <alignment wrapText="1"/>
    </xf>
    <xf numFmtId="0" fontId="86" fillId="0" borderId="0" xfId="0" applyFont="1" applyAlignment="1">
      <alignment wrapText="1"/>
    </xf>
    <xf numFmtId="0" fontId="59" fillId="0" borderId="106" xfId="0" applyFont="1" applyBorder="1" applyAlignment="1">
      <alignment horizontal="center" wrapText="1" readingOrder="1"/>
    </xf>
    <xf numFmtId="0" fontId="27" fillId="36" borderId="107" xfId="0" applyFont="1" applyFill="1" applyBorder="1" applyAlignment="1">
      <alignment horizontal="left" wrapText="1" readingOrder="1"/>
    </xf>
    <xf numFmtId="0" fontId="86" fillId="0" borderId="108" xfId="0" applyFont="1" applyBorder="1" applyAlignment="1">
      <alignment vertical="center" wrapText="1"/>
    </xf>
    <xf numFmtId="0" fontId="27" fillId="36" borderId="103" xfId="0" applyFont="1" applyFill="1" applyBorder="1" applyAlignment="1">
      <alignment horizontal="left" wrapText="1" readingOrder="1"/>
    </xf>
    <xf numFmtId="0" fontId="87" fillId="0" borderId="103" xfId="0" applyFont="1" applyBorder="1" applyAlignment="1">
      <alignment horizontal="right" wrapText="1" readingOrder="1"/>
    </xf>
    <xf numFmtId="6" fontId="88" fillId="0" borderId="103" xfId="0" applyNumberFormat="1" applyFont="1" applyBorder="1" applyAlignment="1">
      <alignment horizontal="right" wrapText="1" readingOrder="1"/>
    </xf>
    <xf numFmtId="0" fontId="27" fillId="0" borderId="107" xfId="0" applyFont="1" applyBorder="1" applyAlignment="1">
      <alignment horizontal="center" wrapText="1" readingOrder="1"/>
    </xf>
    <xf numFmtId="0" fontId="27" fillId="0" borderId="109" xfId="0" applyFont="1" applyBorder="1" applyAlignment="1">
      <alignment horizontal="center" wrapText="1" readingOrder="1"/>
    </xf>
    <xf numFmtId="0" fontId="27" fillId="36" borderId="107" xfId="0" applyFont="1" applyFill="1" applyBorder="1" applyAlignment="1">
      <alignment horizontal="left" vertical="center" wrapText="1" readingOrder="1"/>
    </xf>
    <xf numFmtId="0" fontId="80" fillId="10" borderId="11" xfId="0" applyFont="1" applyFill="1" applyBorder="1" applyAlignment="1">
      <alignment vertical="center"/>
    </xf>
    <xf numFmtId="0" fontId="80" fillId="10" borderId="11" xfId="0" applyFont="1" applyFill="1" applyBorder="1" applyAlignment="1">
      <alignment vertical="center" wrapText="1"/>
    </xf>
    <xf numFmtId="0" fontId="80" fillId="10" borderId="11" xfId="0" applyFont="1" applyFill="1" applyBorder="1" applyAlignment="1">
      <alignment horizontal="center" vertical="center" wrapText="1"/>
    </xf>
    <xf numFmtId="0" fontId="39" fillId="0" borderId="11" xfId="0" applyFont="1" applyBorder="1"/>
    <xf numFmtId="14" fontId="39" fillId="0" borderId="11" xfId="0" applyNumberFormat="1" applyFont="1" applyBorder="1"/>
    <xf numFmtId="1" fontId="39" fillId="0" borderId="11" xfId="0" applyNumberFormat="1" applyFont="1" applyBorder="1"/>
    <xf numFmtId="1" fontId="84" fillId="0" borderId="11" xfId="0" applyNumberFormat="1" applyFont="1" applyBorder="1"/>
    <xf numFmtId="0" fontId="39" fillId="0" borderId="11" xfId="0" applyFont="1" applyBorder="1" applyAlignment="1">
      <alignment horizontal="center" wrapText="1"/>
    </xf>
    <xf numFmtId="40" fontId="87" fillId="0" borderId="103" xfId="0" applyNumberFormat="1" applyFont="1" applyBorder="1" applyAlignment="1">
      <alignment horizontal="right" wrapText="1" readingOrder="1"/>
    </xf>
    <xf numFmtId="0" fontId="22" fillId="0" borderId="11" xfId="0" applyFont="1" applyBorder="1" applyAlignment="1" applyProtection="1">
      <alignment horizontal="center"/>
      <protection locked="0"/>
    </xf>
    <xf numFmtId="0" fontId="61" fillId="0" borderId="11" xfId="19" applyFont="1" applyBorder="1" applyAlignment="1" applyProtection="1">
      <alignment wrapText="1"/>
      <protection hidden="1"/>
    </xf>
    <xf numFmtId="175" fontId="22" fillId="27" borderId="11" xfId="21" applyNumberFormat="1" applyFont="1" applyFill="1" applyBorder="1" applyAlignment="1" applyProtection="1">
      <protection locked="0"/>
    </xf>
    <xf numFmtId="0" fontId="39" fillId="56" borderId="0" xfId="0" applyFont="1" applyFill="1"/>
    <xf numFmtId="0" fontId="39" fillId="20" borderId="0" xfId="0" applyFont="1" applyFill="1"/>
    <xf numFmtId="180" fontId="22" fillId="51" borderId="2" xfId="19" applyNumberFormat="1" applyFont="1" applyFill="1" applyBorder="1" applyProtection="1">
      <protection hidden="1"/>
    </xf>
    <xf numFmtId="0" fontId="22" fillId="0" borderId="5" xfId="0" applyFont="1" applyBorder="1"/>
    <xf numFmtId="0" fontId="22" fillId="23" borderId="5" xfId="0" applyFont="1" applyFill="1" applyBorder="1"/>
    <xf numFmtId="0" fontId="22" fillId="0" borderId="11" xfId="0" applyFont="1" applyBorder="1" applyAlignment="1">
      <alignment wrapText="1"/>
    </xf>
    <xf numFmtId="0" fontId="22" fillId="0" borderId="11" xfId="0" applyFont="1" applyBorder="1" applyProtection="1">
      <protection hidden="1"/>
    </xf>
    <xf numFmtId="49" fontId="58" fillId="9" borderId="27" xfId="0" applyNumberFormat="1" applyFont="1" applyFill="1" applyBorder="1" applyAlignment="1" applyProtection="1">
      <alignment horizontal="left" vertical="center"/>
      <protection locked="0"/>
    </xf>
    <xf numFmtId="0" fontId="58" fillId="57" borderId="11" xfId="0" applyFont="1" applyFill="1" applyBorder="1"/>
    <xf numFmtId="3" fontId="58" fillId="57" borderId="11" xfId="0" applyNumberFormat="1" applyFont="1" applyFill="1" applyBorder="1"/>
    <xf numFmtId="3" fontId="5" fillId="0" borderId="11" xfId="19" applyNumberFormat="1" applyBorder="1"/>
    <xf numFmtId="2" fontId="5" fillId="20" borderId="11" xfId="19" applyNumberFormat="1" applyFill="1" applyBorder="1"/>
    <xf numFmtId="0" fontId="5" fillId="20" borderId="11" xfId="19" applyFill="1" applyBorder="1"/>
    <xf numFmtId="184" fontId="22" fillId="27" borderId="11" xfId="21" applyNumberFormat="1" applyFont="1" applyFill="1" applyBorder="1" applyProtection="1">
      <protection locked="0"/>
    </xf>
    <xf numFmtId="164" fontId="22" fillId="0" borderId="11" xfId="21" applyFont="1" applyFill="1" applyBorder="1" applyProtection="1">
      <protection hidden="1"/>
    </xf>
    <xf numFmtId="0" fontId="89" fillId="43" borderId="0" xfId="0" applyFont="1" applyFill="1" applyAlignment="1">
      <alignment horizontal="left" vertical="center"/>
    </xf>
    <xf numFmtId="0" fontId="89" fillId="0" borderId="0" xfId="0" applyFont="1" applyAlignment="1">
      <alignment horizontal="left" vertical="center"/>
    </xf>
    <xf numFmtId="0" fontId="0" fillId="0" borderId="0" xfId="0" applyAlignment="1">
      <alignment horizontal="center" vertical="center"/>
    </xf>
    <xf numFmtId="0" fontId="90" fillId="27" borderId="29" xfId="19" applyFont="1" applyFill="1" applyBorder="1" applyProtection="1">
      <protection locked="0"/>
    </xf>
    <xf numFmtId="0" fontId="90" fillId="27" borderId="11" xfId="19" applyFont="1" applyFill="1" applyBorder="1" applyProtection="1">
      <protection locked="0"/>
    </xf>
    <xf numFmtId="0" fontId="1" fillId="0" borderId="0" xfId="19" applyFont="1" applyProtection="1">
      <protection hidden="1"/>
    </xf>
    <xf numFmtId="0" fontId="1" fillId="0" borderId="29" xfId="19" applyFont="1" applyBorder="1" applyProtection="1">
      <protection hidden="1"/>
    </xf>
    <xf numFmtId="0" fontId="1" fillId="0" borderId="11" xfId="19" applyFont="1" applyBorder="1" applyProtection="1">
      <protection hidden="1"/>
    </xf>
    <xf numFmtId="175" fontId="1" fillId="0" borderId="0" xfId="19" applyNumberFormat="1" applyFont="1" applyProtection="1">
      <protection hidden="1"/>
    </xf>
    <xf numFmtId="177" fontId="1" fillId="0" borderId="0" xfId="19" applyNumberFormat="1" applyFont="1" applyProtection="1">
      <protection hidden="1"/>
    </xf>
    <xf numFmtId="1" fontId="1" fillId="0" borderId="0" xfId="19" applyNumberFormat="1" applyFont="1" applyProtection="1">
      <protection hidden="1"/>
    </xf>
    <xf numFmtId="0" fontId="1" fillId="27" borderId="29" xfId="19" applyFont="1" applyFill="1" applyBorder="1" applyProtection="1">
      <protection locked="0"/>
    </xf>
    <xf numFmtId="0" fontId="1" fillId="27" borderId="11" xfId="19" applyFont="1" applyFill="1" applyBorder="1" applyProtection="1">
      <protection locked="0"/>
    </xf>
    <xf numFmtId="0" fontId="1" fillId="0" borderId="27" xfId="19" applyFont="1" applyBorder="1" applyProtection="1">
      <protection hidden="1"/>
    </xf>
    <xf numFmtId="0" fontId="1" fillId="51" borderId="18" xfId="19" applyFont="1" applyFill="1" applyBorder="1" applyProtection="1">
      <protection hidden="1"/>
    </xf>
    <xf numFmtId="164" fontId="1" fillId="0" borderId="0" xfId="19" applyNumberFormat="1" applyFont="1" applyProtection="1">
      <protection hidden="1"/>
    </xf>
    <xf numFmtId="175" fontId="1" fillId="27" borderId="11" xfId="23" applyNumberFormat="1" applyFont="1" applyFill="1" applyBorder="1" applyProtection="1">
      <protection locked="0"/>
    </xf>
    <xf numFmtId="164" fontId="1" fillId="0" borderId="11" xfId="23" applyFont="1" applyBorder="1" applyProtection="1">
      <protection hidden="1"/>
    </xf>
    <xf numFmtId="175" fontId="1" fillId="0" borderId="11" xfId="23" applyNumberFormat="1" applyFont="1" applyBorder="1" applyProtection="1">
      <protection hidden="1"/>
    </xf>
    <xf numFmtId="9" fontId="1" fillId="0" borderId="6" xfId="24" applyFont="1" applyBorder="1" applyProtection="1">
      <protection hidden="1"/>
    </xf>
    <xf numFmtId="9" fontId="1" fillId="27" borderId="27" xfId="24" applyFont="1" applyFill="1" applyBorder="1" applyProtection="1">
      <protection locked="0"/>
    </xf>
    <xf numFmtId="175" fontId="1" fillId="27" borderId="11" xfId="26" applyNumberFormat="1" applyFont="1" applyFill="1" applyBorder="1" applyProtection="1">
      <protection locked="0"/>
    </xf>
    <xf numFmtId="164" fontId="1" fillId="0" borderId="11" xfId="26" applyFont="1" applyBorder="1" applyProtection="1">
      <protection hidden="1"/>
    </xf>
    <xf numFmtId="175" fontId="1" fillId="0" borderId="11" xfId="26" applyNumberFormat="1" applyFont="1" applyBorder="1" applyProtection="1">
      <protection hidden="1"/>
    </xf>
    <xf numFmtId="49" fontId="1" fillId="0" borderId="0" xfId="19" applyNumberFormat="1" applyFont="1" applyAlignment="1">
      <alignment horizontal="left"/>
    </xf>
    <xf numFmtId="0" fontId="1" fillId="0" borderId="0" xfId="19" applyFont="1"/>
    <xf numFmtId="49" fontId="1" fillId="0" borderId="0" xfId="19" applyNumberFormat="1" applyFont="1"/>
    <xf numFmtId="175" fontId="1" fillId="0" borderId="2" xfId="19" applyNumberFormat="1" applyFont="1" applyBorder="1" applyProtection="1">
      <protection hidden="1"/>
    </xf>
    <xf numFmtId="0" fontId="1" fillId="51" borderId="30" xfId="19" applyFont="1" applyFill="1" applyBorder="1" applyProtection="1">
      <protection hidden="1"/>
    </xf>
    <xf numFmtId="175" fontId="1" fillId="0" borderId="72" xfId="19" applyNumberFormat="1" applyFont="1" applyBorder="1" applyProtection="1">
      <protection hidden="1"/>
    </xf>
    <xf numFmtId="0" fontId="1" fillId="51" borderId="77" xfId="19" applyFont="1" applyFill="1" applyBorder="1" applyProtection="1">
      <protection hidden="1"/>
    </xf>
    <xf numFmtId="177" fontId="1" fillId="0" borderId="1" xfId="19" applyNumberFormat="1" applyFont="1" applyBorder="1" applyProtection="1">
      <protection hidden="1"/>
    </xf>
    <xf numFmtId="175" fontId="1" fillId="0" borderId="1" xfId="19" applyNumberFormat="1" applyFont="1" applyBorder="1" applyProtection="1">
      <protection hidden="1"/>
    </xf>
    <xf numFmtId="0" fontId="1" fillId="0" borderId="1" xfId="19" applyFont="1" applyBorder="1" applyProtection="1">
      <protection hidden="1"/>
    </xf>
    <xf numFmtId="175" fontId="1" fillId="0" borderId="11" xfId="19" applyNumberFormat="1" applyFont="1" applyBorder="1" applyProtection="1">
      <protection hidden="1"/>
    </xf>
    <xf numFmtId="175" fontId="1" fillId="0" borderId="19" xfId="19" applyNumberFormat="1" applyFont="1" applyBorder="1" applyProtection="1">
      <protection hidden="1"/>
    </xf>
    <xf numFmtId="175" fontId="1" fillId="0" borderId="79" xfId="19" applyNumberFormat="1" applyFont="1" applyBorder="1" applyProtection="1">
      <protection hidden="1"/>
    </xf>
    <xf numFmtId="0" fontId="1" fillId="46" borderId="11" xfId="9" applyFont="1" applyFill="1" applyBorder="1" applyAlignment="1">
      <alignment horizontal="center" vertical="center"/>
    </xf>
    <xf numFmtId="0" fontId="1" fillId="13" borderId="11" xfId="9" applyFont="1" applyFill="1" applyBorder="1" applyAlignment="1">
      <alignment horizontal="center" vertical="center"/>
    </xf>
    <xf numFmtId="0" fontId="1" fillId="43" borderId="11" xfId="9" applyFont="1" applyFill="1" applyBorder="1" applyAlignment="1">
      <alignment horizontal="center" vertical="center"/>
    </xf>
    <xf numFmtId="0" fontId="1" fillId="42" borderId="11" xfId="9" applyFont="1" applyFill="1" applyBorder="1" applyAlignment="1">
      <alignment horizontal="center" vertical="center"/>
    </xf>
    <xf numFmtId="0" fontId="1" fillId="46" borderId="11" xfId="9" applyFont="1" applyFill="1" applyBorder="1" applyAlignment="1">
      <alignment horizontal="center" vertical="center" textRotation="90"/>
    </xf>
    <xf numFmtId="0" fontId="1" fillId="47" borderId="11" xfId="9" applyFont="1" applyFill="1" applyBorder="1" applyAlignment="1">
      <alignment horizontal="center" vertical="center" textRotation="90"/>
    </xf>
    <xf numFmtId="0" fontId="1" fillId="13" borderId="11" xfId="9" applyFont="1" applyFill="1" applyBorder="1" applyAlignment="1">
      <alignment horizontal="center" vertical="center" textRotation="90"/>
    </xf>
    <xf numFmtId="0" fontId="1" fillId="45" borderId="11" xfId="9" applyFont="1" applyFill="1" applyBorder="1" applyAlignment="1">
      <alignment horizontal="center" vertical="center" textRotation="90"/>
    </xf>
    <xf numFmtId="0" fontId="1" fillId="43" borderId="11" xfId="9" applyFont="1" applyFill="1" applyBorder="1" applyAlignment="1">
      <alignment horizontal="center" vertical="center" textRotation="90"/>
    </xf>
    <xf numFmtId="0" fontId="1" fillId="44" borderId="11" xfId="9" applyFont="1" applyFill="1" applyBorder="1" applyAlignment="1">
      <alignment horizontal="center" vertical="center" textRotation="90"/>
    </xf>
    <xf numFmtId="0" fontId="1" fillId="42" borderId="11" xfId="9" applyFont="1" applyFill="1" applyBorder="1" applyAlignment="1">
      <alignment horizontal="center" vertical="center" textRotation="90"/>
    </xf>
    <xf numFmtId="0" fontId="1" fillId="41" borderId="11" xfId="9" applyFont="1" applyFill="1" applyBorder="1" applyAlignment="1">
      <alignment horizontal="center" vertical="center" textRotation="90"/>
    </xf>
    <xf numFmtId="0" fontId="1" fillId="5" borderId="11" xfId="9" applyFont="1" applyFill="1" applyBorder="1" applyAlignment="1">
      <alignment horizontal="center" vertical="center"/>
    </xf>
    <xf numFmtId="0" fontId="1" fillId="47" borderId="11" xfId="9" applyFont="1" applyFill="1" applyBorder="1" applyAlignment="1">
      <alignment horizontal="center" vertical="center"/>
    </xf>
    <xf numFmtId="0" fontId="1" fillId="45" borderId="11" xfId="9" applyFont="1" applyFill="1" applyBorder="1" applyAlignment="1">
      <alignment horizontal="center" vertical="center"/>
    </xf>
    <xf numFmtId="0" fontId="1" fillId="44" borderId="11" xfId="9" applyFont="1" applyFill="1" applyBorder="1" applyAlignment="1">
      <alignment horizontal="center" vertical="center"/>
    </xf>
    <xf numFmtId="0" fontId="1" fillId="41" borderId="11" xfId="9" applyFont="1" applyFill="1" applyBorder="1" applyAlignment="1">
      <alignment horizontal="center" vertical="center"/>
    </xf>
    <xf numFmtId="0" fontId="1" fillId="0" borderId="11" xfId="19" applyFont="1" applyBorder="1"/>
    <xf numFmtId="0" fontId="1" fillId="23" borderId="11" xfId="19" applyFont="1" applyFill="1" applyBorder="1"/>
    <xf numFmtId="0" fontId="1" fillId="20" borderId="11" xfId="19" applyFont="1" applyFill="1" applyBorder="1"/>
    <xf numFmtId="0" fontId="13" fillId="16" borderId="11" xfId="0" applyFont="1" applyFill="1" applyBorder="1" applyAlignment="1">
      <alignment horizontal="center" vertical="top" wrapText="1"/>
    </xf>
    <xf numFmtId="0" fontId="13" fillId="18" borderId="11" xfId="0" applyFont="1" applyFill="1" applyBorder="1" applyAlignment="1">
      <alignment horizontal="center" vertical="top" wrapText="1"/>
    </xf>
    <xf numFmtId="0" fontId="13" fillId="16" borderId="6" xfId="0" applyFont="1" applyFill="1" applyBorder="1" applyAlignment="1">
      <alignment horizontal="center" vertical="top" wrapText="1"/>
    </xf>
    <xf numFmtId="0" fontId="13" fillId="16" borderId="4" xfId="0" applyFont="1" applyFill="1" applyBorder="1" applyAlignment="1">
      <alignment horizontal="center" vertical="top" wrapText="1"/>
    </xf>
    <xf numFmtId="0" fontId="13" fillId="16" borderId="5" xfId="0" applyFont="1" applyFill="1" applyBorder="1" applyAlignment="1">
      <alignment horizontal="center" vertical="top" wrapText="1"/>
    </xf>
    <xf numFmtId="0" fontId="13" fillId="17" borderId="6" xfId="0" applyFont="1" applyFill="1" applyBorder="1" applyAlignment="1">
      <alignment horizontal="center" vertical="top" wrapText="1"/>
    </xf>
    <xf numFmtId="0" fontId="13" fillId="17" borderId="4" xfId="0" applyFont="1" applyFill="1" applyBorder="1" applyAlignment="1">
      <alignment horizontal="center" vertical="top" wrapText="1"/>
    </xf>
    <xf numFmtId="0" fontId="13" fillId="17" borderId="5" xfId="0" applyFont="1" applyFill="1" applyBorder="1" applyAlignment="1">
      <alignment horizontal="center" vertical="top" wrapText="1"/>
    </xf>
    <xf numFmtId="0" fontId="39" fillId="0" borderId="11" xfId="0" applyFont="1" applyBorder="1" applyAlignment="1">
      <alignment horizontal="center" vertical="top" wrapText="1"/>
    </xf>
    <xf numFmtId="0" fontId="12" fillId="10" borderId="0" xfId="0" applyFont="1" applyFill="1" applyAlignment="1">
      <alignment horizontal="center"/>
    </xf>
    <xf numFmtId="0" fontId="0" fillId="0" borderId="0" xfId="0" applyAlignment="1">
      <alignment horizontal="left"/>
    </xf>
    <xf numFmtId="0" fontId="73" fillId="29" borderId="0" xfId="0" applyFont="1" applyFill="1" applyAlignment="1">
      <alignment horizontal="left" vertical="center"/>
    </xf>
    <xf numFmtId="0" fontId="19" fillId="0" borderId="0" xfId="0" applyFont="1" applyAlignment="1">
      <alignment horizontal="left" wrapText="1" indent="2"/>
    </xf>
    <xf numFmtId="0" fontId="19" fillId="0" borderId="0" xfId="0" applyFont="1" applyAlignment="1">
      <alignment horizontal="left" indent="2"/>
    </xf>
    <xf numFmtId="0" fontId="81" fillId="0" borderId="40" xfId="19" applyFont="1" applyBorder="1" applyAlignment="1" applyProtection="1">
      <alignment vertical="top" wrapText="1"/>
      <protection hidden="1"/>
    </xf>
    <xf numFmtId="0" fontId="81" fillId="0" borderId="39" xfId="19" applyFont="1" applyBorder="1" applyAlignment="1" applyProtection="1">
      <alignment vertical="top" wrapText="1"/>
      <protection hidden="1"/>
    </xf>
    <xf numFmtId="0" fontId="81" fillId="0" borderId="38" xfId="19" applyFont="1" applyBorder="1" applyAlignment="1" applyProtection="1">
      <alignment vertical="top" wrapText="1"/>
      <protection hidden="1"/>
    </xf>
    <xf numFmtId="0" fontId="81" fillId="0" borderId="29" xfId="19" applyFont="1" applyBorder="1" applyAlignment="1" applyProtection="1">
      <alignment vertical="top" wrapText="1"/>
      <protection hidden="1"/>
    </xf>
    <xf numFmtId="0" fontId="81" fillId="0" borderId="11" xfId="19" applyFont="1" applyBorder="1" applyAlignment="1" applyProtection="1">
      <alignment vertical="top" wrapText="1"/>
      <protection hidden="1"/>
    </xf>
    <xf numFmtId="0" fontId="81" fillId="0" borderId="27" xfId="19" applyFont="1" applyBorder="1" applyAlignment="1" applyProtection="1">
      <alignment vertical="top" wrapText="1"/>
      <protection hidden="1"/>
    </xf>
    <xf numFmtId="0" fontId="81" fillId="0" borderId="20" xfId="19" applyFont="1" applyBorder="1" applyAlignment="1" applyProtection="1">
      <alignment vertical="top" wrapText="1"/>
      <protection hidden="1"/>
    </xf>
    <xf numFmtId="0" fontId="81" fillId="0" borderId="19" xfId="19" applyFont="1" applyBorder="1" applyAlignment="1" applyProtection="1">
      <alignment vertical="top" wrapText="1"/>
      <protection hidden="1"/>
    </xf>
    <xf numFmtId="0" fontId="81" fillId="0" borderId="18" xfId="19" applyFont="1" applyBorder="1" applyAlignment="1" applyProtection="1">
      <alignment vertical="top" wrapText="1"/>
      <protection hidden="1"/>
    </xf>
    <xf numFmtId="0" fontId="61" fillId="0" borderId="29" xfId="19" applyFont="1" applyBorder="1" applyAlignment="1" applyProtection="1">
      <alignment wrapText="1"/>
      <protection hidden="1"/>
    </xf>
    <xf numFmtId="0" fontId="61" fillId="0" borderId="11" xfId="19" applyFont="1" applyBorder="1" applyAlignment="1" applyProtection="1">
      <alignment wrapText="1"/>
      <protection hidden="1"/>
    </xf>
    <xf numFmtId="0" fontId="75" fillId="10" borderId="29" xfId="19" applyFont="1" applyFill="1" applyBorder="1" applyAlignment="1" applyProtection="1">
      <alignment horizontal="center"/>
      <protection hidden="1"/>
    </xf>
    <xf numFmtId="0" fontId="75" fillId="10" borderId="11" xfId="19" applyFont="1" applyFill="1" applyBorder="1" applyAlignment="1" applyProtection="1">
      <alignment horizontal="center"/>
      <protection hidden="1"/>
    </xf>
    <xf numFmtId="0" fontId="75" fillId="10" borderId="27" xfId="19" applyFont="1" applyFill="1" applyBorder="1" applyAlignment="1" applyProtection="1">
      <alignment horizontal="center"/>
      <protection hidden="1"/>
    </xf>
    <xf numFmtId="0" fontId="1" fillId="27" borderId="11" xfId="19" applyFont="1" applyFill="1" applyBorder="1" applyAlignment="1" applyProtection="1">
      <alignment horizontal="left" wrapText="1"/>
      <protection locked="0"/>
    </xf>
    <xf numFmtId="0" fontId="1" fillId="27" borderId="11" xfId="19" applyFont="1" applyFill="1" applyBorder="1" applyAlignment="1" applyProtection="1">
      <alignment horizontal="left"/>
      <protection locked="0"/>
    </xf>
    <xf numFmtId="0" fontId="1" fillId="27" borderId="27" xfId="19" applyFont="1" applyFill="1" applyBorder="1" applyAlignment="1" applyProtection="1">
      <alignment horizontal="left"/>
      <protection locked="0"/>
    </xf>
    <xf numFmtId="0" fontId="75" fillId="10" borderId="40" xfId="19" applyFont="1" applyFill="1" applyBorder="1" applyAlignment="1" applyProtection="1">
      <alignment horizontal="center"/>
      <protection hidden="1"/>
    </xf>
    <xf numFmtId="0" fontId="75" fillId="10" borderId="39" xfId="19" applyFont="1" applyFill="1" applyBorder="1" applyAlignment="1" applyProtection="1">
      <alignment horizontal="center"/>
      <protection hidden="1"/>
    </xf>
    <xf numFmtId="0" fontId="75" fillId="10" borderId="38" xfId="19" applyFont="1" applyFill="1" applyBorder="1" applyAlignment="1" applyProtection="1">
      <alignment horizontal="center"/>
      <protection hidden="1"/>
    </xf>
    <xf numFmtId="0" fontId="22" fillId="27" borderId="11" xfId="0" applyFont="1" applyFill="1" applyBorder="1" applyAlignment="1" applyProtection="1">
      <alignment horizontal="left"/>
      <protection locked="0"/>
    </xf>
    <xf numFmtId="0" fontId="22" fillId="27" borderId="84" xfId="0" applyFont="1" applyFill="1" applyBorder="1" applyAlignment="1" applyProtection="1">
      <alignment horizontal="left"/>
      <protection locked="0"/>
    </xf>
    <xf numFmtId="0" fontId="22" fillId="27" borderId="80" xfId="0" applyFont="1" applyFill="1" applyBorder="1" applyAlignment="1" applyProtection="1">
      <alignment horizontal="left"/>
      <protection locked="0"/>
    </xf>
    <xf numFmtId="0" fontId="22" fillId="0" borderId="84" xfId="0" applyFont="1" applyBorder="1" applyAlignment="1" applyProtection="1">
      <alignment horizontal="right"/>
      <protection hidden="1"/>
    </xf>
    <xf numFmtId="0" fontId="22" fillId="0" borderId="2" xfId="0" applyFont="1" applyBorder="1" applyAlignment="1" applyProtection="1">
      <alignment horizontal="right"/>
      <protection hidden="1"/>
    </xf>
    <xf numFmtId="0" fontId="22" fillId="0" borderId="3" xfId="0" applyFont="1" applyBorder="1" applyAlignment="1" applyProtection="1">
      <alignment horizontal="right"/>
      <protection hidden="1"/>
    </xf>
    <xf numFmtId="0" fontId="22" fillId="27" borderId="6" xfId="0" applyFont="1" applyFill="1" applyBorder="1" applyAlignment="1" applyProtection="1">
      <alignment horizontal="left"/>
      <protection locked="0"/>
    </xf>
    <xf numFmtId="0" fontId="22" fillId="27" borderId="5" xfId="0" applyFont="1" applyFill="1" applyBorder="1" applyAlignment="1" applyProtection="1">
      <alignment horizontal="left"/>
      <protection locked="0"/>
    </xf>
    <xf numFmtId="0" fontId="22" fillId="27" borderId="19" xfId="0" applyFont="1" applyFill="1" applyBorder="1" applyAlignment="1" applyProtection="1">
      <alignment horizontal="left"/>
      <protection locked="0"/>
    </xf>
    <xf numFmtId="0" fontId="22" fillId="27" borderId="105" xfId="0" applyFont="1" applyFill="1" applyBorder="1" applyAlignment="1" applyProtection="1">
      <alignment horizontal="left"/>
      <protection locked="0"/>
    </xf>
    <xf numFmtId="0" fontId="22" fillId="27" borderId="15" xfId="0" applyFont="1" applyFill="1" applyBorder="1" applyAlignment="1" applyProtection="1">
      <alignment horizontal="left"/>
      <protection locked="0"/>
    </xf>
    <xf numFmtId="0" fontId="22" fillId="0" borderId="11" xfId="0" applyFont="1" applyBorder="1" applyAlignment="1" applyProtection="1">
      <alignment horizontal="right"/>
      <protection hidden="1"/>
    </xf>
    <xf numFmtId="0" fontId="22" fillId="27" borderId="27" xfId="0" applyFont="1" applyFill="1" applyBorder="1" applyAlignment="1" applyProtection="1">
      <alignment horizontal="left"/>
      <protection locked="0"/>
    </xf>
    <xf numFmtId="0" fontId="22" fillId="51" borderId="11" xfId="0" applyFont="1" applyFill="1" applyBorder="1" applyAlignment="1" applyProtection="1">
      <alignment horizontal="left"/>
      <protection hidden="1"/>
    </xf>
    <xf numFmtId="0" fontId="22" fillId="51" borderId="6" xfId="0" applyFont="1" applyFill="1" applyBorder="1" applyAlignment="1" applyProtection="1">
      <alignment horizontal="left"/>
      <protection hidden="1"/>
    </xf>
    <xf numFmtId="0" fontId="22" fillId="51" borderId="27" xfId="0" applyFont="1" applyFill="1" applyBorder="1" applyAlignment="1" applyProtection="1">
      <alignment horizontal="left"/>
      <protection hidden="1"/>
    </xf>
    <xf numFmtId="0" fontId="22" fillId="0" borderId="29" xfId="0" applyFont="1" applyBorder="1" applyAlignment="1" applyProtection="1">
      <alignment wrapText="1"/>
      <protection hidden="1"/>
    </xf>
    <xf numFmtId="0" fontId="22" fillId="0" borderId="11" xfId="0" applyFont="1" applyBorder="1" applyAlignment="1" applyProtection="1">
      <alignment wrapText="1"/>
      <protection hidden="1"/>
    </xf>
    <xf numFmtId="0" fontId="75" fillId="10" borderId="86" xfId="19" applyFont="1" applyFill="1" applyBorder="1" applyAlignment="1" applyProtection="1">
      <alignment horizontal="center"/>
      <protection hidden="1"/>
    </xf>
    <xf numFmtId="0" fontId="75" fillId="10" borderId="14" xfId="19" applyFont="1" applyFill="1" applyBorder="1" applyAlignment="1" applyProtection="1">
      <alignment horizontal="center"/>
      <protection hidden="1"/>
    </xf>
    <xf numFmtId="0" fontId="1" fillId="0" borderId="11" xfId="19" applyFont="1" applyBorder="1" applyAlignment="1" applyProtection="1">
      <alignment horizontal="left"/>
      <protection hidden="1"/>
    </xf>
    <xf numFmtId="0" fontId="1" fillId="0" borderId="27" xfId="19" applyFont="1" applyBorder="1" applyAlignment="1" applyProtection="1">
      <alignment horizontal="left"/>
      <protection hidden="1"/>
    </xf>
    <xf numFmtId="175" fontId="1" fillId="0" borderId="11" xfId="19" applyNumberFormat="1" applyFont="1" applyBorder="1" applyAlignment="1" applyProtection="1">
      <alignment horizontal="center"/>
      <protection hidden="1"/>
    </xf>
    <xf numFmtId="0" fontId="61" fillId="0" borderId="11" xfId="19" applyFont="1" applyBorder="1" applyAlignment="1" applyProtection="1">
      <alignment horizontal="left"/>
      <protection hidden="1"/>
    </xf>
    <xf numFmtId="175" fontId="22" fillId="0" borderId="11" xfId="19" applyNumberFormat="1" applyFont="1" applyBorder="1" applyAlignment="1" applyProtection="1">
      <alignment horizontal="center"/>
      <protection hidden="1"/>
    </xf>
    <xf numFmtId="175" fontId="1" fillId="0" borderId="19" xfId="19" applyNumberFormat="1" applyFont="1" applyBorder="1" applyAlignment="1" applyProtection="1">
      <alignment horizontal="center"/>
      <protection hidden="1"/>
    </xf>
    <xf numFmtId="175" fontId="1" fillId="0" borderId="79" xfId="19" applyNumberFormat="1" applyFont="1" applyBorder="1" applyAlignment="1" applyProtection="1">
      <alignment horizontal="center"/>
      <protection hidden="1"/>
    </xf>
    <xf numFmtId="175" fontId="22" fillId="27" borderId="11" xfId="21" applyNumberFormat="1" applyFont="1" applyFill="1" applyBorder="1" applyAlignment="1" applyProtection="1">
      <alignment horizontal="center"/>
      <protection locked="0"/>
    </xf>
    <xf numFmtId="0" fontId="1" fillId="29" borderId="29" xfId="19" applyFont="1" applyFill="1" applyBorder="1" applyAlignment="1" applyProtection="1">
      <alignment horizontal="center"/>
      <protection hidden="1"/>
    </xf>
    <xf numFmtId="0" fontId="1" fillId="29" borderId="11" xfId="19" applyFont="1" applyFill="1" applyBorder="1" applyAlignment="1" applyProtection="1">
      <alignment horizontal="center"/>
      <protection hidden="1"/>
    </xf>
    <xf numFmtId="0" fontId="1" fillId="29" borderId="27" xfId="19" applyFont="1" applyFill="1" applyBorder="1" applyAlignment="1" applyProtection="1">
      <alignment horizontal="center"/>
      <protection hidden="1"/>
    </xf>
    <xf numFmtId="0" fontId="61" fillId="0" borderId="29" xfId="19" applyFont="1" applyBorder="1" applyAlignment="1" applyProtection="1">
      <alignment horizontal="left"/>
      <protection hidden="1"/>
    </xf>
    <xf numFmtId="0" fontId="61" fillId="0" borderId="20" xfId="19" applyFont="1" applyBorder="1" applyAlignment="1" applyProtection="1">
      <alignment wrapText="1"/>
      <protection hidden="1"/>
    </xf>
    <xf numFmtId="0" fontId="61" fillId="0" borderId="19" xfId="19" applyFont="1" applyBorder="1" applyAlignment="1" applyProtection="1">
      <alignment wrapText="1"/>
      <protection hidden="1"/>
    </xf>
    <xf numFmtId="0" fontId="1" fillId="0" borderId="11" xfId="19" applyFont="1" applyBorder="1" applyAlignment="1" applyProtection="1">
      <alignment horizontal="left"/>
      <protection locked="0"/>
    </xf>
    <xf numFmtId="0" fontId="1" fillId="0" borderId="27" xfId="19" applyFont="1" applyBorder="1" applyAlignment="1" applyProtection="1">
      <alignment horizontal="left"/>
      <protection locked="0"/>
    </xf>
    <xf numFmtId="0" fontId="22" fillId="51" borderId="11" xfId="0" applyFont="1" applyFill="1" applyBorder="1" applyAlignment="1" applyProtection="1">
      <alignment horizontal="center"/>
      <protection hidden="1"/>
    </xf>
    <xf numFmtId="0" fontId="22" fillId="51" borderId="6" xfId="0" applyFont="1" applyFill="1" applyBorder="1" applyAlignment="1" applyProtection="1">
      <alignment horizontal="center"/>
      <protection hidden="1"/>
    </xf>
    <xf numFmtId="0" fontId="22" fillId="51" borderId="27" xfId="0" applyFont="1" applyFill="1" applyBorder="1" applyAlignment="1" applyProtection="1">
      <alignment horizontal="center"/>
      <protection hidden="1"/>
    </xf>
    <xf numFmtId="0" fontId="22" fillId="0" borderId="11" xfId="0" applyFont="1" applyBorder="1" applyAlignment="1" applyProtection="1">
      <alignment horizontal="left" wrapText="1"/>
      <protection hidden="1"/>
    </xf>
    <xf numFmtId="0" fontId="75" fillId="10" borderId="42" xfId="0" applyFont="1" applyFill="1" applyBorder="1" applyAlignment="1" applyProtection="1">
      <alignment horizontal="center"/>
      <protection hidden="1"/>
    </xf>
    <xf numFmtId="0" fontId="75" fillId="10" borderId="82" xfId="0" applyFont="1" applyFill="1" applyBorder="1" applyAlignment="1" applyProtection="1">
      <alignment horizontal="center"/>
      <protection hidden="1"/>
    </xf>
    <xf numFmtId="0" fontId="75" fillId="10" borderId="85" xfId="0" applyFont="1" applyFill="1" applyBorder="1" applyAlignment="1" applyProtection="1">
      <alignment horizontal="center"/>
      <protection hidden="1"/>
    </xf>
    <xf numFmtId="164" fontId="22" fillId="0" borderId="11" xfId="21" applyFont="1" applyFill="1" applyBorder="1" applyAlignment="1" applyProtection="1">
      <protection hidden="1"/>
    </xf>
    <xf numFmtId="0" fontId="1" fillId="27" borderId="19" xfId="19" applyFont="1" applyFill="1" applyBorder="1" applyAlignment="1" applyProtection="1">
      <alignment horizontal="left" wrapText="1"/>
      <protection locked="0"/>
    </xf>
    <xf numFmtId="0" fontId="1" fillId="27" borderId="19" xfId="19" applyFont="1" applyFill="1" applyBorder="1" applyAlignment="1" applyProtection="1">
      <alignment horizontal="left"/>
      <protection locked="0"/>
    </xf>
    <xf numFmtId="0" fontId="1" fillId="27" borderId="18" xfId="19" applyFont="1" applyFill="1" applyBorder="1" applyAlignment="1" applyProtection="1">
      <alignment horizontal="left"/>
      <protection locked="0"/>
    </xf>
    <xf numFmtId="0" fontId="61" fillId="0" borderId="11" xfId="19" applyFont="1" applyBorder="1" applyAlignment="1" applyProtection="1">
      <alignment horizontal="left" wrapText="1"/>
      <protection hidden="1"/>
    </xf>
    <xf numFmtId="0" fontId="61" fillId="0" borderId="11" xfId="19" applyFont="1" applyBorder="1" applyAlignment="1" applyProtection="1">
      <alignment horizontal="center" wrapText="1"/>
      <protection hidden="1"/>
    </xf>
    <xf numFmtId="0" fontId="65" fillId="40" borderId="0" xfId="0" applyFont="1" applyFill="1" applyAlignment="1" applyProtection="1">
      <alignment horizontal="right"/>
      <protection hidden="1"/>
    </xf>
    <xf numFmtId="14" fontId="1" fillId="27" borderId="11" xfId="19" applyNumberFormat="1" applyFont="1" applyFill="1" applyBorder="1" applyAlignment="1" applyProtection="1">
      <alignment horizontal="left"/>
      <protection locked="0"/>
    </xf>
    <xf numFmtId="14" fontId="1" fillId="27" borderId="27" xfId="19" applyNumberFormat="1" applyFont="1" applyFill="1" applyBorder="1" applyAlignment="1" applyProtection="1">
      <alignment horizontal="left"/>
      <protection locked="0"/>
    </xf>
    <xf numFmtId="0" fontId="75" fillId="29" borderId="40" xfId="19" applyFont="1" applyFill="1" applyBorder="1" applyAlignment="1" applyProtection="1">
      <alignment horizontal="center"/>
      <protection hidden="1"/>
    </xf>
    <xf numFmtId="0" fontId="75" fillId="29" borderId="39" xfId="19" applyFont="1" applyFill="1" applyBorder="1" applyAlignment="1" applyProtection="1">
      <alignment horizontal="center"/>
      <protection hidden="1"/>
    </xf>
    <xf numFmtId="0" fontId="75" fillId="29" borderId="38" xfId="19" applyFont="1" applyFill="1" applyBorder="1" applyAlignment="1" applyProtection="1">
      <alignment horizontal="center"/>
      <protection hidden="1"/>
    </xf>
    <xf numFmtId="0" fontId="73" fillId="10" borderId="51" xfId="0" applyFont="1" applyFill="1" applyBorder="1" applyAlignment="1" applyProtection="1">
      <alignment horizontal="center"/>
      <protection hidden="1"/>
    </xf>
    <xf numFmtId="0" fontId="73" fillId="10" borderId="52" xfId="0" applyFont="1" applyFill="1" applyBorder="1" applyAlignment="1" applyProtection="1">
      <alignment horizontal="center"/>
      <protection hidden="1"/>
    </xf>
    <xf numFmtId="0" fontId="73" fillId="10" borderId="53" xfId="0" applyFont="1" applyFill="1" applyBorder="1" applyAlignment="1" applyProtection="1">
      <alignment horizontal="center"/>
      <protection hidden="1"/>
    </xf>
    <xf numFmtId="0" fontId="64" fillId="10" borderId="60" xfId="0" applyFont="1" applyFill="1" applyBorder="1" applyAlignment="1" applyProtection="1">
      <alignment horizontal="center"/>
      <protection hidden="1"/>
    </xf>
    <xf numFmtId="0" fontId="64" fillId="10" borderId="72" xfId="0" applyFont="1" applyFill="1" applyBorder="1" applyAlignment="1" applyProtection="1">
      <alignment horizontal="center"/>
      <protection hidden="1"/>
    </xf>
    <xf numFmtId="0" fontId="64" fillId="10" borderId="77" xfId="0" applyFont="1" applyFill="1" applyBorder="1" applyAlignment="1" applyProtection="1">
      <alignment horizontal="center"/>
      <protection hidden="1"/>
    </xf>
    <xf numFmtId="0" fontId="16" fillId="0" borderId="1" xfId="0" applyFont="1" applyBorder="1" applyAlignment="1">
      <alignment horizontal="center"/>
    </xf>
    <xf numFmtId="0" fontId="16" fillId="0" borderId="11" xfId="0" applyFont="1" applyBorder="1" applyAlignment="1">
      <alignment horizontal="center"/>
    </xf>
    <xf numFmtId="0" fontId="20" fillId="0" borderId="11" xfId="0" applyFont="1" applyBorder="1" applyAlignment="1">
      <alignment horizontal="center"/>
    </xf>
    <xf numFmtId="0" fontId="75" fillId="10" borderId="82" xfId="19" applyFont="1" applyFill="1" applyBorder="1" applyAlignment="1" applyProtection="1">
      <alignment horizontal="center"/>
      <protection hidden="1"/>
    </xf>
    <xf numFmtId="0" fontId="75" fillId="10" borderId="85" xfId="19" applyFont="1" applyFill="1" applyBorder="1" applyAlignment="1" applyProtection="1">
      <alignment horizontal="center"/>
      <protection hidden="1"/>
    </xf>
    <xf numFmtId="175" fontId="22" fillId="0" borderId="0" xfId="19" applyNumberFormat="1" applyFont="1" applyAlignment="1" applyProtection="1">
      <alignment horizontal="center"/>
      <protection hidden="1"/>
    </xf>
    <xf numFmtId="0" fontId="75" fillId="10" borderId="51" xfId="0" applyFont="1" applyFill="1" applyBorder="1" applyAlignment="1" applyProtection="1">
      <alignment horizontal="center"/>
      <protection hidden="1"/>
    </xf>
    <xf numFmtId="0" fontId="75" fillId="10" borderId="52" xfId="0" applyFont="1" applyFill="1" applyBorder="1" applyAlignment="1" applyProtection="1">
      <alignment horizontal="center"/>
      <protection hidden="1"/>
    </xf>
    <xf numFmtId="0" fontId="75" fillId="10" borderId="53" xfId="0" applyFont="1" applyFill="1" applyBorder="1" applyAlignment="1" applyProtection="1">
      <alignment horizontal="center"/>
      <protection hidden="1"/>
    </xf>
    <xf numFmtId="0" fontId="75" fillId="10" borderId="74" xfId="19" applyFont="1" applyFill="1" applyBorder="1" applyAlignment="1" applyProtection="1">
      <alignment horizontal="center"/>
      <protection hidden="1"/>
    </xf>
    <xf numFmtId="0" fontId="75" fillId="10" borderId="0" xfId="19" applyFont="1" applyFill="1" applyAlignment="1" applyProtection="1">
      <alignment horizontal="center"/>
      <protection hidden="1"/>
    </xf>
    <xf numFmtId="0" fontId="75" fillId="10" borderId="30" xfId="19" applyFont="1" applyFill="1" applyBorder="1" applyAlignment="1" applyProtection="1">
      <alignment horizontal="center"/>
      <protection hidden="1"/>
    </xf>
    <xf numFmtId="0" fontId="75" fillId="10" borderId="42" xfId="19" applyFont="1" applyFill="1" applyBorder="1" applyAlignment="1" applyProtection="1">
      <alignment horizontal="center"/>
      <protection hidden="1"/>
    </xf>
    <xf numFmtId="14" fontId="1" fillId="27" borderId="39" xfId="19" applyNumberFormat="1" applyFont="1" applyFill="1" applyBorder="1" applyAlignment="1" applyProtection="1">
      <alignment horizontal="left"/>
      <protection locked="0"/>
    </xf>
    <xf numFmtId="14" fontId="1" fillId="27" borderId="38" xfId="19" applyNumberFormat="1" applyFont="1" applyFill="1" applyBorder="1" applyAlignment="1" applyProtection="1">
      <alignment horizontal="left"/>
      <protection locked="0"/>
    </xf>
    <xf numFmtId="0" fontId="21" fillId="0" borderId="14" xfId="0" applyFont="1" applyBorder="1" applyAlignment="1" applyProtection="1">
      <alignment horizontal="center" vertical="center"/>
      <protection locked="0"/>
    </xf>
    <xf numFmtId="0" fontId="21" fillId="0" borderId="10" xfId="0" applyFont="1" applyBorder="1" applyAlignment="1" applyProtection="1">
      <alignment horizontal="center" vertical="center"/>
      <protection locked="0"/>
    </xf>
    <xf numFmtId="0" fontId="21" fillId="0" borderId="12" xfId="0" applyFont="1" applyBorder="1" applyAlignment="1" applyProtection="1">
      <alignment horizontal="center" vertical="center"/>
      <protection locked="0"/>
    </xf>
    <xf numFmtId="0" fontId="21" fillId="0" borderId="0" xfId="0" applyFont="1" applyAlignment="1" applyProtection="1">
      <alignment wrapText="1"/>
      <protection locked="0"/>
    </xf>
    <xf numFmtId="0" fontId="58" fillId="38" borderId="20" xfId="0" applyFont="1" applyFill="1" applyBorder="1" applyAlignment="1" applyProtection="1">
      <alignment horizontal="left" vertical="top" wrapText="1"/>
      <protection hidden="1"/>
    </xf>
    <xf numFmtId="0" fontId="58" fillId="38" borderId="19" xfId="0" applyFont="1" applyFill="1" applyBorder="1" applyAlignment="1" applyProtection="1">
      <alignment horizontal="left" vertical="top" wrapText="1"/>
      <protection hidden="1"/>
    </xf>
    <xf numFmtId="14" fontId="58" fillId="13" borderId="19" xfId="0" applyNumberFormat="1" applyFont="1" applyFill="1" applyBorder="1" applyAlignment="1" applyProtection="1">
      <alignment horizontal="left" vertical="top"/>
      <protection locked="0"/>
    </xf>
    <xf numFmtId="14" fontId="58" fillId="13" borderId="18" xfId="0" applyNumberFormat="1" applyFont="1" applyFill="1" applyBorder="1" applyAlignment="1" applyProtection="1">
      <alignment horizontal="left" vertical="top"/>
      <protection locked="0"/>
    </xf>
    <xf numFmtId="0" fontId="58" fillId="38" borderId="51" xfId="0" applyFont="1" applyFill="1" applyBorder="1" applyAlignment="1" applyProtection="1">
      <alignment horizontal="left" vertical="top" wrapText="1"/>
      <protection hidden="1"/>
    </xf>
    <xf numFmtId="0" fontId="58" fillId="38" borderId="52" xfId="0" applyFont="1" applyFill="1" applyBorder="1" applyAlignment="1" applyProtection="1">
      <alignment horizontal="left" vertical="top" wrapText="1"/>
      <protection hidden="1"/>
    </xf>
    <xf numFmtId="0" fontId="58" fillId="51" borderId="84" xfId="0" applyFont="1" applyFill="1" applyBorder="1" applyAlignment="1" applyProtection="1">
      <alignment horizontal="center" vertical="center"/>
      <protection hidden="1"/>
    </xf>
    <xf numFmtId="0" fontId="58" fillId="51" borderId="2" xfId="0" applyFont="1" applyFill="1" applyBorder="1" applyAlignment="1" applyProtection="1">
      <alignment horizontal="center" vertical="center"/>
      <protection hidden="1"/>
    </xf>
    <xf numFmtId="0" fontId="58" fillId="51" borderId="32" xfId="0" applyFont="1" applyFill="1" applyBorder="1" applyAlignment="1" applyProtection="1">
      <alignment horizontal="center" vertical="center"/>
      <protection hidden="1"/>
    </xf>
    <xf numFmtId="0" fontId="58" fillId="38" borderId="47" xfId="0" applyFont="1" applyFill="1" applyBorder="1" applyAlignment="1" applyProtection="1">
      <alignment horizontal="left" vertical="center"/>
      <protection hidden="1"/>
    </xf>
    <xf numFmtId="0" fontId="58" fillId="38" borderId="54" xfId="0" applyFont="1" applyFill="1" applyBorder="1" applyAlignment="1" applyProtection="1">
      <alignment horizontal="left" vertical="center"/>
      <protection hidden="1"/>
    </xf>
    <xf numFmtId="0" fontId="58" fillId="38" borderId="35" xfId="0" applyFont="1" applyFill="1" applyBorder="1" applyAlignment="1" applyProtection="1">
      <alignment horizontal="center" vertical="center"/>
      <protection hidden="1"/>
    </xf>
    <xf numFmtId="0" fontId="67" fillId="29" borderId="51" xfId="0" applyFont="1" applyFill="1" applyBorder="1" applyAlignment="1" applyProtection="1">
      <alignment horizontal="left" vertical="center"/>
      <protection hidden="1"/>
    </xf>
    <xf numFmtId="0" fontId="67" fillId="29" borderId="52" xfId="0" applyFont="1" applyFill="1" applyBorder="1" applyAlignment="1" applyProtection="1">
      <alignment horizontal="left" vertical="center"/>
      <protection hidden="1"/>
    </xf>
    <xf numFmtId="0" fontId="67" fillId="29" borderId="53" xfId="0" applyFont="1" applyFill="1" applyBorder="1" applyAlignment="1" applyProtection="1">
      <alignment horizontal="left" vertical="center"/>
      <protection hidden="1"/>
    </xf>
    <xf numFmtId="0" fontId="58" fillId="38" borderId="11" xfId="0" applyFont="1" applyFill="1" applyBorder="1" applyAlignment="1" applyProtection="1">
      <alignment horizontal="left" vertical="center"/>
      <protection hidden="1"/>
    </xf>
    <xf numFmtId="0" fontId="58" fillId="38" borderId="11" xfId="0" applyFont="1" applyFill="1" applyBorder="1" applyAlignment="1" applyProtection="1">
      <alignment horizontal="left" vertical="center" wrapText="1"/>
      <protection hidden="1"/>
    </xf>
    <xf numFmtId="0" fontId="58" fillId="38" borderId="29" xfId="0" applyFont="1" applyFill="1" applyBorder="1" applyAlignment="1" applyProtection="1">
      <alignment horizontal="left" vertical="top"/>
      <protection hidden="1"/>
    </xf>
    <xf numFmtId="0" fontId="58" fillId="38" borderId="11" xfId="0" applyFont="1" applyFill="1" applyBorder="1" applyAlignment="1" applyProtection="1">
      <alignment horizontal="left" vertical="top"/>
      <protection hidden="1"/>
    </xf>
    <xf numFmtId="0" fontId="58" fillId="13" borderId="11" xfId="0" applyFont="1" applyFill="1" applyBorder="1" applyAlignment="1" applyProtection="1">
      <alignment horizontal="left" vertical="top"/>
      <protection locked="0"/>
    </xf>
    <xf numFmtId="0" fontId="58" fillId="13" borderId="27" xfId="0" applyFont="1" applyFill="1" applyBorder="1" applyAlignment="1" applyProtection="1">
      <alignment horizontal="left" vertical="top"/>
      <protection locked="0"/>
    </xf>
    <xf numFmtId="1" fontId="58" fillId="38" borderId="11" xfId="0" applyNumberFormat="1" applyFont="1" applyFill="1" applyBorder="1" applyAlignment="1" applyProtection="1">
      <alignment horizontal="left" vertical="top"/>
      <protection hidden="1"/>
    </xf>
    <xf numFmtId="0" fontId="43" fillId="13" borderId="11" xfId="13" applyNumberFormat="1" applyFill="1" applyBorder="1" applyAlignment="1" applyProtection="1">
      <alignment horizontal="left" vertical="top"/>
      <protection locked="0"/>
    </xf>
    <xf numFmtId="0" fontId="22" fillId="13" borderId="11" xfId="0" applyFont="1" applyFill="1" applyBorder="1" applyAlignment="1" applyProtection="1">
      <alignment horizontal="left" vertical="top"/>
      <protection locked="0"/>
    </xf>
    <xf numFmtId="0" fontId="22" fillId="13" borderId="27" xfId="0" applyFont="1" applyFill="1" applyBorder="1" applyAlignment="1" applyProtection="1">
      <alignment horizontal="left" vertical="top"/>
      <protection locked="0"/>
    </xf>
    <xf numFmtId="0" fontId="58" fillId="38" borderId="29" xfId="0" applyFont="1" applyFill="1" applyBorder="1" applyAlignment="1" applyProtection="1">
      <alignment horizontal="left" vertical="center"/>
      <protection hidden="1"/>
    </xf>
    <xf numFmtId="0" fontId="58" fillId="51" borderId="58" xfId="0" applyFont="1" applyFill="1" applyBorder="1" applyAlignment="1" applyProtection="1">
      <alignment horizontal="center" vertical="center"/>
      <protection hidden="1"/>
    </xf>
    <xf numFmtId="0" fontId="58" fillId="51" borderId="66" xfId="0" applyFont="1" applyFill="1" applyBorder="1" applyAlignment="1" applyProtection="1">
      <alignment horizontal="center" vertical="center"/>
      <protection hidden="1"/>
    </xf>
    <xf numFmtId="0" fontId="58" fillId="51" borderId="21" xfId="0" applyFont="1" applyFill="1" applyBorder="1" applyAlignment="1" applyProtection="1">
      <alignment horizontal="center" vertical="center"/>
      <protection hidden="1"/>
    </xf>
    <xf numFmtId="0" fontId="58" fillId="9" borderId="11" xfId="0" applyFont="1" applyFill="1" applyBorder="1" applyAlignment="1" applyProtection="1">
      <alignment horizontal="left" vertical="center" wrapText="1"/>
      <protection hidden="1"/>
    </xf>
    <xf numFmtId="0" fontId="68" fillId="51" borderId="57" xfId="0" applyFont="1" applyFill="1" applyBorder="1" applyAlignment="1" applyProtection="1">
      <alignment horizontal="center" vertical="top"/>
      <protection hidden="1"/>
    </xf>
    <xf numFmtId="0" fontId="68" fillId="51" borderId="4" xfId="0" applyFont="1" applyFill="1" applyBorder="1" applyAlignment="1" applyProtection="1">
      <alignment horizontal="center" vertical="top"/>
      <protection hidden="1"/>
    </xf>
    <xf numFmtId="0" fontId="68" fillId="51" borderId="76" xfId="0" applyFont="1" applyFill="1" applyBorder="1" applyAlignment="1" applyProtection="1">
      <alignment horizontal="center" vertical="top"/>
      <protection hidden="1"/>
    </xf>
    <xf numFmtId="0" fontId="58" fillId="51" borderId="57" xfId="0" applyFont="1" applyFill="1" applyBorder="1" applyAlignment="1" applyProtection="1">
      <alignment horizontal="center" vertical="center"/>
      <protection hidden="1"/>
    </xf>
    <xf numFmtId="0" fontId="58" fillId="51" borderId="4" xfId="0" applyFont="1" applyFill="1" applyBorder="1" applyAlignment="1" applyProtection="1">
      <alignment horizontal="center" vertical="center"/>
      <protection hidden="1"/>
    </xf>
    <xf numFmtId="0" fontId="58" fillId="51" borderId="76" xfId="0" applyFont="1" applyFill="1" applyBorder="1" applyAlignment="1" applyProtection="1">
      <alignment horizontal="center" vertical="center"/>
      <protection hidden="1"/>
    </xf>
    <xf numFmtId="0" fontId="22" fillId="51" borderId="6" xfId="0" applyFont="1" applyFill="1" applyBorder="1" applyAlignment="1" applyProtection="1">
      <alignment horizontal="left"/>
      <protection locked="0"/>
    </xf>
    <xf numFmtId="0" fontId="22" fillId="51" borderId="4" xfId="0" applyFont="1" applyFill="1" applyBorder="1" applyAlignment="1" applyProtection="1">
      <alignment horizontal="left"/>
      <protection locked="0"/>
    </xf>
    <xf numFmtId="0" fontId="22" fillId="51" borderId="76" xfId="0" applyFont="1" applyFill="1" applyBorder="1" applyAlignment="1" applyProtection="1">
      <alignment horizontal="left"/>
      <protection locked="0"/>
    </xf>
    <xf numFmtId="0" fontId="22" fillId="27" borderId="18" xfId="0" applyFont="1" applyFill="1" applyBorder="1" applyAlignment="1" applyProtection="1">
      <alignment horizontal="left"/>
      <protection locked="0"/>
    </xf>
    <xf numFmtId="0" fontId="75" fillId="10" borderId="40" xfId="0" applyFont="1" applyFill="1" applyBorder="1" applyAlignment="1" applyProtection="1">
      <alignment horizontal="center"/>
      <protection hidden="1"/>
    </xf>
    <xf numFmtId="0" fontId="75" fillId="10" borderId="39" xfId="0" applyFont="1" applyFill="1" applyBorder="1" applyAlignment="1" applyProtection="1">
      <alignment horizontal="center"/>
      <protection hidden="1"/>
    </xf>
    <xf numFmtId="0" fontId="75" fillId="10" borderId="38" xfId="0" applyFont="1" applyFill="1" applyBorder="1" applyAlignment="1" applyProtection="1">
      <alignment horizontal="center"/>
      <protection hidden="1"/>
    </xf>
    <xf numFmtId="0" fontId="1" fillId="10" borderId="29" xfId="19" applyFont="1" applyFill="1" applyBorder="1" applyAlignment="1" applyProtection="1">
      <alignment horizontal="center"/>
      <protection hidden="1"/>
    </xf>
    <xf numFmtId="0" fontId="1" fillId="10" borderId="11" xfId="19" applyFont="1" applyFill="1" applyBorder="1" applyAlignment="1" applyProtection="1">
      <alignment horizontal="center"/>
      <protection hidden="1"/>
    </xf>
    <xf numFmtId="0" fontId="1" fillId="10" borderId="27" xfId="19" applyFont="1" applyFill="1" applyBorder="1" applyAlignment="1" applyProtection="1">
      <alignment horizontal="center"/>
      <protection hidden="1"/>
    </xf>
    <xf numFmtId="0" fontId="1" fillId="0" borderId="29" xfId="19" applyFont="1" applyBorder="1" applyAlignment="1" applyProtection="1">
      <alignment wrapText="1"/>
      <protection hidden="1"/>
    </xf>
    <xf numFmtId="0" fontId="1" fillId="0" borderId="11" xfId="19" applyFont="1" applyBorder="1" applyAlignment="1" applyProtection="1">
      <alignment wrapText="1"/>
      <protection hidden="1"/>
    </xf>
    <xf numFmtId="0" fontId="1" fillId="27" borderId="27" xfId="19" applyFont="1" applyFill="1" applyBorder="1" applyAlignment="1" applyProtection="1">
      <alignment horizontal="left" wrapText="1"/>
      <protection locked="0"/>
    </xf>
    <xf numFmtId="0" fontId="1" fillId="27" borderId="18" xfId="19" applyFont="1" applyFill="1" applyBorder="1" applyAlignment="1" applyProtection="1">
      <alignment horizontal="left" wrapText="1"/>
      <protection locked="0"/>
    </xf>
    <xf numFmtId="0" fontId="1" fillId="27" borderId="11" xfId="19" applyFont="1" applyFill="1" applyBorder="1" applyAlignment="1" applyProtection="1">
      <alignment wrapText="1"/>
      <protection locked="0"/>
    </xf>
    <xf numFmtId="14" fontId="1" fillId="0" borderId="11" xfId="19" applyNumberFormat="1" applyFont="1" applyBorder="1" applyAlignment="1" applyProtection="1">
      <alignment horizontal="left"/>
      <protection hidden="1"/>
    </xf>
    <xf numFmtId="14" fontId="1" fillId="0" borderId="27" xfId="19" applyNumberFormat="1" applyFont="1" applyBorder="1" applyAlignment="1" applyProtection="1">
      <alignment horizontal="left"/>
      <protection hidden="1"/>
    </xf>
    <xf numFmtId="0" fontId="22" fillId="13" borderId="6" xfId="0" applyFont="1" applyFill="1" applyBorder="1" applyAlignment="1" applyProtection="1">
      <alignment wrapText="1"/>
      <protection locked="0"/>
    </xf>
    <xf numFmtId="0" fontId="22" fillId="13" borderId="4" xfId="0" applyFont="1" applyFill="1" applyBorder="1" applyAlignment="1" applyProtection="1">
      <alignment wrapText="1"/>
      <protection locked="0"/>
    </xf>
    <xf numFmtId="0" fontId="22" fillId="13" borderId="5" xfId="0" applyFont="1" applyFill="1" applyBorder="1" applyAlignment="1" applyProtection="1">
      <alignment wrapText="1"/>
      <protection locked="0"/>
    </xf>
    <xf numFmtId="0" fontId="22" fillId="0" borderId="6" xfId="0" applyFont="1" applyBorder="1" applyAlignment="1" applyProtection="1">
      <alignment wrapText="1"/>
      <protection locked="0"/>
    </xf>
    <xf numFmtId="0" fontId="22" fillId="0" borderId="4" xfId="0" applyFont="1" applyBorder="1" applyAlignment="1" applyProtection="1">
      <alignment wrapText="1"/>
      <protection locked="0"/>
    </xf>
    <xf numFmtId="0" fontId="22" fillId="0" borderId="5" xfId="0" applyFont="1" applyBorder="1" applyAlignment="1" applyProtection="1">
      <alignment wrapText="1"/>
      <protection locked="0"/>
    </xf>
    <xf numFmtId="0" fontId="22" fillId="0" borderId="6" xfId="0" applyFont="1" applyBorder="1" applyAlignment="1" applyProtection="1">
      <alignment vertical="center" wrapText="1"/>
      <protection locked="0"/>
    </xf>
    <xf numFmtId="0" fontId="22" fillId="0" borderId="4" xfId="0" applyFont="1" applyBorder="1" applyAlignment="1" applyProtection="1">
      <alignment vertical="center" wrapText="1"/>
      <protection locked="0"/>
    </xf>
    <xf numFmtId="0" fontId="22" fillId="0" borderId="5" xfId="0" applyFont="1" applyBorder="1" applyAlignment="1" applyProtection="1">
      <alignment vertical="center" wrapText="1"/>
      <protection locked="0"/>
    </xf>
    <xf numFmtId="0" fontId="75" fillId="49" borderId="100" xfId="0" applyFont="1" applyFill="1" applyBorder="1" applyAlignment="1" applyProtection="1">
      <alignment horizontal="center" vertical="center" textRotation="180" wrapText="1"/>
      <protection locked="0"/>
    </xf>
    <xf numFmtId="0" fontId="75" fillId="49" borderId="67" xfId="0" applyFont="1" applyFill="1" applyBorder="1" applyAlignment="1" applyProtection="1">
      <alignment horizontal="center" vertical="center" textRotation="180" wrapText="1"/>
      <protection locked="0"/>
    </xf>
    <xf numFmtId="0" fontId="75" fillId="49" borderId="64" xfId="0" applyFont="1" applyFill="1" applyBorder="1" applyAlignment="1" applyProtection="1">
      <alignment horizontal="center" vertical="center" textRotation="180" wrapText="1"/>
      <protection locked="0"/>
    </xf>
    <xf numFmtId="0" fontId="75" fillId="33" borderId="29" xfId="0" applyFont="1" applyFill="1" applyBorder="1" applyAlignment="1" applyProtection="1">
      <alignment horizontal="center" vertical="center" textRotation="180" wrapText="1"/>
      <protection locked="0"/>
    </xf>
    <xf numFmtId="0" fontId="75" fillId="34" borderId="110" xfId="0" applyFont="1" applyFill="1" applyBorder="1" applyAlignment="1" applyProtection="1">
      <alignment horizontal="center" vertical="center" textRotation="180" wrapText="1"/>
      <protection locked="0"/>
    </xf>
    <xf numFmtId="0" fontId="75" fillId="34" borderId="67" xfId="0" applyFont="1" applyFill="1" applyBorder="1" applyAlignment="1" applyProtection="1">
      <alignment horizontal="center" vertical="center" textRotation="180" wrapText="1"/>
      <protection locked="0"/>
    </xf>
    <xf numFmtId="0" fontId="75" fillId="34" borderId="67" xfId="0" applyFont="1" applyFill="1" applyBorder="1" applyAlignment="1">
      <alignment horizontal="center" vertical="center" textRotation="180" wrapText="1"/>
    </xf>
    <xf numFmtId="0" fontId="75" fillId="34" borderId="64" xfId="0" applyFont="1" applyFill="1" applyBorder="1" applyAlignment="1">
      <alignment horizontal="center" vertical="center" textRotation="180" wrapText="1"/>
    </xf>
    <xf numFmtId="0" fontId="75" fillId="53" borderId="100" xfId="0" applyFont="1" applyFill="1" applyBorder="1" applyAlignment="1" applyProtection="1">
      <alignment horizontal="center" vertical="center" textRotation="180" wrapText="1"/>
      <protection locked="0"/>
    </xf>
    <xf numFmtId="0" fontId="75" fillId="53" borderId="67" xfId="0" applyFont="1" applyFill="1" applyBorder="1" applyAlignment="1" applyProtection="1">
      <alignment horizontal="center" vertical="center" textRotation="180" wrapText="1"/>
      <protection locked="0"/>
    </xf>
    <xf numFmtId="0" fontId="62" fillId="37" borderId="49" xfId="0" applyFont="1" applyFill="1" applyBorder="1" applyAlignment="1" applyProtection="1">
      <alignment horizontal="center"/>
      <protection locked="0" hidden="1"/>
    </xf>
    <xf numFmtId="0" fontId="62" fillId="37" borderId="56" xfId="0" applyFont="1" applyFill="1" applyBorder="1" applyAlignment="1" applyProtection="1">
      <alignment horizontal="center"/>
      <protection locked="0" hidden="1"/>
    </xf>
    <xf numFmtId="0" fontId="62" fillId="37" borderId="55" xfId="0" applyFont="1" applyFill="1" applyBorder="1" applyAlignment="1" applyProtection="1">
      <alignment horizontal="center"/>
      <protection locked="0" hidden="1"/>
    </xf>
    <xf numFmtId="0" fontId="75" fillId="49" borderId="11" xfId="0" applyFont="1" applyFill="1" applyBorder="1" applyAlignment="1" applyProtection="1">
      <alignment horizontal="center" vertical="center" textRotation="180" wrapText="1"/>
      <protection locked="0"/>
    </xf>
    <xf numFmtId="0" fontId="75" fillId="15" borderId="100" xfId="0" applyFont="1" applyFill="1" applyBorder="1" applyAlignment="1" applyProtection="1">
      <alignment horizontal="center" vertical="center" textRotation="180" wrapText="1"/>
      <protection locked="0"/>
    </xf>
    <xf numFmtId="0" fontId="75" fillId="15" borderId="67" xfId="0" applyFont="1" applyFill="1" applyBorder="1" applyAlignment="1" applyProtection="1">
      <alignment horizontal="center" vertical="center" textRotation="180" wrapText="1"/>
      <protection locked="0"/>
    </xf>
    <xf numFmtId="0" fontId="75" fillId="32" borderId="100" xfId="0" applyFont="1" applyFill="1" applyBorder="1" applyAlignment="1" applyProtection="1">
      <alignment horizontal="center" vertical="center" textRotation="180" wrapText="1"/>
      <protection locked="0"/>
    </xf>
    <xf numFmtId="0" fontId="75" fillId="32" borderId="67" xfId="0" applyFont="1" applyFill="1" applyBorder="1" applyAlignment="1" applyProtection="1">
      <alignment horizontal="center" vertical="center" textRotation="180" wrapText="1"/>
      <protection locked="0"/>
    </xf>
    <xf numFmtId="0" fontId="75" fillId="32" borderId="74" xfId="0" applyFont="1" applyFill="1" applyBorder="1" applyAlignment="1" applyProtection="1">
      <alignment horizontal="center" vertical="center" textRotation="180" wrapText="1"/>
      <protection locked="0"/>
    </xf>
    <xf numFmtId="0" fontId="22" fillId="38" borderId="51" xfId="0" applyFont="1" applyFill="1" applyBorder="1" applyAlignment="1" applyProtection="1">
      <alignment vertical="top"/>
      <protection hidden="1"/>
    </xf>
    <xf numFmtId="0" fontId="22" fillId="38" borderId="36" xfId="0" applyFont="1" applyFill="1" applyBorder="1" applyAlignment="1" applyProtection="1">
      <alignment vertical="top"/>
      <protection hidden="1"/>
    </xf>
    <xf numFmtId="0" fontId="22" fillId="38" borderId="60" xfId="0" applyFont="1" applyFill="1" applyBorder="1" applyAlignment="1" applyProtection="1">
      <alignment vertical="top"/>
      <protection hidden="1"/>
    </xf>
    <xf numFmtId="0" fontId="22" fillId="38" borderId="17" xfId="0" applyFont="1" applyFill="1" applyBorder="1" applyAlignment="1" applyProtection="1">
      <alignment vertical="top"/>
      <protection hidden="1"/>
    </xf>
    <xf numFmtId="0" fontId="75" fillId="10" borderId="6" xfId="0" applyFont="1" applyFill="1" applyBorder="1" applyAlignment="1" applyProtection="1">
      <alignment vertical="center" wrapText="1"/>
      <protection locked="0"/>
    </xf>
    <xf numFmtId="0" fontId="75" fillId="10" borderId="4" xfId="0" applyFont="1" applyFill="1" applyBorder="1" applyAlignment="1" applyProtection="1">
      <alignment vertical="center" wrapText="1"/>
      <protection locked="0"/>
    </xf>
    <xf numFmtId="0" fontId="75" fillId="10" borderId="5" xfId="0" applyFont="1" applyFill="1" applyBorder="1" applyAlignment="1" applyProtection="1">
      <alignment vertical="center" wrapText="1"/>
      <protection locked="0"/>
    </xf>
    <xf numFmtId="0" fontId="21" fillId="37" borderId="11" xfId="0" applyFont="1" applyFill="1" applyBorder="1" applyAlignment="1" applyProtection="1">
      <alignment horizontal="center"/>
      <protection hidden="1"/>
    </xf>
    <xf numFmtId="0" fontId="80" fillId="10" borderId="11" xfId="0" applyFont="1" applyFill="1" applyBorder="1" applyAlignment="1" applyProtection="1">
      <alignment horizontal="center"/>
      <protection hidden="1"/>
    </xf>
    <xf numFmtId="0" fontId="80" fillId="10" borderId="51" xfId="0" applyFont="1" applyFill="1" applyBorder="1" applyAlignment="1" applyProtection="1">
      <alignment horizontal="center"/>
      <protection hidden="1"/>
    </xf>
    <xf numFmtId="0" fontId="80" fillId="10" borderId="52" xfId="0" applyFont="1" applyFill="1" applyBorder="1" applyAlignment="1" applyProtection="1">
      <alignment horizontal="center"/>
      <protection hidden="1"/>
    </xf>
    <xf numFmtId="0" fontId="80" fillId="10" borderId="49" xfId="0" applyFont="1" applyFill="1" applyBorder="1" applyAlignment="1" applyProtection="1">
      <alignment horizontal="center"/>
      <protection hidden="1"/>
    </xf>
    <xf numFmtId="0" fontId="80" fillId="10" borderId="56" xfId="0" applyFont="1" applyFill="1" applyBorder="1" applyAlignment="1" applyProtection="1">
      <alignment horizontal="center"/>
      <protection hidden="1"/>
    </xf>
    <xf numFmtId="0" fontId="80" fillId="10" borderId="55" xfId="0" applyFont="1" applyFill="1" applyBorder="1" applyAlignment="1" applyProtection="1">
      <alignment horizontal="center"/>
      <protection hidden="1"/>
    </xf>
    <xf numFmtId="0" fontId="22" fillId="0" borderId="51" xfId="0" applyFont="1" applyBorder="1" applyAlignment="1">
      <alignment vertical="top" wrapText="1"/>
    </xf>
    <xf numFmtId="0" fontId="22" fillId="0" borderId="52" xfId="0" applyFont="1" applyBorder="1" applyAlignment="1">
      <alignment vertical="top" wrapText="1"/>
    </xf>
    <xf numFmtId="0" fontId="22" fillId="0" borderId="53" xfId="0" applyFont="1" applyBorder="1" applyAlignment="1">
      <alignment vertical="top" wrapText="1"/>
    </xf>
    <xf numFmtId="0" fontId="22" fillId="0" borderId="74" xfId="0" applyFont="1" applyBorder="1" applyAlignment="1">
      <alignment vertical="top" wrapText="1"/>
    </xf>
    <xf numFmtId="0" fontId="22" fillId="0" borderId="0" xfId="0" applyFont="1" applyAlignment="1">
      <alignment vertical="top" wrapText="1"/>
    </xf>
    <xf numFmtId="0" fontId="22" fillId="0" borderId="30" xfId="0" applyFont="1" applyBorder="1" applyAlignment="1">
      <alignment vertical="top" wrapText="1"/>
    </xf>
    <xf numFmtId="0" fontId="22" fillId="0" borderId="60" xfId="0" applyFont="1" applyBorder="1" applyAlignment="1">
      <alignment vertical="top" wrapText="1"/>
    </xf>
    <xf numFmtId="0" fontId="22" fillId="0" borderId="72" xfId="0" applyFont="1" applyBorder="1" applyAlignment="1">
      <alignment vertical="top" wrapText="1"/>
    </xf>
    <xf numFmtId="0" fontId="22" fillId="0" borderId="77" xfId="0" applyFont="1" applyBorder="1" applyAlignment="1">
      <alignment vertical="top" wrapText="1"/>
    </xf>
    <xf numFmtId="0" fontId="80" fillId="10" borderId="83" xfId="0" applyFont="1" applyFill="1" applyBorder="1" applyAlignment="1" applyProtection="1">
      <alignment horizontal="center"/>
      <protection hidden="1"/>
    </xf>
    <xf numFmtId="0" fontId="80" fillId="10" borderId="0" xfId="0" applyFont="1" applyFill="1" applyAlignment="1" applyProtection="1">
      <alignment horizontal="center"/>
      <protection hidden="1"/>
    </xf>
    <xf numFmtId="0" fontId="62" fillId="37" borderId="11" xfId="0" applyFont="1" applyFill="1" applyBorder="1" applyAlignment="1" applyProtection="1">
      <alignment horizontal="center"/>
      <protection hidden="1"/>
    </xf>
    <xf numFmtId="0" fontId="61" fillId="0" borderId="11" xfId="0" applyFont="1" applyBorder="1" applyAlignment="1">
      <alignment horizontal="center"/>
    </xf>
    <xf numFmtId="0" fontId="1" fillId="42" borderId="11" xfId="9" applyFont="1" applyFill="1" applyBorder="1" applyAlignment="1">
      <alignment horizontal="center" vertical="center"/>
    </xf>
    <xf numFmtId="0" fontId="23" fillId="48" borderId="11" xfId="9" applyFont="1" applyFill="1" applyBorder="1" applyAlignment="1">
      <alignment horizontal="center" vertical="center" textRotation="90" wrapText="1"/>
    </xf>
    <xf numFmtId="0" fontId="1" fillId="5" borderId="11" xfId="9" applyFont="1" applyFill="1" applyBorder="1" applyAlignment="1">
      <alignment horizontal="center" vertical="center" textRotation="90"/>
    </xf>
    <xf numFmtId="0" fontId="1" fillId="46" borderId="11" xfId="9" applyFont="1" applyFill="1" applyBorder="1" applyAlignment="1">
      <alignment horizontal="center" vertical="center"/>
    </xf>
    <xf numFmtId="0" fontId="22" fillId="5" borderId="11" xfId="9" applyFont="1" applyFill="1" applyBorder="1" applyAlignment="1">
      <alignment horizontal="center" vertical="center" wrapText="1"/>
    </xf>
    <xf numFmtId="0" fontId="1" fillId="13" borderId="11" xfId="9" applyFont="1" applyFill="1" applyBorder="1" applyAlignment="1">
      <alignment horizontal="center" vertical="center"/>
    </xf>
    <xf numFmtId="0" fontId="1" fillId="43" borderId="11" xfId="9" applyFont="1" applyFill="1" applyBorder="1" applyAlignment="1">
      <alignment horizontal="center" vertical="center"/>
    </xf>
    <xf numFmtId="0" fontId="1" fillId="5" borderId="11" xfId="9" applyFont="1" applyFill="1" applyBorder="1" applyAlignment="1">
      <alignment horizontal="center" vertical="center"/>
    </xf>
    <xf numFmtId="0" fontId="1" fillId="47" borderId="11" xfId="9" applyFont="1" applyFill="1" applyBorder="1" applyAlignment="1">
      <alignment horizontal="center" vertical="center"/>
    </xf>
    <xf numFmtId="0" fontId="1" fillId="41" borderId="11" xfId="9" applyFont="1" applyFill="1" applyBorder="1" applyAlignment="1">
      <alignment horizontal="center" vertical="center"/>
    </xf>
    <xf numFmtId="0" fontId="1" fillId="45" borderId="11" xfId="9" applyFont="1" applyFill="1" applyBorder="1" applyAlignment="1">
      <alignment horizontal="center" vertical="center"/>
    </xf>
    <xf numFmtId="0" fontId="1" fillId="44" borderId="11" xfId="9" applyFont="1" applyFill="1" applyBorder="1" applyAlignment="1">
      <alignment horizontal="center" vertical="center"/>
    </xf>
    <xf numFmtId="0" fontId="16" fillId="11" borderId="87" xfId="0" applyFont="1" applyFill="1" applyBorder="1" applyAlignment="1">
      <alignment horizontal="center" vertical="center"/>
    </xf>
    <xf numFmtId="0" fontId="16" fillId="11" borderId="88" xfId="0" applyFont="1" applyFill="1" applyBorder="1" applyAlignment="1">
      <alignment horizontal="center" vertical="center"/>
    </xf>
    <xf numFmtId="0" fontId="16" fillId="11" borderId="68" xfId="0" applyFont="1" applyFill="1" applyBorder="1" applyAlignment="1">
      <alignment horizontal="center" vertical="center"/>
    </xf>
    <xf numFmtId="0" fontId="14" fillId="14" borderId="47" xfId="0" applyFont="1" applyFill="1" applyBorder="1" applyAlignment="1">
      <alignment horizontal="center" vertical="center" wrapText="1"/>
    </xf>
    <xf numFmtId="0" fontId="14" fillId="14" borderId="54" xfId="0" applyFont="1" applyFill="1" applyBorder="1" applyAlignment="1">
      <alignment horizontal="center" vertical="center" wrapText="1"/>
    </xf>
    <xf numFmtId="0" fontId="14" fillId="14" borderId="48" xfId="0" applyFont="1" applyFill="1" applyBorder="1" applyAlignment="1">
      <alignment horizontal="center" vertical="center" wrapText="1"/>
    </xf>
    <xf numFmtId="0" fontId="16" fillId="11" borderId="40" xfId="0" applyFont="1" applyFill="1" applyBorder="1" applyAlignment="1">
      <alignment horizontal="center" vertical="center"/>
    </xf>
    <xf numFmtId="0" fontId="16" fillId="11" borderId="29" xfId="0" applyFont="1" applyFill="1" applyBorder="1" applyAlignment="1">
      <alignment horizontal="center" vertical="center"/>
    </xf>
    <xf numFmtId="0" fontId="16" fillId="11" borderId="58" xfId="0" applyFont="1" applyFill="1" applyBorder="1" applyAlignment="1">
      <alignment horizontal="center" vertical="center"/>
    </xf>
    <xf numFmtId="0" fontId="16" fillId="11" borderId="40" xfId="0" applyFont="1" applyFill="1" applyBorder="1" applyAlignment="1">
      <alignment horizontal="center" vertical="center" wrapText="1"/>
    </xf>
    <xf numFmtId="0" fontId="16" fillId="11" borderId="29" xfId="0" applyFont="1" applyFill="1" applyBorder="1" applyAlignment="1">
      <alignment horizontal="center" vertical="center" wrapText="1"/>
    </xf>
    <xf numFmtId="0" fontId="16" fillId="11" borderId="58" xfId="0" applyFont="1" applyFill="1" applyBorder="1" applyAlignment="1">
      <alignment horizontal="center" vertical="center" wrapText="1"/>
    </xf>
    <xf numFmtId="0" fontId="16" fillId="11" borderId="51" xfId="0" applyFont="1" applyFill="1" applyBorder="1" applyAlignment="1">
      <alignment horizontal="center" vertical="center"/>
    </xf>
    <xf numFmtId="0" fontId="16" fillId="11" borderId="74" xfId="0" applyFont="1" applyFill="1" applyBorder="1" applyAlignment="1">
      <alignment horizontal="center" vertical="center"/>
    </xf>
    <xf numFmtId="0" fontId="16" fillId="11" borderId="60" xfId="0" applyFont="1" applyFill="1" applyBorder="1" applyAlignment="1">
      <alignment horizontal="center" vertical="center"/>
    </xf>
    <xf numFmtId="0" fontId="56" fillId="29" borderId="11" xfId="0" applyFont="1" applyFill="1" applyBorder="1" applyAlignment="1">
      <alignment horizontal="center"/>
    </xf>
    <xf numFmtId="0" fontId="51" fillId="0" borderId="11" xfId="0" applyFont="1" applyBorder="1" applyAlignment="1">
      <alignment horizontal="center" vertical="top" wrapText="1"/>
    </xf>
    <xf numFmtId="171" fontId="39" fillId="0" borderId="11" xfId="0" applyNumberFormat="1" applyFont="1" applyBorder="1" applyAlignment="1">
      <alignment horizontal="center" vertical="top" wrapText="1"/>
    </xf>
    <xf numFmtId="0" fontId="12" fillId="29" borderId="0" xfId="0" applyFont="1" applyFill="1" applyAlignment="1">
      <alignment horizontal="center"/>
    </xf>
    <xf numFmtId="0" fontId="60" fillId="0" borderId="49" xfId="0" applyFont="1" applyBorder="1" applyAlignment="1">
      <alignment vertical="center" wrapText="1"/>
    </xf>
    <xf numFmtId="0" fontId="60" fillId="0" borderId="55" xfId="0" applyFont="1" applyBorder="1" applyAlignment="1">
      <alignment vertical="center" wrapText="1"/>
    </xf>
    <xf numFmtId="0" fontId="60" fillId="0" borderId="56" xfId="0" applyFont="1" applyBorder="1" applyAlignment="1">
      <alignment vertical="center" wrapText="1"/>
    </xf>
    <xf numFmtId="1" fontId="21" fillId="0" borderId="14" xfId="4" applyNumberFormat="1" applyFont="1" applyBorder="1" applyAlignment="1">
      <alignment horizontal="center" vertical="center" textRotation="90"/>
    </xf>
    <xf numFmtId="1" fontId="21" fillId="0" borderId="10" xfId="4" applyNumberFormat="1" applyFont="1" applyBorder="1" applyAlignment="1">
      <alignment horizontal="center" vertical="center" textRotation="90"/>
    </xf>
    <xf numFmtId="1" fontId="21" fillId="0" borderId="12" xfId="4" applyNumberFormat="1" applyFont="1" applyBorder="1" applyAlignment="1">
      <alignment horizontal="center" vertical="center" textRotation="90"/>
    </xf>
    <xf numFmtId="0" fontId="21" fillId="0" borderId="14" xfId="4" applyFont="1" applyBorder="1" applyAlignment="1">
      <alignment horizontal="center" vertical="center" wrapText="1"/>
    </xf>
    <xf numFmtId="0" fontId="21" fillId="0" borderId="10" xfId="4" applyFont="1" applyBorder="1" applyAlignment="1">
      <alignment horizontal="center" vertical="center" wrapText="1"/>
    </xf>
    <xf numFmtId="0" fontId="21" fillId="0" borderId="12" xfId="4" applyFont="1" applyBorder="1" applyAlignment="1">
      <alignment horizontal="center" vertical="center" wrapText="1"/>
    </xf>
    <xf numFmtId="0" fontId="21" fillId="0" borderId="14" xfId="4" applyFont="1" applyBorder="1" applyAlignment="1">
      <alignment horizontal="center" vertical="center"/>
    </xf>
    <xf numFmtId="0" fontId="21" fillId="0" borderId="10" xfId="4" applyFont="1" applyBorder="1" applyAlignment="1">
      <alignment horizontal="center" vertical="center"/>
    </xf>
    <xf numFmtId="0" fontId="21" fillId="0" borderId="12" xfId="4" applyFont="1" applyBorder="1" applyAlignment="1">
      <alignment horizontal="center" vertical="center"/>
    </xf>
    <xf numFmtId="1" fontId="21" fillId="0" borderId="14" xfId="4" applyNumberFormat="1" applyFont="1" applyBorder="1" applyAlignment="1">
      <alignment horizontal="center" vertical="center" wrapText="1"/>
    </xf>
    <xf numFmtId="1" fontId="21" fillId="0" borderId="10" xfId="4" applyNumberFormat="1" applyFont="1" applyBorder="1" applyAlignment="1">
      <alignment horizontal="center" vertical="center" wrapText="1"/>
    </xf>
    <xf numFmtId="1" fontId="21" fillId="0" borderId="12" xfId="4" applyNumberFormat="1" applyFont="1" applyBorder="1" applyAlignment="1">
      <alignment horizontal="center" vertical="center" wrapText="1"/>
    </xf>
    <xf numFmtId="0" fontId="21" fillId="0" borderId="37" xfId="4" applyFont="1" applyBorder="1" applyAlignment="1">
      <alignment horizontal="center" vertical="center"/>
    </xf>
    <xf numFmtId="0" fontId="21" fillId="0" borderId="28" xfId="4" applyFont="1" applyBorder="1" applyAlignment="1">
      <alignment horizontal="center" vertical="center"/>
    </xf>
    <xf numFmtId="0" fontId="21" fillId="0" borderId="23" xfId="4" applyFont="1" applyBorder="1" applyAlignment="1">
      <alignment horizontal="center" vertical="center"/>
    </xf>
    <xf numFmtId="0" fontId="21" fillId="0" borderId="35" xfId="4" applyFont="1" applyBorder="1" applyAlignment="1">
      <alignment horizontal="center" vertical="center" wrapText="1"/>
    </xf>
    <xf numFmtId="0" fontId="21" fillId="0" borderId="16" xfId="4" applyFont="1" applyBorder="1" applyAlignment="1">
      <alignment horizontal="center" vertical="center" wrapText="1"/>
    </xf>
    <xf numFmtId="0" fontId="21" fillId="0" borderId="34" xfId="4" applyFont="1" applyBorder="1" applyAlignment="1">
      <alignment horizontal="center" vertical="center" wrapText="1"/>
    </xf>
    <xf numFmtId="0" fontId="21" fillId="0" borderId="24" xfId="4" applyFont="1" applyBorder="1" applyAlignment="1">
      <alignment horizontal="center" vertical="center" wrapText="1"/>
    </xf>
    <xf numFmtId="0" fontId="21" fillId="0" borderId="15" xfId="4" applyFont="1" applyBorder="1" applyAlignment="1">
      <alignment horizontal="center" vertical="center" wrapText="1"/>
    </xf>
    <xf numFmtId="0" fontId="21" fillId="0" borderId="35" xfId="4" applyFont="1" applyBorder="1" applyAlignment="1">
      <alignment horizontal="center" vertical="center"/>
    </xf>
    <xf numFmtId="0" fontId="21" fillId="0" borderId="16" xfId="4" applyFont="1" applyBorder="1" applyAlignment="1">
      <alignment horizontal="center" vertical="center"/>
    </xf>
    <xf numFmtId="0" fontId="62" fillId="37" borderId="83" xfId="0" applyFont="1" applyFill="1" applyBorder="1" applyAlignment="1" applyProtection="1">
      <alignment horizontal="center"/>
      <protection hidden="1"/>
    </xf>
    <xf numFmtId="0" fontId="62" fillId="37" borderId="0" xfId="0" applyFont="1" applyFill="1" applyAlignment="1" applyProtection="1">
      <alignment horizontal="center"/>
      <protection hidden="1"/>
    </xf>
    <xf numFmtId="0" fontId="27" fillId="20" borderId="11" xfId="0" applyFont="1" applyFill="1" applyBorder="1" applyAlignment="1">
      <alignment horizontal="center" wrapText="1" readingOrder="1"/>
    </xf>
    <xf numFmtId="0" fontId="27" fillId="20" borderId="11" xfId="0" applyFont="1" applyFill="1" applyBorder="1" applyAlignment="1">
      <alignment horizontal="center" vertical="center" wrapText="1" readingOrder="1"/>
    </xf>
    <xf numFmtId="0" fontId="54" fillId="10" borderId="11" xfId="19" applyFont="1" applyFill="1" applyBorder="1" applyAlignment="1" applyProtection="1">
      <alignment horizontal="center" vertical="center"/>
      <protection hidden="1"/>
    </xf>
    <xf numFmtId="0" fontId="27" fillId="0" borderId="11" xfId="0" applyFont="1" applyBorder="1" applyAlignment="1">
      <alignment horizontal="center" wrapText="1" readingOrder="1"/>
    </xf>
    <xf numFmtId="14" fontId="27" fillId="0" borderId="11" xfId="0" applyNumberFormat="1" applyFont="1" applyBorder="1" applyAlignment="1">
      <alignment horizontal="center" wrapText="1" readingOrder="1"/>
    </xf>
    <xf numFmtId="0" fontId="54" fillId="10" borderId="42" xfId="19" applyFont="1" applyFill="1" applyBorder="1" applyAlignment="1" applyProtection="1">
      <alignment horizontal="center"/>
      <protection hidden="1"/>
    </xf>
    <xf numFmtId="0" fontId="54" fillId="10" borderId="82" xfId="19" applyFont="1" applyFill="1" applyBorder="1" applyAlignment="1" applyProtection="1">
      <alignment horizontal="center"/>
      <protection hidden="1"/>
    </xf>
    <xf numFmtId="0" fontId="54" fillId="10" borderId="85" xfId="19" applyFont="1" applyFill="1" applyBorder="1" applyAlignment="1" applyProtection="1">
      <alignment horizontal="center"/>
      <protection hidden="1"/>
    </xf>
    <xf numFmtId="0" fontId="54" fillId="10" borderId="11" xfId="19" applyFont="1" applyFill="1" applyBorder="1" applyAlignment="1" applyProtection="1">
      <alignment horizontal="center"/>
      <protection hidden="1"/>
    </xf>
    <xf numFmtId="0" fontId="22" fillId="56" borderId="11" xfId="0" applyFont="1" applyFill="1" applyBorder="1" applyAlignment="1">
      <alignment wrapText="1"/>
    </xf>
    <xf numFmtId="0" fontId="54" fillId="10" borderId="11" xfId="0" applyFont="1" applyFill="1" applyBorder="1" applyAlignment="1" applyProtection="1">
      <alignment horizontal="center"/>
      <protection hidden="1"/>
    </xf>
    <xf numFmtId="0" fontId="1" fillId="20" borderId="11" xfId="19" applyFont="1" applyFill="1" applyBorder="1" applyAlignment="1" applyProtection="1">
      <alignment wrapText="1"/>
      <protection hidden="1"/>
    </xf>
    <xf numFmtId="0" fontId="22" fillId="20" borderId="11" xfId="0" applyFont="1" applyFill="1" applyBorder="1" applyAlignment="1">
      <alignment wrapText="1"/>
    </xf>
    <xf numFmtId="0" fontId="61" fillId="0" borderId="11" xfId="19" applyFont="1" applyBorder="1" applyAlignment="1">
      <alignment horizontal="center"/>
    </xf>
    <xf numFmtId="0" fontId="52" fillId="29" borderId="0" xfId="0" applyFont="1" applyFill="1" applyAlignment="1">
      <alignment horizontal="left" vertical="center"/>
    </xf>
    <xf numFmtId="0" fontId="13" fillId="0" borderId="47" xfId="0" applyFont="1" applyBorder="1" applyAlignment="1">
      <alignment horizontal="left" vertical="center"/>
    </xf>
    <xf numFmtId="0" fontId="13" fillId="0" borderId="54" xfId="0" applyFont="1" applyBorder="1" applyAlignment="1">
      <alignment horizontal="left" vertical="center"/>
    </xf>
    <xf numFmtId="6" fontId="13" fillId="0" borderId="61" xfId="2" applyNumberFormat="1" applyFont="1" applyBorder="1" applyAlignment="1" applyProtection="1">
      <alignment horizontal="center" vertical="center"/>
    </xf>
    <xf numFmtId="6" fontId="13" fillId="0" borderId="50" xfId="2" applyNumberFormat="1" applyFont="1" applyBorder="1" applyAlignment="1" applyProtection="1">
      <alignment horizontal="center" vertical="center"/>
    </xf>
    <xf numFmtId="6" fontId="12" fillId="0" borderId="79" xfId="2" applyNumberFormat="1" applyFont="1" applyBorder="1" applyAlignment="1" applyProtection="1">
      <alignment horizontal="center" vertical="center"/>
    </xf>
    <xf numFmtId="6" fontId="12" fillId="0" borderId="22" xfId="2" applyNumberFormat="1" applyFont="1" applyBorder="1" applyAlignment="1" applyProtection="1">
      <alignment horizontal="center" vertical="center"/>
    </xf>
    <xf numFmtId="0" fontId="12" fillId="0" borderId="40" xfId="0" applyFont="1" applyBorder="1" applyAlignment="1">
      <alignment horizontal="left" vertical="center"/>
    </xf>
    <xf numFmtId="0" fontId="12" fillId="0" borderId="39" xfId="0" applyFont="1" applyBorder="1" applyAlignment="1">
      <alignment horizontal="left" vertical="center"/>
    </xf>
    <xf numFmtId="0" fontId="12" fillId="0" borderId="20" xfId="0" applyFont="1" applyBorder="1" applyAlignment="1">
      <alignment horizontal="left" vertical="center" wrapText="1"/>
    </xf>
    <xf numFmtId="0" fontId="12" fillId="0" borderId="19" xfId="0" applyFont="1" applyBorder="1" applyAlignment="1">
      <alignment horizontal="left" vertical="center" wrapText="1"/>
    </xf>
    <xf numFmtId="0" fontId="16" fillId="0" borderId="54" xfId="0" applyFont="1" applyBorder="1" applyAlignment="1">
      <alignment horizontal="center"/>
    </xf>
    <xf numFmtId="6" fontId="12" fillId="0" borderId="73" xfId="2" applyNumberFormat="1" applyFont="1" applyBorder="1" applyAlignment="1" applyProtection="1">
      <alignment horizontal="center" vertical="center"/>
    </xf>
    <xf numFmtId="6" fontId="12" fillId="0" borderId="78" xfId="2" applyNumberFormat="1" applyFont="1" applyBorder="1" applyAlignment="1" applyProtection="1">
      <alignment horizontal="center" vertical="center"/>
    </xf>
    <xf numFmtId="0" fontId="28" fillId="0" borderId="74" xfId="0" applyFont="1" applyBorder="1" applyAlignment="1">
      <alignment horizontal="center"/>
    </xf>
    <xf numFmtId="0" fontId="28" fillId="0" borderId="0" xfId="0" applyFont="1" applyAlignment="1">
      <alignment horizontal="center"/>
    </xf>
    <xf numFmtId="0" fontId="28" fillId="0" borderId="30" xfId="0" applyFont="1" applyBorder="1" applyAlignment="1">
      <alignment horizontal="center"/>
    </xf>
    <xf numFmtId="0" fontId="29" fillId="0" borderId="31" xfId="0" applyFont="1" applyBorder="1" applyAlignment="1">
      <alignment horizontal="center" vertical="center"/>
    </xf>
    <xf numFmtId="0" fontId="29" fillId="0" borderId="1" xfId="0" applyFont="1" applyBorder="1" applyAlignment="1">
      <alignment horizontal="center" vertical="center"/>
    </xf>
    <xf numFmtId="0" fontId="29" fillId="0" borderId="75" xfId="0" applyFont="1" applyBorder="1" applyAlignment="1">
      <alignment horizontal="center" vertical="center"/>
    </xf>
    <xf numFmtId="0" fontId="13" fillId="0" borderId="61" xfId="0" applyFont="1" applyBorder="1" applyAlignment="1">
      <alignment horizontal="right"/>
    </xf>
    <xf numFmtId="0" fontId="13" fillId="0" borderId="56" xfId="0" applyFont="1" applyBorder="1" applyAlignment="1">
      <alignment horizontal="right"/>
    </xf>
    <xf numFmtId="0" fontId="13" fillId="0" borderId="50" xfId="0" applyFont="1" applyBorder="1" applyAlignment="1">
      <alignment horizontal="right"/>
    </xf>
    <xf numFmtId="0" fontId="12" fillId="0" borderId="33" xfId="0" applyFont="1" applyBorder="1" applyAlignment="1">
      <alignment horizontal="center"/>
    </xf>
    <xf numFmtId="0" fontId="12" fillId="0" borderId="2" xfId="0" applyFont="1" applyBorder="1" applyAlignment="1">
      <alignment horizontal="center"/>
    </xf>
    <xf numFmtId="0" fontId="12" fillId="0" borderId="3" xfId="0" applyFont="1" applyBorder="1" applyAlignment="1">
      <alignment horizontal="center"/>
    </xf>
    <xf numFmtId="0" fontId="12" fillId="0" borderId="51" xfId="0" applyFont="1" applyBorder="1" applyAlignment="1">
      <alignment horizontal="center"/>
    </xf>
    <xf numFmtId="0" fontId="12" fillId="0" borderId="52" xfId="0" applyFont="1" applyBorder="1" applyAlignment="1">
      <alignment horizontal="center"/>
    </xf>
    <xf numFmtId="0" fontId="12" fillId="0" borderId="36" xfId="0" applyFont="1" applyBorder="1" applyAlignment="1">
      <alignment horizontal="center"/>
    </xf>
    <xf numFmtId="0" fontId="12" fillId="2" borderId="57" xfId="0" applyFont="1" applyFill="1" applyBorder="1" applyAlignment="1" applyProtection="1">
      <alignment horizontal="center"/>
      <protection locked="0"/>
    </xf>
    <xf numFmtId="0" fontId="12" fillId="2" borderId="4" xfId="0" applyFont="1" applyFill="1" applyBorder="1" applyAlignment="1" applyProtection="1">
      <alignment horizontal="center"/>
      <protection locked="0"/>
    </xf>
    <xf numFmtId="0" fontId="12" fillId="2" borderId="5" xfId="0" applyFont="1" applyFill="1" applyBorder="1" applyAlignment="1" applyProtection="1">
      <alignment horizontal="center"/>
      <protection locked="0"/>
    </xf>
    <xf numFmtId="0" fontId="17" fillId="0" borderId="37" xfId="0" applyFont="1" applyBorder="1" applyAlignment="1">
      <alignment horizontal="center"/>
    </xf>
    <xf numFmtId="0" fontId="17" fillId="0" borderId="35" xfId="0" applyFont="1" applyBorder="1" applyAlignment="1">
      <alignment horizontal="center"/>
    </xf>
    <xf numFmtId="0" fontId="17" fillId="0" borderId="34" xfId="0" applyFont="1" applyBorder="1" applyAlignment="1">
      <alignment horizontal="center"/>
    </xf>
    <xf numFmtId="0" fontId="17" fillId="0" borderId="47" xfId="0" applyFont="1" applyBorder="1" applyAlignment="1">
      <alignment horizontal="center"/>
    </xf>
    <xf numFmtId="0" fontId="17" fillId="0" borderId="54" xfId="0" applyFont="1" applyBorder="1" applyAlignment="1">
      <alignment horizontal="center"/>
    </xf>
    <xf numFmtId="0" fontId="17" fillId="0" borderId="48" xfId="0" applyFont="1" applyBorder="1" applyAlignment="1">
      <alignment horizontal="center"/>
    </xf>
    <xf numFmtId="0" fontId="17" fillId="0" borderId="51" xfId="0" applyFont="1" applyBorder="1" applyAlignment="1">
      <alignment horizontal="center"/>
    </xf>
    <xf numFmtId="0" fontId="17" fillId="0" borderId="52" xfId="0" applyFont="1" applyBorder="1" applyAlignment="1">
      <alignment horizontal="center"/>
    </xf>
    <xf numFmtId="0" fontId="17" fillId="0" borderId="53" xfId="0" applyFont="1" applyBorder="1" applyAlignment="1">
      <alignment horizontal="center"/>
    </xf>
    <xf numFmtId="0" fontId="12" fillId="2" borderId="33" xfId="0" applyFont="1" applyFill="1" applyBorder="1" applyAlignment="1" applyProtection="1">
      <alignment vertical="top" wrapText="1"/>
      <protection locked="0"/>
    </xf>
    <xf numFmtId="0" fontId="12" fillId="2" borderId="2" xfId="0" applyFont="1" applyFill="1" applyBorder="1" applyAlignment="1" applyProtection="1">
      <alignment vertical="top" wrapText="1"/>
      <protection locked="0"/>
    </xf>
    <xf numFmtId="0" fontId="12" fillId="2" borderId="3" xfId="0" applyFont="1" applyFill="1" applyBorder="1" applyAlignment="1" applyProtection="1">
      <alignment vertical="top" wrapText="1"/>
      <protection locked="0"/>
    </xf>
    <xf numFmtId="0" fontId="12" fillId="2" borderId="31" xfId="0" applyFont="1" applyFill="1" applyBorder="1" applyAlignment="1" applyProtection="1">
      <alignment vertical="top" wrapText="1"/>
      <protection locked="0"/>
    </xf>
    <xf numFmtId="0" fontId="12" fillId="2" borderId="1" xfId="0" applyFont="1" applyFill="1" applyBorder="1" applyAlignment="1" applyProtection="1">
      <alignment vertical="top" wrapText="1"/>
      <protection locked="0"/>
    </xf>
    <xf numFmtId="0" fontId="12" fillId="2" borderId="8" xfId="0" applyFont="1" applyFill="1" applyBorder="1" applyAlignment="1" applyProtection="1">
      <alignment vertical="top" wrapText="1"/>
      <protection locked="0"/>
    </xf>
    <xf numFmtId="0" fontId="13" fillId="0" borderId="49" xfId="0" applyFont="1" applyBorder="1" applyAlignment="1">
      <alignment horizontal="left"/>
    </xf>
    <xf numFmtId="0" fontId="13" fillId="0" borderId="56" xfId="0" applyFont="1" applyBorder="1" applyAlignment="1">
      <alignment horizontal="left"/>
    </xf>
    <xf numFmtId="0" fontId="13" fillId="0" borderId="50" xfId="0" applyFont="1" applyBorder="1" applyAlignment="1">
      <alignment horizontal="left"/>
    </xf>
    <xf numFmtId="0" fontId="13" fillId="0" borderId="61" xfId="0" applyFont="1" applyBorder="1" applyAlignment="1">
      <alignment horizontal="center" vertical="center"/>
    </xf>
    <xf numFmtId="0" fontId="13" fillId="0" borderId="56" xfId="0" applyFont="1" applyBorder="1" applyAlignment="1">
      <alignment horizontal="center" vertical="center"/>
    </xf>
    <xf numFmtId="0" fontId="13" fillId="0" borderId="50" xfId="0" applyFont="1" applyBorder="1" applyAlignment="1">
      <alignment horizontal="center" vertical="center"/>
    </xf>
    <xf numFmtId="0" fontId="12" fillId="0" borderId="58" xfId="0" applyFont="1" applyBorder="1" applyAlignment="1">
      <alignment horizontal="right"/>
    </xf>
    <xf numFmtId="0" fontId="12" fillId="0" borderId="66" xfId="0" applyFont="1" applyBorder="1" applyAlignment="1">
      <alignment horizontal="right"/>
    </xf>
    <xf numFmtId="0" fontId="12" fillId="0" borderId="21" xfId="0" applyFont="1" applyBorder="1" applyAlignment="1">
      <alignment horizontal="right"/>
    </xf>
    <xf numFmtId="0" fontId="1" fillId="0" borderId="29" xfId="19" applyFont="1" applyBorder="1" applyAlignment="1" applyProtection="1">
      <protection hidden="1"/>
    </xf>
    <xf numFmtId="0" fontId="1" fillId="0" borderId="11" xfId="19" applyFont="1" applyBorder="1" applyAlignment="1" applyProtection="1">
      <protection hidden="1"/>
    </xf>
    <xf numFmtId="0" fontId="1" fillId="0" borderId="20" xfId="19" applyFont="1" applyBorder="1" applyAlignment="1" applyProtection="1">
      <protection hidden="1"/>
    </xf>
    <xf numFmtId="0" fontId="1" fillId="0" borderId="19" xfId="19" applyFont="1" applyBorder="1" applyAlignment="1" applyProtection="1">
      <protection hidden="1"/>
    </xf>
    <xf numFmtId="0" fontId="61" fillId="0" borderId="20" xfId="19" applyFont="1" applyBorder="1" applyAlignment="1" applyProtection="1">
      <protection hidden="1"/>
    </xf>
    <xf numFmtId="0" fontId="61" fillId="0" borderId="19" xfId="19" applyFont="1" applyBorder="1" applyAlignment="1" applyProtection="1">
      <protection hidden="1"/>
    </xf>
    <xf numFmtId="0" fontId="22" fillId="0" borderId="29" xfId="0" applyFont="1" applyBorder="1" applyAlignment="1" applyProtection="1">
      <protection hidden="1"/>
    </xf>
    <xf numFmtId="0" fontId="22" fillId="0" borderId="11" xfId="0" applyFont="1" applyBorder="1" applyAlignment="1" applyProtection="1">
      <protection hidden="1"/>
    </xf>
    <xf numFmtId="0" fontId="1" fillId="0" borderId="57" xfId="19" applyFont="1" applyBorder="1" applyAlignment="1" applyProtection="1">
      <protection hidden="1"/>
    </xf>
    <xf numFmtId="0" fontId="1" fillId="0" borderId="4" xfId="19" applyFont="1" applyBorder="1" applyAlignment="1" applyProtection="1">
      <protection hidden="1"/>
    </xf>
    <xf numFmtId="0" fontId="1" fillId="0" borderId="5" xfId="19" applyFont="1" applyBorder="1" applyAlignment="1" applyProtection="1">
      <protection hidden="1"/>
    </xf>
    <xf numFmtId="0" fontId="22" fillId="0" borderId="20" xfId="0" applyFont="1" applyBorder="1" applyAlignment="1" applyProtection="1">
      <protection hidden="1"/>
    </xf>
    <xf numFmtId="0" fontId="22" fillId="0" borderId="19" xfId="0" applyFont="1" applyBorder="1" applyAlignment="1" applyProtection="1">
      <protection hidden="1"/>
    </xf>
    <xf numFmtId="0" fontId="1" fillId="0" borderId="40" xfId="19" applyFont="1" applyBorder="1" applyAlignment="1" applyProtection="1">
      <protection hidden="1"/>
    </xf>
    <xf numFmtId="0" fontId="1" fillId="0" borderId="39" xfId="19" applyFont="1" applyBorder="1" applyAlignment="1" applyProtection="1">
      <protection hidden="1"/>
    </xf>
    <xf numFmtId="0" fontId="1" fillId="29" borderId="29" xfId="19" applyFont="1" applyFill="1" applyBorder="1" applyAlignment="1" applyProtection="1">
      <protection hidden="1"/>
    </xf>
    <xf numFmtId="0" fontId="1" fillId="29" borderId="11" xfId="19" applyFont="1" applyFill="1" applyBorder="1" applyAlignment="1" applyProtection="1">
      <protection hidden="1"/>
    </xf>
    <xf numFmtId="0" fontId="1" fillId="29" borderId="27" xfId="19" applyFont="1" applyFill="1" applyBorder="1" applyAlignment="1" applyProtection="1">
      <protection hidden="1"/>
    </xf>
    <xf numFmtId="0" fontId="61" fillId="0" borderId="29" xfId="19" applyFont="1" applyBorder="1" applyAlignment="1" applyProtection="1">
      <protection hidden="1"/>
    </xf>
    <xf numFmtId="0" fontId="61" fillId="0" borderId="11" xfId="19" applyFont="1" applyBorder="1" applyAlignment="1" applyProtection="1">
      <protection hidden="1"/>
    </xf>
    <xf numFmtId="0" fontId="22" fillId="51" borderId="6" xfId="0" applyFont="1" applyFill="1" applyBorder="1" applyAlignment="1" applyProtection="1">
      <protection hidden="1"/>
    </xf>
    <xf numFmtId="0" fontId="22" fillId="51" borderId="4" xfId="0" applyFont="1" applyFill="1" applyBorder="1" applyAlignment="1" applyProtection="1">
      <protection hidden="1"/>
    </xf>
    <xf numFmtId="0" fontId="22" fillId="51" borderId="76" xfId="0" applyFont="1" applyFill="1" applyBorder="1" applyAlignment="1" applyProtection="1">
      <protection hidden="1"/>
    </xf>
    <xf numFmtId="0" fontId="22" fillId="0" borderId="57" xfId="0" applyFont="1" applyBorder="1" applyAlignment="1" applyProtection="1">
      <protection hidden="1"/>
    </xf>
    <xf numFmtId="0" fontId="22" fillId="0" borderId="4" xfId="0" applyFont="1" applyBorder="1" applyAlignment="1" applyProtection="1">
      <protection hidden="1"/>
    </xf>
    <xf numFmtId="0" fontId="22" fillId="0" borderId="5" xfId="0" applyFont="1" applyBorder="1" applyAlignment="1" applyProtection="1">
      <protection hidden="1"/>
    </xf>
    <xf numFmtId="0" fontId="22" fillId="13" borderId="39" xfId="0" applyFont="1" applyFill="1" applyBorder="1" applyAlignment="1" applyProtection="1">
      <protection locked="0"/>
    </xf>
    <xf numFmtId="0" fontId="22" fillId="13" borderId="38" xfId="0" applyFont="1" applyFill="1" applyBorder="1" applyAlignment="1" applyProtection="1">
      <protection locked="0"/>
    </xf>
    <xf numFmtId="0" fontId="22" fillId="13" borderId="19" xfId="0" applyFont="1" applyFill="1" applyBorder="1" applyAlignment="1" applyProtection="1">
      <protection locked="0"/>
    </xf>
    <xf numFmtId="0" fontId="22" fillId="13" borderId="18" xfId="0" applyFont="1" applyFill="1" applyBorder="1" applyAlignment="1" applyProtection="1">
      <protection locked="0"/>
    </xf>
    <xf numFmtId="0" fontId="22" fillId="38" borderId="51" xfId="0" applyFont="1" applyFill="1" applyBorder="1" applyAlignment="1" applyProtection="1">
      <protection hidden="1"/>
    </xf>
    <xf numFmtId="0" fontId="22" fillId="38" borderId="52" xfId="0" applyFont="1" applyFill="1" applyBorder="1" applyAlignment="1" applyProtection="1">
      <protection hidden="1"/>
    </xf>
    <xf numFmtId="0" fontId="22" fillId="13" borderId="52" xfId="0" applyFont="1" applyFill="1" applyBorder="1" applyAlignment="1" applyProtection="1">
      <protection locked="0"/>
    </xf>
    <xf numFmtId="0" fontId="22" fillId="13" borderId="53" xfId="0" applyFont="1" applyFill="1" applyBorder="1" applyAlignment="1" applyProtection="1">
      <protection locked="0"/>
    </xf>
    <xf numFmtId="0" fontId="22" fillId="13" borderId="72" xfId="0" applyFont="1" applyFill="1" applyBorder="1" applyAlignment="1" applyProtection="1">
      <protection locked="0"/>
    </xf>
    <xf numFmtId="0" fontId="22" fillId="13" borderId="77" xfId="0" applyFont="1" applyFill="1" applyBorder="1" applyAlignment="1" applyProtection="1">
      <protection locked="0"/>
    </xf>
    <xf numFmtId="0" fontId="22" fillId="0" borderId="11" xfId="0" applyFont="1" applyBorder="1" applyAlignment="1"/>
    <xf numFmtId="0" fontId="13" fillId="0" borderId="49" xfId="0" applyFont="1" applyBorder="1" applyAlignment="1"/>
    <xf numFmtId="0" fontId="13" fillId="0" borderId="56" xfId="0" applyFont="1" applyBorder="1" applyAlignment="1"/>
    <xf numFmtId="0" fontId="13" fillId="0" borderId="50" xfId="0" applyFont="1" applyBorder="1" applyAlignment="1"/>
    <xf numFmtId="0" fontId="13" fillId="0" borderId="55" xfId="0" applyFont="1" applyBorder="1" applyAlignment="1"/>
    <xf numFmtId="0" fontId="12" fillId="2" borderId="69" xfId="0" applyFont="1" applyFill="1" applyBorder="1" applyAlignment="1" applyProtection="1">
      <protection locked="0"/>
    </xf>
    <xf numFmtId="0" fontId="12" fillId="2" borderId="70" xfId="0" applyFont="1" applyFill="1" applyBorder="1" applyAlignment="1" applyProtection="1">
      <protection locked="0"/>
    </xf>
    <xf numFmtId="0" fontId="12" fillId="2" borderId="71" xfId="0" applyFont="1" applyFill="1" applyBorder="1" applyAlignment="1" applyProtection="1">
      <protection locked="0"/>
    </xf>
    <xf numFmtId="0" fontId="12" fillId="2" borderId="60" xfId="0" applyFont="1" applyFill="1" applyBorder="1" applyAlignment="1" applyProtection="1">
      <protection locked="0"/>
    </xf>
    <xf numFmtId="0" fontId="12" fillId="2" borderId="72" xfId="0" applyFont="1" applyFill="1" applyBorder="1" applyAlignment="1" applyProtection="1">
      <protection locked="0"/>
    </xf>
    <xf numFmtId="0" fontId="12" fillId="2" borderId="17" xfId="0" applyFont="1" applyFill="1" applyBorder="1" applyAlignment="1" applyProtection="1">
      <protection locked="0"/>
    </xf>
  </cellXfs>
  <cellStyles count="27">
    <cellStyle name="Comma" xfId="1" builtinId="3"/>
    <cellStyle name="Comma 2" xfId="21" xr:uid="{686A551A-77A1-43D6-AB03-D7251CB5BC83}"/>
    <cellStyle name="Comma 2 2" xfId="26" xr:uid="{79A561E3-D7F3-4D68-AB06-5F9CCA1B9CAF}"/>
    <cellStyle name="Comma 3" xfId="23" xr:uid="{060FC18A-6D65-4F21-8D69-6201AC93807E}"/>
    <cellStyle name="Currency" xfId="2" builtinId="4"/>
    <cellStyle name="Currency 2" xfId="6" xr:uid="{05DEEBFE-D648-45DC-B523-BC5E7D02F7BA}"/>
    <cellStyle name="Currency 3" xfId="10" xr:uid="{8667502E-F1A8-46D8-B129-2F4B59A862AC}"/>
    <cellStyle name="Currency 4" xfId="16" xr:uid="{0AE9240D-8F21-4D31-8169-B9CB680AD2BA}"/>
    <cellStyle name="Heading 3" xfId="14" builtinId="18"/>
    <cellStyle name="Hyperlink" xfId="13" builtinId="8"/>
    <cellStyle name="Hyperlink 2" xfId="17" xr:uid="{6B7CF679-197D-4601-9FE9-53A11F0C4F10}"/>
    <cellStyle name="Normal" xfId="0" builtinId="0"/>
    <cellStyle name="Normal 2" xfId="7" xr:uid="{353C1587-D375-454A-87E8-587A42B8E05D}"/>
    <cellStyle name="Normal 3" xfId="4" xr:uid="{51D831F1-F105-4ACD-98E9-F13BEC587CF9}"/>
    <cellStyle name="Normal 4" xfId="8" xr:uid="{1698E94D-AC88-4B29-8E71-A7A3E221B52D}"/>
    <cellStyle name="Normal 5" xfId="9" xr:uid="{0E577262-BCBA-4419-A914-9AF879CFAEAE}"/>
    <cellStyle name="Normal 6" xfId="11" xr:uid="{42203107-BA3D-4023-8B72-ACCCA0799DBA}"/>
    <cellStyle name="Normal 7" xfId="15" xr:uid="{5E3F8C98-1657-4DEE-8AB7-4619F3E4889F}"/>
    <cellStyle name="Normal 8" xfId="19" xr:uid="{AE8CCBE0-0F5B-41F5-AF97-D85FEB8E4ABE}"/>
    <cellStyle name="Normal 8 2" xfId="25" xr:uid="{0B29D587-2292-4BC4-82EF-403B41D560C6}"/>
    <cellStyle name="Normal 9" xfId="22" xr:uid="{6B7538AB-08A3-4771-A8E3-50F570FF99E1}"/>
    <cellStyle name="Percent" xfId="3" builtinId="5"/>
    <cellStyle name="Percent 2" xfId="5" xr:uid="{50D236B1-CF17-481B-80BA-13827B1EC1E4}"/>
    <cellStyle name="Percent 3" xfId="12" xr:uid="{AAA0AED6-C247-42D7-A17D-7E499E13172D}"/>
    <cellStyle name="Percent 4" xfId="18" xr:uid="{E11B381A-8EDD-4334-AD41-97812EFBD85A}"/>
    <cellStyle name="Percent 5" xfId="20" xr:uid="{1FE7A551-95F2-4542-B97A-D212EEB160A8}"/>
    <cellStyle name="Percent 6" xfId="24" xr:uid="{F5952D39-9861-481E-8AC2-0A5C49711A1E}"/>
  </cellStyles>
  <dxfs count="932">
    <dxf>
      <alignment horizontal="general" vertical="bottom" textRotation="90" wrapText="0" indent="0" justifyLastLine="0" shrinkToFit="0" readingOrder="0"/>
    </dxf>
    <dxf>
      <alignment horizontal="general" vertical="bottom" textRotation="90" wrapText="0" indent="0" justifyLastLine="0" shrinkToFit="0" readingOrder="0"/>
    </dxf>
    <dxf>
      <alignment horizontal="general" vertical="bottom" textRotation="90" wrapText="0" indent="0" justifyLastLine="0" shrinkToFit="0" readingOrder="0"/>
    </dxf>
    <dxf>
      <alignment horizontal="general" vertical="bottom" textRotation="90" wrapText="0" indent="0" justifyLastLine="0" shrinkToFit="0" readingOrder="0"/>
    </dxf>
    <dxf>
      <alignment horizontal="general" vertical="bottom" textRotation="90" wrapText="0" indent="0" justifyLastLine="0" shrinkToFit="0" readingOrder="0"/>
    </dxf>
    <dxf>
      <alignment horizontal="general" vertical="bottom" textRotation="90" wrapText="0" indent="0" justifyLastLine="0" shrinkToFit="0" readingOrder="0"/>
    </dxf>
    <dxf>
      <alignment horizontal="general" vertical="bottom" textRotation="90" wrapText="0" indent="0" justifyLastLine="0" shrinkToFit="0" readingOrder="0"/>
    </dxf>
    <dxf>
      <alignment horizontal="general" vertical="bottom" textRotation="90" wrapText="0" indent="0" justifyLastLine="0" shrinkToFit="0" readingOrder="0"/>
    </dxf>
    <dxf>
      <alignment horizontal="general" vertical="bottom" textRotation="90" wrapText="0" indent="0" justifyLastLine="0" shrinkToFit="0" readingOrder="0"/>
    </dxf>
    <dxf>
      <alignment horizontal="general" vertical="bottom" textRotation="90" wrapText="0" indent="0" justifyLastLine="0" shrinkToFit="0" readingOrder="0"/>
    </dxf>
    <dxf>
      <alignment horizontal="general" vertical="bottom" textRotation="90" wrapText="0" indent="0" justifyLastLine="0" shrinkToFit="0" readingOrder="0"/>
    </dxf>
    <dxf>
      <alignment horizontal="general" vertical="bottom" textRotation="90" wrapText="0" indent="0" justifyLastLine="0" shrinkToFit="0" readingOrder="0"/>
    </dxf>
    <dxf>
      <alignment horizontal="general" vertical="bottom" textRotation="90" wrapText="0" indent="0" justifyLastLine="0" shrinkToFit="0" readingOrder="0"/>
    </dxf>
    <dxf>
      <alignment horizontal="general" vertical="bottom" textRotation="90" wrapText="0" indent="0" justifyLastLine="0" shrinkToFit="0" readingOrder="0"/>
    </dxf>
    <dxf>
      <alignment horizontal="general" vertical="bottom" textRotation="90" wrapText="0" indent="0" justifyLastLine="0" shrinkToFit="0" readingOrder="0"/>
    </dxf>
    <dxf>
      <alignment horizontal="general" vertical="bottom" textRotation="90" wrapText="0" indent="0" justifyLastLine="0" shrinkToFit="0" readingOrder="0"/>
    </dxf>
    <dxf>
      <alignment horizontal="general" vertical="bottom" textRotation="90" wrapText="0" indent="0" justifyLastLine="0" shrinkToFit="0" readingOrder="0"/>
    </dxf>
    <dxf>
      <alignment horizontal="general" vertical="bottom" textRotation="90" wrapText="0" indent="0" justifyLastLine="0" shrinkToFit="0" readingOrder="0"/>
    </dxf>
    <dxf>
      <alignment horizontal="general" vertical="bottom" textRotation="90" wrapText="0" indent="0" justifyLastLine="0" shrinkToFit="0" readingOrder="0"/>
    </dxf>
    <dxf>
      <alignment horizontal="general" vertical="bottom" textRotation="90" wrapText="0" indent="0" justifyLastLine="0" shrinkToFit="0" readingOrder="0"/>
    </dxf>
    <dxf>
      <alignment horizontal="general" vertical="bottom" textRotation="90" wrapText="0" indent="0" justifyLastLine="0" shrinkToFit="0" readingOrder="0"/>
    </dxf>
    <dxf>
      <alignment horizontal="general" vertical="bottom" textRotation="90" wrapText="0" indent="0" justifyLastLine="0" shrinkToFit="0" readingOrder="0"/>
    </dxf>
    <dxf>
      <alignment horizontal="general" vertical="bottom" textRotation="90" wrapText="0" indent="0" justifyLastLine="0" shrinkToFit="0" readingOrder="0"/>
    </dxf>
    <dxf>
      <alignment horizontal="general" vertical="bottom" textRotation="90" wrapText="0" indent="0" justifyLastLine="0" shrinkToFit="0" readingOrder="0"/>
    </dxf>
    <dxf>
      <alignment horizontal="general" vertical="bottom" textRotation="90" wrapText="0" indent="0" justifyLastLine="0" shrinkToFit="0" readingOrder="0"/>
    </dxf>
    <dxf>
      <alignment horizontal="general" vertical="bottom" textRotation="90" wrapText="0" indent="0" justifyLastLine="0" shrinkToFit="0" readingOrder="0"/>
    </dxf>
    <dxf>
      <alignment horizontal="general" vertical="bottom" textRotation="90" wrapText="0" indent="0" justifyLastLine="0" shrinkToFit="0" readingOrder="0"/>
    </dxf>
    <dxf>
      <alignment horizontal="general" vertical="bottom" textRotation="90" wrapText="0" indent="0" justifyLastLine="0" shrinkToFit="0" readingOrder="0"/>
    </dxf>
    <dxf>
      <alignment horizontal="general" vertical="bottom" textRotation="90" wrapText="0" indent="0" justifyLastLine="0" shrinkToFit="0" readingOrder="0"/>
    </dxf>
    <dxf>
      <alignment horizontal="general" vertical="bottom" textRotation="90" wrapText="0" indent="0" justifyLastLine="0" shrinkToFit="0" readingOrder="0"/>
    </dxf>
    <dxf>
      <alignment horizontal="general" vertical="bottom" textRotation="90" wrapText="0" indent="0" justifyLastLine="0" shrinkToFit="0" readingOrder="0"/>
    </dxf>
    <dxf>
      <alignment horizontal="general" vertical="bottom" textRotation="90" wrapText="0" indent="0" justifyLastLine="0" shrinkToFit="0" readingOrder="0"/>
    </dxf>
    <dxf>
      <alignment horizontal="general" vertical="bottom" textRotation="90" wrapText="0" indent="0" justifyLastLine="0" shrinkToFit="0" readingOrder="0"/>
    </dxf>
    <dxf>
      <alignment horizontal="general" vertical="bottom" textRotation="90" wrapText="0" indent="0" justifyLastLine="0" shrinkToFit="0" readingOrder="0"/>
    </dxf>
    <dxf>
      <alignment horizontal="general" vertical="bottom" textRotation="90" wrapText="0" indent="0" justifyLastLine="0" shrinkToFit="0" readingOrder="0"/>
    </dxf>
    <dxf>
      <alignment horizontal="general" vertical="bottom" textRotation="90" wrapText="0" indent="0" justifyLastLine="0" shrinkToFit="0" readingOrder="0"/>
    </dxf>
    <dxf>
      <alignment horizontal="general" vertical="bottom" textRotation="90" wrapText="0" indent="0" justifyLastLine="0" shrinkToFit="0" readingOrder="0"/>
    </dxf>
    <dxf>
      <alignment horizontal="general" vertical="bottom" textRotation="90" wrapText="0" indent="0" justifyLastLine="0" shrinkToFit="0" readingOrder="0"/>
    </dxf>
    <dxf>
      <alignment horizontal="general" vertical="bottom" textRotation="90" wrapText="0" indent="0" justifyLastLine="0" shrinkToFit="0" readingOrder="0"/>
    </dxf>
    <dxf>
      <alignment horizontal="general" vertical="bottom" textRotation="90" wrapText="0" indent="0" justifyLastLine="0" shrinkToFit="0" readingOrder="0"/>
    </dxf>
    <dxf>
      <alignment horizontal="general" vertical="bottom" textRotation="90" wrapText="0" indent="0" justifyLastLine="0" shrinkToFit="0" readingOrder="0"/>
    </dxf>
    <dxf>
      <alignment horizontal="general" vertical="bottom" textRotation="90" wrapText="0" indent="0" justifyLastLine="0" shrinkToFit="0" readingOrder="0"/>
    </dxf>
    <dxf>
      <alignment horizontal="general" vertical="bottom" textRotation="90" wrapText="0" indent="0" justifyLastLine="0" shrinkToFit="0" readingOrder="0"/>
    </dxf>
    <dxf>
      <alignment horizontal="general" vertical="bottom" textRotation="90" wrapText="0" indent="0" justifyLastLine="0" shrinkToFit="0" readingOrder="0"/>
    </dxf>
    <dxf>
      <alignment horizontal="general" vertical="bottom" textRotation="90" wrapText="0" indent="0" justifyLastLine="0" shrinkToFit="0" readingOrder="0"/>
    </dxf>
    <dxf>
      <alignment horizontal="general" vertical="bottom" textRotation="90" wrapText="0" indent="0" justifyLastLine="0" shrinkToFit="0" readingOrder="0"/>
    </dxf>
    <dxf>
      <alignment horizontal="general" vertical="bottom" textRotation="90" wrapText="0" indent="0" justifyLastLine="0" shrinkToFit="0" readingOrder="0"/>
    </dxf>
    <dxf>
      <alignment horizontal="general" vertical="bottom" textRotation="90" wrapText="0" indent="0" justifyLastLine="0" shrinkToFit="0" readingOrder="0"/>
    </dxf>
    <dxf>
      <alignment horizontal="general" vertical="bottom" textRotation="90" wrapText="0" indent="0" justifyLastLine="0" shrinkToFit="0" readingOrder="0"/>
    </dxf>
    <dxf>
      <alignment horizontal="general" vertical="bottom" textRotation="90" wrapText="0" indent="0" justifyLastLine="0" shrinkToFit="0" readingOrder="0"/>
    </dxf>
    <dxf>
      <alignment horizontal="general" vertical="bottom" textRotation="90" wrapText="0" indent="0" justifyLastLine="0" shrinkToFit="0" readingOrder="0"/>
    </dxf>
    <dxf>
      <alignment horizontal="general" vertical="bottom" textRotation="90" wrapText="0" indent="0" justifyLastLine="0" shrinkToFit="0" readingOrder="0"/>
    </dxf>
    <dxf>
      <alignment horizontal="general" vertical="bottom" textRotation="90" wrapText="0" indent="0" justifyLastLine="0" shrinkToFit="0" readingOrder="0"/>
    </dxf>
    <dxf>
      <alignment horizontal="general" vertical="bottom" textRotation="90" wrapText="0" indent="0" justifyLastLine="0" shrinkToFit="0" readingOrder="0"/>
    </dxf>
    <dxf>
      <alignment horizontal="general" vertical="bottom" textRotation="90" wrapText="0" indent="0" justifyLastLine="0" shrinkToFit="0" readingOrder="0"/>
    </dxf>
    <dxf>
      <alignment horizontal="general" vertical="bottom" textRotation="90" wrapText="0" indent="0" justifyLastLine="0" shrinkToFit="0" readingOrder="0"/>
    </dxf>
    <dxf>
      <alignment horizontal="general" vertical="bottom" textRotation="90" wrapText="0" indent="0" justifyLastLine="0" shrinkToFit="0" readingOrder="0"/>
    </dxf>
    <dxf>
      <alignment horizontal="general" vertical="bottom" textRotation="90" wrapText="0" indent="0" justifyLastLine="0" shrinkToFit="0" readingOrder="0"/>
    </dxf>
    <dxf>
      <alignment horizontal="general" vertical="bottom" textRotation="90" wrapText="0" indent="0" justifyLastLine="0" shrinkToFit="0" readingOrder="0"/>
    </dxf>
    <dxf>
      <alignment horizontal="general" vertical="bottom" textRotation="90" wrapText="0" indent="0" justifyLastLine="0" shrinkToFit="0" readingOrder="0"/>
    </dxf>
    <dxf>
      <alignment horizontal="general" vertical="bottom" textRotation="90" wrapText="0" indent="0" justifyLastLine="0" shrinkToFit="0" readingOrder="0"/>
    </dxf>
    <dxf>
      <alignment horizontal="general" vertical="bottom" textRotation="90" wrapText="0" indent="0" justifyLastLine="0" shrinkToFit="0" readingOrder="0"/>
    </dxf>
    <dxf>
      <alignment horizontal="general" vertical="bottom" textRotation="90" wrapText="0" indent="0" justifyLastLine="0" shrinkToFit="0" readingOrder="0"/>
    </dxf>
    <dxf>
      <alignment horizontal="general" vertical="bottom" textRotation="90" wrapText="0" indent="0" justifyLastLine="0" shrinkToFit="0" readingOrder="0"/>
    </dxf>
    <dxf>
      <alignment horizontal="general" vertical="bottom" textRotation="90" wrapText="0" indent="0" justifyLastLine="0" shrinkToFit="0" readingOrder="0"/>
    </dxf>
    <dxf>
      <alignment horizontal="general" vertical="bottom" textRotation="90" wrapText="0" indent="0" justifyLastLine="0" shrinkToFit="0" readingOrder="0"/>
    </dxf>
    <dxf>
      <alignment horizontal="general" vertical="bottom" textRotation="90" wrapText="0" indent="0" justifyLastLine="0" shrinkToFit="0" readingOrder="0"/>
    </dxf>
    <dxf>
      <alignment horizontal="general" vertical="bottom" textRotation="90" wrapText="0" indent="0" justifyLastLine="0" shrinkToFit="0" readingOrder="0"/>
    </dxf>
    <dxf>
      <alignment horizontal="general" vertical="bottom" textRotation="90" wrapText="0" indent="0" justifyLastLine="0" shrinkToFit="0" readingOrder="0"/>
    </dxf>
    <dxf>
      <alignment horizontal="general" vertical="bottom" textRotation="90" wrapText="0" indent="0" justifyLastLine="0" shrinkToFit="0" readingOrder="0"/>
    </dxf>
    <dxf>
      <alignment horizontal="general" vertical="bottom" textRotation="90" wrapText="0" indent="0" justifyLastLine="0" shrinkToFit="0" readingOrder="0"/>
    </dxf>
    <dxf>
      <alignment horizontal="general" vertical="bottom" textRotation="90" wrapText="0" indent="0" justifyLastLine="0" shrinkToFit="0" readingOrder="0"/>
    </dxf>
    <dxf>
      <alignment horizontal="general" vertical="bottom" textRotation="90" wrapText="0" indent="0" justifyLastLine="0" shrinkToFit="0" readingOrder="0"/>
    </dxf>
    <dxf>
      <alignment horizontal="general" vertical="bottom" textRotation="90" wrapText="0" indent="0" justifyLastLine="0" shrinkToFit="0" readingOrder="0"/>
    </dxf>
    <dxf>
      <alignment horizontal="general" vertical="bottom" textRotation="90" wrapText="0" indent="0" justifyLastLine="0" shrinkToFit="0" readingOrder="0"/>
    </dxf>
    <dxf>
      <alignment horizontal="general" vertical="bottom" textRotation="90" wrapText="0" indent="0" justifyLastLine="0" shrinkToFit="0" readingOrder="0"/>
    </dxf>
    <dxf>
      <alignment horizontal="general" vertical="bottom" textRotation="90" wrapText="0" indent="0" justifyLastLine="0" shrinkToFit="0" readingOrder="0"/>
    </dxf>
    <dxf>
      <alignment horizontal="general" vertical="bottom" textRotation="90" wrapText="0" indent="0" justifyLastLine="0" shrinkToFit="0" readingOrder="0"/>
    </dxf>
    <dxf>
      <alignment horizontal="general" vertical="bottom" textRotation="90" wrapText="0" indent="0" justifyLastLine="0" shrinkToFit="0" readingOrder="0"/>
    </dxf>
    <dxf>
      <numFmt numFmtId="0" formatCode="General"/>
    </dxf>
    <dxf>
      <alignment horizontal="general" vertical="bottom" textRotation="90" wrapText="0" indent="0" justifyLastLine="0" shrinkToFit="0" readingOrder="0"/>
    </dxf>
    <dxf>
      <fill>
        <patternFill>
          <bgColor rgb="FFFFC7CE"/>
        </patternFill>
      </fill>
    </dxf>
    <dxf>
      <fill>
        <patternFill>
          <bgColor rgb="FFFFC7CE"/>
        </patternFill>
      </fill>
    </dxf>
    <dxf>
      <fill>
        <patternFill>
          <bgColor rgb="FFFFC7CE"/>
        </patternFill>
      </fill>
    </dxf>
    <dxf>
      <font>
        <strike val="0"/>
        <outline val="0"/>
        <shadow val="0"/>
        <u val="none"/>
        <vertAlign val="baseline"/>
        <sz val="11"/>
        <name val="Calibri"/>
        <family val="2"/>
        <scheme val="minor"/>
      </font>
      <numFmt numFmtId="178" formatCode="yyyy/mm/dd;@"/>
    </dxf>
    <dxf>
      <font>
        <strike val="0"/>
        <outline val="0"/>
        <shadow val="0"/>
        <u val="none"/>
        <vertAlign val="baseline"/>
        <sz val="11"/>
        <name val="Calibri"/>
        <family val="2"/>
        <scheme val="minor"/>
      </font>
      <numFmt numFmtId="178" formatCode="yyyy/mm/dd;@"/>
      <alignment vertical="bottom" textRotation="0" wrapText="1" indent="0" justifyLastLine="0" shrinkToFit="0" readingOrder="0"/>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b/>
        <strike val="0"/>
        <outline val="0"/>
        <shadow val="0"/>
        <u val="none"/>
        <vertAlign val="baseline"/>
        <sz val="12"/>
        <color auto="1"/>
        <name val="Calibri"/>
        <family val="2"/>
        <scheme val="minor"/>
      </font>
    </dxf>
    <dxf>
      <numFmt numFmtId="185" formatCode="[$£-809]#,##0.00"/>
    </dxf>
    <dxf>
      <numFmt numFmtId="186" formatCode="[$₹-4009]\ #,##0.00"/>
    </dxf>
    <dxf>
      <numFmt numFmtId="171" formatCode="&quot;$&quot;#,##0.00"/>
    </dxf>
    <dxf>
      <numFmt numFmtId="171" formatCode="&quot;$&quot;#,##0.00"/>
    </dxf>
    <dxf>
      <numFmt numFmtId="187" formatCode="[$€-2]\ #,##0.00"/>
    </dxf>
    <dxf>
      <font>
        <b/>
        <i val="0"/>
        <color rgb="FF9C0006"/>
      </font>
      <fill>
        <patternFill>
          <bgColor rgb="FFFFC7CE"/>
        </patternFill>
      </fill>
    </dxf>
    <dxf>
      <font>
        <b/>
        <i val="0"/>
        <color rgb="FFC00000"/>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strike val="0"/>
        <outline val="0"/>
        <shadow val="0"/>
        <u val="none"/>
        <vertAlign val="baseline"/>
        <sz val="11"/>
        <name val="Calibri"/>
        <family val="2"/>
        <scheme val="minor"/>
      </font>
      <numFmt numFmtId="1" formatCode="0"/>
      <fill>
        <patternFill>
          <bgColor rgb="FFFFFFFF"/>
        </patternFill>
      </fill>
      <alignment vertical="bottom" textRotation="0" wrapText="1" indent="0" justifyLastLine="0" shrinkToFit="0" readingOrder="0"/>
      <border diagonalUp="0" diagonalDown="0" outline="0">
        <left style="thin">
          <color indexed="64"/>
        </left>
        <right/>
        <top style="thin">
          <color indexed="64"/>
        </top>
        <bottom style="thin">
          <color indexed="64"/>
        </bottom>
      </border>
      <protection locked="1" hidden="1"/>
    </dxf>
    <dxf>
      <font>
        <b val="0"/>
        <i val="0"/>
        <strike val="0"/>
        <condense val="0"/>
        <extend val="0"/>
        <outline val="0"/>
        <shadow val="0"/>
        <u val="none"/>
        <vertAlign val="baseline"/>
        <sz val="11"/>
        <color auto="1"/>
        <name val="Calibri"/>
        <family val="2"/>
        <scheme val="minor"/>
      </font>
      <numFmt numFmtId="1" formatCode="0"/>
      <fill>
        <patternFill patternType="solid">
          <fgColor indexed="64"/>
          <bgColor rgb="FFFFFFFF"/>
        </patternFill>
      </fill>
      <alignment horizontal="general" vertical="bottom" textRotation="0" wrapText="1" indent="0" justifyLastLine="0" shrinkToFit="0" readingOrder="0"/>
      <border diagonalUp="0" diagonalDown="0" outline="0">
        <left style="thin">
          <color indexed="64"/>
        </left>
        <right/>
        <top/>
        <bottom/>
      </border>
      <protection locked="1" hidden="1"/>
    </dxf>
    <dxf>
      <font>
        <strike val="0"/>
        <outline val="0"/>
        <shadow val="0"/>
        <u val="none"/>
        <vertAlign val="baseline"/>
        <sz val="11"/>
        <name val="Calibri"/>
        <family val="2"/>
        <scheme val="minor"/>
      </font>
      <numFmt numFmtId="188" formatCode="yyyy/mm/dd"/>
      <fill>
        <patternFill patternType="solid">
          <fgColor indexed="64"/>
          <bgColor rgb="FFFFFFFF"/>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1" hidden="1"/>
    </dxf>
    <dxf>
      <font>
        <b val="0"/>
        <i val="0"/>
        <strike val="0"/>
        <condense val="0"/>
        <extend val="0"/>
        <outline val="0"/>
        <shadow val="0"/>
        <u val="none"/>
        <vertAlign val="baseline"/>
        <sz val="11"/>
        <color auto="1"/>
        <name val="Calibri"/>
        <family val="2"/>
        <scheme val="minor"/>
      </font>
      <numFmt numFmtId="1" formatCode="0"/>
      <fill>
        <patternFill patternType="solid">
          <fgColor indexed="64"/>
          <bgColor rgb="FFFFFFFF"/>
        </patternFill>
      </fill>
      <alignment horizontal="general" vertical="bottom" textRotation="0" wrapText="1" indent="0" justifyLastLine="0" shrinkToFit="0" readingOrder="0"/>
      <border diagonalUp="0" diagonalDown="0" outline="0">
        <left style="thin">
          <color indexed="64"/>
        </left>
        <right/>
        <top/>
        <bottom/>
      </border>
      <protection locked="1" hidden="1"/>
    </dxf>
    <dxf>
      <font>
        <strike val="0"/>
        <outline val="0"/>
        <shadow val="0"/>
        <u val="none"/>
        <vertAlign val="baseline"/>
        <sz val="11"/>
        <name val="Calibri"/>
        <family val="2"/>
        <scheme val="minor"/>
      </font>
      <numFmt numFmtId="1" formatCode="0"/>
      <fill>
        <patternFill>
          <bgColor rgb="FFFFFFFF"/>
        </patternFill>
      </fill>
      <alignment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1" hidden="1"/>
    </dxf>
    <dxf>
      <font>
        <b val="0"/>
        <i val="0"/>
        <strike val="0"/>
        <condense val="0"/>
        <extend val="0"/>
        <outline val="0"/>
        <shadow val="0"/>
        <u val="none"/>
        <vertAlign val="baseline"/>
        <sz val="11"/>
        <color auto="1"/>
        <name val="Calibri"/>
        <family val="2"/>
        <scheme val="minor"/>
      </font>
      <numFmt numFmtId="1" formatCode="0"/>
      <fill>
        <patternFill patternType="solid">
          <fgColor indexed="64"/>
          <bgColor rgb="FFFFFFFF"/>
        </patternFill>
      </fill>
      <alignment horizontal="general" vertical="bottom" textRotation="0" wrapText="1" indent="0" justifyLastLine="0" shrinkToFit="0" readingOrder="0"/>
      <border diagonalUp="0" diagonalDown="0" outline="0">
        <left style="thin">
          <color indexed="64"/>
        </left>
        <right/>
        <top/>
        <bottom/>
      </border>
      <protection locked="1" hidden="1"/>
    </dxf>
    <dxf>
      <font>
        <strike val="0"/>
        <outline val="0"/>
        <shadow val="0"/>
        <u val="none"/>
        <vertAlign val="baseline"/>
        <sz val="11"/>
        <name val="Calibri"/>
        <family val="2"/>
        <scheme val="minor"/>
      </font>
      <numFmt numFmtId="188" formatCode="yyyy/mm/dd"/>
      <fill>
        <patternFill patternType="solid">
          <fgColor indexed="64"/>
          <bgColor rgb="FFFFFFFF"/>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1" hidden="1"/>
    </dxf>
    <dxf>
      <font>
        <b val="0"/>
        <i val="0"/>
        <strike val="0"/>
        <condense val="0"/>
        <extend val="0"/>
        <outline val="0"/>
        <shadow val="0"/>
        <u val="none"/>
        <vertAlign val="baseline"/>
        <sz val="11"/>
        <color auto="1"/>
        <name val="Calibri"/>
        <family val="2"/>
        <scheme val="minor"/>
      </font>
      <numFmt numFmtId="1" formatCode="0"/>
      <fill>
        <patternFill patternType="solid">
          <fgColor indexed="64"/>
          <bgColor rgb="FFFFFFFF"/>
        </patternFill>
      </fill>
      <alignment horizontal="general" vertical="bottom" textRotation="0" wrapText="1" indent="0" justifyLastLine="0" shrinkToFit="0" readingOrder="0"/>
      <border diagonalUp="0" diagonalDown="0" outline="0">
        <left style="thin">
          <color indexed="64"/>
        </left>
        <right/>
        <top/>
        <bottom/>
      </border>
      <protection locked="1" hidden="1"/>
    </dxf>
    <dxf>
      <font>
        <strike val="0"/>
        <outline val="0"/>
        <shadow val="0"/>
        <u val="none"/>
        <vertAlign val="baseline"/>
        <sz val="11"/>
        <name val="Calibri"/>
        <family val="2"/>
        <scheme val="minor"/>
      </font>
      <numFmt numFmtId="1" formatCode="0"/>
      <fill>
        <patternFill>
          <bgColor rgb="FFFFFFFF"/>
        </patternFill>
      </fill>
      <alignment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1" hidden="1"/>
    </dxf>
    <dxf>
      <font>
        <b val="0"/>
        <i val="0"/>
        <strike val="0"/>
        <condense val="0"/>
        <extend val="0"/>
        <outline val="0"/>
        <shadow val="0"/>
        <u val="none"/>
        <vertAlign val="baseline"/>
        <sz val="11"/>
        <color auto="1"/>
        <name val="Calibri"/>
        <family val="2"/>
        <scheme val="minor"/>
      </font>
      <numFmt numFmtId="1" formatCode="0"/>
      <fill>
        <patternFill patternType="solid">
          <fgColor indexed="64"/>
          <bgColor rgb="FFFFFFFF"/>
        </patternFill>
      </fill>
      <alignment horizontal="general" vertical="bottom" textRotation="0" wrapText="1" indent="0" justifyLastLine="0" shrinkToFit="0" readingOrder="0"/>
      <border diagonalUp="0" diagonalDown="0" outline="0">
        <left style="thin">
          <color indexed="64"/>
        </left>
        <right/>
        <top/>
        <bottom/>
      </border>
      <protection locked="1" hidden="1"/>
    </dxf>
    <dxf>
      <font>
        <strike val="0"/>
        <outline val="0"/>
        <shadow val="0"/>
        <u val="none"/>
        <vertAlign val="baseline"/>
        <sz val="11"/>
        <name val="Calibri"/>
        <family val="2"/>
        <scheme val="minor"/>
      </font>
      <numFmt numFmtId="188" formatCode="yyyy/mm/dd"/>
      <fill>
        <patternFill patternType="solid">
          <fgColor indexed="64"/>
          <bgColor rgb="FFFFFFFF"/>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1" hidden="1"/>
    </dxf>
    <dxf>
      <font>
        <b val="0"/>
        <i val="0"/>
        <strike val="0"/>
        <condense val="0"/>
        <extend val="0"/>
        <outline val="0"/>
        <shadow val="0"/>
        <u val="none"/>
        <vertAlign val="baseline"/>
        <sz val="11"/>
        <color auto="1"/>
        <name val="Calibri"/>
        <family val="2"/>
        <scheme val="minor"/>
      </font>
      <numFmt numFmtId="1" formatCode="0"/>
      <fill>
        <patternFill patternType="solid">
          <fgColor indexed="64"/>
          <bgColor rgb="FFFFFFFF"/>
        </patternFill>
      </fill>
      <alignment horizontal="general" vertical="bottom" textRotation="0" wrapText="1" indent="0" justifyLastLine="0" shrinkToFit="0" readingOrder="0"/>
      <border diagonalUp="0" diagonalDown="0" outline="0">
        <left style="thin">
          <color indexed="64"/>
        </left>
        <right/>
        <top/>
        <bottom/>
      </border>
      <protection locked="1" hidden="1"/>
    </dxf>
    <dxf>
      <font>
        <strike val="0"/>
        <outline val="0"/>
        <shadow val="0"/>
        <u val="none"/>
        <vertAlign val="baseline"/>
        <sz val="11"/>
        <name val="Calibri"/>
        <family val="2"/>
        <scheme val="minor"/>
      </font>
      <numFmt numFmtId="1" formatCode="0"/>
      <fill>
        <patternFill>
          <bgColor rgb="FFFFFFFF"/>
        </patternFill>
      </fill>
      <alignment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1" hidden="1"/>
    </dxf>
    <dxf>
      <font>
        <b val="0"/>
        <i val="0"/>
        <strike val="0"/>
        <condense val="0"/>
        <extend val="0"/>
        <outline val="0"/>
        <shadow val="0"/>
        <u val="none"/>
        <vertAlign val="baseline"/>
        <sz val="11"/>
        <color auto="1"/>
        <name val="Calibri"/>
        <family val="2"/>
        <scheme val="minor"/>
      </font>
      <numFmt numFmtId="1" formatCode="0"/>
      <fill>
        <patternFill patternType="solid">
          <fgColor indexed="64"/>
          <bgColor rgb="FFFFFFFF"/>
        </patternFill>
      </fill>
      <alignment horizontal="general" vertical="bottom" textRotation="0" wrapText="1" indent="0" justifyLastLine="0" shrinkToFit="0" readingOrder="0"/>
      <border diagonalUp="0" diagonalDown="0" outline="0">
        <left style="thin">
          <color indexed="64"/>
        </left>
        <right/>
        <top/>
        <bottom/>
      </border>
      <protection locked="1" hidden="1"/>
    </dxf>
    <dxf>
      <font>
        <strike val="0"/>
        <outline val="0"/>
        <shadow val="0"/>
        <u val="none"/>
        <vertAlign val="baseline"/>
        <sz val="11"/>
        <name val="Calibri"/>
        <family val="2"/>
        <scheme val="minor"/>
      </font>
      <numFmt numFmtId="188" formatCode="yyyy/mm/dd"/>
      <fill>
        <patternFill patternType="solid">
          <fgColor indexed="64"/>
          <bgColor rgb="FFFFFFFF"/>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1" hidden="1"/>
    </dxf>
    <dxf>
      <font>
        <b val="0"/>
        <i val="0"/>
        <strike val="0"/>
        <condense val="0"/>
        <extend val="0"/>
        <outline val="0"/>
        <shadow val="0"/>
        <u val="none"/>
        <vertAlign val="baseline"/>
        <sz val="11"/>
        <color auto="1"/>
        <name val="Calibri"/>
        <family val="2"/>
        <scheme val="minor"/>
      </font>
      <numFmt numFmtId="1" formatCode="0"/>
      <fill>
        <patternFill patternType="solid">
          <fgColor indexed="64"/>
          <bgColor rgb="FFFFFFFF"/>
        </patternFill>
      </fill>
      <alignment horizontal="general" vertical="bottom" textRotation="0" wrapText="1" indent="0" justifyLastLine="0" shrinkToFit="0" readingOrder="0"/>
      <border diagonalUp="0" diagonalDown="0" outline="0">
        <left style="thin">
          <color indexed="64"/>
        </left>
        <right/>
        <top/>
        <bottom/>
      </border>
      <protection locked="1" hidden="1"/>
    </dxf>
    <dxf>
      <font>
        <strike val="0"/>
        <outline val="0"/>
        <shadow val="0"/>
        <u val="none"/>
        <vertAlign val="baseline"/>
        <sz val="11"/>
        <name val="Calibri"/>
        <family val="2"/>
        <scheme val="minor"/>
      </font>
      <numFmt numFmtId="1" formatCode="0"/>
      <fill>
        <patternFill>
          <bgColor rgb="FFFFFFFF"/>
        </patternFill>
      </fill>
      <alignment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1" hidden="1"/>
    </dxf>
    <dxf>
      <font>
        <b val="0"/>
        <i val="0"/>
        <strike val="0"/>
        <condense val="0"/>
        <extend val="0"/>
        <outline val="0"/>
        <shadow val="0"/>
        <u val="none"/>
        <vertAlign val="baseline"/>
        <sz val="11"/>
        <color auto="1"/>
        <name val="Calibri"/>
        <family val="2"/>
        <scheme val="minor"/>
      </font>
      <numFmt numFmtId="1" formatCode="0"/>
      <fill>
        <patternFill patternType="solid">
          <fgColor indexed="64"/>
          <bgColor rgb="FFFFFFFF"/>
        </patternFill>
      </fill>
      <alignment horizontal="general" vertical="bottom" textRotation="0" wrapText="1" indent="0" justifyLastLine="0" shrinkToFit="0" readingOrder="0"/>
      <border diagonalUp="0" diagonalDown="0" outline="0">
        <left style="thin">
          <color indexed="64"/>
        </left>
        <right/>
        <top/>
        <bottom/>
      </border>
      <protection locked="1" hidden="1"/>
    </dxf>
    <dxf>
      <font>
        <b val="0"/>
        <i val="0"/>
        <strike val="0"/>
        <condense val="0"/>
        <extend val="0"/>
        <outline val="0"/>
        <shadow val="0"/>
        <u val="none"/>
        <vertAlign val="baseline"/>
        <sz val="11"/>
        <color theme="4" tint="-0.249977111117893"/>
        <name val="Calibri"/>
        <family val="2"/>
        <scheme val="minor"/>
      </font>
      <numFmt numFmtId="188" formatCode="yyyy/mm/dd"/>
      <fill>
        <patternFill patternType="solid">
          <fgColor theme="4" tint="0.79998168889431442"/>
          <bgColor rgb="FFFFFFFF"/>
        </patternFill>
      </fill>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1" hidden="1"/>
    </dxf>
    <dxf>
      <font>
        <b val="0"/>
        <i val="0"/>
        <strike val="0"/>
        <condense val="0"/>
        <extend val="0"/>
        <outline val="0"/>
        <shadow val="0"/>
        <u val="none"/>
        <vertAlign val="baseline"/>
        <sz val="11"/>
        <color auto="1"/>
        <name val="Calibri"/>
        <family val="2"/>
        <scheme val="minor"/>
      </font>
      <numFmt numFmtId="19" formatCode="m/d/yyyy"/>
      <fill>
        <patternFill patternType="solid">
          <fgColor indexed="64"/>
          <bgColor rgb="FFFFFFFF"/>
        </patternFill>
      </fill>
      <alignment horizontal="general" vertical="bottom" textRotation="0" wrapText="1" indent="0" justifyLastLine="0" shrinkToFit="0" readingOrder="0"/>
      <border diagonalUp="0" diagonalDown="0" outline="0">
        <left style="thin">
          <color indexed="64"/>
        </left>
        <right style="thin">
          <color indexed="64"/>
        </right>
        <top/>
        <bottom/>
      </border>
      <protection locked="1" hidden="1"/>
    </dxf>
    <dxf>
      <font>
        <b val="0"/>
        <i val="0"/>
        <strike val="0"/>
        <condense val="0"/>
        <extend val="0"/>
        <outline val="0"/>
        <shadow val="0"/>
        <u val="none"/>
        <vertAlign val="baseline"/>
        <sz val="11"/>
        <color theme="4" tint="-0.249977111117893"/>
        <name val="Calibri"/>
        <family val="2"/>
        <scheme val="minor"/>
      </font>
      <numFmt numFmtId="1" formatCode="0"/>
      <fill>
        <patternFill patternType="solid">
          <fgColor theme="4" tint="0.79998168889431442"/>
          <bgColor theme="9" tint="0.79998168889431442"/>
        </patternFill>
      </fill>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auto="1"/>
        <name val="Calibri"/>
        <family val="2"/>
        <scheme val="minor"/>
      </font>
      <fill>
        <patternFill patternType="solid">
          <fgColor indexed="64"/>
          <bgColor rgb="FFFFFFFF"/>
        </patternFill>
      </fill>
      <alignment horizontal="general" vertical="bottom" textRotation="0" wrapText="1" indent="0" justifyLastLine="0" shrinkToFit="0" readingOrder="0"/>
      <border diagonalUp="0" diagonalDown="0" outline="0">
        <left style="thin">
          <color indexed="64"/>
        </left>
        <right style="thin">
          <color indexed="64"/>
        </right>
        <top/>
        <bottom/>
      </border>
      <protection locked="1" hidden="1"/>
    </dxf>
    <dxf>
      <font>
        <b val="0"/>
        <i val="0"/>
        <strike val="0"/>
        <condense val="0"/>
        <extend val="0"/>
        <outline val="0"/>
        <shadow val="0"/>
        <u val="none"/>
        <vertAlign val="baseline"/>
        <sz val="11"/>
        <color theme="4" tint="-0.249977111117893"/>
        <name val="Calibri"/>
        <family val="2"/>
        <scheme val="minor"/>
      </font>
      <numFmt numFmtId="1" formatCode="0"/>
      <fill>
        <patternFill patternType="solid">
          <fgColor theme="4" tint="0.79998168889431442"/>
          <bgColor rgb="FFFFFFFF"/>
        </patternFill>
      </fill>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1" hidden="1"/>
    </dxf>
    <dxf>
      <font>
        <b val="0"/>
        <i val="0"/>
        <strike val="0"/>
        <condense val="0"/>
        <extend val="0"/>
        <outline val="0"/>
        <shadow val="0"/>
        <u val="none"/>
        <vertAlign val="baseline"/>
        <sz val="11"/>
        <color auto="1"/>
        <name val="Calibri"/>
        <family val="2"/>
        <scheme val="minor"/>
      </font>
      <fill>
        <patternFill patternType="solid">
          <fgColor indexed="64"/>
          <bgColor rgb="FFFFFFFF"/>
        </patternFill>
      </fill>
      <alignment horizontal="general" vertical="bottom" textRotation="0" wrapText="1" indent="0" justifyLastLine="0" shrinkToFit="0" readingOrder="0"/>
      <border diagonalUp="0" diagonalDown="0" outline="0">
        <left style="thin">
          <color indexed="64"/>
        </left>
        <right style="thin">
          <color indexed="64"/>
        </right>
        <top/>
        <bottom/>
      </border>
      <protection locked="1" hidden="1"/>
    </dxf>
    <dxf>
      <font>
        <b val="0"/>
        <i val="0"/>
        <strike val="0"/>
        <condense val="0"/>
        <extend val="0"/>
        <outline val="0"/>
        <shadow val="0"/>
        <u val="none"/>
        <vertAlign val="baseline"/>
        <sz val="11"/>
        <color theme="4" tint="-0.249977111117893"/>
        <name val="Calibri"/>
        <family val="2"/>
        <scheme val="minor"/>
      </font>
      <numFmt numFmtId="1" formatCode="0"/>
      <fill>
        <patternFill patternType="solid">
          <fgColor theme="4" tint="0.79998168889431442"/>
          <bgColor rgb="FFFFFFFF"/>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1" hidden="1"/>
    </dxf>
    <dxf>
      <font>
        <b val="0"/>
        <i val="0"/>
        <strike val="0"/>
        <condense val="0"/>
        <extend val="0"/>
        <outline val="0"/>
        <shadow val="0"/>
        <u val="none"/>
        <vertAlign val="baseline"/>
        <sz val="11"/>
        <color auto="1"/>
        <name val="Calibri"/>
        <family val="2"/>
        <scheme val="minor"/>
      </font>
      <fill>
        <patternFill patternType="solid">
          <fgColor indexed="64"/>
          <bgColor rgb="FFFFFFFF"/>
        </patternFill>
      </fill>
      <alignment horizontal="general" vertical="bottom" textRotation="0" wrapText="1" indent="0" justifyLastLine="0" shrinkToFit="0" readingOrder="0"/>
      <border diagonalUp="0" diagonalDown="0" outline="0">
        <left style="thin">
          <color indexed="64"/>
        </left>
        <right style="thin">
          <color indexed="64"/>
        </right>
        <top/>
        <bottom/>
      </border>
      <protection locked="1" hidden="1"/>
    </dxf>
    <dxf>
      <font>
        <strike val="0"/>
        <outline val="0"/>
        <shadow val="0"/>
        <u val="none"/>
        <vertAlign val="baseline"/>
        <sz val="11"/>
        <name val="Calibri"/>
        <family val="2"/>
        <scheme val="minor"/>
      </font>
      <numFmt numFmtId="0" formatCode="General"/>
      <fill>
        <patternFill>
          <bgColor rgb="FFFFFFFF"/>
        </patternFill>
      </fill>
      <alignment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1" hidden="1"/>
    </dxf>
    <dxf>
      <font>
        <b val="0"/>
        <i val="0"/>
        <strike val="0"/>
        <condense val="0"/>
        <extend val="0"/>
        <outline val="0"/>
        <shadow val="0"/>
        <u val="none"/>
        <vertAlign val="baseline"/>
        <sz val="11"/>
        <color auto="1"/>
        <name val="Calibri"/>
        <family val="2"/>
        <scheme val="minor"/>
      </font>
      <fill>
        <patternFill patternType="solid">
          <fgColor indexed="64"/>
          <bgColor rgb="FFFFFFFF"/>
        </patternFill>
      </fill>
      <alignment horizontal="general" vertical="bottom" textRotation="0" wrapText="1" indent="0" justifyLastLine="0" shrinkToFit="0" readingOrder="0"/>
      <border diagonalUp="0" diagonalDown="0" outline="0">
        <left style="thin">
          <color indexed="64"/>
        </left>
        <right style="thin">
          <color indexed="64"/>
        </right>
        <top/>
        <bottom/>
      </border>
      <protection locked="1" hidden="1"/>
    </dxf>
    <dxf>
      <font>
        <b val="0"/>
        <i val="0"/>
        <strike val="0"/>
        <condense val="0"/>
        <extend val="0"/>
        <outline val="0"/>
        <shadow val="0"/>
        <u val="none"/>
        <vertAlign val="baseline"/>
        <sz val="11"/>
        <color theme="4" tint="-0.249977111117893"/>
        <name val="Calibri"/>
        <family val="2"/>
        <scheme val="minor"/>
      </font>
      <fill>
        <patternFill patternType="solid">
          <fgColor theme="4" tint="0.79998168889431442"/>
          <bgColor rgb="FFFFFFFF"/>
        </patternFill>
      </fill>
      <border diagonalUp="0" diagonalDown="0" outline="0">
        <left style="thin">
          <color indexed="64"/>
        </left>
        <right style="thin">
          <color indexed="64"/>
        </right>
        <top style="thin">
          <color indexed="64"/>
        </top>
        <bottom style="thin">
          <color indexed="64"/>
        </bottom>
      </border>
      <protection locked="1" hidden="1"/>
    </dxf>
    <dxf>
      <font>
        <b val="0"/>
        <i val="0"/>
        <strike val="0"/>
        <condense val="0"/>
        <extend val="0"/>
        <outline val="0"/>
        <shadow val="0"/>
        <u val="none"/>
        <vertAlign val="baseline"/>
        <sz val="11"/>
        <color auto="1"/>
        <name val="Calibri"/>
        <family val="2"/>
        <scheme val="minor"/>
      </font>
      <fill>
        <patternFill patternType="solid">
          <fgColor indexed="64"/>
          <bgColor rgb="FFFFFFFF"/>
        </patternFill>
      </fill>
      <border diagonalUp="0" diagonalDown="0" outline="0">
        <left/>
        <right style="thin">
          <color indexed="64"/>
        </right>
        <top/>
        <bottom/>
      </border>
      <protection locked="1" hidden="1"/>
    </dxf>
    <dxf>
      <font>
        <b val="0"/>
        <i val="0"/>
        <strike val="0"/>
        <condense val="0"/>
        <extend val="0"/>
        <outline val="0"/>
        <shadow val="0"/>
        <u val="none"/>
        <vertAlign val="baseline"/>
        <sz val="11"/>
        <color theme="4" tint="-0.249977111117893"/>
        <name val="Calibri"/>
        <family val="2"/>
        <scheme val="minor"/>
      </font>
      <numFmt numFmtId="0" formatCode="General"/>
      <fill>
        <patternFill patternType="solid">
          <fgColor theme="4" tint="0.79998168889431442"/>
          <bgColor rgb="FFFFFFFF"/>
        </patternFill>
      </fill>
      <border diagonalUp="0" diagonalDown="0" outline="0">
        <left style="thin">
          <color indexed="64"/>
        </left>
        <right style="thin">
          <color indexed="64"/>
        </right>
        <top style="thin">
          <color indexed="64"/>
        </top>
        <bottom style="thin">
          <color indexed="64"/>
        </bottom>
      </border>
      <protection locked="1" hidden="1"/>
    </dxf>
    <dxf>
      <font>
        <b val="0"/>
        <i val="0"/>
        <strike val="0"/>
        <condense val="0"/>
        <extend val="0"/>
        <outline val="0"/>
        <shadow val="0"/>
        <u val="none"/>
        <vertAlign val="baseline"/>
        <sz val="11"/>
        <color auto="1"/>
        <name val="Calibri"/>
        <family val="2"/>
        <scheme val="minor"/>
      </font>
      <fill>
        <patternFill patternType="solid">
          <fgColor indexed="64"/>
          <bgColor rgb="FFFFFFFF"/>
        </patternFill>
      </fill>
      <border diagonalUp="0" diagonalDown="0" outline="0">
        <left/>
        <right style="thin">
          <color indexed="64"/>
        </right>
        <top/>
        <bottom/>
      </border>
      <protection locked="1" hidden="1"/>
    </dxf>
    <dxf>
      <font>
        <b val="0"/>
        <i val="0"/>
        <strike val="0"/>
        <condense val="0"/>
        <extend val="0"/>
        <outline val="0"/>
        <shadow val="0"/>
        <u val="none"/>
        <vertAlign val="baseline"/>
        <sz val="11"/>
        <color theme="4" tint="-0.249977111117893"/>
        <name val="Calibri"/>
        <family val="2"/>
        <scheme val="minor"/>
      </font>
      <numFmt numFmtId="0" formatCode="General"/>
      <fill>
        <patternFill patternType="solid">
          <fgColor theme="4" tint="0.79998168889431442"/>
          <bgColor rgb="FFFFFFFF"/>
        </patternFill>
      </fill>
      <border diagonalUp="0" diagonalDown="0" outline="0">
        <left style="thin">
          <color indexed="64"/>
        </left>
        <right style="thin">
          <color indexed="64"/>
        </right>
        <top style="thin">
          <color indexed="64"/>
        </top>
        <bottom style="thin">
          <color indexed="64"/>
        </bottom>
      </border>
      <protection locked="1" hidden="1"/>
    </dxf>
    <dxf>
      <font>
        <b val="0"/>
        <i val="0"/>
        <strike val="0"/>
        <condense val="0"/>
        <extend val="0"/>
        <outline val="0"/>
        <shadow val="0"/>
        <u val="none"/>
        <vertAlign val="baseline"/>
        <sz val="11"/>
        <color auto="1"/>
        <name val="Calibri"/>
        <family val="2"/>
        <scheme val="minor"/>
      </font>
      <fill>
        <patternFill patternType="solid">
          <fgColor indexed="64"/>
          <bgColor rgb="FFFFFFFF"/>
        </patternFill>
      </fill>
      <border diagonalUp="0" diagonalDown="0" outline="0">
        <left/>
        <right style="thin">
          <color indexed="64"/>
        </right>
        <top/>
        <bottom/>
      </border>
      <protection locked="1" hidden="1"/>
    </dxf>
    <dxf>
      <font>
        <b val="0"/>
        <i val="0"/>
        <strike val="0"/>
        <condense val="0"/>
        <extend val="0"/>
        <outline val="0"/>
        <shadow val="0"/>
        <u val="none"/>
        <vertAlign val="baseline"/>
        <sz val="11"/>
        <color theme="4" tint="-0.249977111117893"/>
        <name val="Calibri"/>
        <family val="2"/>
        <scheme val="minor"/>
      </font>
      <numFmt numFmtId="0" formatCode="General"/>
      <fill>
        <patternFill patternType="solid">
          <fgColor theme="4" tint="0.79998168889431442"/>
          <bgColor rgb="FFFFFFFF"/>
        </patternFill>
      </fill>
      <border diagonalUp="0" diagonalDown="0" outline="0">
        <left style="thin">
          <color indexed="64"/>
        </left>
        <right style="thin">
          <color indexed="64"/>
        </right>
        <top style="thin">
          <color indexed="64"/>
        </top>
        <bottom style="thin">
          <color indexed="64"/>
        </bottom>
      </border>
      <protection locked="1" hidden="1"/>
    </dxf>
    <dxf>
      <font>
        <b val="0"/>
        <i val="0"/>
        <strike val="0"/>
        <condense val="0"/>
        <extend val="0"/>
        <outline val="0"/>
        <shadow val="0"/>
        <u val="none"/>
        <vertAlign val="baseline"/>
        <sz val="11"/>
        <color auto="1"/>
        <name val="Calibri"/>
        <family val="2"/>
        <scheme val="minor"/>
      </font>
      <fill>
        <patternFill patternType="solid">
          <fgColor indexed="64"/>
          <bgColor rgb="FFFFFFFF"/>
        </patternFill>
      </fill>
      <border diagonalUp="0" diagonalDown="0" outline="0">
        <left/>
        <right style="thin">
          <color indexed="64"/>
        </right>
        <top/>
        <bottom/>
      </border>
      <protection locked="1" hidden="1"/>
    </dxf>
    <dxf>
      <font>
        <b val="0"/>
        <i val="0"/>
        <strike val="0"/>
        <condense val="0"/>
        <extend val="0"/>
        <outline val="0"/>
        <shadow val="0"/>
        <u val="none"/>
        <vertAlign val="baseline"/>
        <sz val="11"/>
        <color theme="4" tint="-0.249977111117893"/>
        <name val="Calibri"/>
        <family val="2"/>
        <scheme val="minor"/>
      </font>
      <numFmt numFmtId="0" formatCode="General"/>
      <fill>
        <patternFill patternType="solid">
          <fgColor theme="4" tint="0.79998168889431442"/>
          <bgColor rgb="FFFFFFFF"/>
        </patternFill>
      </fill>
      <border diagonalUp="0" diagonalDown="0" outline="0">
        <left style="thin">
          <color indexed="64"/>
        </left>
        <right style="thin">
          <color indexed="64"/>
        </right>
        <top style="thin">
          <color indexed="64"/>
        </top>
        <bottom style="thin">
          <color indexed="64"/>
        </bottom>
      </border>
      <protection locked="1" hidden="1"/>
    </dxf>
    <dxf>
      <font>
        <b val="0"/>
        <i val="0"/>
        <strike val="0"/>
        <condense val="0"/>
        <extend val="0"/>
        <outline val="0"/>
        <shadow val="0"/>
        <u val="none"/>
        <vertAlign val="baseline"/>
        <sz val="11"/>
        <color auto="1"/>
        <name val="Calibri"/>
        <family val="2"/>
        <scheme val="minor"/>
      </font>
      <fill>
        <patternFill patternType="solid">
          <fgColor indexed="64"/>
          <bgColor rgb="FFFFFFFF"/>
        </patternFill>
      </fill>
      <border diagonalUp="0" diagonalDown="0" outline="0">
        <left/>
        <right style="thin">
          <color indexed="64"/>
        </right>
        <top/>
        <bottom/>
      </border>
      <protection locked="1" hidden="1"/>
    </dxf>
    <dxf>
      <font>
        <b val="0"/>
        <i val="0"/>
        <strike val="0"/>
        <condense val="0"/>
        <extend val="0"/>
        <outline val="0"/>
        <shadow val="0"/>
        <u val="none"/>
        <vertAlign val="baseline"/>
        <sz val="11"/>
        <color theme="4" tint="-0.249977111117893"/>
        <name val="Calibri"/>
        <family val="2"/>
        <scheme val="minor"/>
      </font>
      <numFmt numFmtId="0" formatCode="General"/>
      <fill>
        <patternFill patternType="solid">
          <fgColor theme="4" tint="0.79998168889431442"/>
          <bgColor rgb="FFFFFFFF"/>
        </patternFill>
      </fill>
      <border diagonalUp="0" diagonalDown="0" outline="0">
        <left style="thin">
          <color indexed="64"/>
        </left>
        <right style="thin">
          <color indexed="64"/>
        </right>
        <top style="thin">
          <color indexed="64"/>
        </top>
        <bottom style="thin">
          <color indexed="64"/>
        </bottom>
      </border>
      <protection locked="1" hidden="1"/>
    </dxf>
    <dxf>
      <font>
        <b val="0"/>
        <i val="0"/>
        <strike val="0"/>
        <condense val="0"/>
        <extend val="0"/>
        <outline val="0"/>
        <shadow val="0"/>
        <u val="none"/>
        <vertAlign val="baseline"/>
        <sz val="11"/>
        <color auto="1"/>
        <name val="Calibri"/>
        <family val="2"/>
        <scheme val="minor"/>
      </font>
      <fill>
        <patternFill patternType="solid">
          <fgColor indexed="64"/>
          <bgColor rgb="FFFFFFFF"/>
        </patternFill>
      </fill>
      <border diagonalUp="0" diagonalDown="0" outline="0">
        <left/>
        <right style="thin">
          <color indexed="64"/>
        </right>
        <top/>
        <bottom/>
      </border>
      <protection locked="1" hidden="1"/>
    </dxf>
    <dxf>
      <font>
        <strike val="0"/>
        <outline val="0"/>
        <shadow val="0"/>
        <u val="none"/>
        <vertAlign val="baseline"/>
        <sz val="11"/>
        <name val="Calibri"/>
        <family val="2"/>
        <scheme val="minor"/>
      </font>
      <fill>
        <patternFill>
          <bgColor rgb="FFFFFFFF"/>
        </patternFill>
      </fill>
      <border diagonalUp="0" diagonalDown="0" outline="0">
        <left/>
        <right style="thin">
          <color indexed="64"/>
        </right>
        <top style="thin">
          <color indexed="64"/>
        </top>
        <bottom style="thin">
          <color indexed="64"/>
        </bottom>
      </border>
      <protection locked="1" hidden="1"/>
    </dxf>
    <dxf>
      <font>
        <b val="0"/>
        <i val="0"/>
        <strike val="0"/>
        <condense val="0"/>
        <extend val="0"/>
        <outline val="0"/>
        <shadow val="0"/>
        <u val="none"/>
        <vertAlign val="baseline"/>
        <sz val="11"/>
        <color auto="1"/>
        <name val="Calibri"/>
        <family val="2"/>
        <scheme val="minor"/>
      </font>
      <fill>
        <patternFill patternType="solid">
          <fgColor indexed="64"/>
          <bgColor rgb="FFFFFFFF"/>
        </patternFill>
      </fill>
      <border diagonalUp="0" diagonalDown="0" outline="0">
        <left/>
        <right style="thin">
          <color indexed="64"/>
        </right>
        <top/>
        <bottom/>
      </border>
      <protection locked="1" hidden="1"/>
    </dxf>
    <dxf>
      <border outline="0">
        <bottom style="thin">
          <color theme="4"/>
        </bottom>
      </border>
    </dxf>
    <dxf>
      <border outline="0">
        <top style="thin">
          <color theme="4"/>
        </top>
        <bottom style="thin">
          <color theme="4"/>
        </bottom>
      </border>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fill>
        <patternFill>
          <bgColor rgb="FFFFFFFF"/>
        </patternFill>
      </fill>
    </dxf>
    <dxf>
      <font>
        <b/>
        <i val="0"/>
        <strike val="0"/>
        <condense val="0"/>
        <extend val="0"/>
        <outline val="0"/>
        <shadow val="0"/>
        <u val="none"/>
        <vertAlign val="baseline"/>
        <sz val="14"/>
        <color theme="4" tint="-0.249977111117893"/>
        <name val="Calibri"/>
        <family val="2"/>
        <scheme val="minor"/>
      </font>
      <fill>
        <patternFill>
          <bgColor rgb="FFFFFFFF"/>
        </patternFill>
      </fill>
      <border diagonalUp="0" diagonalDown="0" outline="0">
        <left style="thin">
          <color indexed="64"/>
        </left>
        <right style="thin">
          <color indexed="64"/>
        </right>
        <top/>
        <bottom/>
      </border>
    </dxf>
    <dxf>
      <fill>
        <patternFill>
          <bgColor theme="1" tint="0.24994659260841701"/>
        </patternFill>
      </fill>
    </dxf>
    <dxf>
      <fill>
        <patternFill>
          <bgColor theme="9" tint="-0.24994659260841701"/>
        </patternFill>
      </fill>
    </dxf>
    <dxf>
      <font>
        <b val="0"/>
        <i val="0"/>
        <strike val="0"/>
        <condense val="0"/>
        <extend val="0"/>
        <outline val="0"/>
        <shadow val="0"/>
        <u val="none"/>
        <vertAlign val="baseline"/>
        <sz val="10"/>
        <color auto="1"/>
        <name val="Arial"/>
        <family val="2"/>
        <scheme val="none"/>
      </font>
      <fill>
        <patternFill patternType="none">
          <fgColor indexed="64"/>
          <bgColor indexed="65"/>
        </patternFill>
      </fill>
    </dxf>
    <dxf>
      <font>
        <b val="0"/>
        <i val="0"/>
        <strike val="0"/>
        <condense val="0"/>
        <extend val="0"/>
        <outline val="0"/>
        <shadow val="0"/>
        <u val="none"/>
        <vertAlign val="baseline"/>
        <sz val="10"/>
        <color auto="1"/>
        <name val="Arial"/>
        <family val="2"/>
        <scheme val="none"/>
      </font>
      <fill>
        <patternFill patternType="none">
          <fgColor indexed="64"/>
          <bgColor indexed="65"/>
        </patternFill>
      </fill>
    </dxf>
    <dxf>
      <font>
        <b/>
        <strike val="0"/>
        <outline val="0"/>
        <shadow val="0"/>
        <u val="none"/>
        <vertAlign val="baseline"/>
        <name val="Arial"/>
        <family val="2"/>
        <scheme val="none"/>
      </font>
      <numFmt numFmtId="0" formatCode="General"/>
      <fill>
        <patternFill patternType="none">
          <fgColor indexed="64"/>
          <bgColor auto="1"/>
        </patternFill>
      </fill>
      <alignment horizontal="center" vertical="top" textRotation="0" wrapText="1" indent="0" justifyLastLine="0" shrinkToFit="0" readingOrder="0"/>
    </dxf>
    <dxf>
      <font>
        <b/>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top" textRotation="0" wrapText="1" indent="0" justifyLastLine="0" shrinkToFit="0" readingOrder="0"/>
    </dxf>
    <dxf>
      <font>
        <strike val="0"/>
        <outline val="0"/>
        <shadow val="0"/>
        <u val="none"/>
        <vertAlign val="baseline"/>
        <name val="Arial"/>
        <family val="2"/>
        <scheme val="none"/>
      </font>
      <alignment horizontal="center"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center" vertical="top" textRotation="0" wrapText="1" indent="0" justifyLastLine="0" shrinkToFit="0" readingOrder="0"/>
    </dxf>
    <dxf>
      <font>
        <strike val="0"/>
        <outline val="0"/>
        <shadow val="0"/>
        <u val="none"/>
        <vertAlign val="baseline"/>
        <name val="Arial"/>
        <family val="2"/>
        <scheme val="none"/>
      </font>
      <alignment horizontal="center"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center" vertical="top" textRotation="0" wrapText="1" indent="0" justifyLastLine="0" shrinkToFit="0" readingOrder="0"/>
    </dxf>
    <dxf>
      <font>
        <strike val="0"/>
        <outline val="0"/>
        <shadow val="0"/>
        <u val="none"/>
        <vertAlign val="baseline"/>
        <name val="Arial"/>
        <family val="2"/>
        <scheme val="none"/>
      </font>
      <alignment horizontal="center"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center" vertical="top" textRotation="0" wrapText="1" indent="0" justifyLastLine="0" shrinkToFit="0" readingOrder="0"/>
    </dxf>
    <dxf>
      <font>
        <strike val="0"/>
        <outline val="0"/>
        <shadow val="0"/>
        <u val="none"/>
        <vertAlign val="baseline"/>
        <name val="Arial"/>
        <family val="2"/>
        <scheme val="none"/>
      </font>
      <alignment horizontal="center"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center" vertical="top" textRotation="0" wrapText="1" indent="0" justifyLastLine="0" shrinkToFit="0" readingOrder="0"/>
    </dxf>
    <dxf>
      <font>
        <strike val="0"/>
        <outline val="0"/>
        <shadow val="0"/>
        <u val="none"/>
        <vertAlign val="baseline"/>
        <name val="Arial"/>
        <family val="2"/>
        <scheme val="none"/>
      </font>
      <alignment horizontal="center"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center" vertical="top" textRotation="0" wrapText="1" indent="0" justifyLastLine="0" shrinkToFit="0" readingOrder="0"/>
    </dxf>
    <dxf>
      <font>
        <strike val="0"/>
        <outline val="0"/>
        <shadow val="0"/>
        <u val="none"/>
        <vertAlign val="baseline"/>
        <name val="Arial"/>
        <family val="2"/>
        <scheme val="none"/>
      </font>
      <alignment horizontal="center"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center" vertical="top" textRotation="0" wrapText="1" indent="0" justifyLastLine="0" shrinkToFit="0" readingOrder="0"/>
    </dxf>
    <dxf>
      <font>
        <strike val="0"/>
        <outline val="0"/>
        <shadow val="0"/>
        <u val="none"/>
        <vertAlign val="baseline"/>
        <name val="Arial"/>
        <family val="2"/>
        <scheme val="none"/>
      </font>
      <alignment horizontal="center"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center" vertical="top" textRotation="0" wrapText="1" indent="0" justifyLastLine="0" shrinkToFit="0" readingOrder="0"/>
    </dxf>
    <dxf>
      <font>
        <b val="0"/>
        <i val="0"/>
        <strike val="0"/>
        <condense val="0"/>
        <extend val="0"/>
        <outline val="0"/>
        <shadow val="0"/>
        <u val="none"/>
        <vertAlign val="baseline"/>
        <sz val="10"/>
        <color auto="1"/>
        <name val="Arial"/>
        <family val="2"/>
        <scheme val="none"/>
      </font>
      <numFmt numFmtId="171" formatCode="&quot;$&quot;#,##0.00"/>
      <alignment horizontal="general"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auto="1"/>
        <name val="Arial"/>
        <family val="2"/>
        <scheme val="none"/>
      </font>
      <numFmt numFmtId="171" formatCode="&quot;$&quot;#,##0.00"/>
      <alignment horizontal="general"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auto="1"/>
        <name val="Arial"/>
        <family val="2"/>
        <scheme val="none"/>
      </font>
      <numFmt numFmtId="171" formatCode="&quot;$&quot;#,##0.00"/>
      <alignment horizontal="general"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auto="1"/>
        <name val="Arial"/>
        <family val="2"/>
        <scheme val="none"/>
      </font>
      <numFmt numFmtId="171" formatCode="&quot;$&quot;#,##0.00"/>
      <alignment horizontal="general"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1" indent="0" justifyLastLine="0" shrinkToFit="0" readingOrder="0"/>
    </dxf>
    <dxf>
      <font>
        <strike val="0"/>
        <outline val="0"/>
        <shadow val="0"/>
        <u val="none"/>
        <vertAlign val="baseline"/>
        <name val="Arial"/>
        <family val="2"/>
        <scheme val="none"/>
      </font>
      <alignment vertical="top" wrapText="1"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1" indent="0" justifyLastLine="0" shrinkToFit="0" readingOrder="0"/>
    </dxf>
    <dxf>
      <font>
        <strike val="0"/>
        <outline val="0"/>
        <shadow val="0"/>
        <u val="none"/>
        <vertAlign val="baseline"/>
        <name val="Arial"/>
        <family val="2"/>
        <scheme val="none"/>
      </font>
      <alignment vertical="top" wrapText="1"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1" indent="0" justifyLastLine="0" shrinkToFit="0" readingOrder="0"/>
    </dxf>
    <dxf>
      <font>
        <strike val="0"/>
        <outline val="0"/>
        <shadow val="0"/>
        <u val="none"/>
        <vertAlign val="baseline"/>
        <name val="Arial"/>
        <family val="2"/>
        <scheme val="none"/>
      </font>
      <alignment vertical="top" wrapText="1"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1" indent="0" justifyLastLine="0" shrinkToFit="0" readingOrder="0"/>
    </dxf>
    <dxf>
      <font>
        <strike val="0"/>
        <outline val="0"/>
        <shadow val="0"/>
        <u val="none"/>
        <vertAlign val="baseline"/>
        <name val="Arial"/>
        <family val="2"/>
        <scheme val="none"/>
      </font>
      <alignment vertical="top" wrapText="1"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1" indent="0" justifyLastLine="0" shrinkToFit="0" readingOrder="0"/>
    </dxf>
    <dxf>
      <font>
        <strike val="0"/>
        <outline val="0"/>
        <shadow val="0"/>
        <u val="none"/>
        <vertAlign val="baseline"/>
        <name val="Arial"/>
        <family val="2"/>
        <scheme val="none"/>
      </font>
      <alignment vertical="top" wrapText="1"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1" indent="0" justifyLastLine="0" shrinkToFit="0" readingOrder="0"/>
    </dxf>
    <dxf>
      <font>
        <strike val="0"/>
        <outline val="0"/>
        <shadow val="0"/>
        <u val="none"/>
        <vertAlign val="baseline"/>
        <name val="Arial"/>
        <family val="2"/>
        <scheme val="none"/>
      </font>
      <alignment horizontal="center"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center" vertical="top" textRotation="0" wrapText="1" indent="0" justifyLastLine="0" shrinkToFit="0" readingOrder="0"/>
    </dxf>
    <dxf>
      <font>
        <strike val="0"/>
        <outline val="0"/>
        <shadow val="0"/>
        <u val="none"/>
        <vertAlign val="baseline"/>
        <name val="Arial"/>
        <family val="2"/>
        <scheme val="none"/>
      </font>
      <alignment vertical="top" wrapText="1" indent="0" justifyLastLine="0" shrinkToFit="0" readingOrder="0"/>
    </dxf>
    <dxf>
      <font>
        <strike val="0"/>
        <outline val="0"/>
        <shadow val="0"/>
        <u val="none"/>
        <vertAlign val="baseline"/>
        <color rgb="FFFFFFFF"/>
        <name val="Arial"/>
        <family val="2"/>
        <scheme val="none"/>
      </font>
      <fill>
        <patternFill patternType="solid">
          <fgColor indexed="64"/>
          <bgColor theme="3"/>
        </patternFill>
      </fill>
      <alignment horizontal="general" vertical="top" textRotation="90" wrapText="1"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1" indent="0" justifyLastLine="0" shrinkToFit="0" readingOrder="0"/>
    </dxf>
    <dxf>
      <border outline="0">
        <bottom style="thin">
          <color rgb="FFA6A6A6"/>
        </bottom>
      </border>
    </dxf>
    <dxf>
      <border outline="0">
        <top style="medium">
          <color rgb="FFA6A6A6"/>
        </top>
        <bottom style="medium">
          <color rgb="FFA6A6A6"/>
        </bottom>
      </border>
    </dxf>
    <dxf>
      <font>
        <b val="0"/>
        <i val="0"/>
        <strike val="0"/>
        <condense val="0"/>
        <extend val="0"/>
        <outline val="0"/>
        <shadow val="0"/>
        <u val="none"/>
        <vertAlign val="baseline"/>
        <sz val="10"/>
        <color auto="1"/>
        <name val="Arial"/>
        <family val="2"/>
        <scheme val="none"/>
      </font>
      <alignment horizontal="general" vertical="top" textRotation="0" wrapText="1" indent="0" justifyLastLine="0" shrinkToFit="0" readingOrder="0"/>
    </dxf>
    <dxf>
      <font>
        <strike val="0"/>
        <outline val="0"/>
        <shadow val="0"/>
        <u val="none"/>
        <vertAlign val="baseline"/>
        <sz val="9"/>
        <color auto="1"/>
        <name val="Arial"/>
        <family val="2"/>
        <scheme val="none"/>
      </font>
    </dxf>
    <dxf>
      <font>
        <b val="0"/>
        <i val="0"/>
        <strike val="0"/>
        <condense val="0"/>
        <extend val="0"/>
        <outline val="0"/>
        <shadow val="0"/>
        <u val="none"/>
        <vertAlign val="baseline"/>
        <sz val="10"/>
        <color auto="1"/>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1" indent="0" justifyLastLine="0" shrinkToFit="0" readingOrder="0"/>
    </dxf>
    <dxf>
      <border outline="0">
        <bottom style="thin">
          <color rgb="FFA6A6A6"/>
        </bottom>
      </border>
    </dxf>
    <dxf>
      <border outline="0">
        <top style="medium">
          <color rgb="FFA6A6A6"/>
        </top>
        <bottom style="medium">
          <color rgb="FFA6A6A6"/>
        </bottom>
      </border>
    </dxf>
    <dxf>
      <font>
        <b val="0"/>
        <i val="0"/>
        <strike val="0"/>
        <condense val="0"/>
        <extend val="0"/>
        <outline val="0"/>
        <shadow val="0"/>
        <u val="none"/>
        <vertAlign val="baseline"/>
        <sz val="10"/>
        <color auto="1"/>
        <name val="Arial"/>
        <family val="2"/>
        <scheme val="none"/>
      </font>
      <alignment horizontal="general" vertical="top" textRotation="0" wrapText="1" indent="0" justifyLastLine="0" shrinkToFit="0" readingOrder="0"/>
    </dxf>
    <dxf>
      <font>
        <strike val="0"/>
        <outline val="0"/>
        <shadow val="0"/>
        <u val="none"/>
        <vertAlign val="baseline"/>
        <sz val="9"/>
        <color auto="1"/>
        <name val="Arial"/>
        <family val="2"/>
        <scheme val="none"/>
      </font>
      <fill>
        <patternFill patternType="none">
          <fgColor indexed="64"/>
          <bgColor auto="1"/>
        </patternFill>
      </fill>
    </dxf>
    <dxf>
      <font>
        <b val="0"/>
        <i val="0"/>
        <strike val="0"/>
        <condense val="0"/>
        <extend val="0"/>
        <outline val="0"/>
        <shadow val="0"/>
        <u val="none"/>
        <vertAlign val="baseline"/>
        <sz val="10"/>
        <color auto="1"/>
        <name val="Arial"/>
        <family val="2"/>
        <scheme val="none"/>
      </font>
      <fill>
        <patternFill patternType="none">
          <fgColor indexed="64"/>
          <bgColor indexed="65"/>
        </patternFill>
      </fill>
    </dxf>
    <dxf>
      <font>
        <b val="0"/>
        <i val="0"/>
        <strike val="0"/>
        <condense val="0"/>
        <extend val="0"/>
        <outline val="0"/>
        <shadow val="0"/>
        <u val="none"/>
        <vertAlign val="baseline"/>
        <sz val="10"/>
        <color auto="1"/>
        <name val="Arial"/>
        <family val="2"/>
        <scheme val="none"/>
      </font>
      <fill>
        <patternFill patternType="none">
          <fgColor indexed="64"/>
          <bgColor indexed="65"/>
        </patternFill>
      </fill>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center"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center"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center"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center"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center"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center"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center"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center"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center"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center"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center"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center"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center" vertical="top" textRotation="0" wrapText="1" indent="0" justifyLastLine="0" shrinkToFit="0" readingOrder="0"/>
    </dxf>
    <dxf>
      <font>
        <b/>
        <i val="0"/>
        <strike val="0"/>
        <condense val="0"/>
        <extend val="0"/>
        <outline val="0"/>
        <shadow val="0"/>
        <u val="none"/>
        <vertAlign val="baseline"/>
        <sz val="10"/>
        <color auto="1"/>
        <name val="Calibri"/>
        <family val="2"/>
        <scheme val="minor"/>
      </font>
      <numFmt numFmtId="3" formatCode="#,##0"/>
      <alignment horizontal="center"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center"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center"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center"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center"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center"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center"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center"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center"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center"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center"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center"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center"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center" vertical="top" textRotation="0" wrapText="1" indent="0" justifyLastLine="0" shrinkToFit="0" readingOrder="0"/>
    </dxf>
    <dxf>
      <font>
        <strike val="0"/>
        <outline val="0"/>
        <shadow val="0"/>
        <u val="none"/>
        <vertAlign val="baseline"/>
        <sz val="10"/>
        <name val="Calibri"/>
        <family val="2"/>
        <scheme val="minor"/>
      </font>
      <alignment horizontal="center"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center" vertical="top" textRotation="0" wrapText="1" indent="0" justifyLastLine="0" shrinkToFit="0" readingOrder="0"/>
    </dxf>
    <dxf>
      <font>
        <b/>
        <strike val="0"/>
        <outline val="0"/>
        <shadow val="0"/>
        <u val="none"/>
        <vertAlign val="baseline"/>
        <sz val="10"/>
        <name val="Calibri"/>
        <family val="2"/>
        <scheme val="minor"/>
      </font>
      <numFmt numFmtId="0" formatCode="General"/>
      <fill>
        <patternFill patternType="none">
          <fgColor indexed="64"/>
          <bgColor auto="1"/>
        </patternFill>
      </fill>
      <alignment horizontal="center" vertical="top" textRotation="0" wrapText="1" indent="0" justifyLastLine="0" shrinkToFit="0" readingOrder="0"/>
    </dxf>
    <dxf>
      <font>
        <b/>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center"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center"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center"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center"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center" vertical="top" textRotation="0" wrapText="1" indent="0" justifyLastLine="0" shrinkToFit="0" readingOrder="0"/>
    </dxf>
    <dxf>
      <font>
        <strike val="0"/>
        <outline val="0"/>
        <shadow val="0"/>
        <u val="none"/>
        <vertAlign val="baseline"/>
        <sz val="10"/>
        <name val="Calibri"/>
        <family val="2"/>
        <scheme val="minor"/>
      </font>
      <numFmt numFmtId="3" formatCode="#,##0"/>
      <alignment horizontal="center"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center" vertical="top" textRotation="0" wrapText="1" indent="0" justifyLastLine="0" shrinkToFit="0" readingOrder="0"/>
    </dxf>
    <dxf>
      <font>
        <strike val="0"/>
        <outline val="0"/>
        <shadow val="0"/>
        <u val="none"/>
        <vertAlign val="baseline"/>
        <sz val="10"/>
        <name val="Calibri"/>
        <family val="2"/>
        <scheme val="minor"/>
      </font>
      <numFmt numFmtId="3" formatCode="#,##0"/>
      <alignment horizontal="center"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center" vertical="top" textRotation="0" wrapText="1" indent="0" justifyLastLine="0" shrinkToFit="0" readingOrder="0"/>
    </dxf>
    <dxf>
      <font>
        <strike val="0"/>
        <outline val="0"/>
        <shadow val="0"/>
        <u val="none"/>
        <vertAlign val="baseline"/>
        <sz val="10"/>
        <name val="Calibri"/>
        <family val="2"/>
        <scheme val="minor"/>
      </font>
      <numFmt numFmtId="3" formatCode="#,##0"/>
      <alignment horizontal="center"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center" vertical="top" textRotation="0" wrapText="1" indent="0" justifyLastLine="0" shrinkToFit="0" readingOrder="0"/>
    </dxf>
    <dxf>
      <font>
        <strike val="0"/>
        <outline val="0"/>
        <shadow val="0"/>
        <u val="none"/>
        <vertAlign val="baseline"/>
        <sz val="10"/>
        <name val="Calibri"/>
        <family val="2"/>
        <scheme val="minor"/>
      </font>
      <numFmt numFmtId="3" formatCode="#,##0"/>
      <alignment horizontal="center"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center" vertical="top" textRotation="0" wrapText="1" indent="0" justifyLastLine="0" shrinkToFit="0" readingOrder="0"/>
    </dxf>
    <dxf>
      <font>
        <strike val="0"/>
        <outline val="0"/>
        <shadow val="0"/>
        <u val="none"/>
        <vertAlign val="baseline"/>
        <sz val="10"/>
        <name val="Calibri"/>
        <family val="2"/>
        <scheme val="minor"/>
      </font>
      <numFmt numFmtId="3" formatCode="#,##0"/>
      <alignment horizontal="center"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center" vertical="top" textRotation="0" wrapText="1" indent="0" justifyLastLine="0" shrinkToFit="0" readingOrder="0"/>
    </dxf>
    <dxf>
      <font>
        <strike val="0"/>
        <outline val="0"/>
        <shadow val="0"/>
        <u val="none"/>
        <vertAlign val="baseline"/>
        <sz val="10"/>
        <name val="Calibri"/>
        <family val="2"/>
        <scheme val="minor"/>
      </font>
      <numFmt numFmtId="3" formatCode="#,##0"/>
      <alignment horizontal="center"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center" vertical="top" textRotation="0" wrapText="1" indent="0" justifyLastLine="0" shrinkToFit="0" readingOrder="0"/>
    </dxf>
    <dxf>
      <font>
        <strike val="0"/>
        <outline val="0"/>
        <shadow val="0"/>
        <u val="none"/>
        <vertAlign val="baseline"/>
        <sz val="10"/>
        <name val="Calibri"/>
        <family val="2"/>
        <scheme val="minor"/>
      </font>
      <numFmt numFmtId="3" formatCode="#,##0"/>
      <alignment horizontal="center"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center"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solid">
          <fgColor indexed="64"/>
          <bgColor rgb="FF92D050"/>
        </patternFill>
      </fill>
      <alignment horizontal="center"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171" formatCode="&quot;$&quot;#,##0.00"/>
      <alignment horizontal="center"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171" formatCode="&quot;$&quot;#,##0.00"/>
      <alignment horizontal="center"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1" indent="0" justifyLastLine="0" shrinkToFit="0" readingOrder="0"/>
    </dxf>
    <dxf>
      <font>
        <strike val="0"/>
        <outline val="0"/>
        <shadow val="0"/>
        <u val="none"/>
        <vertAlign val="baseline"/>
        <sz val="10"/>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fill>
        <patternFill patternType="solid">
          <fgColor indexed="64"/>
          <bgColor rgb="FFFFFFCC"/>
        </patternFill>
      </fill>
      <alignment horizontal="general"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1" indent="0" justifyLastLine="0" shrinkToFit="0" readingOrder="0"/>
    </dxf>
    <dxf>
      <font>
        <strike val="0"/>
        <outline val="0"/>
        <shadow val="0"/>
        <u val="none"/>
        <vertAlign val="baseline"/>
        <sz val="10"/>
        <name val="Calibri"/>
        <family val="2"/>
        <scheme val="minor"/>
      </font>
      <alignment vertical="top" wrapText="1"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fill>
        <patternFill patternType="solid">
          <fgColor indexed="64"/>
          <bgColor rgb="FFFFFFCC"/>
        </patternFill>
      </fill>
      <alignment horizontal="general"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1" indent="0" justifyLastLine="0" shrinkToFit="0" readingOrder="0"/>
    </dxf>
    <dxf>
      <font>
        <strike val="0"/>
        <outline val="0"/>
        <shadow val="0"/>
        <u val="none"/>
        <vertAlign val="baseline"/>
        <sz val="10"/>
        <name val="Calibri"/>
        <family val="2"/>
        <scheme val="minor"/>
      </font>
      <alignment vertical="top" wrapText="1"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1" indent="0" justifyLastLine="0" shrinkToFit="0" readingOrder="0"/>
    </dxf>
    <dxf>
      <font>
        <strike val="0"/>
        <outline val="0"/>
        <shadow val="0"/>
        <u val="none"/>
        <vertAlign val="baseline"/>
        <sz val="10"/>
        <name val="Calibri"/>
        <family val="2"/>
        <scheme val="minor"/>
      </font>
      <alignment vertical="top" wrapText="1"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1" indent="0" justifyLastLine="0" shrinkToFit="0" readingOrder="0"/>
    </dxf>
    <dxf>
      <font>
        <strike val="0"/>
        <outline val="0"/>
        <shadow val="0"/>
        <u val="none"/>
        <vertAlign val="baseline"/>
        <sz val="10"/>
        <name val="Calibri"/>
        <family val="2"/>
        <scheme val="minor"/>
      </font>
      <alignment vertical="top" wrapText="1"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1" indent="0" justifyLastLine="0" shrinkToFit="0" readingOrder="0"/>
    </dxf>
    <dxf>
      <font>
        <strike val="0"/>
        <outline val="0"/>
        <shadow val="0"/>
        <u val="none"/>
        <vertAlign val="baseline"/>
        <sz val="10"/>
        <name val="Calibri"/>
        <family val="2"/>
        <scheme val="none"/>
      </font>
    </dxf>
    <dxf>
      <font>
        <strike val="0"/>
        <outline val="0"/>
        <shadow val="0"/>
        <u val="none"/>
        <vertAlign val="baseline"/>
        <sz val="10"/>
        <name val="Calibri"/>
        <family val="2"/>
        <scheme val="none"/>
      </font>
      <alignment vertical="top" wrapText="1" indent="0" justifyLastLine="0" shrinkToFit="0" readingOrder="0"/>
    </dxf>
    <dxf>
      <font>
        <strike val="0"/>
        <outline val="0"/>
        <shadow val="0"/>
        <u val="none"/>
        <vertAlign val="baseline"/>
        <sz val="10"/>
        <name val="Calibri"/>
        <family val="2"/>
        <scheme val="minor"/>
      </font>
      <alignment horizontal="general" vertical="top" textRotation="90" wrapText="1" indent="0" justifyLastLine="0" shrinkToFit="0" readingOrder="0"/>
    </dxf>
    <dxf>
      <font>
        <b val="0"/>
        <i/>
        <color theme="0" tint="-0.24994659260841701"/>
      </font>
    </dxf>
    <dxf>
      <font>
        <b val="0"/>
        <i/>
        <color theme="0" tint="-0.24994659260841701"/>
      </font>
    </dxf>
    <dxf>
      <font>
        <b val="0"/>
        <i/>
        <color theme="0" tint="-0.24994659260841701"/>
      </font>
    </dxf>
    <dxf>
      <font>
        <b val="0"/>
        <i/>
        <color theme="0" tint="-0.24994659260841701"/>
      </font>
    </dxf>
    <dxf>
      <font>
        <color rgb="FF9C0006"/>
      </font>
      <fill>
        <patternFill>
          <bgColor rgb="FFFFC7CE"/>
        </patternFill>
      </fill>
    </dxf>
    <dxf>
      <fill>
        <patternFill patternType="solid">
          <fgColor indexed="64"/>
          <bgColor rgb="FFFFFFFF"/>
        </patternFill>
      </fill>
      <border diagonalUp="0" diagonalDown="0">
        <left style="thin">
          <color indexed="64"/>
        </left>
        <right/>
        <top style="thin">
          <color indexed="64"/>
        </top>
        <bottom style="thin">
          <color indexed="64"/>
        </bottom>
        <vertical style="thin">
          <color indexed="64"/>
        </vertical>
        <horizontal style="thin">
          <color indexed="64"/>
        </horizontal>
      </border>
    </dxf>
    <dxf>
      <fill>
        <patternFill patternType="solid">
          <fgColor indexed="64"/>
          <bgColor rgb="FFFFFFFF"/>
        </patternFill>
      </fill>
      <border diagonalUp="0" diagonalDown="0" outline="0">
        <left style="thin">
          <color indexed="64"/>
        </left>
        <right style="thin">
          <color indexed="64"/>
        </right>
        <top style="thin">
          <color indexed="64"/>
        </top>
        <bottom style="thin">
          <color indexed="64"/>
        </bottom>
      </border>
    </dxf>
    <dxf>
      <numFmt numFmtId="0" formatCode="General"/>
      <fill>
        <patternFill patternType="solid">
          <fgColor indexed="64"/>
          <bgColor rgb="FFFFFFFF"/>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rgb="FFFFFFFF"/>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rgb="FFFFFFFF"/>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rgb="FFFFFFFF"/>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rgb="FFFFFFFF"/>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rgb="FFFFFFFF"/>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rgb="FFFFFFFF"/>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rgb="FFFFFFFF"/>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rgb="FFFFFFFF"/>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rgb="FFFFFFFF"/>
        </patternFill>
      </fill>
      <border diagonalUp="0" diagonalDown="0" outline="0">
        <left style="thin">
          <color indexed="64"/>
        </left>
        <right style="thin">
          <color indexed="64"/>
        </right>
        <top style="thin">
          <color indexed="64"/>
        </top>
        <bottom style="thin">
          <color indexed="64"/>
        </bottom>
      </border>
    </dxf>
    <dxf>
      <numFmt numFmtId="0" formatCode="General"/>
      <fill>
        <patternFill patternType="solid">
          <fgColor indexed="64"/>
          <bgColor rgb="FFFFFFFF"/>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rgb="FFFFFFFF"/>
        </patternFill>
      </fill>
      <border diagonalUp="0" diagonalDown="0" outline="0">
        <left style="thin">
          <color indexed="64"/>
        </left>
        <right style="thin">
          <color indexed="64"/>
        </right>
        <top style="thin">
          <color indexed="64"/>
        </top>
        <bottom style="thin">
          <color indexed="64"/>
        </bottom>
      </border>
    </dxf>
    <dxf>
      <numFmt numFmtId="0" formatCode="General"/>
      <fill>
        <patternFill patternType="solid">
          <fgColor indexed="64"/>
          <bgColor rgb="FFFFFFFF"/>
        </patternFill>
      </fill>
      <alignment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rgb="FFFFFFFF"/>
        </patternFill>
      </fill>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rgb="FFFFFFFF"/>
        </patternFill>
      </fill>
      <border diagonalUp="0" diagonalDown="0">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rgb="FFFFFFFF"/>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rgb="FFFFFFFF"/>
        </patternFill>
      </fill>
      <border diagonalUp="0" diagonalDown="0">
        <left style="thin">
          <color indexed="64"/>
        </left>
        <right style="thin">
          <color indexed="64"/>
        </right>
        <top/>
        <bottom/>
        <vertical style="thin">
          <color indexed="64"/>
        </vertical>
        <horizontal style="thin">
          <color indexed="64"/>
        </horizontal>
      </border>
    </dxf>
    <dxf>
      <fill>
        <patternFill patternType="solid">
          <fgColor indexed="64"/>
          <bgColor rgb="FFFFFFFF"/>
        </patternFill>
      </fill>
    </dxf>
    <dxf>
      <fill>
        <patternFill patternType="solid">
          <fgColor indexed="64"/>
          <bgColor rgb="FFFFFFFF"/>
        </patternFill>
      </fill>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strike val="0"/>
        <outline val="0"/>
        <shadow val="0"/>
        <u val="none"/>
        <vertAlign val="baseline"/>
        <sz val="11"/>
        <name val="Calibri"/>
        <family val="2"/>
        <scheme val="minor"/>
      </font>
      <numFmt numFmtId="1" formatCode="0"/>
      <fill>
        <patternFill>
          <bgColor rgb="FFFFFFFF"/>
        </patternFill>
      </fill>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solid">
          <fgColor indexed="64"/>
          <bgColor rgb="FFFFFFFF"/>
        </patternFill>
      </fill>
      <border diagonalUp="0" diagonalDown="0" outline="0">
        <left style="thin">
          <color indexed="64"/>
        </left>
        <right/>
        <top/>
        <bottom/>
      </border>
    </dxf>
    <dxf>
      <font>
        <strike val="0"/>
        <outline val="0"/>
        <shadow val="0"/>
        <u val="none"/>
        <vertAlign val="baseline"/>
        <sz val="11"/>
        <name val="Calibri"/>
        <family val="2"/>
        <scheme val="minor"/>
      </font>
      <numFmt numFmtId="1" formatCode="0"/>
      <fill>
        <patternFill>
          <bgColor rgb="FFFFFFFF"/>
        </patternFill>
      </fill>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solid">
          <fgColor indexed="64"/>
          <bgColor rgb="FFFFFFFF"/>
        </patternFill>
      </fill>
      <border diagonalUp="0" diagonalDown="0" outline="0">
        <left style="thin">
          <color indexed="64"/>
        </left>
        <right/>
        <top/>
        <bottom/>
      </border>
    </dxf>
    <dxf>
      <font>
        <strike val="0"/>
        <outline val="0"/>
        <shadow val="0"/>
        <u val="none"/>
        <vertAlign val="baseline"/>
        <sz val="11"/>
        <name val="Calibri"/>
        <family val="2"/>
        <scheme val="minor"/>
      </font>
      <numFmt numFmtId="1" formatCode="0"/>
      <fill>
        <patternFill>
          <bgColor rgb="FFFFFFFF"/>
        </patternFill>
      </fill>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solid">
          <fgColor indexed="64"/>
          <bgColor rgb="FFFFFFFF"/>
        </patternFill>
      </fill>
      <border diagonalUp="0" diagonalDown="0" outline="0">
        <left style="thin">
          <color indexed="64"/>
        </left>
        <right/>
        <top/>
        <bottom/>
      </border>
    </dxf>
    <dxf>
      <font>
        <strike val="0"/>
        <outline val="0"/>
        <shadow val="0"/>
        <u val="none"/>
        <vertAlign val="baseline"/>
        <sz val="11"/>
        <name val="Calibri"/>
        <family val="2"/>
        <scheme val="minor"/>
      </font>
      <numFmt numFmtId="1" formatCode="0"/>
      <fill>
        <patternFill>
          <bgColor rgb="FFFFFFFF"/>
        </patternFill>
      </fill>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solid">
          <fgColor indexed="64"/>
          <bgColor rgb="FFFFFFFF"/>
        </patternFill>
      </fill>
      <border diagonalUp="0" diagonalDown="0" outline="0">
        <left style="thin">
          <color indexed="64"/>
        </left>
        <right/>
        <top/>
        <bottom/>
      </border>
    </dxf>
    <dxf>
      <font>
        <strike val="0"/>
        <outline val="0"/>
        <shadow val="0"/>
        <u val="none"/>
        <vertAlign val="baseline"/>
        <sz val="11"/>
        <name val="Calibri"/>
        <family val="2"/>
        <scheme val="minor"/>
      </font>
      <numFmt numFmtId="1" formatCode="0"/>
      <fill>
        <patternFill>
          <bgColor rgb="FFFFFFFF"/>
        </patternFill>
      </fill>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solid">
          <fgColor indexed="64"/>
          <bgColor rgb="FFFFFFFF"/>
        </patternFill>
      </fill>
      <border diagonalUp="0" diagonalDown="0" outline="0">
        <left style="thin">
          <color indexed="64"/>
        </left>
        <right/>
        <top/>
        <bottom/>
      </border>
    </dxf>
    <dxf>
      <font>
        <strike val="0"/>
        <outline val="0"/>
        <shadow val="0"/>
        <u val="none"/>
        <vertAlign val="baseline"/>
        <sz val="11"/>
        <name val="Calibri"/>
        <family val="2"/>
        <scheme val="minor"/>
      </font>
      <numFmt numFmtId="1" formatCode="0"/>
      <fill>
        <patternFill>
          <bgColor rgb="FFFFFFFF"/>
        </patternFill>
      </fill>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solid">
          <fgColor indexed="64"/>
          <bgColor rgb="FFFFFFFF"/>
        </patternFill>
      </fill>
      <border diagonalUp="0" diagonalDown="0" outline="0">
        <left style="thin">
          <color indexed="64"/>
        </left>
        <right/>
        <top/>
        <bottom/>
      </border>
    </dxf>
    <dxf>
      <font>
        <strike val="0"/>
        <outline val="0"/>
        <shadow val="0"/>
        <u val="none"/>
        <vertAlign val="baseline"/>
        <sz val="11"/>
        <name val="Calibri"/>
        <family val="2"/>
        <scheme val="minor"/>
      </font>
      <numFmt numFmtId="1" formatCode="0"/>
      <fill>
        <patternFill>
          <bgColor rgb="FFFFFFFF"/>
        </patternFill>
      </fill>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solid">
          <fgColor indexed="64"/>
          <bgColor rgb="FFFFFFFF"/>
        </patternFill>
      </fill>
      <border diagonalUp="0" diagonalDown="0" outline="0">
        <left style="thin">
          <color indexed="64"/>
        </left>
        <right/>
        <top/>
        <bottom/>
      </border>
    </dxf>
    <dxf>
      <font>
        <strike val="0"/>
        <outline val="0"/>
        <shadow val="0"/>
        <u val="none"/>
        <vertAlign val="baseline"/>
        <sz val="11"/>
        <name val="Calibri"/>
        <family val="2"/>
        <scheme val="minor"/>
      </font>
      <numFmt numFmtId="1" formatCode="0"/>
      <fill>
        <patternFill>
          <bgColor rgb="FFFFFFFF"/>
        </patternFill>
      </fill>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solid">
          <fgColor indexed="64"/>
          <bgColor rgb="FFFFFFFF"/>
        </patternFill>
      </fill>
      <border diagonalUp="0" diagonalDown="0" outline="0">
        <left style="thin">
          <color indexed="64"/>
        </left>
        <right/>
        <top/>
        <bottom/>
      </border>
    </dxf>
    <dxf>
      <font>
        <strike val="0"/>
        <outline val="0"/>
        <shadow val="0"/>
        <u val="none"/>
        <vertAlign val="baseline"/>
        <sz val="11"/>
        <name val="Calibri"/>
        <family val="2"/>
        <scheme val="minor"/>
      </font>
      <numFmt numFmtId="1" formatCode="0"/>
      <fill>
        <patternFill>
          <bgColor rgb="FFFFFFFF"/>
        </patternFill>
      </fill>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solid">
          <fgColor indexed="64"/>
          <bgColor rgb="FFFFFFFF"/>
        </patternFill>
      </fill>
      <border diagonalUp="0" diagonalDown="0" outline="0">
        <left style="thin">
          <color indexed="64"/>
        </left>
        <right/>
        <top/>
        <bottom/>
      </border>
    </dxf>
    <dxf>
      <font>
        <strike val="0"/>
        <outline val="0"/>
        <shadow val="0"/>
        <u val="none"/>
        <vertAlign val="baseline"/>
        <sz val="11"/>
        <name val="Calibri"/>
        <family val="2"/>
        <scheme val="minor"/>
      </font>
      <numFmt numFmtId="1" formatCode="0"/>
      <fill>
        <patternFill>
          <bgColor rgb="FFFFFFFF"/>
        </patternFill>
      </fill>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solid">
          <fgColor indexed="64"/>
          <bgColor rgb="FFFFFFFF"/>
        </patternFill>
      </fill>
      <border diagonalUp="0" diagonalDown="0" outline="0">
        <left style="thin">
          <color indexed="64"/>
        </left>
        <right/>
        <top/>
        <bottom/>
      </border>
    </dxf>
    <dxf>
      <font>
        <strike val="0"/>
        <outline val="0"/>
        <shadow val="0"/>
        <u val="none"/>
        <vertAlign val="baseline"/>
        <sz val="11"/>
        <name val="Calibri"/>
        <family val="2"/>
        <scheme val="minor"/>
      </font>
      <numFmt numFmtId="1" formatCode="0"/>
      <fill>
        <patternFill>
          <bgColor rgb="FFFFFFFF"/>
        </patternFill>
      </fill>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solid">
          <fgColor indexed="64"/>
          <bgColor rgb="FFFFFFFF"/>
        </patternFill>
      </fill>
      <border diagonalUp="0" diagonalDown="0" outline="0">
        <left style="thin">
          <color indexed="64"/>
        </left>
        <right/>
        <top/>
        <bottom/>
      </border>
    </dxf>
    <dxf>
      <font>
        <strike val="0"/>
        <outline val="0"/>
        <shadow val="0"/>
        <u val="none"/>
        <vertAlign val="baseline"/>
        <sz val="11"/>
        <name val="Calibri"/>
        <family val="2"/>
        <scheme val="minor"/>
      </font>
      <numFmt numFmtId="1" formatCode="0"/>
      <fill>
        <patternFill>
          <bgColor rgb="FFFFFFFF"/>
        </patternFill>
      </fill>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solid">
          <fgColor indexed="64"/>
          <bgColor rgb="FFFFFFFF"/>
        </patternFill>
      </fill>
      <border diagonalUp="0" diagonalDown="0" outline="0">
        <left style="thin">
          <color indexed="64"/>
        </left>
        <right/>
        <top/>
        <bottom/>
      </border>
    </dxf>
    <dxf>
      <font>
        <strike val="0"/>
        <outline val="0"/>
        <shadow val="0"/>
        <u val="none"/>
        <vertAlign val="baseline"/>
        <sz val="11"/>
        <name val="Calibri"/>
        <family val="2"/>
        <scheme val="minor"/>
      </font>
      <numFmt numFmtId="1" formatCode="0"/>
      <fill>
        <patternFill>
          <bgColor rgb="FFFFFFFF"/>
        </patternFill>
      </fill>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solid">
          <fgColor indexed="64"/>
          <bgColor rgb="FFFFFFFF"/>
        </patternFill>
      </fill>
      <border diagonalUp="0" diagonalDown="0" outline="0">
        <left style="thin">
          <color indexed="64"/>
        </left>
        <right/>
        <top/>
        <bottom/>
      </border>
    </dxf>
    <dxf>
      <font>
        <strike val="0"/>
        <outline val="0"/>
        <shadow val="0"/>
        <u val="none"/>
        <vertAlign val="baseline"/>
        <sz val="11"/>
        <name val="Calibri"/>
        <family val="2"/>
        <scheme val="minor"/>
      </font>
      <numFmt numFmtId="1" formatCode="0"/>
      <fill>
        <patternFill>
          <bgColor rgb="FFFFFFFF"/>
        </patternFill>
      </fill>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solid">
          <fgColor indexed="64"/>
          <bgColor rgb="FFFFFFFF"/>
        </patternFill>
      </fill>
      <border diagonalUp="0" diagonalDown="0" outline="0">
        <left style="thin">
          <color indexed="64"/>
        </left>
        <right/>
        <top/>
        <bottom/>
      </border>
    </dxf>
    <dxf>
      <font>
        <strike val="0"/>
        <outline val="0"/>
        <shadow val="0"/>
        <u val="none"/>
        <vertAlign val="baseline"/>
        <sz val="11"/>
        <name val="Calibri"/>
        <family val="2"/>
        <scheme val="minor"/>
      </font>
      <numFmt numFmtId="1" formatCode="0"/>
      <fill>
        <patternFill>
          <bgColor rgb="FFFFFFFF"/>
        </patternFill>
      </fill>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solid">
          <fgColor indexed="64"/>
          <bgColor rgb="FFFFFFFF"/>
        </patternFill>
      </fill>
      <border diagonalUp="0" diagonalDown="0" outline="0">
        <left style="thin">
          <color indexed="64"/>
        </left>
        <right/>
        <top/>
        <bottom/>
      </border>
    </dxf>
    <dxf>
      <font>
        <strike val="0"/>
        <outline val="0"/>
        <shadow val="0"/>
        <u val="none"/>
        <vertAlign val="baseline"/>
        <sz val="11"/>
        <name val="Calibri"/>
        <family val="2"/>
        <scheme val="minor"/>
      </font>
      <numFmt numFmtId="1" formatCode="0"/>
      <fill>
        <patternFill>
          <bgColor rgb="FFFFFFFF"/>
        </patternFill>
      </fill>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solid">
          <fgColor indexed="64"/>
          <bgColor rgb="FFFFFFFF"/>
        </patternFill>
      </fill>
      <border diagonalUp="0" diagonalDown="0" outline="0">
        <left style="thin">
          <color indexed="64"/>
        </left>
        <right/>
        <top/>
        <bottom/>
      </border>
    </dxf>
    <dxf>
      <font>
        <strike val="0"/>
        <outline val="0"/>
        <shadow val="0"/>
        <u val="none"/>
        <vertAlign val="baseline"/>
        <sz val="11"/>
        <name val="Calibri"/>
        <family val="2"/>
        <scheme val="minor"/>
      </font>
      <numFmt numFmtId="1" formatCode="0"/>
      <fill>
        <patternFill>
          <bgColor rgb="FFFFFFFF"/>
        </patternFill>
      </fill>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solid">
          <fgColor indexed="64"/>
          <bgColor rgb="FFFFFFFF"/>
        </patternFill>
      </fill>
      <border diagonalUp="0" diagonalDown="0" outline="0">
        <left style="thin">
          <color indexed="64"/>
        </left>
        <right/>
        <top/>
        <bottom/>
      </border>
    </dxf>
    <dxf>
      <font>
        <strike val="0"/>
        <outline val="0"/>
        <shadow val="0"/>
        <u val="none"/>
        <vertAlign val="baseline"/>
        <sz val="11"/>
        <name val="Calibri"/>
        <family val="2"/>
        <scheme val="minor"/>
      </font>
      <numFmt numFmtId="1" formatCode="0"/>
      <fill>
        <patternFill>
          <bgColor rgb="FFFFFFFF"/>
        </patternFill>
      </fill>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solid">
          <fgColor indexed="64"/>
          <bgColor rgb="FFFFFFFF"/>
        </patternFill>
      </fill>
      <border diagonalUp="0" diagonalDown="0" outline="0">
        <left style="thin">
          <color indexed="64"/>
        </left>
        <right/>
        <top/>
        <bottom/>
      </border>
    </dxf>
    <dxf>
      <font>
        <strike val="0"/>
        <outline val="0"/>
        <shadow val="0"/>
        <u val="none"/>
        <vertAlign val="baseline"/>
        <sz val="11"/>
        <name val="Calibri"/>
        <family val="2"/>
        <scheme val="minor"/>
      </font>
      <numFmt numFmtId="1" formatCode="0"/>
      <fill>
        <patternFill>
          <bgColor rgb="FFFFFFFF"/>
        </patternFill>
      </fill>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solid">
          <fgColor indexed="64"/>
          <bgColor rgb="FFFFFFFF"/>
        </patternFill>
      </fill>
      <border diagonalUp="0" diagonalDown="0" outline="0">
        <left style="thin">
          <color indexed="64"/>
        </left>
        <right/>
        <top/>
        <bottom/>
      </border>
    </dxf>
    <dxf>
      <font>
        <strike val="0"/>
        <outline val="0"/>
        <shadow val="0"/>
        <u val="none"/>
        <vertAlign val="baseline"/>
        <sz val="11"/>
        <name val="Calibri"/>
        <family val="2"/>
        <scheme val="minor"/>
      </font>
      <numFmt numFmtId="1" formatCode="0"/>
      <fill>
        <patternFill>
          <bgColor rgb="FFFFFFFF"/>
        </patternFill>
      </fill>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solid">
          <fgColor indexed="64"/>
          <bgColor rgb="FFFFFFFF"/>
        </patternFill>
      </fill>
      <border diagonalUp="0" diagonalDown="0" outline="0">
        <left style="thin">
          <color indexed="64"/>
        </left>
        <right/>
        <top/>
        <bottom/>
      </border>
    </dxf>
    <dxf>
      <font>
        <strike val="0"/>
        <outline val="0"/>
        <shadow val="0"/>
        <u val="none"/>
        <vertAlign val="baseline"/>
        <sz val="11"/>
        <name val="Calibri"/>
        <family val="2"/>
        <scheme val="minor"/>
      </font>
      <numFmt numFmtId="1" formatCode="0"/>
      <fill>
        <patternFill>
          <bgColor rgb="FFFFFFFF"/>
        </patternFill>
      </fill>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solid">
          <fgColor indexed="64"/>
          <bgColor rgb="FFFFFFFF"/>
        </patternFill>
      </fill>
      <border diagonalUp="0" diagonalDown="0" outline="0">
        <left style="thin">
          <color indexed="64"/>
        </left>
        <right/>
        <top/>
        <bottom/>
      </border>
    </dxf>
    <dxf>
      <font>
        <strike val="0"/>
        <outline val="0"/>
        <shadow val="0"/>
        <u val="none"/>
        <vertAlign val="baseline"/>
        <sz val="11"/>
        <name val="Calibri"/>
        <family val="2"/>
        <scheme val="minor"/>
      </font>
      <numFmt numFmtId="1" formatCode="0"/>
      <fill>
        <patternFill>
          <bgColor rgb="FFFFFFFF"/>
        </patternFill>
      </fill>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solid">
          <fgColor indexed="64"/>
          <bgColor rgb="FFFFFFFF"/>
        </patternFill>
      </fill>
      <border diagonalUp="0" diagonalDown="0" outline="0">
        <left style="thin">
          <color indexed="64"/>
        </left>
        <right/>
        <top/>
        <bottom/>
      </border>
    </dxf>
    <dxf>
      <font>
        <strike val="0"/>
        <outline val="0"/>
        <shadow val="0"/>
        <u val="none"/>
        <vertAlign val="baseline"/>
        <sz val="11"/>
        <name val="Calibri"/>
        <family val="2"/>
        <scheme val="minor"/>
      </font>
      <numFmt numFmtId="1" formatCode="0"/>
      <fill>
        <patternFill>
          <bgColor rgb="FFFFFFFF"/>
        </patternFill>
      </fill>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solid">
          <fgColor indexed="64"/>
          <bgColor rgb="FFFFFFFF"/>
        </patternFill>
      </fill>
      <border diagonalUp="0" diagonalDown="0" outline="0">
        <left style="thin">
          <color indexed="64"/>
        </left>
        <right/>
        <top/>
        <bottom/>
      </border>
    </dxf>
    <dxf>
      <font>
        <strike val="0"/>
        <outline val="0"/>
        <shadow val="0"/>
        <u val="none"/>
        <vertAlign val="baseline"/>
        <sz val="11"/>
        <name val="Calibri"/>
        <family val="2"/>
        <scheme val="minor"/>
      </font>
      <numFmt numFmtId="1" formatCode="0"/>
      <fill>
        <patternFill>
          <bgColor rgb="FFFFFFFF"/>
        </patternFill>
      </fill>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solid">
          <fgColor indexed="64"/>
          <bgColor rgb="FFFFFFFF"/>
        </patternFill>
      </fill>
      <border diagonalUp="0" diagonalDown="0" outline="0">
        <left style="thin">
          <color indexed="64"/>
        </left>
        <right/>
        <top/>
        <bottom/>
      </border>
    </dxf>
    <dxf>
      <font>
        <strike val="0"/>
        <outline val="0"/>
        <shadow val="0"/>
        <u val="none"/>
        <vertAlign val="baseline"/>
        <sz val="11"/>
        <name val="Calibri"/>
        <family val="2"/>
        <scheme val="minor"/>
      </font>
      <numFmt numFmtId="1" formatCode="0"/>
      <fill>
        <patternFill>
          <bgColor rgb="FFFFFFFF"/>
        </patternFill>
      </fill>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solid">
          <fgColor indexed="64"/>
          <bgColor rgb="FFFFFFFF"/>
        </patternFill>
      </fill>
      <border diagonalUp="0" diagonalDown="0" outline="0">
        <left style="thin">
          <color indexed="64"/>
        </left>
        <right/>
        <top/>
        <bottom/>
      </border>
    </dxf>
    <dxf>
      <font>
        <strike val="0"/>
        <outline val="0"/>
        <shadow val="0"/>
        <u val="none"/>
        <vertAlign val="baseline"/>
        <sz val="11"/>
        <name val="Calibri"/>
        <family val="2"/>
        <scheme val="minor"/>
      </font>
      <numFmt numFmtId="1" formatCode="0"/>
      <fill>
        <patternFill>
          <bgColor rgb="FFFFFFFF"/>
        </patternFill>
      </fill>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solid">
          <fgColor indexed="64"/>
          <bgColor rgb="FFFFFFFF"/>
        </patternFill>
      </fill>
      <border diagonalUp="0" diagonalDown="0" outline="0">
        <left style="thin">
          <color indexed="64"/>
        </left>
        <right/>
        <top/>
        <bottom/>
      </border>
    </dxf>
    <dxf>
      <font>
        <strike val="0"/>
        <outline val="0"/>
        <shadow val="0"/>
        <u val="none"/>
        <vertAlign val="baseline"/>
        <sz val="11"/>
        <name val="Calibri"/>
        <family val="2"/>
        <scheme val="minor"/>
      </font>
      <numFmt numFmtId="1" formatCode="0"/>
      <fill>
        <patternFill>
          <bgColor rgb="FFFFFFFF"/>
        </patternFill>
      </fill>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solid">
          <fgColor indexed="64"/>
          <bgColor rgb="FFFFFFFF"/>
        </patternFill>
      </fill>
      <border diagonalUp="0" diagonalDown="0" outline="0">
        <left style="thin">
          <color indexed="64"/>
        </left>
        <right/>
        <top/>
        <bottom/>
      </border>
    </dxf>
    <dxf>
      <font>
        <strike val="0"/>
        <outline val="0"/>
        <shadow val="0"/>
        <u val="none"/>
        <vertAlign val="baseline"/>
        <sz val="11"/>
        <name val="Calibri"/>
        <family val="2"/>
        <scheme val="minor"/>
      </font>
      <numFmt numFmtId="1" formatCode="0"/>
      <fill>
        <patternFill>
          <bgColor rgb="FFFFFFFF"/>
        </patternFill>
      </fill>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solid">
          <fgColor indexed="64"/>
          <bgColor rgb="FFFFFFFF"/>
        </patternFill>
      </fill>
      <border diagonalUp="0" diagonalDown="0" outline="0">
        <left style="thin">
          <color indexed="64"/>
        </left>
        <right/>
        <top/>
        <bottom/>
      </border>
    </dxf>
    <dxf>
      <font>
        <strike val="0"/>
        <outline val="0"/>
        <shadow val="0"/>
        <u val="none"/>
        <vertAlign val="baseline"/>
        <sz val="11"/>
        <name val="Calibri"/>
        <family val="2"/>
        <scheme val="minor"/>
      </font>
      <numFmt numFmtId="1" formatCode="0"/>
      <fill>
        <patternFill>
          <bgColor rgb="FFFFFFFF"/>
        </patternFill>
      </fill>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solid">
          <fgColor indexed="64"/>
          <bgColor rgb="FFFFFFFF"/>
        </patternFill>
      </fill>
      <border diagonalUp="0" diagonalDown="0" outline="0">
        <left style="thin">
          <color indexed="64"/>
        </left>
        <right/>
        <top/>
        <bottom/>
      </border>
    </dxf>
    <dxf>
      <font>
        <strike val="0"/>
        <outline val="0"/>
        <shadow val="0"/>
        <u val="none"/>
        <vertAlign val="baseline"/>
        <sz val="11"/>
        <name val="Calibri"/>
        <family val="2"/>
        <scheme val="minor"/>
      </font>
      <numFmt numFmtId="1" formatCode="0"/>
      <fill>
        <patternFill>
          <bgColor rgb="FFFFFFFF"/>
        </patternFill>
      </fill>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solid">
          <fgColor indexed="64"/>
          <bgColor rgb="FFFFFFFF"/>
        </patternFill>
      </fill>
      <border diagonalUp="0" diagonalDown="0" outline="0">
        <left style="thin">
          <color indexed="64"/>
        </left>
        <right/>
        <top/>
        <bottom/>
      </border>
    </dxf>
    <dxf>
      <font>
        <strike val="0"/>
        <outline val="0"/>
        <shadow val="0"/>
        <u val="none"/>
        <vertAlign val="baseline"/>
        <sz val="11"/>
        <name val="Calibri"/>
        <family val="2"/>
        <scheme val="minor"/>
      </font>
      <numFmt numFmtId="1" formatCode="0"/>
      <fill>
        <patternFill>
          <bgColor rgb="FFFFFFFF"/>
        </patternFill>
      </fill>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solid">
          <fgColor indexed="64"/>
          <bgColor rgb="FFFFFFFF"/>
        </patternFill>
      </fill>
      <border diagonalUp="0" diagonalDown="0" outline="0">
        <left style="thin">
          <color indexed="64"/>
        </left>
        <right/>
        <top/>
        <bottom/>
      </border>
    </dxf>
    <dxf>
      <font>
        <strike val="0"/>
        <outline val="0"/>
        <shadow val="0"/>
        <u val="none"/>
        <vertAlign val="baseline"/>
        <sz val="11"/>
        <name val="Calibri"/>
        <family val="2"/>
        <scheme val="minor"/>
      </font>
      <numFmt numFmtId="1" formatCode="0"/>
      <fill>
        <patternFill>
          <bgColor rgb="FFFFFFFF"/>
        </patternFill>
      </fill>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solid">
          <fgColor indexed="64"/>
          <bgColor rgb="FFFFFFFF"/>
        </patternFill>
      </fill>
      <border diagonalUp="0" diagonalDown="0" outline="0">
        <left style="thin">
          <color indexed="64"/>
        </left>
        <right/>
        <top/>
        <bottom/>
      </border>
    </dxf>
    <dxf>
      <font>
        <strike val="0"/>
        <outline val="0"/>
        <shadow val="0"/>
        <u val="none"/>
        <vertAlign val="baseline"/>
        <sz val="11"/>
        <name val="Calibri"/>
        <family val="2"/>
        <scheme val="minor"/>
      </font>
      <numFmt numFmtId="1" formatCode="0"/>
      <fill>
        <patternFill>
          <bgColor rgb="FFFFFFFF"/>
        </patternFill>
      </fill>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solid">
          <fgColor indexed="64"/>
          <bgColor rgb="FFFFFFFF"/>
        </patternFill>
      </fill>
      <border diagonalUp="0" diagonalDown="0" outline="0">
        <left style="thin">
          <color indexed="64"/>
        </left>
        <right/>
        <top/>
        <bottom/>
      </border>
    </dxf>
    <dxf>
      <font>
        <strike val="0"/>
        <outline val="0"/>
        <shadow val="0"/>
        <u val="none"/>
        <vertAlign val="baseline"/>
        <sz val="11"/>
        <name val="Calibri"/>
        <family val="2"/>
        <scheme val="minor"/>
      </font>
      <numFmt numFmtId="1" formatCode="0"/>
      <fill>
        <patternFill>
          <bgColor rgb="FFFFFFFF"/>
        </patternFill>
      </fill>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solid">
          <fgColor indexed="64"/>
          <bgColor rgb="FFFFFFFF"/>
        </patternFill>
      </fill>
      <border diagonalUp="0" diagonalDown="0" outline="0">
        <left style="thin">
          <color indexed="64"/>
        </left>
        <right/>
        <top/>
        <bottom/>
      </border>
    </dxf>
    <dxf>
      <font>
        <strike val="0"/>
        <outline val="0"/>
        <shadow val="0"/>
        <u val="none"/>
        <vertAlign val="baseline"/>
        <sz val="11"/>
        <name val="Calibri"/>
        <family val="2"/>
        <scheme val="minor"/>
      </font>
      <numFmt numFmtId="1" formatCode="0"/>
      <fill>
        <patternFill>
          <bgColor rgb="FFFFFFFF"/>
        </patternFill>
      </fill>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solid">
          <fgColor indexed="64"/>
          <bgColor rgb="FFFFFFFF"/>
        </patternFill>
      </fill>
      <border diagonalUp="0" diagonalDown="0" outline="0">
        <left style="thin">
          <color indexed="64"/>
        </left>
        <right/>
        <top/>
        <bottom/>
      </border>
    </dxf>
    <dxf>
      <font>
        <strike val="0"/>
        <outline val="0"/>
        <shadow val="0"/>
        <u val="none"/>
        <vertAlign val="baseline"/>
        <sz val="11"/>
        <name val="Calibri"/>
        <family val="2"/>
        <scheme val="minor"/>
      </font>
      <numFmt numFmtId="1" formatCode="0"/>
      <fill>
        <patternFill>
          <bgColor rgb="FFFFFFFF"/>
        </patternFill>
      </fill>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solid">
          <fgColor indexed="64"/>
          <bgColor rgb="FFFFFFFF"/>
        </patternFill>
      </fill>
      <border diagonalUp="0" diagonalDown="0" outline="0">
        <left style="thin">
          <color indexed="64"/>
        </left>
        <right/>
        <top/>
        <bottom/>
      </border>
    </dxf>
    <dxf>
      <font>
        <strike val="0"/>
        <outline val="0"/>
        <shadow val="0"/>
        <u val="none"/>
        <vertAlign val="baseline"/>
        <sz val="11"/>
        <name val="Calibri"/>
        <family val="2"/>
        <scheme val="minor"/>
      </font>
      <numFmt numFmtId="1" formatCode="0"/>
      <fill>
        <patternFill>
          <bgColor rgb="FFFFFFFF"/>
        </patternFill>
      </fill>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solid">
          <fgColor indexed="64"/>
          <bgColor rgb="FFFFFFFF"/>
        </patternFill>
      </fill>
      <border diagonalUp="0" diagonalDown="0" outline="0">
        <left style="thin">
          <color indexed="64"/>
        </left>
        <right/>
        <top/>
        <bottom/>
      </border>
    </dxf>
    <dxf>
      <font>
        <strike val="0"/>
        <outline val="0"/>
        <shadow val="0"/>
        <u val="none"/>
        <vertAlign val="baseline"/>
        <sz val="11"/>
        <name val="Calibri"/>
        <family val="2"/>
        <scheme val="minor"/>
      </font>
      <numFmt numFmtId="1" formatCode="0"/>
      <fill>
        <patternFill>
          <bgColor rgb="FFFFFFFF"/>
        </patternFill>
      </fill>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solid">
          <fgColor indexed="64"/>
          <bgColor rgb="FFFFFFFF"/>
        </patternFill>
      </fill>
      <border diagonalUp="0" diagonalDown="0" outline="0">
        <left style="thin">
          <color indexed="64"/>
        </left>
        <right/>
        <top/>
        <bottom/>
      </border>
    </dxf>
    <dxf>
      <font>
        <strike val="0"/>
        <outline val="0"/>
        <shadow val="0"/>
        <u val="none"/>
        <vertAlign val="baseline"/>
        <sz val="11"/>
        <name val="Calibri"/>
        <family val="2"/>
        <scheme val="minor"/>
      </font>
      <numFmt numFmtId="1" formatCode="0"/>
      <fill>
        <patternFill>
          <bgColor rgb="FFFFFFFF"/>
        </patternFill>
      </fill>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solid">
          <fgColor indexed="64"/>
          <bgColor rgb="FFFFFFFF"/>
        </patternFill>
      </fill>
      <border diagonalUp="0" diagonalDown="0" outline="0">
        <left style="thin">
          <color indexed="64"/>
        </left>
        <right/>
        <top/>
        <bottom/>
      </border>
    </dxf>
    <dxf>
      <font>
        <strike val="0"/>
        <outline val="0"/>
        <shadow val="0"/>
        <u val="none"/>
        <vertAlign val="baseline"/>
        <sz val="11"/>
        <name val="Calibri"/>
        <family val="2"/>
        <scheme val="minor"/>
      </font>
      <numFmt numFmtId="1" formatCode="0"/>
      <fill>
        <patternFill>
          <bgColor rgb="FFFFFFFF"/>
        </patternFill>
      </fill>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solid">
          <fgColor indexed="64"/>
          <bgColor rgb="FFFFFFFF"/>
        </patternFill>
      </fill>
      <border diagonalUp="0" diagonalDown="0" outline="0">
        <left style="thin">
          <color indexed="64"/>
        </left>
        <right/>
        <top/>
        <bottom/>
      </border>
    </dxf>
    <dxf>
      <font>
        <strike val="0"/>
        <outline val="0"/>
        <shadow val="0"/>
        <u val="none"/>
        <vertAlign val="baseline"/>
        <sz val="11"/>
        <name val="Calibri"/>
        <family val="2"/>
        <scheme val="minor"/>
      </font>
      <numFmt numFmtId="1" formatCode="0"/>
      <fill>
        <patternFill>
          <bgColor rgb="FFFFFFFF"/>
        </patternFill>
      </fill>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solid">
          <fgColor indexed="64"/>
          <bgColor rgb="FFFFFFFF"/>
        </patternFill>
      </fill>
      <border diagonalUp="0" diagonalDown="0" outline="0">
        <left style="thin">
          <color indexed="64"/>
        </left>
        <right/>
        <top/>
        <bottom/>
      </border>
    </dxf>
    <dxf>
      <font>
        <strike val="0"/>
        <outline val="0"/>
        <shadow val="0"/>
        <u val="none"/>
        <vertAlign val="baseline"/>
        <sz val="11"/>
        <name val="Calibri"/>
        <family val="2"/>
        <scheme val="minor"/>
      </font>
      <numFmt numFmtId="1" formatCode="0"/>
      <fill>
        <patternFill>
          <bgColor rgb="FFFFFFFF"/>
        </patternFill>
      </fill>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solid">
          <fgColor indexed="64"/>
          <bgColor rgb="FFFFFFFF"/>
        </patternFill>
      </fill>
      <border diagonalUp="0" diagonalDown="0" outline="0">
        <left style="thin">
          <color indexed="64"/>
        </left>
        <right/>
        <top/>
        <bottom/>
      </border>
    </dxf>
    <dxf>
      <font>
        <strike val="0"/>
        <outline val="0"/>
        <shadow val="0"/>
        <u val="none"/>
        <vertAlign val="baseline"/>
        <sz val="11"/>
        <name val="Calibri"/>
        <family val="2"/>
        <scheme val="minor"/>
      </font>
      <numFmt numFmtId="1" formatCode="0"/>
      <fill>
        <patternFill>
          <bgColor rgb="FFFFFFFF"/>
        </patternFill>
      </fill>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solid">
          <fgColor indexed="64"/>
          <bgColor rgb="FFFFFFFF"/>
        </patternFill>
      </fill>
      <border diagonalUp="0" diagonalDown="0" outline="0">
        <left style="thin">
          <color indexed="64"/>
        </left>
        <right/>
        <top/>
        <bottom/>
      </border>
    </dxf>
    <dxf>
      <font>
        <strike val="0"/>
        <outline val="0"/>
        <shadow val="0"/>
        <u val="none"/>
        <vertAlign val="baseline"/>
        <sz val="11"/>
        <name val="Calibri"/>
        <family val="2"/>
        <scheme val="minor"/>
      </font>
      <numFmt numFmtId="1" formatCode="0"/>
      <fill>
        <patternFill>
          <bgColor rgb="FFFFFFFF"/>
        </patternFill>
      </fill>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solid">
          <fgColor indexed="64"/>
          <bgColor rgb="FFFFFFFF"/>
        </patternFill>
      </fill>
      <border diagonalUp="0" diagonalDown="0" outline="0">
        <left style="thin">
          <color indexed="64"/>
        </left>
        <right/>
        <top/>
        <bottom/>
      </border>
    </dxf>
    <dxf>
      <font>
        <strike val="0"/>
        <outline val="0"/>
        <shadow val="0"/>
        <u val="none"/>
        <vertAlign val="baseline"/>
        <sz val="11"/>
        <name val="Calibri"/>
        <family val="2"/>
        <scheme val="minor"/>
      </font>
      <numFmt numFmtId="1" formatCode="0"/>
      <fill>
        <patternFill>
          <bgColor rgb="FFFFFFFF"/>
        </patternFill>
      </fill>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solid">
          <fgColor indexed="64"/>
          <bgColor rgb="FFFFFFFF"/>
        </patternFill>
      </fill>
      <border diagonalUp="0" diagonalDown="0" outline="0">
        <left style="thin">
          <color indexed="64"/>
        </left>
        <right/>
        <top/>
        <bottom/>
      </border>
    </dxf>
    <dxf>
      <font>
        <strike val="0"/>
        <outline val="0"/>
        <shadow val="0"/>
        <u val="none"/>
        <vertAlign val="baseline"/>
        <sz val="11"/>
        <name val="Calibri"/>
        <family val="2"/>
        <scheme val="minor"/>
      </font>
      <numFmt numFmtId="1" formatCode="0"/>
      <fill>
        <patternFill>
          <bgColor rgb="FFFFFFFF"/>
        </patternFill>
      </fill>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solid">
          <fgColor indexed="64"/>
          <bgColor rgb="FFFFFFFF"/>
        </patternFill>
      </fill>
      <border diagonalUp="0" diagonalDown="0" outline="0">
        <left style="thin">
          <color indexed="64"/>
        </left>
        <right/>
        <top/>
        <bottom/>
      </border>
    </dxf>
    <dxf>
      <font>
        <strike val="0"/>
        <outline val="0"/>
        <shadow val="0"/>
        <u val="none"/>
        <vertAlign val="baseline"/>
        <sz val="11"/>
        <name val="Calibri"/>
        <family val="2"/>
        <scheme val="minor"/>
      </font>
      <numFmt numFmtId="1" formatCode="0"/>
      <fill>
        <patternFill>
          <bgColor rgb="FFFFFFFF"/>
        </patternFill>
      </fill>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solid">
          <fgColor indexed="64"/>
          <bgColor rgb="FFFFFFFF"/>
        </patternFill>
      </fill>
      <border diagonalUp="0" diagonalDown="0" outline="0">
        <left style="thin">
          <color indexed="64"/>
        </left>
        <right/>
        <top/>
        <bottom/>
      </border>
    </dxf>
    <dxf>
      <font>
        <strike val="0"/>
        <outline val="0"/>
        <shadow val="0"/>
        <u val="none"/>
        <vertAlign val="baseline"/>
        <sz val="11"/>
        <name val="Calibri"/>
        <family val="2"/>
        <scheme val="minor"/>
      </font>
      <numFmt numFmtId="1" formatCode="0"/>
      <fill>
        <patternFill>
          <bgColor rgb="FFFFFFFF"/>
        </patternFill>
      </fill>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1" formatCode="0"/>
      <fill>
        <patternFill patternType="solid">
          <fgColor indexed="64"/>
          <bgColor rgb="FFFFFFFF"/>
        </patternFill>
      </fill>
      <border diagonalUp="0" diagonalDown="0" outline="0">
        <left style="thin">
          <color indexed="64"/>
        </left>
        <right/>
        <top/>
        <bottom/>
      </border>
    </dxf>
    <dxf>
      <font>
        <strike val="0"/>
        <outline val="0"/>
        <shadow val="0"/>
        <u val="none"/>
        <vertAlign val="baseline"/>
        <sz val="11"/>
        <name val="Calibri"/>
        <family val="2"/>
        <scheme val="minor"/>
      </font>
      <numFmt numFmtId="1" formatCode="0"/>
      <fill>
        <patternFill>
          <bgColor rgb="FFFFFFFF"/>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1" formatCode="0"/>
      <fill>
        <patternFill patternType="solid">
          <fgColor indexed="64"/>
          <bgColor rgb="FFFFFFFF"/>
        </patternFill>
      </fill>
      <border diagonalUp="0" diagonalDown="0" outline="0">
        <left style="thin">
          <color indexed="64"/>
        </left>
        <right/>
        <top/>
        <bottom/>
      </border>
    </dxf>
    <dxf>
      <font>
        <strike val="0"/>
        <outline val="0"/>
        <shadow val="0"/>
        <u val="none"/>
        <vertAlign val="baseline"/>
        <sz val="11"/>
        <name val="Calibri"/>
        <family val="2"/>
        <scheme val="minor"/>
      </font>
      <numFmt numFmtId="1" formatCode="0"/>
      <fill>
        <patternFill>
          <bgColor rgb="FFFFFFFF"/>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1" formatCode="0"/>
      <fill>
        <patternFill patternType="solid">
          <fgColor indexed="64"/>
          <bgColor rgb="FFFFFFFF"/>
        </patternFill>
      </fill>
      <border diagonalUp="0" diagonalDown="0" outline="0">
        <left style="thin">
          <color indexed="64"/>
        </left>
        <right/>
        <top/>
        <bottom/>
      </border>
    </dxf>
    <dxf>
      <font>
        <strike val="0"/>
        <outline val="0"/>
        <shadow val="0"/>
        <u val="none"/>
        <vertAlign val="baseline"/>
        <sz val="11"/>
        <name val="Calibri"/>
        <family val="2"/>
        <scheme val="minor"/>
      </font>
      <numFmt numFmtId="1" formatCode="0"/>
      <fill>
        <patternFill>
          <bgColor rgb="FFFFFFFF"/>
        </patternFill>
      </fill>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1" formatCode="0"/>
      <fill>
        <patternFill patternType="solid">
          <fgColor indexed="64"/>
          <bgColor rgb="FFFFFFFF"/>
        </patternFill>
      </fill>
      <border diagonalUp="0" diagonalDown="0" outline="0">
        <left style="thin">
          <color indexed="64"/>
        </left>
        <right/>
        <top/>
        <bottom/>
      </border>
    </dxf>
    <dxf>
      <font>
        <strike val="0"/>
        <outline val="0"/>
        <shadow val="0"/>
        <u val="none"/>
        <vertAlign val="baseline"/>
        <sz val="11"/>
        <name val="Calibri"/>
        <family val="2"/>
        <scheme val="minor"/>
      </font>
      <numFmt numFmtId="1" formatCode="0"/>
      <fill>
        <patternFill>
          <bgColor rgb="FFFFFFFF"/>
        </patternFill>
      </fill>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1" formatCode="0"/>
      <fill>
        <patternFill patternType="solid">
          <fgColor indexed="64"/>
          <bgColor rgb="FFFFFFFF"/>
        </patternFill>
      </fill>
      <border diagonalUp="0" diagonalDown="0" outline="0">
        <left style="thin">
          <color indexed="64"/>
        </left>
        <right/>
        <top/>
        <bottom/>
      </border>
    </dxf>
    <dxf>
      <font>
        <b val="0"/>
        <i val="0"/>
        <strike val="0"/>
        <condense val="0"/>
        <extend val="0"/>
        <outline val="0"/>
        <shadow val="0"/>
        <u val="none"/>
        <vertAlign val="baseline"/>
        <sz val="11"/>
        <color theme="4" tint="-0.249977111117893"/>
        <name val="Calibri"/>
        <family val="2"/>
        <scheme val="minor"/>
      </font>
      <numFmt numFmtId="0" formatCode="General"/>
      <fill>
        <patternFill patternType="solid">
          <fgColor theme="4" tint="0.79998168889431442"/>
          <bgColor rgb="FFFFFFFF"/>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rgb="FFFFFFFF"/>
        </patternFill>
      </fill>
      <alignment horizontal="general"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4" tint="-0.249977111117893"/>
        <name val="Calibri"/>
        <family val="2"/>
        <scheme val="minor"/>
      </font>
      <numFmt numFmtId="0" formatCode="General"/>
      <fill>
        <patternFill patternType="solid">
          <fgColor theme="4" tint="0.79998168889431442"/>
          <bgColor rgb="FFFFFFFF"/>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rgb="FFFFFFFF"/>
        </patternFill>
      </fill>
      <alignment horizontal="general"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4" tint="-0.249977111117893"/>
        <name val="Calibri"/>
        <family val="2"/>
        <scheme val="minor"/>
      </font>
      <numFmt numFmtId="0" formatCode="General"/>
      <fill>
        <patternFill patternType="solid">
          <fgColor theme="4" tint="0.79998168889431442"/>
          <bgColor rgb="FFFFFFFF"/>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rgb="FFFFFFFF"/>
        </patternFill>
      </fill>
      <alignment horizontal="general"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4" tint="-0.249977111117893"/>
        <name val="Calibri"/>
        <family val="2"/>
        <scheme val="minor"/>
      </font>
      <numFmt numFmtId="0" formatCode="General"/>
      <fill>
        <patternFill patternType="solid">
          <fgColor theme="4" tint="0.79998168889431442"/>
          <bgColor rgb="FFFFFFFF"/>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rgb="FFFFFFFF"/>
        </patternFill>
      </fill>
      <alignment horizontal="general" vertical="bottom"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1"/>
        <name val="Calibri"/>
        <family val="2"/>
        <scheme val="minor"/>
      </font>
      <fill>
        <patternFill>
          <bgColor rgb="FFFFFFFF"/>
        </patternFill>
      </fill>
      <alignment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solid">
          <fgColor indexed="64"/>
          <bgColor rgb="FFFFFFFF"/>
        </patternFill>
      </fill>
      <alignment horizontal="general" vertical="bottom"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1"/>
        <name val="Calibri"/>
        <family val="2"/>
        <scheme val="minor"/>
      </font>
      <fill>
        <patternFill>
          <bgColor rgb="FFFFFFFF"/>
        </patternFill>
      </fill>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solid">
          <fgColor indexed="64"/>
          <bgColor rgb="FFFFFFFF"/>
        </patternFill>
      </fill>
      <border diagonalUp="0" diagonalDown="0" outline="0">
        <left/>
        <right style="thin">
          <color indexed="64"/>
        </right>
        <top/>
        <bottom/>
      </border>
    </dxf>
    <dxf>
      <border outline="0">
        <bottom style="thin">
          <color theme="4"/>
        </bottom>
      </border>
    </dxf>
    <dxf>
      <border outline="0">
        <top style="thin">
          <color theme="4"/>
        </top>
        <bottom style="thin">
          <color theme="4"/>
        </bottom>
      </border>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fill>
        <patternFill>
          <bgColor rgb="FFFFFFFF"/>
        </patternFill>
      </fill>
    </dxf>
    <dxf>
      <font>
        <b/>
        <i val="0"/>
        <strike val="0"/>
        <condense val="0"/>
        <extend val="0"/>
        <outline val="0"/>
        <shadow val="0"/>
        <u val="none"/>
        <vertAlign val="baseline"/>
        <sz val="14"/>
        <color theme="4" tint="-0.249977111117893"/>
        <name val="Calibri"/>
        <family val="2"/>
        <scheme val="minor"/>
      </font>
      <fill>
        <patternFill>
          <bgColor rgb="FFFFFFFF"/>
        </patternFill>
      </fill>
      <border diagonalUp="0" diagonalDown="0" outline="0">
        <left style="thin">
          <color indexed="64"/>
        </left>
        <right style="thin">
          <color indexed="64"/>
        </right>
        <top/>
        <bottom/>
      </border>
    </dxf>
    <dxf>
      <font>
        <strike val="0"/>
        <outline val="0"/>
        <shadow val="0"/>
        <u val="none"/>
        <vertAlign val="baseline"/>
        <sz val="11"/>
        <name val="Calibri"/>
        <family val="2"/>
        <scheme val="minor"/>
      </font>
      <fill>
        <patternFill>
          <bgColor rgb="FFFFFFFF"/>
        </patternFill>
      </fill>
      <border diagonalUp="0" diagonalDown="0" outline="0">
        <left style="thin">
          <color indexed="64"/>
        </left>
        <right/>
        <top style="thin">
          <color indexed="64"/>
        </top>
        <bottom style="thin">
          <color indexed="64"/>
        </bottom>
      </border>
    </dxf>
    <dxf>
      <font>
        <strike val="0"/>
        <outline val="0"/>
        <shadow val="0"/>
        <u val="none"/>
        <vertAlign val="baseline"/>
        <sz val="11"/>
        <name val="Calibri"/>
        <family val="2"/>
        <scheme val="minor"/>
      </font>
      <fill>
        <patternFill>
          <bgColor rgb="FFFFFFFF"/>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fill>
        <patternFill>
          <bgColor rgb="FFFFFFFF"/>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fill>
        <patternFill>
          <bgColor rgb="FFFFFFFF"/>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fill>
        <patternFill>
          <bgColor rgb="FFFFFFFF"/>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fill>
        <patternFill>
          <bgColor rgb="FFFFFFFF"/>
        </patternFill>
      </fill>
      <alignment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fill>
        <patternFill>
          <bgColor rgb="FFFFFFFF"/>
        </patternFill>
      </fill>
      <border diagonalUp="0" diagonalDown="0" outline="0">
        <left/>
        <right style="thin">
          <color indexed="64"/>
        </right>
        <top style="thin">
          <color indexed="64"/>
        </top>
        <bottom style="thin">
          <color indexed="64"/>
        </bottom>
      </border>
    </dxf>
    <dxf>
      <border outline="0">
        <bottom style="thin">
          <color theme="4"/>
        </bottom>
      </border>
    </dxf>
    <dxf>
      <border outline="0">
        <top style="thin">
          <color theme="4"/>
        </top>
        <bottom style="thin">
          <color theme="4"/>
        </bottom>
      </border>
    </dxf>
    <dxf>
      <font>
        <strike val="0"/>
        <outline val="0"/>
        <shadow val="0"/>
        <u val="none"/>
        <vertAlign val="baseline"/>
        <sz val="11"/>
        <name val="Calibri"/>
        <family val="2"/>
        <scheme val="minor"/>
      </font>
      <fill>
        <patternFill>
          <bgColor rgb="FFFFFFFF"/>
        </patternFill>
      </fill>
    </dxf>
    <dxf>
      <font>
        <b/>
        <i val="0"/>
        <strike val="0"/>
        <condense val="0"/>
        <extend val="0"/>
        <outline val="0"/>
        <shadow val="0"/>
        <u val="none"/>
        <vertAlign val="baseline"/>
        <sz val="11"/>
        <color theme="4" tint="-0.249977111117893"/>
        <name val="Calibri"/>
        <family val="2"/>
        <scheme val="minor"/>
      </font>
      <fill>
        <patternFill>
          <bgColor rgb="FFFFFFFF"/>
        </patternFill>
      </fill>
      <border diagonalUp="0" diagonalDown="0" outline="0">
        <left style="thin">
          <color indexed="64"/>
        </left>
        <right style="thin">
          <color indexed="64"/>
        </right>
        <top/>
        <bottom/>
      </border>
    </dxf>
    <dxf>
      <font>
        <strike val="0"/>
        <outline val="0"/>
        <shadow val="0"/>
        <u val="none"/>
        <vertAlign val="baseline"/>
        <sz val="11"/>
        <name val="Calibri"/>
        <family val="2"/>
        <scheme val="minor"/>
      </font>
      <numFmt numFmtId="1" formatCode="0"/>
      <fill>
        <patternFill>
          <bgColor rgb="FFFFFFFF"/>
        </patternFill>
      </fill>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1" formatCode="0"/>
      <fill>
        <patternFill patternType="solid">
          <fgColor indexed="64"/>
          <bgColor rgb="FFFFFFFF"/>
        </patternFill>
      </fill>
      <border diagonalUp="0" diagonalDown="0" outline="0">
        <left style="thin">
          <color indexed="64"/>
        </left>
        <right/>
        <top/>
        <bottom/>
      </border>
      <protection locked="1" hidden="0"/>
    </dxf>
    <dxf>
      <font>
        <strike val="0"/>
        <outline val="0"/>
        <shadow val="0"/>
        <u val="none"/>
        <vertAlign val="baseline"/>
        <sz val="11"/>
        <name val="Calibri"/>
        <family val="2"/>
        <scheme val="minor"/>
      </font>
      <numFmt numFmtId="1" formatCode="0"/>
      <fill>
        <patternFill>
          <bgColor rgb="FFFFFFFF"/>
        </patternFill>
      </fill>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1" formatCode="0"/>
      <fill>
        <patternFill patternType="solid">
          <fgColor indexed="64"/>
          <bgColor rgb="FFFFFFFF"/>
        </patternFill>
      </fill>
      <border diagonalUp="0" diagonalDown="0" outline="0">
        <left style="thin">
          <color indexed="64"/>
        </left>
        <right/>
        <top/>
        <bottom/>
      </border>
      <protection locked="1" hidden="0"/>
    </dxf>
    <dxf>
      <font>
        <strike val="0"/>
        <outline val="0"/>
        <shadow val="0"/>
        <u val="none"/>
        <vertAlign val="baseline"/>
        <sz val="11"/>
        <name val="Calibri"/>
        <family val="2"/>
        <scheme val="minor"/>
      </font>
      <numFmt numFmtId="1" formatCode="0"/>
      <fill>
        <patternFill>
          <bgColor rgb="FFFFFFFF"/>
        </patternFill>
      </fill>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1" formatCode="0"/>
      <fill>
        <patternFill patternType="solid">
          <fgColor indexed="64"/>
          <bgColor rgb="FFFFFFFF"/>
        </patternFill>
      </fill>
      <border diagonalUp="0" diagonalDown="0" outline="0">
        <left style="thin">
          <color indexed="64"/>
        </left>
        <right/>
        <top/>
        <bottom/>
      </border>
      <protection locked="1" hidden="0"/>
    </dxf>
    <dxf>
      <font>
        <strike val="0"/>
        <outline val="0"/>
        <shadow val="0"/>
        <u val="none"/>
        <vertAlign val="baseline"/>
        <sz val="11"/>
        <name val="Calibri"/>
        <family val="2"/>
        <scheme val="minor"/>
      </font>
      <numFmt numFmtId="1" formatCode="0"/>
      <fill>
        <patternFill>
          <bgColor rgb="FFFFFFFF"/>
        </patternFill>
      </fill>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1" formatCode="0"/>
      <fill>
        <patternFill patternType="solid">
          <fgColor indexed="64"/>
          <bgColor rgb="FFFFFFFF"/>
        </patternFill>
      </fill>
      <border diagonalUp="0" diagonalDown="0" outline="0">
        <left style="thin">
          <color indexed="64"/>
        </left>
        <right/>
        <top/>
        <bottom/>
      </border>
      <protection locked="1" hidden="0"/>
    </dxf>
    <dxf>
      <font>
        <strike val="0"/>
        <outline val="0"/>
        <shadow val="0"/>
        <u val="none"/>
        <vertAlign val="baseline"/>
        <sz val="11"/>
        <name val="Calibri"/>
        <family val="2"/>
        <scheme val="minor"/>
      </font>
      <numFmt numFmtId="1" formatCode="0"/>
      <fill>
        <patternFill>
          <bgColor rgb="FFFFFFFF"/>
        </patternFill>
      </fill>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1" formatCode="0"/>
      <fill>
        <patternFill patternType="solid">
          <fgColor indexed="64"/>
          <bgColor rgb="FFFFFFFF"/>
        </patternFill>
      </fill>
      <border diagonalUp="0" diagonalDown="0" outline="0">
        <left style="thin">
          <color indexed="64"/>
        </left>
        <right/>
        <top/>
        <bottom/>
      </border>
      <protection locked="1" hidden="0"/>
    </dxf>
    <dxf>
      <font>
        <strike val="0"/>
        <outline val="0"/>
        <shadow val="0"/>
        <u val="none"/>
        <vertAlign val="baseline"/>
        <sz val="11"/>
        <name val="Calibri"/>
        <family val="2"/>
        <scheme val="minor"/>
      </font>
      <numFmt numFmtId="1" formatCode="0"/>
      <fill>
        <patternFill>
          <bgColor rgb="FFFFFFFF"/>
        </patternFill>
      </fill>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1" formatCode="0"/>
      <fill>
        <patternFill patternType="solid">
          <fgColor indexed="64"/>
          <bgColor rgb="FFFFFFFF"/>
        </patternFill>
      </fill>
      <border diagonalUp="0" diagonalDown="0" outline="0">
        <left style="thin">
          <color indexed="64"/>
        </left>
        <right/>
        <top/>
        <bottom/>
      </border>
      <protection locked="1" hidden="0"/>
    </dxf>
    <dxf>
      <font>
        <strike val="0"/>
        <outline val="0"/>
        <shadow val="0"/>
        <u val="none"/>
        <vertAlign val="baseline"/>
        <sz val="11"/>
        <name val="Calibri"/>
        <family val="2"/>
        <scheme val="minor"/>
      </font>
      <numFmt numFmtId="1" formatCode="0"/>
      <fill>
        <patternFill>
          <bgColor rgb="FFFFFFFF"/>
        </patternFill>
      </fill>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1" formatCode="0"/>
      <fill>
        <patternFill patternType="solid">
          <fgColor indexed="64"/>
          <bgColor rgb="FFFFFFFF"/>
        </patternFill>
      </fill>
      <border diagonalUp="0" diagonalDown="0" outline="0">
        <left style="thin">
          <color indexed="64"/>
        </left>
        <right/>
        <top/>
        <bottom/>
      </border>
      <protection locked="1" hidden="0"/>
    </dxf>
    <dxf>
      <font>
        <strike val="0"/>
        <outline val="0"/>
        <shadow val="0"/>
        <u val="none"/>
        <vertAlign val="baseline"/>
        <sz val="11"/>
        <name val="Calibri"/>
        <family val="2"/>
        <scheme val="minor"/>
      </font>
      <numFmt numFmtId="1" formatCode="0"/>
      <fill>
        <patternFill>
          <bgColor rgb="FFFFFFFF"/>
        </patternFill>
      </fill>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1" formatCode="0"/>
      <fill>
        <patternFill patternType="solid">
          <fgColor indexed="64"/>
          <bgColor rgb="FFFFFFFF"/>
        </patternFill>
      </fill>
      <border diagonalUp="0" diagonalDown="0" outline="0">
        <left style="thin">
          <color indexed="64"/>
        </left>
        <right/>
        <top/>
        <bottom/>
      </border>
      <protection locked="1" hidden="0"/>
    </dxf>
    <dxf>
      <font>
        <strike val="0"/>
        <outline val="0"/>
        <shadow val="0"/>
        <u val="none"/>
        <vertAlign val="baseline"/>
        <sz val="11"/>
        <name val="Calibri"/>
        <family val="2"/>
        <scheme val="minor"/>
      </font>
      <numFmt numFmtId="1" formatCode="0"/>
      <fill>
        <patternFill>
          <bgColor rgb="FFFFFFFF"/>
        </patternFill>
      </fill>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1" formatCode="0"/>
      <fill>
        <patternFill patternType="solid">
          <fgColor indexed="64"/>
          <bgColor rgb="FFFFFFFF"/>
        </patternFill>
      </fill>
      <border diagonalUp="0" diagonalDown="0" outline="0">
        <left style="thin">
          <color indexed="64"/>
        </left>
        <right/>
        <top/>
        <bottom/>
      </border>
      <protection locked="1" hidden="0"/>
    </dxf>
    <dxf>
      <font>
        <strike val="0"/>
        <outline val="0"/>
        <shadow val="0"/>
        <u val="none"/>
        <vertAlign val="baseline"/>
        <sz val="11"/>
        <name val="Calibri"/>
        <family val="2"/>
        <scheme val="minor"/>
      </font>
      <numFmt numFmtId="1" formatCode="0"/>
      <fill>
        <patternFill>
          <bgColor rgb="FFFFFFFF"/>
        </patternFill>
      </fill>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1" formatCode="0"/>
      <fill>
        <patternFill patternType="solid">
          <fgColor indexed="64"/>
          <bgColor rgb="FFFFFFFF"/>
        </patternFill>
      </fill>
      <border diagonalUp="0" diagonalDown="0" outline="0">
        <left style="thin">
          <color indexed="64"/>
        </left>
        <right/>
        <top/>
        <bottom/>
      </border>
      <protection locked="1" hidden="0"/>
    </dxf>
    <dxf>
      <font>
        <strike val="0"/>
        <outline val="0"/>
        <shadow val="0"/>
        <u val="none"/>
        <vertAlign val="baseline"/>
        <sz val="11"/>
        <name val="Calibri"/>
        <family val="2"/>
        <scheme val="minor"/>
      </font>
      <numFmt numFmtId="1" formatCode="0"/>
      <fill>
        <patternFill>
          <bgColor rgb="FFFFFFFF"/>
        </patternFill>
      </fill>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1" formatCode="0"/>
      <fill>
        <patternFill patternType="solid">
          <fgColor indexed="64"/>
          <bgColor rgb="FFFFFFFF"/>
        </patternFill>
      </fill>
      <border diagonalUp="0" diagonalDown="0" outline="0">
        <left style="thin">
          <color indexed="64"/>
        </left>
        <right/>
        <top/>
        <bottom/>
      </border>
      <protection locked="1" hidden="0"/>
    </dxf>
    <dxf>
      <font>
        <strike val="0"/>
        <outline val="0"/>
        <shadow val="0"/>
        <u val="none"/>
        <vertAlign val="baseline"/>
        <sz val="11"/>
        <name val="Calibri"/>
        <family val="2"/>
        <scheme val="minor"/>
      </font>
      <numFmt numFmtId="1" formatCode="0"/>
      <fill>
        <patternFill>
          <bgColor rgb="FFFFFFFF"/>
        </patternFill>
      </fill>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1" formatCode="0"/>
      <fill>
        <patternFill patternType="solid">
          <fgColor indexed="64"/>
          <bgColor rgb="FFFFFFFF"/>
        </patternFill>
      </fill>
      <border diagonalUp="0" diagonalDown="0" outline="0">
        <left style="thin">
          <color indexed="64"/>
        </left>
        <right/>
        <top/>
        <bottom/>
      </border>
      <protection locked="1" hidden="0"/>
    </dxf>
    <dxf>
      <font>
        <strike val="0"/>
        <outline val="0"/>
        <shadow val="0"/>
        <u val="none"/>
        <vertAlign val="baseline"/>
        <sz val="11"/>
        <name val="Calibri"/>
        <family val="2"/>
        <scheme val="minor"/>
      </font>
      <numFmt numFmtId="1" formatCode="0"/>
      <fill>
        <patternFill>
          <bgColor rgb="FFFFFFFF"/>
        </patternFill>
      </fill>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1" formatCode="0"/>
      <fill>
        <patternFill patternType="solid">
          <fgColor indexed="64"/>
          <bgColor rgb="FFFFFFFF"/>
        </patternFill>
      </fill>
      <border diagonalUp="0" diagonalDown="0" outline="0">
        <left style="thin">
          <color indexed="64"/>
        </left>
        <right/>
        <top/>
        <bottom/>
      </border>
      <protection locked="1" hidden="0"/>
    </dxf>
    <dxf>
      <font>
        <strike val="0"/>
        <outline val="0"/>
        <shadow val="0"/>
        <u val="none"/>
        <vertAlign val="baseline"/>
        <sz val="11"/>
        <name val="Calibri"/>
        <family val="2"/>
        <scheme val="minor"/>
      </font>
      <numFmt numFmtId="1" formatCode="0"/>
      <fill>
        <patternFill>
          <bgColor rgb="FFFFFFFF"/>
        </patternFill>
      </fill>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1" formatCode="0"/>
      <fill>
        <patternFill patternType="solid">
          <fgColor indexed="64"/>
          <bgColor rgb="FFFFFFFF"/>
        </patternFill>
      </fill>
      <border diagonalUp="0" diagonalDown="0" outline="0">
        <left style="thin">
          <color indexed="64"/>
        </left>
        <right/>
        <top/>
        <bottom/>
      </border>
      <protection locked="1" hidden="0"/>
    </dxf>
    <dxf>
      <font>
        <strike val="0"/>
        <outline val="0"/>
        <shadow val="0"/>
        <u val="none"/>
        <vertAlign val="baseline"/>
        <sz val="11"/>
        <name val="Calibri"/>
        <family val="2"/>
        <scheme val="minor"/>
      </font>
      <numFmt numFmtId="1" formatCode="0"/>
      <fill>
        <patternFill>
          <bgColor rgb="FFFFFFFF"/>
        </patternFill>
      </fill>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1" formatCode="0"/>
      <fill>
        <patternFill patternType="solid">
          <fgColor indexed="64"/>
          <bgColor rgb="FFFFFFFF"/>
        </patternFill>
      </fill>
      <border diagonalUp="0" diagonalDown="0" outline="0">
        <left style="thin">
          <color indexed="64"/>
        </left>
        <right/>
        <top/>
        <bottom/>
      </border>
      <protection locked="1" hidden="0"/>
    </dxf>
    <dxf>
      <font>
        <strike val="0"/>
        <outline val="0"/>
        <shadow val="0"/>
        <u val="none"/>
        <vertAlign val="baseline"/>
        <sz val="11"/>
        <name val="Calibri"/>
        <family val="2"/>
        <scheme val="minor"/>
      </font>
      <numFmt numFmtId="1" formatCode="0"/>
      <fill>
        <patternFill>
          <bgColor rgb="FFFFFFFF"/>
        </patternFill>
      </fill>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1" formatCode="0"/>
      <fill>
        <patternFill patternType="solid">
          <fgColor indexed="64"/>
          <bgColor rgb="FFFFFFFF"/>
        </patternFill>
      </fill>
      <border diagonalUp="0" diagonalDown="0" outline="0">
        <left style="thin">
          <color indexed="64"/>
        </left>
        <right/>
        <top/>
        <bottom/>
      </border>
      <protection locked="1" hidden="0"/>
    </dxf>
    <dxf>
      <font>
        <strike val="0"/>
        <outline val="0"/>
        <shadow val="0"/>
        <u val="none"/>
        <vertAlign val="baseline"/>
        <sz val="11"/>
        <name val="Calibri"/>
        <family val="2"/>
        <scheme val="minor"/>
      </font>
      <numFmt numFmtId="1" formatCode="0"/>
      <fill>
        <patternFill>
          <bgColor rgb="FFFFFFFF"/>
        </patternFill>
      </fill>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1" formatCode="0"/>
      <fill>
        <patternFill patternType="solid">
          <fgColor indexed="64"/>
          <bgColor rgb="FFFFFFFF"/>
        </patternFill>
      </fill>
      <border diagonalUp="0" diagonalDown="0" outline="0">
        <left style="thin">
          <color indexed="64"/>
        </left>
        <right/>
        <top/>
        <bottom/>
      </border>
      <protection locked="1" hidden="0"/>
    </dxf>
    <dxf>
      <font>
        <strike val="0"/>
        <outline val="0"/>
        <shadow val="0"/>
        <u val="none"/>
        <vertAlign val="baseline"/>
        <sz val="11"/>
        <name val="Calibri"/>
        <family val="2"/>
        <scheme val="minor"/>
      </font>
      <numFmt numFmtId="1" formatCode="0"/>
      <fill>
        <patternFill>
          <bgColor rgb="FFFFFFFF"/>
        </patternFill>
      </fill>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1" formatCode="0"/>
      <fill>
        <patternFill patternType="solid">
          <fgColor indexed="64"/>
          <bgColor rgb="FFFFFFFF"/>
        </patternFill>
      </fill>
      <border diagonalUp="0" diagonalDown="0" outline="0">
        <left style="thin">
          <color indexed="64"/>
        </left>
        <right/>
        <top/>
        <bottom/>
      </border>
      <protection locked="1" hidden="0"/>
    </dxf>
    <dxf>
      <font>
        <strike val="0"/>
        <outline val="0"/>
        <shadow val="0"/>
        <u val="none"/>
        <vertAlign val="baseline"/>
        <sz val="11"/>
        <name val="Calibri"/>
        <family val="2"/>
        <scheme val="minor"/>
      </font>
      <numFmt numFmtId="1" formatCode="0"/>
      <fill>
        <patternFill>
          <bgColor rgb="FFFFFFFF"/>
        </patternFill>
      </fill>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1" formatCode="0"/>
      <fill>
        <patternFill patternType="solid">
          <fgColor indexed="64"/>
          <bgColor rgb="FFFFFFFF"/>
        </patternFill>
      </fill>
      <border diagonalUp="0" diagonalDown="0" outline="0">
        <left style="thin">
          <color indexed="64"/>
        </left>
        <right/>
        <top/>
        <bottom/>
      </border>
      <protection locked="1" hidden="0"/>
    </dxf>
    <dxf>
      <font>
        <strike val="0"/>
        <outline val="0"/>
        <shadow val="0"/>
        <u val="none"/>
        <vertAlign val="baseline"/>
        <sz val="11"/>
        <name val="Calibri"/>
        <family val="2"/>
        <scheme val="minor"/>
      </font>
      <numFmt numFmtId="1" formatCode="0"/>
      <fill>
        <patternFill>
          <bgColor rgb="FFFFFFFF"/>
        </patternFill>
      </fill>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1" formatCode="0"/>
      <fill>
        <patternFill patternType="solid">
          <fgColor indexed="64"/>
          <bgColor rgb="FFFFFFFF"/>
        </patternFill>
      </fill>
      <border diagonalUp="0" diagonalDown="0" outline="0">
        <left style="thin">
          <color indexed="64"/>
        </left>
        <right/>
        <top/>
        <bottom/>
      </border>
      <protection locked="1" hidden="0"/>
    </dxf>
    <dxf>
      <font>
        <strike val="0"/>
        <outline val="0"/>
        <shadow val="0"/>
        <u val="none"/>
        <vertAlign val="baseline"/>
        <sz val="11"/>
        <name val="Calibri"/>
        <family val="2"/>
        <scheme val="minor"/>
      </font>
      <numFmt numFmtId="1" formatCode="0"/>
      <fill>
        <patternFill>
          <bgColor rgb="FFFFFFFF"/>
        </patternFill>
      </fill>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1" formatCode="0"/>
      <fill>
        <patternFill patternType="solid">
          <fgColor indexed="64"/>
          <bgColor rgb="FFFFFFFF"/>
        </patternFill>
      </fill>
      <border diagonalUp="0" diagonalDown="0" outline="0">
        <left style="thin">
          <color indexed="64"/>
        </left>
        <right/>
        <top/>
        <bottom/>
      </border>
      <protection locked="1" hidden="0"/>
    </dxf>
    <dxf>
      <font>
        <strike val="0"/>
        <outline val="0"/>
        <shadow val="0"/>
        <u val="none"/>
        <vertAlign val="baseline"/>
        <sz val="11"/>
        <name val="Calibri"/>
        <family val="2"/>
        <scheme val="minor"/>
      </font>
      <numFmt numFmtId="1" formatCode="0"/>
      <fill>
        <patternFill>
          <bgColor rgb="FFFFFFFF"/>
        </patternFill>
      </fill>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1" formatCode="0"/>
      <fill>
        <patternFill patternType="solid">
          <fgColor indexed="64"/>
          <bgColor rgb="FFFFFFFF"/>
        </patternFill>
      </fill>
      <border diagonalUp="0" diagonalDown="0" outline="0">
        <left style="thin">
          <color indexed="64"/>
        </left>
        <right/>
        <top/>
        <bottom/>
      </border>
      <protection locked="1" hidden="0"/>
    </dxf>
    <dxf>
      <font>
        <strike val="0"/>
        <outline val="0"/>
        <shadow val="0"/>
        <u val="none"/>
        <vertAlign val="baseline"/>
        <sz val="11"/>
        <name val="Calibri"/>
        <family val="2"/>
        <scheme val="minor"/>
      </font>
      <numFmt numFmtId="1" formatCode="0"/>
      <fill>
        <patternFill>
          <bgColor rgb="FFFFFFFF"/>
        </patternFill>
      </fill>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1" formatCode="0"/>
      <fill>
        <patternFill patternType="solid">
          <fgColor indexed="64"/>
          <bgColor rgb="FFFFFFFF"/>
        </patternFill>
      </fill>
      <border diagonalUp="0" diagonalDown="0" outline="0">
        <left style="thin">
          <color indexed="64"/>
        </left>
        <right/>
        <top/>
        <bottom/>
      </border>
      <protection locked="1" hidden="0"/>
    </dxf>
    <dxf>
      <font>
        <strike val="0"/>
        <outline val="0"/>
        <shadow val="0"/>
        <u val="none"/>
        <vertAlign val="baseline"/>
        <sz val="11"/>
        <name val="Calibri"/>
        <family val="2"/>
        <scheme val="minor"/>
      </font>
      <numFmt numFmtId="1" formatCode="0"/>
      <fill>
        <patternFill>
          <bgColor rgb="FFFFFFFF"/>
        </patternFill>
      </fill>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1" formatCode="0"/>
      <fill>
        <patternFill patternType="solid">
          <fgColor indexed="64"/>
          <bgColor rgb="FFFFFFFF"/>
        </patternFill>
      </fill>
      <border diagonalUp="0" diagonalDown="0" outline="0">
        <left style="thin">
          <color indexed="64"/>
        </left>
        <right/>
        <top/>
        <bottom/>
      </border>
      <protection locked="1" hidden="0"/>
    </dxf>
    <dxf>
      <font>
        <strike val="0"/>
        <outline val="0"/>
        <shadow val="0"/>
        <u val="none"/>
        <vertAlign val="baseline"/>
        <sz val="11"/>
        <name val="Calibri"/>
        <family val="2"/>
        <scheme val="minor"/>
      </font>
      <numFmt numFmtId="1" formatCode="0"/>
      <fill>
        <patternFill>
          <bgColor rgb="FFFFFFFF"/>
        </patternFill>
      </fill>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1" formatCode="0"/>
      <fill>
        <patternFill patternType="solid">
          <fgColor indexed="64"/>
          <bgColor rgb="FFFFFFFF"/>
        </patternFill>
      </fill>
      <border diagonalUp="0" diagonalDown="0" outline="0">
        <left style="thin">
          <color indexed="64"/>
        </left>
        <right/>
        <top/>
        <bottom/>
      </border>
      <protection locked="1" hidden="0"/>
    </dxf>
    <dxf>
      <font>
        <strike val="0"/>
        <outline val="0"/>
        <shadow val="0"/>
        <u val="none"/>
        <vertAlign val="baseline"/>
        <sz val="11"/>
        <name val="Calibri"/>
        <family val="2"/>
        <scheme val="minor"/>
      </font>
      <numFmt numFmtId="1" formatCode="0"/>
      <fill>
        <patternFill>
          <bgColor rgb="FFFFFFFF"/>
        </patternFill>
      </fill>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1" formatCode="0"/>
      <fill>
        <patternFill patternType="solid">
          <fgColor indexed="64"/>
          <bgColor rgb="FFFFFFFF"/>
        </patternFill>
      </fill>
      <border diagonalUp="0" diagonalDown="0" outline="0">
        <left style="thin">
          <color indexed="64"/>
        </left>
        <right/>
        <top/>
        <bottom/>
      </border>
      <protection locked="1" hidden="0"/>
    </dxf>
    <dxf>
      <font>
        <strike val="0"/>
        <outline val="0"/>
        <shadow val="0"/>
        <u val="none"/>
        <vertAlign val="baseline"/>
        <sz val="11"/>
        <name val="Calibri"/>
        <family val="2"/>
        <scheme val="minor"/>
      </font>
      <numFmt numFmtId="1" formatCode="0"/>
      <fill>
        <patternFill>
          <bgColor rgb="FFFFFFFF"/>
        </patternFill>
      </fill>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1" formatCode="0"/>
      <fill>
        <patternFill patternType="solid">
          <fgColor indexed="64"/>
          <bgColor rgb="FFFFFFFF"/>
        </patternFill>
      </fill>
      <border diagonalUp="0" diagonalDown="0" outline="0">
        <left style="thin">
          <color indexed="64"/>
        </left>
        <right/>
        <top/>
        <bottom/>
      </border>
      <protection locked="1" hidden="0"/>
    </dxf>
    <dxf>
      <font>
        <strike val="0"/>
        <outline val="0"/>
        <shadow val="0"/>
        <u val="none"/>
        <vertAlign val="baseline"/>
        <sz val="11"/>
        <name val="Calibri"/>
        <family val="2"/>
        <scheme val="minor"/>
      </font>
      <numFmt numFmtId="1" formatCode="0"/>
      <fill>
        <patternFill>
          <bgColor rgb="FFFFFFFF"/>
        </patternFill>
      </fill>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1" formatCode="0"/>
      <fill>
        <patternFill patternType="solid">
          <fgColor indexed="64"/>
          <bgColor rgb="FFFFFFFF"/>
        </patternFill>
      </fill>
      <border diagonalUp="0" diagonalDown="0" outline="0">
        <left style="thin">
          <color indexed="64"/>
        </left>
        <right/>
        <top/>
        <bottom/>
      </border>
      <protection locked="1" hidden="0"/>
    </dxf>
    <dxf>
      <font>
        <strike val="0"/>
        <outline val="0"/>
        <shadow val="0"/>
        <u val="none"/>
        <vertAlign val="baseline"/>
        <sz val="11"/>
        <name val="Calibri"/>
        <family val="2"/>
        <scheme val="minor"/>
      </font>
      <numFmt numFmtId="1" formatCode="0"/>
      <fill>
        <patternFill>
          <bgColor rgb="FFFFFFFF"/>
        </patternFill>
      </fill>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1" formatCode="0"/>
      <fill>
        <patternFill patternType="solid">
          <fgColor indexed="64"/>
          <bgColor rgb="FFFFFFFF"/>
        </patternFill>
      </fill>
      <border diagonalUp="0" diagonalDown="0" outline="0">
        <left style="thin">
          <color indexed="64"/>
        </left>
        <right/>
        <top/>
        <bottom/>
      </border>
      <protection locked="1" hidden="0"/>
    </dxf>
    <dxf>
      <font>
        <strike val="0"/>
        <outline val="0"/>
        <shadow val="0"/>
        <u val="none"/>
        <vertAlign val="baseline"/>
        <sz val="11"/>
        <name val="Calibri"/>
        <family val="2"/>
        <scheme val="minor"/>
      </font>
      <numFmt numFmtId="1" formatCode="0"/>
      <fill>
        <patternFill>
          <bgColor rgb="FFFFFFFF"/>
        </patternFill>
      </fill>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1" formatCode="0"/>
      <fill>
        <patternFill patternType="solid">
          <fgColor indexed="64"/>
          <bgColor rgb="FFFFFFFF"/>
        </patternFill>
      </fill>
      <border diagonalUp="0" diagonalDown="0" outline="0">
        <left style="thin">
          <color indexed="64"/>
        </left>
        <right/>
        <top/>
        <bottom/>
      </border>
      <protection locked="1" hidden="0"/>
    </dxf>
    <dxf>
      <font>
        <strike val="0"/>
        <outline val="0"/>
        <shadow val="0"/>
        <u val="none"/>
        <vertAlign val="baseline"/>
        <sz val="11"/>
        <name val="Calibri"/>
        <family val="2"/>
        <scheme val="minor"/>
      </font>
      <numFmt numFmtId="1" formatCode="0"/>
      <fill>
        <patternFill>
          <bgColor rgb="FFFFFFFF"/>
        </patternFill>
      </fill>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1" formatCode="0"/>
      <fill>
        <patternFill patternType="solid">
          <fgColor indexed="64"/>
          <bgColor rgb="FFFFFFFF"/>
        </patternFill>
      </fill>
      <border diagonalUp="0" diagonalDown="0" outline="0">
        <left style="thin">
          <color indexed="64"/>
        </left>
        <right/>
        <top/>
        <bottom/>
      </border>
      <protection locked="1" hidden="0"/>
    </dxf>
    <dxf>
      <font>
        <strike val="0"/>
        <outline val="0"/>
        <shadow val="0"/>
        <u val="none"/>
        <vertAlign val="baseline"/>
        <sz val="11"/>
        <name val="Calibri"/>
        <family val="2"/>
        <scheme val="minor"/>
      </font>
      <numFmt numFmtId="1" formatCode="0"/>
      <fill>
        <patternFill>
          <bgColor rgb="FFFFFFFF"/>
        </patternFill>
      </fill>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1" formatCode="0"/>
      <fill>
        <patternFill patternType="solid">
          <fgColor indexed="64"/>
          <bgColor rgb="FFFFFFFF"/>
        </patternFill>
      </fill>
      <border diagonalUp="0" diagonalDown="0" outline="0">
        <left style="thin">
          <color indexed="64"/>
        </left>
        <right/>
        <top/>
        <bottom/>
      </border>
      <protection locked="1" hidden="0"/>
    </dxf>
    <dxf>
      <font>
        <strike val="0"/>
        <outline val="0"/>
        <shadow val="0"/>
        <u val="none"/>
        <vertAlign val="baseline"/>
        <sz val="11"/>
        <name val="Calibri"/>
        <family val="2"/>
        <scheme val="minor"/>
      </font>
      <numFmt numFmtId="1" formatCode="0"/>
      <fill>
        <patternFill>
          <bgColor rgb="FFFFFFFF"/>
        </patternFill>
      </fill>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1" formatCode="0"/>
      <fill>
        <patternFill patternType="solid">
          <fgColor indexed="64"/>
          <bgColor rgb="FFFFFFFF"/>
        </patternFill>
      </fill>
      <border diagonalUp="0" diagonalDown="0" outline="0">
        <left style="thin">
          <color indexed="64"/>
        </left>
        <right/>
        <top/>
        <bottom/>
      </border>
      <protection locked="1" hidden="0"/>
    </dxf>
    <dxf>
      <font>
        <strike val="0"/>
        <outline val="0"/>
        <shadow val="0"/>
        <u val="none"/>
        <vertAlign val="baseline"/>
        <sz val="11"/>
        <name val="Calibri"/>
        <family val="2"/>
        <scheme val="minor"/>
      </font>
      <numFmt numFmtId="1" formatCode="0"/>
      <fill>
        <patternFill>
          <bgColor rgb="FFFFFFFF"/>
        </patternFill>
      </fill>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1" formatCode="0"/>
      <fill>
        <patternFill patternType="solid">
          <fgColor indexed="64"/>
          <bgColor rgb="FFFFFFFF"/>
        </patternFill>
      </fill>
      <border diagonalUp="0" diagonalDown="0" outline="0">
        <left style="thin">
          <color indexed="64"/>
        </left>
        <right/>
        <top/>
        <bottom/>
      </border>
      <protection locked="1" hidden="0"/>
    </dxf>
    <dxf>
      <font>
        <strike val="0"/>
        <outline val="0"/>
        <shadow val="0"/>
        <u val="none"/>
        <vertAlign val="baseline"/>
        <sz val="11"/>
        <name val="Calibri"/>
        <family val="2"/>
        <scheme val="minor"/>
      </font>
      <numFmt numFmtId="1" formatCode="0"/>
      <fill>
        <patternFill>
          <bgColor rgb="FFFFFFFF"/>
        </patternFill>
      </fill>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1" formatCode="0"/>
      <fill>
        <patternFill patternType="solid">
          <fgColor indexed="64"/>
          <bgColor rgb="FFFFFFFF"/>
        </patternFill>
      </fill>
      <border diagonalUp="0" diagonalDown="0" outline="0">
        <left style="thin">
          <color indexed="64"/>
        </left>
        <right/>
        <top/>
        <bottom/>
      </border>
      <protection locked="1" hidden="0"/>
    </dxf>
    <dxf>
      <font>
        <strike val="0"/>
        <outline val="0"/>
        <shadow val="0"/>
        <u val="none"/>
        <vertAlign val="baseline"/>
        <sz val="11"/>
        <name val="Calibri"/>
        <family val="2"/>
        <scheme val="minor"/>
      </font>
      <numFmt numFmtId="1" formatCode="0"/>
      <fill>
        <patternFill>
          <bgColor rgb="FFFFFFFF"/>
        </patternFill>
      </fill>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1" formatCode="0"/>
      <fill>
        <patternFill patternType="solid">
          <fgColor indexed="64"/>
          <bgColor rgb="FFFFFFFF"/>
        </patternFill>
      </fill>
      <border diagonalUp="0" diagonalDown="0" outline="0">
        <left style="thin">
          <color indexed="64"/>
        </left>
        <right/>
        <top/>
        <bottom/>
      </border>
      <protection locked="1" hidden="0"/>
    </dxf>
    <dxf>
      <font>
        <strike val="0"/>
        <outline val="0"/>
        <shadow val="0"/>
        <u val="none"/>
        <vertAlign val="baseline"/>
        <sz val="11"/>
        <name val="Calibri"/>
        <family val="2"/>
        <scheme val="minor"/>
      </font>
      <numFmt numFmtId="1" formatCode="0"/>
      <fill>
        <patternFill>
          <bgColor rgb="FFFFFFFF"/>
        </patternFill>
      </fill>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1" formatCode="0"/>
      <fill>
        <patternFill patternType="solid">
          <fgColor indexed="64"/>
          <bgColor rgb="FFFFFFFF"/>
        </patternFill>
      </fill>
      <border diagonalUp="0" diagonalDown="0" outline="0">
        <left style="thin">
          <color indexed="64"/>
        </left>
        <right/>
        <top/>
        <bottom/>
      </border>
      <protection locked="1" hidden="0"/>
    </dxf>
    <dxf>
      <font>
        <strike val="0"/>
        <outline val="0"/>
        <shadow val="0"/>
        <u val="none"/>
        <vertAlign val="baseline"/>
        <sz val="11"/>
        <name val="Calibri"/>
        <family val="2"/>
        <scheme val="minor"/>
      </font>
      <numFmt numFmtId="1" formatCode="0"/>
      <fill>
        <patternFill>
          <bgColor rgb="FFFFFFFF"/>
        </patternFill>
      </fill>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1" formatCode="0"/>
      <fill>
        <patternFill patternType="solid">
          <fgColor indexed="64"/>
          <bgColor rgb="FFFFFFFF"/>
        </patternFill>
      </fill>
      <border diagonalUp="0" diagonalDown="0" outline="0">
        <left style="thin">
          <color indexed="64"/>
        </left>
        <right/>
        <top/>
        <bottom/>
      </border>
      <protection locked="1" hidden="0"/>
    </dxf>
    <dxf>
      <font>
        <strike val="0"/>
        <outline val="0"/>
        <shadow val="0"/>
        <u val="none"/>
        <vertAlign val="baseline"/>
        <sz val="11"/>
        <name val="Calibri"/>
        <family val="2"/>
        <scheme val="minor"/>
      </font>
      <numFmt numFmtId="1" formatCode="0"/>
      <fill>
        <patternFill>
          <bgColor rgb="FFFFFFFF"/>
        </patternFill>
      </fill>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1" formatCode="0"/>
      <fill>
        <patternFill patternType="solid">
          <fgColor indexed="64"/>
          <bgColor rgb="FFFFFFFF"/>
        </patternFill>
      </fill>
      <border diagonalUp="0" diagonalDown="0" outline="0">
        <left style="thin">
          <color indexed="64"/>
        </left>
        <right/>
        <top/>
        <bottom/>
      </border>
      <protection locked="1" hidden="0"/>
    </dxf>
    <dxf>
      <font>
        <strike val="0"/>
        <outline val="0"/>
        <shadow val="0"/>
        <u val="none"/>
        <vertAlign val="baseline"/>
        <sz val="11"/>
        <name val="Calibri"/>
        <family val="2"/>
        <scheme val="minor"/>
      </font>
      <numFmt numFmtId="1" formatCode="0"/>
      <fill>
        <patternFill>
          <bgColor rgb="FFFFFFFF"/>
        </patternFill>
      </fill>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1" formatCode="0"/>
      <fill>
        <patternFill patternType="solid">
          <fgColor indexed="64"/>
          <bgColor rgb="FFFFFFFF"/>
        </patternFill>
      </fill>
      <border diagonalUp="0" diagonalDown="0" outline="0">
        <left style="thin">
          <color indexed="64"/>
        </left>
        <right/>
        <top/>
        <bottom/>
      </border>
      <protection locked="1" hidden="0"/>
    </dxf>
    <dxf>
      <font>
        <strike val="0"/>
        <outline val="0"/>
        <shadow val="0"/>
        <u val="none"/>
        <vertAlign val="baseline"/>
        <sz val="11"/>
        <name val="Calibri"/>
        <family val="2"/>
        <scheme val="minor"/>
      </font>
      <numFmt numFmtId="1" formatCode="0"/>
      <fill>
        <patternFill>
          <bgColor rgb="FFFFFFFF"/>
        </patternFill>
      </fill>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1" formatCode="0"/>
      <fill>
        <patternFill patternType="solid">
          <fgColor indexed="64"/>
          <bgColor rgb="FFFFFFFF"/>
        </patternFill>
      </fill>
      <border diagonalUp="0" diagonalDown="0" outline="0">
        <left style="thin">
          <color indexed="64"/>
        </left>
        <right/>
        <top/>
        <bottom/>
      </border>
      <protection locked="1" hidden="0"/>
    </dxf>
    <dxf>
      <font>
        <strike val="0"/>
        <outline val="0"/>
        <shadow val="0"/>
        <u val="none"/>
        <vertAlign val="baseline"/>
        <sz val="11"/>
        <name val="Calibri"/>
        <family val="2"/>
        <scheme val="minor"/>
      </font>
      <numFmt numFmtId="1" formatCode="0"/>
      <fill>
        <patternFill>
          <bgColor rgb="FFFFFFFF"/>
        </patternFill>
      </fill>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1" formatCode="0"/>
      <fill>
        <patternFill patternType="solid">
          <fgColor indexed="64"/>
          <bgColor rgb="FFFFFFFF"/>
        </patternFill>
      </fill>
      <border diagonalUp="0" diagonalDown="0" outline="0">
        <left style="thin">
          <color indexed="64"/>
        </left>
        <right/>
        <top/>
        <bottom/>
      </border>
      <protection locked="1" hidden="0"/>
    </dxf>
    <dxf>
      <font>
        <strike val="0"/>
        <outline val="0"/>
        <shadow val="0"/>
        <u val="none"/>
        <vertAlign val="baseline"/>
        <sz val="11"/>
        <name val="Calibri"/>
        <family val="2"/>
        <scheme val="minor"/>
      </font>
      <numFmt numFmtId="1" formatCode="0"/>
      <fill>
        <patternFill>
          <bgColor rgb="FFFFFFFF"/>
        </patternFill>
      </fill>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1" formatCode="0"/>
      <fill>
        <patternFill patternType="solid">
          <fgColor indexed="64"/>
          <bgColor rgb="FFFFFFFF"/>
        </patternFill>
      </fill>
      <border diagonalUp="0" diagonalDown="0" outline="0">
        <left style="thin">
          <color indexed="64"/>
        </left>
        <right/>
        <top/>
        <bottom/>
      </border>
      <protection locked="1" hidden="0"/>
    </dxf>
    <dxf>
      <font>
        <strike val="0"/>
        <outline val="0"/>
        <shadow val="0"/>
        <u val="none"/>
        <vertAlign val="baseline"/>
        <sz val="11"/>
        <name val="Calibri"/>
        <family val="2"/>
        <scheme val="minor"/>
      </font>
      <numFmt numFmtId="1" formatCode="0"/>
      <fill>
        <patternFill>
          <bgColor rgb="FFFFFFFF"/>
        </patternFill>
      </fill>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1" formatCode="0"/>
      <fill>
        <patternFill patternType="solid">
          <fgColor indexed="64"/>
          <bgColor rgb="FFFFFFFF"/>
        </patternFill>
      </fill>
      <border diagonalUp="0" diagonalDown="0" outline="0">
        <left style="thin">
          <color indexed="64"/>
        </left>
        <right/>
        <top/>
        <bottom/>
      </border>
      <protection locked="1" hidden="0"/>
    </dxf>
    <dxf>
      <font>
        <strike val="0"/>
        <outline val="0"/>
        <shadow val="0"/>
        <u val="none"/>
        <vertAlign val="baseline"/>
        <sz val="11"/>
        <name val="Calibri"/>
        <family val="2"/>
        <scheme val="minor"/>
      </font>
      <numFmt numFmtId="1" formatCode="0"/>
      <fill>
        <patternFill>
          <bgColor rgb="FFFFFFFF"/>
        </patternFill>
      </fill>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1" formatCode="0"/>
      <fill>
        <patternFill patternType="solid">
          <fgColor indexed="64"/>
          <bgColor rgb="FFFFFFFF"/>
        </patternFill>
      </fill>
      <border diagonalUp="0" diagonalDown="0" outline="0">
        <left style="thin">
          <color indexed="64"/>
        </left>
        <right/>
        <top/>
        <bottom/>
      </border>
      <protection locked="1" hidden="0"/>
    </dxf>
    <dxf>
      <font>
        <strike val="0"/>
        <outline val="0"/>
        <shadow val="0"/>
        <u val="none"/>
        <vertAlign val="baseline"/>
        <sz val="11"/>
        <name val="Calibri"/>
        <family val="2"/>
        <scheme val="minor"/>
      </font>
      <numFmt numFmtId="1" formatCode="0"/>
      <fill>
        <patternFill>
          <bgColor rgb="FFFFFFFF"/>
        </patternFill>
      </fill>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1" formatCode="0"/>
      <fill>
        <patternFill patternType="solid">
          <fgColor indexed="64"/>
          <bgColor rgb="FFFFFFFF"/>
        </patternFill>
      </fill>
      <border diagonalUp="0" diagonalDown="0" outline="0">
        <left style="thin">
          <color indexed="64"/>
        </left>
        <right/>
        <top/>
        <bottom/>
      </border>
      <protection locked="1" hidden="0"/>
    </dxf>
    <dxf>
      <font>
        <strike val="0"/>
        <outline val="0"/>
        <shadow val="0"/>
        <u val="none"/>
        <vertAlign val="baseline"/>
        <sz val="11"/>
        <name val="Calibri"/>
        <family val="2"/>
        <scheme val="minor"/>
      </font>
      <numFmt numFmtId="1" formatCode="0"/>
      <fill>
        <patternFill>
          <bgColor rgb="FFFFFFFF"/>
        </patternFill>
      </fill>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1" formatCode="0"/>
      <fill>
        <patternFill patternType="solid">
          <fgColor indexed="64"/>
          <bgColor rgb="FFFFFFFF"/>
        </patternFill>
      </fill>
      <border diagonalUp="0" diagonalDown="0" outline="0">
        <left style="thin">
          <color indexed="64"/>
        </left>
        <right/>
        <top/>
        <bottom/>
      </border>
      <protection locked="1" hidden="0"/>
    </dxf>
    <dxf>
      <font>
        <strike val="0"/>
        <outline val="0"/>
        <shadow val="0"/>
        <u val="none"/>
        <vertAlign val="baseline"/>
        <sz val="11"/>
        <name val="Calibri"/>
        <family val="2"/>
        <scheme val="minor"/>
      </font>
      <numFmt numFmtId="1" formatCode="0"/>
      <fill>
        <patternFill>
          <bgColor rgb="FFFFFFFF"/>
        </patternFill>
      </fill>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1" formatCode="0"/>
      <fill>
        <patternFill patternType="solid">
          <fgColor indexed="64"/>
          <bgColor rgb="FFFFFFFF"/>
        </patternFill>
      </fill>
      <border diagonalUp="0" diagonalDown="0" outline="0">
        <left style="thin">
          <color indexed="64"/>
        </left>
        <right/>
        <top/>
        <bottom/>
      </border>
      <protection locked="1" hidden="0"/>
    </dxf>
    <dxf>
      <font>
        <strike val="0"/>
        <outline val="0"/>
        <shadow val="0"/>
        <u val="none"/>
        <vertAlign val="baseline"/>
        <sz val="11"/>
        <name val="Calibri"/>
        <family val="2"/>
        <scheme val="minor"/>
      </font>
      <numFmt numFmtId="1" formatCode="0"/>
      <fill>
        <patternFill>
          <bgColor rgb="FFFFFFFF"/>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1" formatCode="0"/>
      <fill>
        <patternFill patternType="solid">
          <fgColor indexed="64"/>
          <bgColor rgb="FFFFFFFF"/>
        </patternFill>
      </fill>
      <border diagonalUp="0" diagonalDown="0" outline="0">
        <left style="thin">
          <color indexed="64"/>
        </left>
        <right/>
        <top/>
        <bottom/>
      </border>
      <protection locked="1" hidden="0"/>
    </dxf>
    <dxf>
      <font>
        <strike val="0"/>
        <outline val="0"/>
        <shadow val="0"/>
        <u val="none"/>
        <vertAlign val="baseline"/>
        <sz val="11"/>
        <name val="Calibri"/>
        <family val="2"/>
        <scheme val="minor"/>
      </font>
      <numFmt numFmtId="1" formatCode="0"/>
      <fill>
        <patternFill>
          <bgColor rgb="FFFFFFFF"/>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1" formatCode="0"/>
      <fill>
        <patternFill patternType="solid">
          <fgColor indexed="64"/>
          <bgColor rgb="FFFFFFFF"/>
        </patternFill>
      </fill>
      <border diagonalUp="0" diagonalDown="0" outline="0">
        <left style="thin">
          <color indexed="64"/>
        </left>
        <right/>
        <top/>
        <bottom/>
      </border>
      <protection locked="1" hidden="0"/>
    </dxf>
    <dxf>
      <font>
        <strike val="0"/>
        <outline val="0"/>
        <shadow val="0"/>
        <u val="none"/>
        <vertAlign val="baseline"/>
        <sz val="11"/>
        <name val="Calibri"/>
        <family val="2"/>
        <scheme val="minor"/>
      </font>
      <numFmt numFmtId="1" formatCode="0"/>
      <fill>
        <patternFill>
          <bgColor rgb="FFFFFFFF"/>
        </patternFill>
      </fill>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1" formatCode="0"/>
      <fill>
        <patternFill patternType="solid">
          <fgColor indexed="64"/>
          <bgColor rgb="FFFFFFFF"/>
        </patternFill>
      </fill>
      <border diagonalUp="0" diagonalDown="0" outline="0">
        <left style="thin">
          <color indexed="64"/>
        </left>
        <right/>
        <top/>
        <bottom/>
      </border>
      <protection locked="1" hidden="0"/>
    </dxf>
    <dxf>
      <font>
        <strike val="0"/>
        <outline val="0"/>
        <shadow val="0"/>
        <u val="none"/>
        <vertAlign val="baseline"/>
        <sz val="11"/>
        <name val="Calibri"/>
        <family val="2"/>
        <scheme val="minor"/>
      </font>
      <numFmt numFmtId="1" formatCode="0"/>
      <fill>
        <patternFill>
          <bgColor rgb="FFFFFFFF"/>
        </patternFill>
      </fill>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1" formatCode="0"/>
      <fill>
        <patternFill patternType="solid">
          <fgColor indexed="64"/>
          <bgColor rgb="FFFFFFFF"/>
        </patternFill>
      </fill>
      <border diagonalUp="0" diagonalDown="0" outline="0">
        <left style="thin">
          <color indexed="64"/>
        </left>
        <right/>
        <top/>
        <bottom/>
      </border>
      <protection locked="1" hidden="0"/>
    </dxf>
    <dxf>
      <font>
        <b val="0"/>
        <i val="0"/>
        <strike val="0"/>
        <condense val="0"/>
        <extend val="0"/>
        <outline val="0"/>
        <shadow val="0"/>
        <u val="none"/>
        <vertAlign val="baseline"/>
        <sz val="11"/>
        <color theme="4" tint="-0.249977111117893"/>
        <name val="Calibri"/>
        <family val="2"/>
        <scheme val="minor"/>
      </font>
      <numFmt numFmtId="0" formatCode="General"/>
      <fill>
        <patternFill patternType="solid">
          <fgColor theme="4" tint="0.79998168889431442"/>
          <bgColor rgb="FFFFFFFF"/>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rgb="FFFFFFFF"/>
        </patternFill>
      </fill>
      <alignment horizontal="general"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4" tint="-0.249977111117893"/>
        <name val="Calibri"/>
        <family val="2"/>
        <scheme val="minor"/>
      </font>
      <numFmt numFmtId="1" formatCode="0"/>
      <fill>
        <patternFill patternType="solid">
          <fgColor theme="4" tint="0.79998168889431442"/>
          <bgColor rgb="FFFFFFFF"/>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rgb="FFFFFFFF"/>
        </patternFill>
      </fill>
      <alignment horizontal="general"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4" tint="-0.249977111117893"/>
        <name val="Calibri"/>
        <family val="2"/>
        <scheme val="minor"/>
      </font>
      <numFmt numFmtId="0" formatCode="General"/>
      <fill>
        <patternFill patternType="solid">
          <fgColor theme="4" tint="0.79998168889431442"/>
          <bgColor rgb="FFFFFFFF"/>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rgb="FFFFFFFF"/>
        </patternFill>
      </fill>
      <alignment horizontal="general"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4" tint="-0.249977111117893"/>
        <name val="Calibri"/>
        <family val="2"/>
        <scheme val="minor"/>
      </font>
      <numFmt numFmtId="0" formatCode="General"/>
      <fill>
        <patternFill patternType="solid">
          <fgColor theme="4" tint="0.79998168889431442"/>
          <bgColor rgb="FFFFFFFF"/>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rgb="FFFFFFFF"/>
        </patternFill>
      </fill>
      <alignment horizontal="general"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4" tint="-0.249977111117893"/>
        <name val="Calibri"/>
        <family val="2"/>
        <scheme val="minor"/>
      </font>
      <numFmt numFmtId="0" formatCode="General"/>
      <fill>
        <patternFill patternType="solid">
          <fgColor theme="4" tint="0.79998168889431442"/>
          <bgColor rgb="FFFFFFFF"/>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rgb="FFFFFFFF"/>
        </patternFill>
      </fill>
      <alignment horizontal="general"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4" tint="-0.249977111117893"/>
        <name val="Calibri"/>
        <family val="2"/>
        <scheme val="minor"/>
      </font>
      <numFmt numFmtId="0" formatCode="General"/>
      <fill>
        <patternFill patternType="solid">
          <fgColor theme="4" tint="0.79998168889431442"/>
          <bgColor rgb="FFFFFFFF"/>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rgb="FFFFFFFF"/>
        </patternFill>
      </fill>
      <alignment horizontal="general"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4" tint="-0.249977111117893"/>
        <name val="Calibri"/>
        <family val="2"/>
        <scheme val="minor"/>
      </font>
      <numFmt numFmtId="0" formatCode="General"/>
      <fill>
        <patternFill patternType="solid">
          <fgColor theme="4" tint="0.79998168889431442"/>
          <bgColor rgb="FFFFFFFF"/>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rgb="FFFFFFFF"/>
        </patternFill>
      </fill>
      <alignment horizontal="general" vertical="bottom"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1"/>
        <name val="Calibri"/>
        <family val="2"/>
        <scheme val="minor"/>
      </font>
      <fill>
        <patternFill>
          <bgColor rgb="FFFFFFFF"/>
        </patternFill>
      </fill>
      <alignment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solid">
          <fgColor indexed="64"/>
          <bgColor rgb="FFFFFFFF"/>
        </patternFill>
      </fill>
      <alignment horizontal="general" vertical="bottom"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1"/>
        <name val="Calibri"/>
        <family val="2"/>
        <scheme val="minor"/>
      </font>
      <fill>
        <patternFill>
          <bgColor rgb="FFFFFFFF"/>
        </patternFill>
      </fill>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solid">
          <fgColor indexed="64"/>
          <bgColor rgb="FFFFFFFF"/>
        </patternFill>
      </fill>
      <border diagonalUp="0" diagonalDown="0" outline="0">
        <left/>
        <right style="thin">
          <color indexed="64"/>
        </right>
        <top/>
        <bottom/>
      </border>
    </dxf>
    <dxf>
      <border outline="0">
        <bottom style="thin">
          <color theme="4"/>
        </bottom>
      </border>
    </dxf>
    <dxf>
      <border outline="0">
        <top style="thin">
          <color theme="4"/>
        </top>
        <bottom style="thin">
          <color theme="4"/>
        </bottom>
      </border>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fill>
        <patternFill>
          <bgColor rgb="FFFFFFFF"/>
        </patternFill>
      </fill>
    </dxf>
    <dxf>
      <font>
        <b/>
        <i val="0"/>
        <strike val="0"/>
        <condense val="0"/>
        <extend val="0"/>
        <outline val="0"/>
        <shadow val="0"/>
        <u val="none"/>
        <vertAlign val="baseline"/>
        <sz val="14"/>
        <color theme="4" tint="-0.249977111117893"/>
        <name val="Calibri"/>
        <family val="2"/>
        <scheme val="minor"/>
      </font>
      <fill>
        <patternFill>
          <bgColor rgb="FFFFFFFF"/>
        </patternFill>
      </fill>
      <border diagonalUp="0" diagonalDown="0" outline="0">
        <left style="thin">
          <color indexed="64"/>
        </left>
        <right style="thin">
          <color indexed="64"/>
        </right>
        <top/>
        <bottom/>
      </border>
    </dxf>
    <dxf>
      <font>
        <strike val="0"/>
        <outline val="0"/>
        <shadow val="0"/>
        <u val="none"/>
        <vertAlign val="baseline"/>
        <sz val="11"/>
        <name val="Calibri"/>
        <family val="2"/>
        <scheme val="minor"/>
      </font>
      <numFmt numFmtId="178" formatCode="yyyy/mm/dd;@"/>
    </dxf>
    <dxf>
      <font>
        <strike val="0"/>
        <outline val="0"/>
        <shadow val="0"/>
        <u val="none"/>
        <vertAlign val="baseline"/>
        <sz val="11"/>
        <name val="Calibri"/>
        <family val="2"/>
        <scheme val="minor"/>
      </font>
      <numFmt numFmtId="178" formatCode="yyyy/mm/dd;@"/>
      <alignment vertical="bottom" textRotation="0" wrapText="1" indent="0" justifyLastLine="0" shrinkToFit="0" readingOrder="0"/>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4"/>
        <name val="Calibri"/>
        <family val="2"/>
        <scheme val="minor"/>
      </font>
    </dxf>
    <dxf>
      <font>
        <strike val="0"/>
        <outline val="0"/>
        <shadow val="0"/>
        <u val="none"/>
        <vertAlign val="baseline"/>
        <sz val="11"/>
        <name val="Calibri"/>
        <family val="2"/>
        <scheme val="minor"/>
      </font>
      <fill>
        <patternFill patternType="solid">
          <fgColor indexed="64"/>
          <bgColor theme="9" tint="0.79998168889431442"/>
        </patternFill>
      </fill>
      <alignment horizontal="general" vertical="bottom" textRotation="0" wrapText="1" indent="0" justifyLastLine="0" shrinkToFit="0" readingOrder="0"/>
      <border diagonalUp="0" diagonalDown="0">
        <left/>
        <right/>
        <top style="thin">
          <color indexed="64"/>
        </top>
        <bottom style="thin">
          <color indexed="64"/>
        </bottom>
      </border>
      <protection locked="0" hidden="0"/>
    </dxf>
    <dxf>
      <font>
        <b/>
        <strike val="0"/>
        <outline val="0"/>
        <shadow val="0"/>
        <u val="none"/>
        <vertAlign val="baseline"/>
        <sz val="11"/>
        <color rgb="FFFFFFFF"/>
        <name val="Calibri"/>
        <family val="2"/>
        <scheme val="minor"/>
      </font>
      <fill>
        <patternFill patternType="solid">
          <fgColor indexed="64"/>
          <bgColor rgb="FFFFFFFF"/>
        </patternFill>
      </fill>
      <border diagonalUp="0" diagonalDown="0">
        <left/>
        <right style="thin">
          <color indexed="64"/>
        </right>
        <top style="thin">
          <color indexed="64"/>
        </top>
        <bottom style="thin">
          <color indexed="64"/>
        </bottom>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dxf>
    <dxf>
      <font>
        <strike val="0"/>
        <outline val="0"/>
        <shadow val="0"/>
        <u val="none"/>
        <vertAlign val="baseline"/>
        <sz val="14"/>
        <color auto="1"/>
        <name val="Calibri"/>
        <family val="2"/>
        <scheme val="minor"/>
      </font>
      <border diagonalUp="0" diagonalDown="0" outline="0">
        <left style="thin">
          <color indexed="64"/>
        </left>
        <right style="thin">
          <color indexed="64"/>
        </right>
        <top/>
        <bottom/>
      </border>
    </dxf>
    <dxf>
      <font>
        <strike val="0"/>
        <outline val="0"/>
        <shadow val="0"/>
        <u val="none"/>
        <vertAlign val="baseline"/>
        <sz val="11"/>
        <name val="Calibri"/>
        <family val="2"/>
        <scheme val="minor"/>
      </font>
      <numFmt numFmtId="1" formatCode="0"/>
      <fill>
        <patternFill>
          <bgColor rgb="FFFFFFFF"/>
        </patternFill>
      </fill>
      <border diagonalUp="0" diagonalDown="0" outline="0">
        <left style="thin">
          <color indexed="64"/>
        </left>
        <right/>
        <top style="thin">
          <color indexed="64"/>
        </top>
        <bottom style="thin">
          <color indexed="64"/>
        </bottom>
      </border>
    </dxf>
    <dxf>
      <font>
        <strike val="0"/>
        <outline val="0"/>
        <shadow val="0"/>
        <u val="none"/>
        <vertAlign val="baseline"/>
        <sz val="11"/>
        <name val="Calibri"/>
        <family val="2"/>
        <scheme val="minor"/>
      </font>
      <numFmt numFmtId="1" formatCode="0"/>
      <fill>
        <patternFill patternType="solid">
          <fgColor indexed="64"/>
          <bgColor rgb="FFFFFFFF"/>
        </patternFill>
      </fill>
      <border diagonalUp="0" diagonalDown="0" outline="0">
        <left style="thin">
          <color indexed="64"/>
        </left>
        <right/>
        <top/>
        <bottom/>
      </border>
    </dxf>
    <dxf>
      <font>
        <strike val="0"/>
        <outline val="0"/>
        <shadow val="0"/>
        <u val="none"/>
        <vertAlign val="baseline"/>
        <sz val="11"/>
        <name val="Calibri"/>
        <family val="2"/>
        <scheme val="minor"/>
      </font>
      <numFmt numFmtId="1" formatCode="0"/>
      <fill>
        <patternFill>
          <bgColor rgb="FFFFFFFF"/>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numFmt numFmtId="1" formatCode="0"/>
      <fill>
        <patternFill patternType="solid">
          <fgColor indexed="64"/>
          <bgColor rgb="FFFFFFFF"/>
        </patternFill>
      </fill>
      <border diagonalUp="0" diagonalDown="0" outline="0">
        <left style="thin">
          <color indexed="64"/>
        </left>
        <right/>
        <top/>
        <bottom/>
      </border>
    </dxf>
    <dxf>
      <font>
        <strike val="0"/>
        <outline val="0"/>
        <shadow val="0"/>
        <u val="none"/>
        <vertAlign val="baseline"/>
        <sz val="11"/>
        <name val="Calibri"/>
        <family val="2"/>
        <scheme val="minor"/>
      </font>
      <numFmt numFmtId="1" formatCode="0"/>
      <fill>
        <patternFill>
          <bgColor rgb="FFFFFFFF"/>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numFmt numFmtId="1" formatCode="0"/>
      <fill>
        <patternFill patternType="solid">
          <fgColor indexed="64"/>
          <bgColor rgb="FFFFFFFF"/>
        </patternFill>
      </fill>
      <border diagonalUp="0" diagonalDown="0" outline="0">
        <left style="thin">
          <color indexed="64"/>
        </left>
        <right/>
        <top/>
        <bottom/>
      </border>
    </dxf>
    <dxf>
      <font>
        <strike val="0"/>
        <outline val="0"/>
        <shadow val="0"/>
        <u val="none"/>
        <vertAlign val="baseline"/>
        <sz val="11"/>
        <name val="Calibri"/>
        <family val="2"/>
        <scheme val="minor"/>
      </font>
      <numFmt numFmtId="1" formatCode="0"/>
      <fill>
        <patternFill>
          <bgColor rgb="FFFFFFFF"/>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numFmt numFmtId="1" formatCode="0"/>
      <fill>
        <patternFill patternType="solid">
          <fgColor indexed="64"/>
          <bgColor rgb="FFFFFFFF"/>
        </patternFill>
      </fill>
      <border diagonalUp="0" diagonalDown="0" outline="0">
        <left style="thin">
          <color indexed="64"/>
        </left>
        <right/>
        <top/>
        <bottom/>
      </border>
    </dxf>
    <dxf>
      <font>
        <strike val="0"/>
        <outline val="0"/>
        <shadow val="0"/>
        <u val="none"/>
        <vertAlign val="baseline"/>
        <sz val="11"/>
        <name val="Calibri"/>
        <family val="2"/>
        <scheme val="minor"/>
      </font>
      <numFmt numFmtId="1" formatCode="0"/>
      <fill>
        <patternFill>
          <bgColor rgb="FFFFFFFF"/>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numFmt numFmtId="1" formatCode="0"/>
      <fill>
        <patternFill patternType="solid">
          <fgColor indexed="64"/>
          <bgColor rgb="FFFFFFFF"/>
        </patternFill>
      </fill>
      <border diagonalUp="0" diagonalDown="0" outline="0">
        <left style="thin">
          <color indexed="64"/>
        </left>
        <right/>
        <top/>
        <bottom/>
      </border>
    </dxf>
    <dxf>
      <font>
        <strike val="0"/>
        <outline val="0"/>
        <shadow val="0"/>
        <u val="none"/>
        <vertAlign val="baseline"/>
        <sz val="11"/>
        <name val="Calibri"/>
        <family val="2"/>
        <scheme val="minor"/>
      </font>
      <fill>
        <patternFill>
          <bgColor rgb="FFFFFFFF"/>
        </patternFill>
      </fill>
      <alignment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fill>
        <patternFill patternType="solid">
          <fgColor indexed="64"/>
          <bgColor rgb="FFFFFFFF"/>
        </patternFill>
      </fill>
      <alignment horizontal="general" vertical="bottom"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1"/>
        <name val="Calibri"/>
        <family val="2"/>
        <scheme val="minor"/>
      </font>
      <fill>
        <patternFill>
          <bgColor rgb="FFFFFFFF"/>
        </patternFill>
      </fill>
      <border diagonalUp="0" diagonalDown="0" outline="0">
        <left/>
        <right style="thin">
          <color indexed="64"/>
        </right>
        <top style="thin">
          <color indexed="64"/>
        </top>
        <bottom style="thin">
          <color indexed="64"/>
        </bottom>
      </border>
    </dxf>
    <dxf>
      <font>
        <strike val="0"/>
        <outline val="0"/>
        <shadow val="0"/>
        <u val="none"/>
        <vertAlign val="baseline"/>
        <sz val="11"/>
        <name val="Calibri"/>
        <family val="2"/>
        <scheme val="minor"/>
      </font>
      <fill>
        <patternFill patternType="solid">
          <fgColor indexed="64"/>
          <bgColor rgb="FFFFFFFF"/>
        </patternFill>
      </fill>
      <border diagonalUp="0" diagonalDown="0" outline="0">
        <left/>
        <right style="thin">
          <color indexed="64"/>
        </right>
        <top/>
        <bottom/>
      </border>
    </dxf>
    <dxf>
      <border outline="0">
        <bottom style="thin">
          <color theme="4"/>
        </bottom>
      </border>
    </dxf>
    <dxf>
      <border outline="0">
        <top style="thin">
          <color theme="4"/>
        </top>
        <bottom style="thin">
          <color theme="4"/>
        </bottom>
      </border>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fill>
        <patternFill>
          <bgColor rgb="FFFFFFFF"/>
        </patternFill>
      </fill>
    </dxf>
    <dxf>
      <font>
        <b/>
        <i val="0"/>
        <strike val="0"/>
        <condense val="0"/>
        <extend val="0"/>
        <outline val="0"/>
        <shadow val="0"/>
        <u val="none"/>
        <vertAlign val="baseline"/>
        <sz val="14"/>
        <color theme="4" tint="-0.249977111117893"/>
        <name val="Calibri"/>
        <family val="2"/>
        <scheme val="minor"/>
      </font>
      <fill>
        <patternFill>
          <bgColor rgb="FFFFFFFF"/>
        </patternFill>
      </fill>
      <border diagonalUp="0" diagonalDown="0" outline="0">
        <left style="thin">
          <color indexed="64"/>
        </left>
        <right style="thin">
          <color indexed="64"/>
        </right>
        <top/>
        <bottom/>
      </border>
    </dxf>
    <dxf>
      <font>
        <strike val="0"/>
        <outline val="0"/>
        <shadow val="0"/>
        <u val="none"/>
        <vertAlign val="baseline"/>
        <sz val="11"/>
        <name val="Calibri"/>
        <family val="2"/>
        <scheme val="minor"/>
      </font>
      <numFmt numFmtId="13" formatCode="0%"/>
      <fill>
        <patternFill patternType="solid">
          <fgColor indexed="64"/>
          <bgColor rgb="FFFFFFFF"/>
        </patternFill>
      </fill>
      <border diagonalUp="0" diagonalDown="0">
        <left style="thin">
          <color indexed="64"/>
        </left>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solid">
          <fgColor indexed="64"/>
          <bgColor rgb="FFFFFFFF"/>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numFmt numFmtId="1" formatCode="0"/>
      <fill>
        <patternFill patternType="solid">
          <fgColor indexed="64"/>
          <bgColor rgb="FFFFFFFF"/>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1" formatCode="0"/>
      <fill>
        <patternFill patternType="solid">
          <fgColor indexed="64"/>
          <bgColor rgb="FFFFFFFF"/>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numFmt numFmtId="1" formatCode="0"/>
      <fill>
        <patternFill patternType="solid">
          <fgColor indexed="64"/>
          <bgColor rgb="FFFFFFFF"/>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1" formatCode="0"/>
      <fill>
        <patternFill patternType="solid">
          <fgColor indexed="64"/>
          <bgColor rgb="FFFFFFFF"/>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numFmt numFmtId="1" formatCode="0"/>
      <fill>
        <patternFill patternType="solid">
          <fgColor indexed="64"/>
          <bgColor rgb="FFFFFFFF"/>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1" formatCode="0"/>
      <fill>
        <patternFill patternType="solid">
          <fgColor indexed="64"/>
          <bgColor rgb="FFFFFFFF"/>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numFmt numFmtId="1" formatCode="0"/>
      <fill>
        <patternFill patternType="solid">
          <fgColor indexed="64"/>
          <bgColor rgb="FFFFFFFF"/>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1" formatCode="0"/>
      <fill>
        <patternFill patternType="solid">
          <fgColor indexed="64"/>
          <bgColor rgb="FFFFFFFF"/>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numFmt numFmtId="1" formatCode="0"/>
      <fill>
        <patternFill patternType="solid">
          <fgColor indexed="64"/>
          <bgColor rgb="FFFFFFFF"/>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1" formatCode="0"/>
      <fill>
        <patternFill patternType="solid">
          <fgColor indexed="64"/>
          <bgColor rgb="FFFFFFFF"/>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numFmt numFmtId="1" formatCode="0"/>
      <fill>
        <patternFill patternType="solid">
          <fgColor indexed="64"/>
          <bgColor rgb="FFFFFFFF"/>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1" formatCode="0"/>
      <fill>
        <patternFill patternType="solid">
          <fgColor indexed="64"/>
          <bgColor rgb="FFFFFFFF"/>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numFmt numFmtId="0" formatCode="General"/>
      <fill>
        <patternFill patternType="solid">
          <fgColor indexed="64"/>
          <bgColor rgb="FFFFFFFF"/>
        </patternFill>
      </fill>
      <alignment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solid">
          <fgColor indexed="64"/>
          <bgColor rgb="FFFFFFFF"/>
        </patternFill>
      </fill>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fill>
        <patternFill patternType="solid">
          <fgColor indexed="64"/>
          <bgColor rgb="FFFFFFFF"/>
        </patternFill>
      </fill>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solid">
          <fgColor indexed="64"/>
          <bgColor rgb="FFFFFFFF"/>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fill>
        <patternFill patternType="solid">
          <fgColor indexed="64"/>
          <bgColor rgb="FFFFFFFF"/>
        </patternFill>
      </fill>
      <border diagonalUp="0" diagonalDown="0" outline="0">
        <left style="thin">
          <color indexed="64"/>
        </left>
        <right style="thin">
          <color indexed="64"/>
        </right>
        <top/>
        <bottom/>
      </border>
    </dxf>
    <dxf>
      <font>
        <strike val="0"/>
        <outline val="0"/>
        <shadow val="0"/>
        <u val="none"/>
        <vertAlign val="baseline"/>
        <sz val="11"/>
        <name val="Calibri"/>
        <family val="2"/>
        <scheme val="minor"/>
      </font>
      <fill>
        <patternFill patternType="solid">
          <fgColor indexed="64"/>
          <bgColor rgb="FFFFFFFF"/>
        </patternFill>
      </fill>
    </dxf>
    <dxf>
      <font>
        <strike val="0"/>
        <outline val="0"/>
        <shadow val="0"/>
        <u val="none"/>
        <vertAlign val="baseline"/>
        <sz val="14"/>
        <name val="Calibri"/>
        <family val="2"/>
        <scheme val="minor"/>
      </font>
      <fill>
        <patternFill patternType="solid">
          <fgColor indexed="64"/>
          <bgColor rgb="FFFFFFFF"/>
        </patternFill>
      </fill>
      <border diagonalUp="0" diagonalDown="0" outline="0">
        <left style="thin">
          <color indexed="64"/>
        </left>
        <right style="thin">
          <color indexed="64"/>
        </right>
        <top/>
        <bottom/>
      </border>
    </dxf>
    <dxf>
      <fill>
        <patternFill>
          <bgColor rgb="FFFFFF00"/>
        </patternFill>
      </fill>
    </dxf>
    <dxf>
      <fill>
        <patternFill>
          <bgColor rgb="FFFF0000"/>
        </patternFill>
      </fill>
    </dxf>
    <dxf>
      <fill>
        <patternFill>
          <bgColor theme="9"/>
        </patternFill>
      </fill>
    </dxf>
    <dxf>
      <fill>
        <patternFill>
          <bgColor theme="4" tint="-0.24994659260841701"/>
        </patternFill>
      </fill>
    </dxf>
    <dxf>
      <fill>
        <patternFill>
          <bgColor theme="6"/>
        </patternFill>
      </fill>
    </dxf>
    <dxf>
      <fill>
        <patternFill>
          <bgColor theme="7"/>
        </patternFill>
      </fill>
    </dxf>
    <dxf>
      <fill>
        <patternFill>
          <bgColor theme="8"/>
        </patternFill>
      </fill>
    </dxf>
    <dxf>
      <fill>
        <patternFill patternType="solid">
          <bgColor rgb="FFFF0000"/>
        </patternFill>
      </fill>
    </dxf>
    <dxf>
      <fill>
        <patternFill>
          <bgColor rgb="FFFF0000"/>
        </patternFill>
      </fill>
    </dxf>
    <dxf>
      <fill>
        <patternFill>
          <bgColor rgb="FFFF0000"/>
        </patternFill>
      </fill>
    </dxf>
    <dxf>
      <font>
        <b val="0"/>
        <i val="0"/>
        <strike val="0"/>
        <condense val="0"/>
        <extend val="0"/>
        <outline val="0"/>
        <shadow val="0"/>
        <u val="none"/>
        <vertAlign val="baseline"/>
        <sz val="11"/>
        <color auto="1"/>
        <name val="Calibri"/>
        <family val="2"/>
        <scheme val="minor"/>
      </font>
      <numFmt numFmtId="2" formatCode="0.00"/>
      <protection locked="1" hidden="1"/>
    </dxf>
    <dxf>
      <font>
        <b val="0"/>
        <i val="0"/>
        <strike val="0"/>
        <condense val="0"/>
        <extend val="0"/>
        <outline val="0"/>
        <shadow val="0"/>
        <u val="none"/>
        <vertAlign val="baseline"/>
        <sz val="11"/>
        <color auto="1"/>
        <name val="Calibri"/>
        <family val="2"/>
        <scheme val="minor"/>
      </font>
      <numFmt numFmtId="2" formatCode="0.00"/>
      <protection locked="1" hidden="1"/>
    </dxf>
    <dxf>
      <font>
        <b val="0"/>
        <i val="0"/>
        <strike val="0"/>
        <condense val="0"/>
        <extend val="0"/>
        <outline val="0"/>
        <shadow val="0"/>
        <u val="none"/>
        <vertAlign val="baseline"/>
        <sz val="11"/>
        <color auto="1"/>
        <name val="Calibri"/>
        <family val="2"/>
        <scheme val="minor"/>
      </font>
      <protection locked="0" hidden="0"/>
    </dxf>
    <dxf>
      <font>
        <b val="0"/>
        <i val="0"/>
        <strike val="0"/>
        <condense val="0"/>
        <extend val="0"/>
        <outline val="0"/>
        <shadow val="0"/>
        <u val="none"/>
        <vertAlign val="baseline"/>
        <sz val="11"/>
        <color auto="1"/>
        <name val="Calibri"/>
        <family val="2"/>
        <scheme val="minor"/>
      </font>
      <numFmt numFmtId="13" formatCode="0%"/>
      <protection locked="1" hidden="1"/>
    </dxf>
    <dxf>
      <font>
        <b val="0"/>
        <i val="0"/>
        <strike val="0"/>
        <condense val="0"/>
        <extend val="0"/>
        <outline val="0"/>
        <shadow val="0"/>
        <u val="none"/>
        <vertAlign val="baseline"/>
        <sz val="11"/>
        <color auto="1"/>
        <name val="Calibri"/>
        <family val="2"/>
        <scheme val="minor"/>
      </font>
      <protection locked="0" hidden="0"/>
    </dxf>
    <dxf>
      <font>
        <b val="0"/>
        <i val="0"/>
        <strike val="0"/>
        <condense val="0"/>
        <extend val="0"/>
        <outline val="0"/>
        <shadow val="0"/>
        <u val="none"/>
        <vertAlign val="baseline"/>
        <sz val="11"/>
        <color auto="1"/>
        <name val="Calibri"/>
        <family val="2"/>
        <scheme val="minor"/>
      </font>
      <protection locked="0" hidden="0"/>
    </dxf>
    <dxf>
      <font>
        <b val="0"/>
        <i val="0"/>
        <strike val="0"/>
        <condense val="0"/>
        <extend val="0"/>
        <outline val="0"/>
        <shadow val="0"/>
        <u val="none"/>
        <vertAlign val="baseline"/>
        <sz val="11"/>
        <color auto="1"/>
        <name val="Calibri"/>
        <family val="2"/>
        <scheme val="minor"/>
      </font>
      <protection locked="1" hidden="1"/>
    </dxf>
    <dxf>
      <font>
        <b val="0"/>
        <i val="0"/>
        <strike val="0"/>
        <condense val="0"/>
        <extend val="0"/>
        <outline val="0"/>
        <shadow val="0"/>
        <u val="none"/>
        <vertAlign val="baseline"/>
        <sz val="11"/>
        <color auto="1"/>
        <name val="Calibri"/>
        <family val="2"/>
        <scheme val="minor"/>
      </font>
      <protection locked="0" hidden="0"/>
    </dxf>
    <dxf>
      <font>
        <b val="0"/>
        <i val="0"/>
        <strike val="0"/>
        <condense val="0"/>
        <extend val="0"/>
        <outline val="0"/>
        <shadow val="0"/>
        <u val="none"/>
        <vertAlign val="baseline"/>
        <sz val="11"/>
        <color auto="1"/>
        <name val="Calibri"/>
        <family val="2"/>
        <scheme val="minor"/>
      </font>
      <protection locked="0" hidden="0"/>
    </dxf>
    <dxf>
      <font>
        <b val="0"/>
        <i val="0"/>
        <strike val="0"/>
        <condense val="0"/>
        <extend val="0"/>
        <outline val="0"/>
        <shadow val="0"/>
        <u val="none"/>
        <vertAlign val="baseline"/>
        <sz val="11"/>
        <color auto="1"/>
        <name val="Calibri"/>
        <family val="2"/>
        <scheme val="minor"/>
      </font>
      <protection locked="0" hidden="0"/>
    </dxf>
    <dxf>
      <font>
        <strike val="0"/>
        <outline val="0"/>
        <shadow val="0"/>
        <u val="none"/>
        <vertAlign val="baseline"/>
        <sz val="11"/>
        <name val="Calibri"/>
        <family val="2"/>
        <scheme val="minor"/>
      </font>
      <numFmt numFmtId="0" formatCode="General"/>
      <fill>
        <patternFill patternType="solid">
          <fgColor indexed="64"/>
          <bgColor rgb="FFFFFFFF"/>
        </patternFill>
      </fill>
      <protection locked="1" hidden="1"/>
    </dxf>
    <dxf>
      <font>
        <b val="0"/>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protection locked="0" hidden="0"/>
    </dxf>
    <dxf>
      <font>
        <strike val="0"/>
        <outline val="0"/>
        <shadow val="0"/>
        <u val="none"/>
        <vertAlign val="baseline"/>
        <sz val="11"/>
        <name val="Calibri"/>
        <family val="2"/>
        <scheme val="minor"/>
      </font>
      <numFmt numFmtId="0" formatCode="General"/>
      <fill>
        <patternFill patternType="solid">
          <fgColor indexed="64"/>
          <bgColor rgb="FFFFFFFF"/>
        </patternFill>
      </fill>
      <protection locked="1" hidden="1"/>
    </dxf>
    <dxf>
      <font>
        <b val="0"/>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protection locked="0" hidden="0"/>
    </dxf>
    <dxf>
      <font>
        <strike val="0"/>
        <outline val="0"/>
        <shadow val="0"/>
        <u val="none"/>
        <vertAlign val="baseline"/>
        <sz val="11"/>
        <name val="Calibri"/>
        <family val="2"/>
        <scheme val="minor"/>
      </font>
      <numFmt numFmtId="0" formatCode="General"/>
      <fill>
        <patternFill patternType="solid">
          <fgColor indexed="64"/>
          <bgColor rgb="FFFFFFFF"/>
        </patternFill>
      </fill>
      <protection locked="1" hidden="1"/>
    </dxf>
    <dxf>
      <font>
        <b val="0"/>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protection locked="0" hidden="0"/>
    </dxf>
    <dxf>
      <font>
        <strike val="0"/>
        <outline val="0"/>
        <shadow val="0"/>
        <u val="none"/>
        <vertAlign val="baseline"/>
        <sz val="11"/>
        <name val="Calibri"/>
        <family val="2"/>
        <scheme val="minor"/>
      </font>
      <numFmt numFmtId="0" formatCode="General"/>
      <fill>
        <patternFill patternType="solid">
          <fgColor indexed="64"/>
          <bgColor rgb="FFFFFFFF"/>
        </patternFill>
      </fill>
      <protection locked="1" hidden="1"/>
    </dxf>
    <dxf>
      <font>
        <b val="0"/>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protection locked="0" hidden="0"/>
    </dxf>
    <dxf>
      <font>
        <strike val="0"/>
        <outline val="0"/>
        <shadow val="0"/>
        <u val="none"/>
        <vertAlign val="baseline"/>
        <sz val="11"/>
        <name val="Calibri"/>
        <family val="2"/>
        <scheme val="minor"/>
      </font>
      <numFmt numFmtId="0" formatCode="General"/>
      <fill>
        <patternFill patternType="solid">
          <fgColor indexed="64"/>
          <bgColor rgb="FFFFFFFF"/>
        </patternFill>
      </fill>
      <protection locked="1" hidden="1"/>
    </dxf>
    <dxf>
      <font>
        <strike val="0"/>
        <outline val="0"/>
        <shadow val="0"/>
        <u val="none"/>
        <vertAlign val="baseline"/>
        <sz val="11"/>
        <name val="Calibri"/>
        <family val="2"/>
        <scheme val="minor"/>
      </font>
      <fill>
        <patternFill patternType="solid">
          <fgColor indexed="64"/>
          <bgColor theme="9" tint="0.79998168889431442"/>
        </patternFill>
      </fill>
      <protection locked="0" hidden="0"/>
    </dxf>
    <dxf>
      <font>
        <strike val="0"/>
        <outline val="0"/>
        <shadow val="0"/>
        <u val="none"/>
        <vertAlign val="baseline"/>
        <sz val="11"/>
        <name val="Calibri"/>
        <family val="2"/>
        <scheme val="minor"/>
      </font>
      <numFmt numFmtId="0" formatCode="General"/>
      <fill>
        <patternFill patternType="solid">
          <fgColor indexed="64"/>
          <bgColor rgb="FFFFFFFF"/>
        </patternFill>
      </fill>
      <border diagonalUp="0" diagonalDown="0">
        <left style="thin">
          <color indexed="64"/>
        </left>
        <right/>
        <top style="thin">
          <color indexed="64"/>
        </top>
        <bottom style="thin">
          <color indexed="64"/>
        </bottom>
      </border>
      <protection locked="1" hidden="1"/>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FFFFFF"/>
        </patternFill>
      </fill>
      <protection locked="1" hidden="1"/>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FFFFFF"/>
        </patternFill>
      </fill>
      <protection locked="1" hidden="1"/>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FFFFFF"/>
        </patternFill>
      </fill>
      <protection locked="1" hidden="1"/>
    </dxf>
    <dxf>
      <font>
        <strike val="0"/>
        <outline val="0"/>
        <shadow val="0"/>
        <u val="none"/>
        <vertAlign val="baseline"/>
        <sz val="11"/>
        <name val="Calibri"/>
        <family val="2"/>
        <scheme val="minor"/>
      </font>
      <numFmt numFmtId="0" formatCode="General"/>
      <fill>
        <patternFill patternType="solid">
          <fgColor indexed="64"/>
          <bgColor rgb="FFFFFFFF"/>
        </patternFill>
      </fill>
      <protection locked="1" hidden="1"/>
    </dxf>
    <dxf>
      <font>
        <strike val="0"/>
        <outline val="0"/>
        <shadow val="0"/>
        <u val="none"/>
        <vertAlign val="baseline"/>
        <sz val="11"/>
        <name val="Calibri"/>
        <family val="2"/>
        <scheme val="minor"/>
      </font>
      <numFmt numFmtId="0" formatCode="General"/>
      <fill>
        <patternFill patternType="solid">
          <fgColor indexed="64"/>
          <bgColor rgb="FFFFFFFF"/>
        </patternFill>
      </fill>
      <protection locked="1" hidden="1"/>
    </dxf>
    <dxf>
      <font>
        <strike val="0"/>
        <outline val="0"/>
        <shadow val="0"/>
        <u val="none"/>
        <vertAlign val="baseline"/>
        <sz val="11"/>
        <name val="Calibri"/>
        <family val="2"/>
        <scheme val="minor"/>
      </font>
      <numFmt numFmtId="0" formatCode="General"/>
      <fill>
        <patternFill patternType="solid">
          <fgColor indexed="64"/>
          <bgColor rgb="FFFFFFFF"/>
        </patternFill>
      </fill>
      <border diagonalUp="0" diagonalDown="0" outline="0">
        <left style="thin">
          <color indexed="64"/>
        </left>
        <right/>
        <top style="thin">
          <color indexed="64"/>
        </top>
        <bottom style="thin">
          <color indexed="64"/>
        </bottom>
      </border>
      <protection locked="1" hidden="1"/>
    </dxf>
    <dxf>
      <font>
        <strike val="0"/>
        <outline val="0"/>
        <shadow val="0"/>
        <u val="none"/>
        <vertAlign val="baseline"/>
        <sz val="11"/>
        <name val="Calibri"/>
        <family val="2"/>
        <scheme val="minor"/>
      </font>
      <fill>
        <patternFill patternType="solid">
          <fgColor indexed="64"/>
          <bgColor rgb="FFFFFFFF"/>
        </patternFill>
      </fill>
      <border diagonalUp="0" diagonalDown="0" outline="0">
        <left/>
        <right style="thin">
          <color indexed="64"/>
        </right>
        <top style="thin">
          <color indexed="64"/>
        </top>
        <bottom style="thin">
          <color indexed="64"/>
        </bottom>
      </border>
      <protection locked="1" hidden="1"/>
    </dxf>
    <dxf>
      <border outline="0">
        <top style="thin">
          <color indexed="64"/>
        </top>
      </border>
    </dxf>
    <dxf>
      <border outline="0">
        <bottom style="thin">
          <color indexed="64"/>
        </bottom>
      </border>
    </dxf>
    <dxf>
      <border outline="0">
        <left style="medium">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fill>
        <patternFill patternType="solid">
          <fgColor indexed="64"/>
          <bgColor rgb="FFFFFFFF"/>
        </patternFill>
      </fill>
      <protection locked="0" hidden="0"/>
    </dxf>
    <dxf>
      <font>
        <b/>
        <i val="0"/>
        <strike val="0"/>
        <condense val="0"/>
        <extend val="0"/>
        <outline val="0"/>
        <shadow val="0"/>
        <u val="none"/>
        <vertAlign val="baseline"/>
        <sz val="14"/>
        <color theme="1"/>
        <name val="Calibri"/>
        <family val="2"/>
        <scheme val="minor"/>
      </font>
      <fill>
        <patternFill>
          <fgColor indexed="64"/>
          <bgColor rgb="FFFFFFFF"/>
        </patternFill>
      </fill>
      <alignment horizontal="center" vertical="bottom" textRotation="0" wrapText="1" indent="0" justifyLastLine="0" shrinkToFit="0" readingOrder="0"/>
      <border diagonalUp="0" diagonalDown="0" outline="0">
        <left style="thin">
          <color indexed="64"/>
        </left>
        <right style="thin">
          <color indexed="64"/>
        </right>
        <top/>
        <bottom/>
      </border>
      <protection locked="0" hidden="1"/>
    </dxf>
    <dxf>
      <font>
        <strike val="0"/>
        <outline val="0"/>
        <shadow val="0"/>
        <u val="none"/>
        <vertAlign val="baseline"/>
        <sz val="11"/>
        <name val="Calibri"/>
        <family val="2"/>
        <scheme val="minor"/>
      </font>
      <fill>
        <patternFill patternType="none">
          <fgColor indexed="64"/>
          <bgColor auto="1"/>
        </patternFill>
      </fill>
      <border diagonalUp="0" diagonalDown="0" outline="0">
        <left style="thin">
          <color indexed="64"/>
        </left>
        <right/>
        <top style="thin">
          <color indexed="64"/>
        </top>
        <bottom style="thin">
          <color indexed="64"/>
        </bottom>
      </border>
      <protection locked="0"/>
    </dxf>
    <dxf>
      <font>
        <strike val="0"/>
        <outline val="0"/>
        <shadow val="0"/>
        <u val="none"/>
        <vertAlign val="baseline"/>
        <sz val="11"/>
        <name val="Calibri"/>
        <family val="2"/>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protection locked="0"/>
    </dxf>
    <dxf>
      <font>
        <strike val="0"/>
        <outline val="0"/>
        <shadow val="0"/>
        <u val="none"/>
        <vertAlign val="baseline"/>
        <sz val="11"/>
        <name val="Calibri"/>
        <family val="2"/>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protection locked="0"/>
    </dxf>
    <dxf>
      <font>
        <strike val="0"/>
        <outline val="0"/>
        <shadow val="0"/>
        <u val="none"/>
        <vertAlign val="baseline"/>
        <sz val="11"/>
        <name val="Calibri"/>
        <family val="2"/>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protection locked="0"/>
    </dxf>
    <dxf>
      <font>
        <strike val="0"/>
        <outline val="0"/>
        <shadow val="0"/>
        <u val="none"/>
        <vertAlign val="baseline"/>
        <sz val="11"/>
        <name val="Calibri"/>
        <family val="2"/>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protection locked="0"/>
    </dxf>
    <dxf>
      <font>
        <strike val="0"/>
        <outline val="0"/>
        <shadow val="0"/>
        <u val="none"/>
        <vertAlign val="baseline"/>
        <sz val="11"/>
        <name val="Calibri"/>
        <family val="2"/>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protection locked="0"/>
    </dxf>
    <dxf>
      <font>
        <strike val="0"/>
        <outline val="0"/>
        <shadow val="0"/>
        <u val="none"/>
        <vertAlign val="baseline"/>
        <sz val="11"/>
        <name val="Calibri"/>
        <family val="2"/>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protection locked="0"/>
    </dxf>
    <dxf>
      <font>
        <strike val="0"/>
        <outline val="0"/>
        <shadow val="0"/>
        <u val="none"/>
        <vertAlign val="baseline"/>
        <sz val="11"/>
        <name val="Calibri"/>
        <family val="2"/>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protection locked="0"/>
    </dxf>
    <dxf>
      <font>
        <strike val="0"/>
        <outline val="0"/>
        <shadow val="0"/>
        <u val="none"/>
        <vertAlign val="baseline"/>
        <sz val="11"/>
        <name val="Calibri"/>
        <family val="2"/>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protection locked="0"/>
    </dxf>
    <dxf>
      <font>
        <strike val="0"/>
        <outline val="0"/>
        <shadow val="0"/>
        <u val="none"/>
        <vertAlign val="baseline"/>
        <sz val="11"/>
        <name val="Calibri"/>
        <family val="2"/>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protection locked="0"/>
    </dxf>
    <dxf>
      <font>
        <strike val="0"/>
        <outline val="0"/>
        <shadow val="0"/>
        <u val="none"/>
        <vertAlign val="baseline"/>
        <sz val="11"/>
        <name val="Calibri"/>
        <family val="2"/>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protection locked="0"/>
    </dxf>
    <dxf>
      <font>
        <strike val="0"/>
        <outline val="0"/>
        <shadow val="0"/>
        <u val="none"/>
        <vertAlign val="baseline"/>
        <sz val="11"/>
        <name val="Calibri"/>
        <family val="2"/>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protection locked="0"/>
    </dxf>
    <dxf>
      <font>
        <strike val="0"/>
        <outline val="0"/>
        <shadow val="0"/>
        <u val="none"/>
        <vertAlign val="baseline"/>
        <sz val="11"/>
        <name val="Calibri"/>
        <family val="2"/>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protection locked="0"/>
    </dxf>
    <dxf>
      <font>
        <strike val="0"/>
        <outline val="0"/>
        <shadow val="0"/>
        <u val="none"/>
        <vertAlign val="baseline"/>
        <sz val="11"/>
        <name val="Calibri"/>
        <family val="2"/>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protection locked="0"/>
    </dxf>
    <dxf>
      <font>
        <strike val="0"/>
        <outline val="0"/>
        <shadow val="0"/>
        <u val="none"/>
        <vertAlign val="baseline"/>
        <sz val="11"/>
        <name val="Calibri"/>
        <family val="2"/>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protection locked="0"/>
    </dxf>
    <dxf>
      <font>
        <strike val="0"/>
        <outline val="0"/>
        <shadow val="0"/>
        <u val="none"/>
        <vertAlign val="baseline"/>
        <sz val="11"/>
        <name val="Calibri"/>
        <family val="2"/>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protection locked="0"/>
    </dxf>
    <dxf>
      <font>
        <strike val="0"/>
        <outline val="0"/>
        <shadow val="0"/>
        <u val="none"/>
        <vertAlign val="baseline"/>
        <sz val="11"/>
        <name val="Calibri"/>
        <family val="2"/>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protection locked="0"/>
    </dxf>
    <dxf>
      <font>
        <b val="0"/>
        <i val="0"/>
        <strike val="0"/>
        <condense val="0"/>
        <extend val="0"/>
        <outline val="0"/>
        <shadow val="0"/>
        <u val="none"/>
        <vertAlign val="baseline"/>
        <sz val="11"/>
        <color auto="1"/>
        <name val="Calibri"/>
        <family val="2"/>
        <scheme val="minor"/>
      </font>
      <border diagonalUp="0" diagonalDown="0">
        <left style="thin">
          <color indexed="64"/>
        </left>
        <right style="thin">
          <color indexed="64"/>
        </right>
        <top style="thin">
          <color indexed="64"/>
        </top>
        <bottom style="thin">
          <color indexed="64"/>
        </bottom>
        <vertical/>
        <horizontal/>
      </border>
      <protection locked="0" hidden="0"/>
    </dxf>
    <dxf>
      <font>
        <strike val="0"/>
        <outline val="0"/>
        <shadow val="0"/>
        <u val="none"/>
        <vertAlign val="baseline"/>
        <sz val="11"/>
        <name val="Calibri"/>
        <family val="2"/>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protection locked="0"/>
    </dxf>
    <dxf>
      <font>
        <strike val="0"/>
        <outline val="0"/>
        <shadow val="0"/>
        <u val="none"/>
        <vertAlign val="baseline"/>
        <sz val="11"/>
        <name val="Calibri"/>
        <family val="2"/>
        <scheme val="minor"/>
      </font>
      <fill>
        <patternFill patternType="none">
          <fgColor indexed="64"/>
          <bgColor auto="1"/>
        </patternFill>
      </fill>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dxf>
    <dxf>
      <font>
        <strike val="0"/>
        <outline val="0"/>
        <shadow val="0"/>
        <u val="none"/>
        <vertAlign val="baseline"/>
        <sz val="11"/>
        <name val="Calibri"/>
        <family val="2"/>
        <scheme val="minor"/>
      </font>
      <fill>
        <patternFill patternType="none">
          <fgColor indexed="64"/>
          <bgColor auto="1"/>
        </patternFill>
      </fill>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dxf>
    <dxf>
      <font>
        <strike val="0"/>
        <outline val="0"/>
        <shadow val="0"/>
        <u val="none"/>
        <vertAlign val="baseline"/>
        <sz val="11"/>
        <name val="Calibri"/>
        <family val="2"/>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protection locked="0"/>
    </dxf>
    <dxf>
      <font>
        <b val="0"/>
        <i val="0"/>
        <strike val="0"/>
        <condense val="0"/>
        <extend val="0"/>
        <outline val="0"/>
        <shadow val="0"/>
        <u val="none"/>
        <vertAlign val="baseline"/>
        <sz val="11"/>
        <color auto="1"/>
        <name val="Calibri"/>
        <family val="2"/>
        <scheme val="minor"/>
      </font>
      <border diagonalUp="0" diagonalDown="0">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1"/>
        <color auto="1"/>
        <name val="Calibri"/>
        <family val="2"/>
        <scheme val="minor"/>
      </font>
      <border diagonalUp="0" diagonalDown="0">
        <left/>
        <right style="thin">
          <color indexed="64"/>
        </right>
        <top style="thin">
          <color indexed="64"/>
        </top>
        <bottom style="thin">
          <color indexed="64"/>
        </bottom>
        <vertical/>
        <horizontal/>
      </border>
      <protection locked="0" hidden="0"/>
    </dxf>
    <dxf>
      <font>
        <strike val="0"/>
        <outline val="0"/>
        <shadow val="0"/>
        <u val="none"/>
        <vertAlign val="baseline"/>
        <sz val="11"/>
        <name val="Calibri"/>
        <family val="2"/>
        <scheme val="minor"/>
      </font>
      <fill>
        <patternFill patternType="none">
          <fgColor indexed="64"/>
          <bgColor auto="1"/>
        </patternFill>
      </fill>
      <border diagonalUp="0" diagonalDown="0" outline="0">
        <left/>
        <right style="thin">
          <color indexed="64"/>
        </right>
        <top style="thin">
          <color indexed="64"/>
        </top>
        <bottom style="thin">
          <color indexed="64"/>
        </bottom>
      </border>
      <protection locked="0"/>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fill>
        <patternFill patternType="none">
          <fgColor indexed="64"/>
          <bgColor auto="1"/>
        </patternFill>
      </fill>
      <protection locked="0"/>
    </dxf>
    <dxf>
      <font>
        <strike val="0"/>
        <outline val="0"/>
        <shadow val="0"/>
        <u val="none"/>
        <vertAlign val="baseline"/>
        <sz val="14"/>
        <color auto="1"/>
        <name val="Calibri"/>
        <family val="2"/>
        <scheme val="minor"/>
      </font>
      <fill>
        <patternFill patternType="none">
          <fgColor indexed="64"/>
          <bgColor auto="1"/>
        </patternFill>
      </fill>
      <border diagonalUp="0" diagonalDown="0" outline="0">
        <left style="thin">
          <color indexed="64"/>
        </left>
        <right style="thin">
          <color indexed="64"/>
        </right>
        <top/>
        <bottom/>
      </border>
      <protection locked="0"/>
    </dxf>
    <dxf>
      <numFmt numFmtId="185" formatCode="[$£-809]#,##0.00"/>
    </dxf>
    <dxf>
      <numFmt numFmtId="171" formatCode="&quot;$&quot;#,##0.00"/>
    </dxf>
    <dxf>
      <numFmt numFmtId="171" formatCode="&quot;$&quot;#,##0.00"/>
    </dxf>
    <dxf>
      <numFmt numFmtId="186" formatCode="[$₹-4009]\ #,##0.00"/>
    </dxf>
    <dxf>
      <fill>
        <patternFill>
          <bgColor rgb="FFFF0000"/>
        </patternFill>
      </fill>
    </dxf>
    <dxf>
      <fill>
        <patternFill patternType="solid">
          <bgColor rgb="FFFFC000"/>
        </patternFill>
      </fill>
    </dxf>
    <dxf>
      <font>
        <color rgb="FFFF0000"/>
      </font>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ont>
        <b/>
        <i val="0"/>
        <color rgb="FFC00000"/>
      </font>
      <fill>
        <patternFill>
          <bgColor rgb="FFFFC7CE"/>
        </patternFill>
      </fill>
    </dxf>
    <dxf>
      <fill>
        <patternFill>
          <bgColor rgb="FFFF0000"/>
        </patternFill>
      </fill>
    </dxf>
    <dxf>
      <font>
        <color rgb="FF9C0006"/>
      </font>
      <fill>
        <patternFill>
          <bgColor rgb="FFFFC7CE"/>
        </patternFill>
      </fill>
    </dxf>
    <dxf>
      <font>
        <b/>
        <i val="0"/>
        <color rgb="FFC00000"/>
      </font>
      <fill>
        <patternFill>
          <bgColor rgb="FFFFC7CE"/>
        </patternFill>
      </fill>
    </dxf>
    <dxf>
      <font>
        <color rgb="FF9C0006"/>
      </font>
      <fill>
        <patternFill>
          <bgColor rgb="FFFFC7CE"/>
        </patternFill>
      </fill>
    </dxf>
    <dxf>
      <font>
        <b/>
        <i val="0"/>
        <color rgb="FFC00000"/>
      </font>
      <fill>
        <patternFill>
          <bgColor rgb="FFFFC7CE"/>
        </patternFill>
      </fill>
    </dxf>
    <dxf>
      <numFmt numFmtId="185" formatCode="[$£-809]#,##0.00"/>
    </dxf>
    <dxf>
      <numFmt numFmtId="186" formatCode="[$₹-4009]\ #,##0.00"/>
    </dxf>
    <dxf>
      <numFmt numFmtId="171" formatCode="&quot;$&quot;#,##0.00"/>
    </dxf>
    <dxf>
      <numFmt numFmtId="171" formatCode="&quot;$&quot;#,##0.00"/>
    </dxf>
    <dxf>
      <numFmt numFmtId="187" formatCode="[$€-2]\ #,##0.00"/>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85" formatCode="[$£-809]#,##0.00"/>
    </dxf>
    <dxf>
      <numFmt numFmtId="186" formatCode="[$₹-4009]\ #,##0.00"/>
    </dxf>
    <dxf>
      <numFmt numFmtId="171" formatCode="&quot;$&quot;#,##0.00"/>
    </dxf>
    <dxf>
      <numFmt numFmtId="171" formatCode="&quot;$&quot;#,##0.00"/>
    </dxf>
    <dxf>
      <numFmt numFmtId="187" formatCode="[$€-2]\ #,##0.00"/>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85" formatCode="[$£-809]#,##0.00"/>
    </dxf>
    <dxf>
      <numFmt numFmtId="186" formatCode="[$₹-4009]\ #,##0.00"/>
    </dxf>
    <dxf>
      <numFmt numFmtId="171" formatCode="&quot;$&quot;#,##0.00"/>
    </dxf>
    <dxf>
      <numFmt numFmtId="171" formatCode="&quot;$&quot;#,##0.00"/>
    </dxf>
    <dxf>
      <numFmt numFmtId="187" formatCode="[$€-2]\ #,##0.00"/>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numFmt numFmtId="187" formatCode="[$€-2]\ #,##0.00"/>
    </dxf>
    <dxf>
      <numFmt numFmtId="171" formatCode="&quot;$&quot;#,##0.00"/>
    </dxf>
    <dxf>
      <numFmt numFmtId="171" formatCode="&quot;$&quot;#,##0.00"/>
    </dxf>
    <dxf>
      <numFmt numFmtId="186" formatCode="[$₹-4009]\ #,##0.00"/>
    </dxf>
    <dxf>
      <numFmt numFmtId="185" formatCode="[$£-809]#,##0.0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center"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center"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center"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center"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center"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center"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center"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center"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center"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center"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center"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center"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center" vertical="top" textRotation="0" wrapText="1" indent="0" justifyLastLine="0" shrinkToFit="0" readingOrder="0"/>
    </dxf>
    <dxf>
      <font>
        <b/>
        <i val="0"/>
        <strike val="0"/>
        <condense val="0"/>
        <extend val="0"/>
        <outline val="0"/>
        <shadow val="0"/>
        <u val="none"/>
        <vertAlign val="baseline"/>
        <sz val="10"/>
        <color auto="1"/>
        <name val="Calibri"/>
        <family val="2"/>
        <scheme val="minor"/>
      </font>
      <numFmt numFmtId="3" formatCode="#,##0"/>
      <alignment horizontal="center"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center"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center"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center"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center"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center"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center"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center"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center"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center"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center"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center"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center"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center" vertical="top" textRotation="0" wrapText="1" indent="0" justifyLastLine="0" shrinkToFit="0" readingOrder="0"/>
    </dxf>
    <dxf>
      <font>
        <strike val="0"/>
        <outline val="0"/>
        <shadow val="0"/>
        <u val="none"/>
        <vertAlign val="baseline"/>
        <sz val="10"/>
        <name val="Calibri"/>
        <family val="2"/>
        <scheme val="minor"/>
      </font>
      <alignment horizontal="center"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center" vertical="top" textRotation="0" wrapText="1" indent="0" justifyLastLine="0" shrinkToFit="0" readingOrder="0"/>
    </dxf>
    <dxf>
      <font>
        <b/>
        <strike val="0"/>
        <outline val="0"/>
        <shadow val="0"/>
        <u val="none"/>
        <vertAlign val="baseline"/>
        <sz val="10"/>
        <name val="Calibri"/>
        <family val="2"/>
        <scheme val="minor"/>
      </font>
      <numFmt numFmtId="0" formatCode="General"/>
      <fill>
        <patternFill patternType="none">
          <fgColor indexed="64"/>
          <bgColor auto="1"/>
        </patternFill>
      </fill>
      <alignment horizontal="center" vertical="top" textRotation="0" wrapText="1" indent="0" justifyLastLine="0" shrinkToFit="0" readingOrder="0"/>
    </dxf>
    <dxf>
      <font>
        <b/>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center"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center"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center"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center"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center" vertical="top" textRotation="0" wrapText="1" indent="0" justifyLastLine="0" shrinkToFit="0" readingOrder="0"/>
    </dxf>
    <dxf>
      <font>
        <strike val="0"/>
        <outline val="0"/>
        <shadow val="0"/>
        <u val="none"/>
        <vertAlign val="baseline"/>
        <sz val="10"/>
        <name val="Calibri"/>
        <family val="2"/>
        <scheme val="minor"/>
      </font>
      <numFmt numFmtId="3" formatCode="#,##0"/>
      <alignment horizontal="center"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center" vertical="top" textRotation="0" wrapText="1" indent="0" justifyLastLine="0" shrinkToFit="0" readingOrder="0"/>
    </dxf>
    <dxf>
      <font>
        <strike val="0"/>
        <outline val="0"/>
        <shadow val="0"/>
        <u val="none"/>
        <vertAlign val="baseline"/>
        <sz val="10"/>
        <name val="Calibri"/>
        <family val="2"/>
        <scheme val="minor"/>
      </font>
      <numFmt numFmtId="3" formatCode="#,##0"/>
      <alignment horizontal="center"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center" vertical="top" textRotation="0" wrapText="1" indent="0" justifyLastLine="0" shrinkToFit="0" readingOrder="0"/>
    </dxf>
    <dxf>
      <font>
        <strike val="0"/>
        <outline val="0"/>
        <shadow val="0"/>
        <u val="none"/>
        <vertAlign val="baseline"/>
        <sz val="10"/>
        <name val="Calibri"/>
        <family val="2"/>
        <scheme val="minor"/>
      </font>
      <numFmt numFmtId="3" formatCode="#,##0"/>
      <alignment horizontal="center"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center" vertical="top" textRotation="0" wrapText="1" indent="0" justifyLastLine="0" shrinkToFit="0" readingOrder="0"/>
    </dxf>
    <dxf>
      <font>
        <strike val="0"/>
        <outline val="0"/>
        <shadow val="0"/>
        <u val="none"/>
        <vertAlign val="baseline"/>
        <sz val="10"/>
        <name val="Calibri"/>
        <family val="2"/>
        <scheme val="minor"/>
      </font>
      <numFmt numFmtId="3" formatCode="#,##0"/>
      <alignment horizontal="center"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center" vertical="top" textRotation="0" wrapText="1" indent="0" justifyLastLine="0" shrinkToFit="0" readingOrder="0"/>
    </dxf>
    <dxf>
      <font>
        <strike val="0"/>
        <outline val="0"/>
        <shadow val="0"/>
        <u val="none"/>
        <vertAlign val="baseline"/>
        <sz val="10"/>
        <name val="Calibri"/>
        <family val="2"/>
        <scheme val="minor"/>
      </font>
      <numFmt numFmtId="3" formatCode="#,##0"/>
      <alignment horizontal="center"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center" vertical="top" textRotation="0" wrapText="1" indent="0" justifyLastLine="0" shrinkToFit="0" readingOrder="0"/>
    </dxf>
    <dxf>
      <font>
        <strike val="0"/>
        <outline val="0"/>
        <shadow val="0"/>
        <u val="none"/>
        <vertAlign val="baseline"/>
        <sz val="10"/>
        <name val="Calibri"/>
        <family val="2"/>
        <scheme val="minor"/>
      </font>
      <numFmt numFmtId="3" formatCode="#,##0"/>
      <alignment horizontal="center"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center" vertical="top" textRotation="0" wrapText="1" indent="0" justifyLastLine="0" shrinkToFit="0" readingOrder="0"/>
    </dxf>
    <dxf>
      <font>
        <strike val="0"/>
        <outline val="0"/>
        <shadow val="0"/>
        <u val="none"/>
        <vertAlign val="baseline"/>
        <sz val="10"/>
        <name val="Calibri"/>
        <family val="2"/>
        <scheme val="minor"/>
      </font>
      <numFmt numFmtId="3" formatCode="#,##0"/>
      <alignment horizontal="center"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center"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solid">
          <fgColor indexed="64"/>
          <bgColor rgb="FF92D050"/>
        </patternFill>
      </fill>
      <alignment horizontal="center"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171" formatCode="&quot;$&quot;#,##0.00"/>
      <alignment horizontal="center"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171" formatCode="&quot;$&quot;#,##0.00"/>
      <alignment horizontal="center"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1" indent="0" justifyLastLine="0" shrinkToFit="0" readingOrder="0"/>
    </dxf>
    <dxf>
      <font>
        <strike val="0"/>
        <outline val="0"/>
        <shadow val="0"/>
        <u val="none"/>
        <vertAlign val="baseline"/>
        <sz val="10"/>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1" indent="0" justifyLastLine="0" shrinkToFit="0" readingOrder="0"/>
    </dxf>
    <dxf>
      <font>
        <strike val="0"/>
        <outline val="0"/>
        <shadow val="0"/>
        <u val="none"/>
        <vertAlign val="baseline"/>
        <sz val="10"/>
        <name val="Calibri"/>
        <family val="2"/>
        <scheme val="minor"/>
      </font>
      <alignment vertical="top" wrapText="1"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1" indent="0" justifyLastLine="0" shrinkToFit="0" readingOrder="0"/>
    </dxf>
    <dxf>
      <font>
        <strike val="0"/>
        <outline val="0"/>
        <shadow val="0"/>
        <u val="none"/>
        <vertAlign val="baseline"/>
        <sz val="10"/>
        <name val="Calibri"/>
        <family val="2"/>
        <scheme val="minor"/>
      </font>
      <alignment vertical="top" wrapText="1"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1" indent="0" justifyLastLine="0" shrinkToFit="0" readingOrder="0"/>
    </dxf>
    <dxf>
      <font>
        <strike val="0"/>
        <outline val="0"/>
        <shadow val="0"/>
        <u val="none"/>
        <vertAlign val="baseline"/>
        <sz val="10"/>
        <name val="Calibri"/>
        <family val="2"/>
        <scheme val="minor"/>
      </font>
      <alignment vertical="top" wrapText="1"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1" indent="0" justifyLastLine="0" shrinkToFit="0" readingOrder="0"/>
    </dxf>
    <dxf>
      <font>
        <strike val="0"/>
        <outline val="0"/>
        <shadow val="0"/>
        <u val="none"/>
        <vertAlign val="baseline"/>
        <sz val="10"/>
        <name val="Calibri"/>
        <family val="2"/>
        <scheme val="minor"/>
      </font>
      <alignment vertical="top" wrapText="1"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1" indent="0" justifyLastLine="0" shrinkToFit="0" readingOrder="0"/>
    </dxf>
    <dxf>
      <font>
        <strike val="0"/>
        <outline val="0"/>
        <shadow val="0"/>
        <u val="none"/>
        <vertAlign val="baseline"/>
        <sz val="10"/>
        <name val="Calibri"/>
        <family val="2"/>
        <scheme val="none"/>
      </font>
    </dxf>
    <dxf>
      <font>
        <strike val="0"/>
        <outline val="0"/>
        <shadow val="0"/>
        <u val="none"/>
        <vertAlign val="baseline"/>
        <sz val="10"/>
        <name val="Calibri"/>
        <family val="2"/>
        <scheme val="none"/>
      </font>
      <alignment vertical="top" wrapText="1" indent="0" justifyLastLine="0" shrinkToFit="0" readingOrder="0"/>
    </dxf>
    <dxf>
      <font>
        <strike val="0"/>
        <outline val="0"/>
        <shadow val="0"/>
        <u val="none"/>
        <vertAlign val="baseline"/>
        <sz val="10"/>
        <name val="Calibri"/>
        <family val="2"/>
        <scheme val="minor"/>
      </font>
      <alignment horizontal="general" vertical="top" textRotation="90" wrapText="1" indent="0" justifyLastLine="0" shrinkToFit="0" readingOrder="0"/>
    </dxf>
    <dxf>
      <font>
        <color rgb="FF9C0006"/>
      </font>
      <fill>
        <patternFill>
          <bgColor rgb="FFFFC7CE"/>
        </patternFill>
      </fill>
    </dxf>
    <dxf>
      <font>
        <b val="0"/>
        <i/>
        <color theme="0" tint="-0.24994659260841701"/>
      </font>
    </dxf>
    <dxf>
      <font>
        <b val="0"/>
        <i/>
        <color theme="0" tint="-0.24994659260841701"/>
      </font>
    </dxf>
    <dxf>
      <font>
        <b val="0"/>
        <i/>
        <color theme="0" tint="-0.24994659260841701"/>
      </font>
    </dxf>
    <dxf>
      <font>
        <color rgb="FF9C0006"/>
      </font>
      <fill>
        <patternFill>
          <bgColor rgb="FFFFC7CE"/>
        </patternFill>
      </fill>
    </dxf>
    <dxf>
      <font>
        <b/>
        <i val="0"/>
      </font>
    </dxf>
    <dxf>
      <font>
        <b/>
        <i val="0"/>
      </font>
    </dxf>
    <dxf>
      <font>
        <strike val="0"/>
      </font>
      <border>
        <left style="thin">
          <color auto="1"/>
        </left>
        <right style="thin">
          <color auto="1"/>
        </right>
        <top style="thin">
          <color auto="1"/>
        </top>
        <bottom style="thin">
          <color auto="1"/>
        </bottom>
        <vertical style="thin">
          <color auto="1"/>
        </vertical>
        <horizontal style="thin">
          <color auto="1"/>
        </horizontal>
      </border>
    </dxf>
    <dxf>
      <font>
        <b/>
        <i val="0"/>
      </font>
      <fill>
        <patternFill>
          <bgColor rgb="FFD7D7D7"/>
        </patternFill>
      </fill>
    </dxf>
    <dxf>
      <font>
        <b val="0"/>
        <i val="0"/>
      </font>
      <fill>
        <patternFill patternType="none">
          <bgColor indexed="65"/>
        </patternFill>
      </fill>
    </dxf>
  </dxfs>
  <tableStyles count="2" defaultTableStyle="TableStyleMedium9" defaultPivotStyle="PivotStyleLight16">
    <tableStyle name="MySqlDefault" pivot="0" table="0" count="2" xr9:uid="{40A9B32A-9848-4D83-8991-6DCE60875D71}">
      <tableStyleElement type="wholeTable" dxfId="931"/>
      <tableStyleElement type="headerRow" dxfId="930"/>
    </tableStyle>
    <tableStyle name="Table Style 1" pivot="0" count="3" xr9:uid="{281820D7-B294-41EE-BBF2-7022A4A66B18}">
      <tableStyleElement type="wholeTable" dxfId="929"/>
      <tableStyleElement type="headerRow" dxfId="928"/>
      <tableStyleElement type="firstColumn" dxfId="927"/>
    </tableStyle>
  </tableStyles>
  <colors>
    <mruColors>
      <color rgb="FFFFFFCC"/>
      <color rgb="FF9C0006"/>
      <color rgb="FFFFC7CE"/>
      <color rgb="FF573D82"/>
      <color rgb="FFFFFFFF"/>
      <color rgb="FF3E87CC"/>
      <color rgb="FF969696"/>
      <color rgb="FFF0C748"/>
      <color rgb="FF95C63F"/>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1.xml"/><Relationship Id="rId47" Type="http://schemas.openxmlformats.org/officeDocument/2006/relationships/sheetMetadata" Target="metadata.xml"/><Relationship Id="rId50"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tyles" Target="styles.xml"/><Relationship Id="rId53" Type="http://schemas.openxmlformats.org/officeDocument/2006/relationships/customXml" Target="../customXml/item4.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onnections" Target="connections.xml"/><Relationship Id="rId52"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theme" Target="theme/theme1.xml"/><Relationship Id="rId48" Type="http://schemas.microsoft.com/office/2017/10/relationships/person" Target="persons/person.xml"/><Relationship Id="rId8" Type="http://schemas.openxmlformats.org/officeDocument/2006/relationships/worksheet" Target="worksheets/sheet8.xml"/><Relationship Id="rId51" Type="http://schemas.openxmlformats.org/officeDocument/2006/relationships/customXml" Target="../customXml/item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accent1"/>
                </a:solidFill>
                <a:latin typeface="+mn-lt"/>
                <a:ea typeface="+mn-ea"/>
                <a:cs typeface="+mn-cs"/>
              </a:defRPr>
            </a:pPr>
            <a:r>
              <a:rPr lang="en-CA"/>
              <a:t>Resource Curves</a:t>
            </a:r>
            <a:r>
              <a:rPr lang="en-CA" baseline="0"/>
              <a:t> based on Percentage </a:t>
            </a:r>
            <a:endParaRPr lang="en-C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solidFill>
              <a:latin typeface="+mn-lt"/>
              <a:ea typeface="+mn-ea"/>
              <a:cs typeface="+mn-cs"/>
            </a:defRPr>
          </a:pPr>
          <a:endParaRPr lang="en-CA"/>
        </a:p>
      </c:txPr>
    </c:title>
    <c:autoTitleDeleted val="0"/>
    <c:plotArea>
      <c:layout>
        <c:manualLayout>
          <c:layoutTarget val="inner"/>
          <c:xMode val="edge"/>
          <c:yMode val="edge"/>
          <c:x val="4.89247364005874E-2"/>
          <c:y val="1.7436570428696414E-2"/>
          <c:w val="0.92026159470441626"/>
          <c:h val="0.36574853143357078"/>
        </c:manualLayout>
      </c:layout>
      <c:lineChart>
        <c:grouping val="standard"/>
        <c:varyColors val="0"/>
        <c:ser>
          <c:idx val="0"/>
          <c:order val="0"/>
          <c:tx>
            <c:strRef>
              <c:f>'T&amp;E Summary'!$V$11</c:f>
              <c:strCache>
                <c:ptCount val="1"/>
                <c:pt idx="0">
                  <c:v>Project Manager-PMO</c:v>
                </c:pt>
              </c:strCache>
            </c:strRef>
          </c:tx>
          <c:spPr>
            <a:ln w="28575" cap="rnd">
              <a:solidFill>
                <a:schemeClr val="accent1"/>
              </a:solidFill>
              <a:round/>
            </a:ln>
            <a:effectLst/>
          </c:spPr>
          <c:marker>
            <c:symbol val="none"/>
          </c:marker>
          <c:cat>
            <c:strRef>
              <c:f>'T&amp;E Summary'!$W$10:$AA$10</c:f>
              <c:strCache>
                <c:ptCount val="5"/>
                <c:pt idx="0">
                  <c:v>Initiate</c:v>
                </c:pt>
                <c:pt idx="1">
                  <c:v>Prepare</c:v>
                </c:pt>
                <c:pt idx="2">
                  <c:v>Execute</c:v>
                </c:pt>
                <c:pt idx="3">
                  <c:v>Deliver</c:v>
                </c:pt>
                <c:pt idx="4">
                  <c:v>Close</c:v>
                </c:pt>
              </c:strCache>
            </c:strRef>
          </c:cat>
          <c:val>
            <c:numRef>
              <c:f>'T&amp;E Summary'!$W$11:$AA$11</c:f>
              <c:numCache>
                <c:formatCode>0%</c:formatCode>
                <c:ptCount val="5"/>
                <c:pt idx="0">
                  <c:v>0.125</c:v>
                </c:pt>
                <c:pt idx="1">
                  <c:v>0.125</c:v>
                </c:pt>
                <c:pt idx="2">
                  <c:v>0.5</c:v>
                </c:pt>
                <c:pt idx="3">
                  <c:v>0.125</c:v>
                </c:pt>
                <c:pt idx="4">
                  <c:v>0.125</c:v>
                </c:pt>
              </c:numCache>
            </c:numRef>
          </c:val>
          <c:smooth val="0"/>
          <c:extLst>
            <c:ext xmlns:c16="http://schemas.microsoft.com/office/drawing/2014/chart" uri="{C3380CC4-5D6E-409C-BE32-E72D297353CC}">
              <c16:uniqueId val="{00000000-60AA-483E-AF66-8A9D8CA1A8AF}"/>
            </c:ext>
          </c:extLst>
        </c:ser>
        <c:ser>
          <c:idx val="1"/>
          <c:order val="1"/>
          <c:tx>
            <c:strRef>
              <c:f>'T&amp;E Summary'!$V$12</c:f>
              <c:strCache>
                <c:ptCount val="1"/>
                <c:pt idx="0">
                  <c:v>Solution Architect-Technology</c:v>
                </c:pt>
              </c:strCache>
            </c:strRef>
          </c:tx>
          <c:spPr>
            <a:ln w="28575" cap="rnd">
              <a:solidFill>
                <a:schemeClr val="accent2"/>
              </a:solidFill>
              <a:round/>
            </a:ln>
            <a:effectLst/>
          </c:spPr>
          <c:marker>
            <c:symbol val="none"/>
          </c:marker>
          <c:cat>
            <c:strRef>
              <c:f>'T&amp;E Summary'!$W$10:$AA$10</c:f>
              <c:strCache>
                <c:ptCount val="5"/>
                <c:pt idx="0">
                  <c:v>Initiate</c:v>
                </c:pt>
                <c:pt idx="1">
                  <c:v>Prepare</c:v>
                </c:pt>
                <c:pt idx="2">
                  <c:v>Execute</c:v>
                </c:pt>
                <c:pt idx="3">
                  <c:v>Deliver</c:v>
                </c:pt>
                <c:pt idx="4">
                  <c:v>Close</c:v>
                </c:pt>
              </c:strCache>
            </c:strRef>
          </c:cat>
          <c:val>
            <c:numRef>
              <c:f>'T&amp;E Summary'!$W$12:$AA$12</c:f>
              <c:numCache>
                <c:formatCode>0%</c:formatCode>
                <c:ptCount val="5"/>
                <c:pt idx="0">
                  <c:v>2.5316455696202531E-2</c:v>
                </c:pt>
                <c:pt idx="1">
                  <c:v>0.39240506329113922</c:v>
                </c:pt>
                <c:pt idx="2">
                  <c:v>0.45569620253164556</c:v>
                </c:pt>
                <c:pt idx="3">
                  <c:v>0.10126582278481013</c:v>
                </c:pt>
                <c:pt idx="4">
                  <c:v>2.5316455696202531E-2</c:v>
                </c:pt>
              </c:numCache>
            </c:numRef>
          </c:val>
          <c:smooth val="0"/>
          <c:extLst>
            <c:ext xmlns:c16="http://schemas.microsoft.com/office/drawing/2014/chart" uri="{C3380CC4-5D6E-409C-BE32-E72D297353CC}">
              <c16:uniqueId val="{00000001-60AA-483E-AF66-8A9D8CA1A8AF}"/>
            </c:ext>
          </c:extLst>
        </c:ser>
        <c:ser>
          <c:idx val="2"/>
          <c:order val="2"/>
          <c:tx>
            <c:strRef>
              <c:f>'T&amp;E Summary'!$V$13</c:f>
              <c:strCache>
                <c:ptCount val="1"/>
                <c:pt idx="0">
                  <c:v>Business Process Consultant-Technology</c:v>
                </c:pt>
              </c:strCache>
            </c:strRef>
          </c:tx>
          <c:spPr>
            <a:ln w="28575" cap="rnd">
              <a:solidFill>
                <a:schemeClr val="accent3"/>
              </a:solidFill>
              <a:round/>
            </a:ln>
            <a:effectLst/>
          </c:spPr>
          <c:marker>
            <c:symbol val="none"/>
          </c:marker>
          <c:cat>
            <c:strRef>
              <c:f>'T&amp;E Summary'!$W$10:$AA$10</c:f>
              <c:strCache>
                <c:ptCount val="5"/>
                <c:pt idx="0">
                  <c:v>Initiate</c:v>
                </c:pt>
                <c:pt idx="1">
                  <c:v>Prepare</c:v>
                </c:pt>
                <c:pt idx="2">
                  <c:v>Execute</c:v>
                </c:pt>
                <c:pt idx="3">
                  <c:v>Deliver</c:v>
                </c:pt>
                <c:pt idx="4">
                  <c:v>Close</c:v>
                </c:pt>
              </c:strCache>
            </c:strRef>
          </c:cat>
          <c:val>
            <c:numRef>
              <c:f>'T&amp;E Summary'!$W$13:$AA$13</c:f>
              <c:numCache>
                <c:formatCode>0%</c:formatCode>
                <c:ptCount val="5"/>
                <c:pt idx="0">
                  <c:v>1.6666666666666666E-2</c:v>
                </c:pt>
                <c:pt idx="1">
                  <c:v>0.33333333333333331</c:v>
                </c:pt>
                <c:pt idx="2">
                  <c:v>0.6</c:v>
                </c:pt>
                <c:pt idx="3">
                  <c:v>3.3333333333333333E-2</c:v>
                </c:pt>
                <c:pt idx="4">
                  <c:v>1.6666666666666666E-2</c:v>
                </c:pt>
              </c:numCache>
            </c:numRef>
          </c:val>
          <c:smooth val="0"/>
          <c:extLst>
            <c:ext xmlns:c16="http://schemas.microsoft.com/office/drawing/2014/chart" uri="{C3380CC4-5D6E-409C-BE32-E72D297353CC}">
              <c16:uniqueId val="{00000002-60AA-483E-AF66-8A9D8CA1A8AF}"/>
            </c:ext>
          </c:extLst>
        </c:ser>
        <c:ser>
          <c:idx val="3"/>
          <c:order val="3"/>
          <c:tx>
            <c:strRef>
              <c:f>'T&amp;E Summary'!$V$14</c:f>
              <c:strCache>
                <c:ptCount val="1"/>
                <c:pt idx="0">
                  <c:v>Senior Technical Consultant-Technology</c:v>
                </c:pt>
              </c:strCache>
            </c:strRef>
          </c:tx>
          <c:spPr>
            <a:ln w="28575" cap="rnd">
              <a:solidFill>
                <a:schemeClr val="accent4"/>
              </a:solidFill>
              <a:round/>
            </a:ln>
            <a:effectLst/>
          </c:spPr>
          <c:marker>
            <c:symbol val="none"/>
          </c:marker>
          <c:cat>
            <c:strRef>
              <c:f>'T&amp;E Summary'!$W$10:$AA$10</c:f>
              <c:strCache>
                <c:ptCount val="5"/>
                <c:pt idx="0">
                  <c:v>Initiate</c:v>
                </c:pt>
                <c:pt idx="1">
                  <c:v>Prepare</c:v>
                </c:pt>
                <c:pt idx="2">
                  <c:v>Execute</c:v>
                </c:pt>
                <c:pt idx="3">
                  <c:v>Deliver</c:v>
                </c:pt>
                <c:pt idx="4">
                  <c:v>Close</c:v>
                </c:pt>
              </c:strCache>
            </c:strRef>
          </c:cat>
          <c:val>
            <c:numRef>
              <c:f>'T&amp;E Summary'!$W$14:$AA$14</c:f>
              <c:numCache>
                <c:formatCode>0%</c:formatCode>
                <c:ptCount val="5"/>
                <c:pt idx="0">
                  <c:v>0</c:v>
                </c:pt>
                <c:pt idx="1">
                  <c:v>0</c:v>
                </c:pt>
                <c:pt idx="2">
                  <c:v>0.80519480519480524</c:v>
                </c:pt>
                <c:pt idx="3">
                  <c:v>0.12987012987012986</c:v>
                </c:pt>
                <c:pt idx="4">
                  <c:v>6.4935064935064929E-2</c:v>
                </c:pt>
              </c:numCache>
            </c:numRef>
          </c:val>
          <c:smooth val="0"/>
          <c:extLst>
            <c:ext xmlns:c16="http://schemas.microsoft.com/office/drawing/2014/chart" uri="{C3380CC4-5D6E-409C-BE32-E72D297353CC}">
              <c16:uniqueId val="{00000003-60AA-483E-AF66-8A9D8CA1A8AF}"/>
            </c:ext>
          </c:extLst>
        </c:ser>
        <c:ser>
          <c:idx val="4"/>
          <c:order val="4"/>
          <c:tx>
            <c:strRef>
              <c:f>'T&amp;E Summary'!$V$15</c:f>
              <c:strCache>
                <c:ptCount val="1"/>
                <c:pt idx="0">
                  <c:v>Workflow/Practice Strategist-Technology</c:v>
                </c:pt>
              </c:strCache>
            </c:strRef>
          </c:tx>
          <c:spPr>
            <a:ln w="28575" cap="rnd">
              <a:solidFill>
                <a:schemeClr val="accent5"/>
              </a:solidFill>
              <a:round/>
            </a:ln>
            <a:effectLst/>
          </c:spPr>
          <c:marker>
            <c:symbol val="none"/>
          </c:marker>
          <c:cat>
            <c:strRef>
              <c:f>'T&amp;E Summary'!$W$10:$AA$10</c:f>
              <c:strCache>
                <c:ptCount val="5"/>
                <c:pt idx="0">
                  <c:v>Initiate</c:v>
                </c:pt>
                <c:pt idx="1">
                  <c:v>Prepare</c:v>
                </c:pt>
                <c:pt idx="2">
                  <c:v>Execute</c:v>
                </c:pt>
                <c:pt idx="3">
                  <c:v>Deliver</c:v>
                </c:pt>
                <c:pt idx="4">
                  <c:v>Close</c:v>
                </c:pt>
              </c:strCache>
            </c:strRef>
          </c:cat>
          <c:val>
            <c:numRef>
              <c:f>'T&amp;E Summary'!$W$15:$AA$15</c:f>
              <c:numCache>
                <c:formatCode>0%</c:formatCode>
                <c:ptCount val="5"/>
                <c:pt idx="0">
                  <c:v>3.8461538461538464E-2</c:v>
                </c:pt>
                <c:pt idx="1">
                  <c:v>0.73076923076923073</c:v>
                </c:pt>
                <c:pt idx="2">
                  <c:v>0.15384615384615385</c:v>
                </c:pt>
                <c:pt idx="3">
                  <c:v>3.8461538461538464E-2</c:v>
                </c:pt>
                <c:pt idx="4">
                  <c:v>3.8461538461538464E-2</c:v>
                </c:pt>
              </c:numCache>
            </c:numRef>
          </c:val>
          <c:smooth val="0"/>
          <c:extLst>
            <c:ext xmlns:c16="http://schemas.microsoft.com/office/drawing/2014/chart" uri="{C3380CC4-5D6E-409C-BE32-E72D297353CC}">
              <c16:uniqueId val="{00000004-60AA-483E-AF66-8A9D8CA1A8AF}"/>
            </c:ext>
          </c:extLst>
        </c:ser>
        <c:ser>
          <c:idx val="5"/>
          <c:order val="5"/>
          <c:tx>
            <c:strRef>
              <c:f>'T&amp;E Summary'!$V$16</c:f>
              <c:strCache>
                <c:ptCount val="1"/>
                <c:pt idx="0">
                  <c:v>-</c:v>
                </c:pt>
              </c:strCache>
            </c:strRef>
          </c:tx>
          <c:spPr>
            <a:ln w="28575" cap="rnd">
              <a:solidFill>
                <a:schemeClr val="accent6"/>
              </a:solidFill>
              <a:round/>
            </a:ln>
            <a:effectLst/>
          </c:spPr>
          <c:marker>
            <c:symbol val="none"/>
          </c:marker>
          <c:cat>
            <c:strRef>
              <c:f>'T&amp;E Summary'!$W$10:$AA$10</c:f>
              <c:strCache>
                <c:ptCount val="5"/>
                <c:pt idx="0">
                  <c:v>Initiate</c:v>
                </c:pt>
                <c:pt idx="1">
                  <c:v>Prepare</c:v>
                </c:pt>
                <c:pt idx="2">
                  <c:v>Execute</c:v>
                </c:pt>
                <c:pt idx="3">
                  <c:v>Deliver</c:v>
                </c:pt>
                <c:pt idx="4">
                  <c:v>Close</c:v>
                </c:pt>
              </c:strCache>
            </c:strRef>
          </c:cat>
          <c:val>
            <c:numRef>
              <c:f>'T&amp;E Summary'!$W$16:$AA$16</c:f>
              <c:numCache>
                <c:formatCode>0%</c:formatCode>
                <c:ptCount val="5"/>
                <c:pt idx="0">
                  <c:v>0</c:v>
                </c:pt>
                <c:pt idx="1">
                  <c:v>0</c:v>
                </c:pt>
                <c:pt idx="2">
                  <c:v>0</c:v>
                </c:pt>
                <c:pt idx="3">
                  <c:v>0</c:v>
                </c:pt>
                <c:pt idx="4">
                  <c:v>0</c:v>
                </c:pt>
              </c:numCache>
            </c:numRef>
          </c:val>
          <c:smooth val="0"/>
          <c:extLst>
            <c:ext xmlns:c16="http://schemas.microsoft.com/office/drawing/2014/chart" uri="{C3380CC4-5D6E-409C-BE32-E72D297353CC}">
              <c16:uniqueId val="{00000005-60AA-483E-AF66-8A9D8CA1A8AF}"/>
            </c:ext>
          </c:extLst>
        </c:ser>
        <c:ser>
          <c:idx val="6"/>
          <c:order val="6"/>
          <c:tx>
            <c:strRef>
              <c:f>'T&amp;E Summary'!$V$17</c:f>
              <c:strCache>
                <c:ptCount val="1"/>
                <c:pt idx="0">
                  <c:v>-</c:v>
                </c:pt>
              </c:strCache>
            </c:strRef>
          </c:tx>
          <c:spPr>
            <a:ln w="28575" cap="rnd">
              <a:solidFill>
                <a:schemeClr val="accent1">
                  <a:lumMod val="60000"/>
                </a:schemeClr>
              </a:solidFill>
              <a:round/>
            </a:ln>
            <a:effectLst/>
          </c:spPr>
          <c:marker>
            <c:symbol val="none"/>
          </c:marker>
          <c:cat>
            <c:strRef>
              <c:f>'T&amp;E Summary'!$W$10:$AA$10</c:f>
              <c:strCache>
                <c:ptCount val="5"/>
                <c:pt idx="0">
                  <c:v>Initiate</c:v>
                </c:pt>
                <c:pt idx="1">
                  <c:v>Prepare</c:v>
                </c:pt>
                <c:pt idx="2">
                  <c:v>Execute</c:v>
                </c:pt>
                <c:pt idx="3">
                  <c:v>Deliver</c:v>
                </c:pt>
                <c:pt idx="4">
                  <c:v>Close</c:v>
                </c:pt>
              </c:strCache>
            </c:strRef>
          </c:cat>
          <c:val>
            <c:numRef>
              <c:f>'T&amp;E Summary'!$W$17:$AA$17</c:f>
              <c:numCache>
                <c:formatCode>0%</c:formatCode>
                <c:ptCount val="5"/>
                <c:pt idx="0">
                  <c:v>0</c:v>
                </c:pt>
                <c:pt idx="1">
                  <c:v>0</c:v>
                </c:pt>
                <c:pt idx="2">
                  <c:v>0</c:v>
                </c:pt>
                <c:pt idx="3">
                  <c:v>0</c:v>
                </c:pt>
                <c:pt idx="4">
                  <c:v>0</c:v>
                </c:pt>
              </c:numCache>
            </c:numRef>
          </c:val>
          <c:smooth val="0"/>
          <c:extLst>
            <c:ext xmlns:c16="http://schemas.microsoft.com/office/drawing/2014/chart" uri="{C3380CC4-5D6E-409C-BE32-E72D297353CC}">
              <c16:uniqueId val="{00000006-60AA-483E-AF66-8A9D8CA1A8AF}"/>
            </c:ext>
          </c:extLst>
        </c:ser>
        <c:ser>
          <c:idx val="7"/>
          <c:order val="7"/>
          <c:tx>
            <c:strRef>
              <c:f>'T&amp;E Summary'!$V$18</c:f>
              <c:strCache>
                <c:ptCount val="1"/>
                <c:pt idx="0">
                  <c:v>-</c:v>
                </c:pt>
              </c:strCache>
            </c:strRef>
          </c:tx>
          <c:spPr>
            <a:ln w="28575" cap="rnd">
              <a:solidFill>
                <a:schemeClr val="accent2">
                  <a:lumMod val="60000"/>
                </a:schemeClr>
              </a:solidFill>
              <a:round/>
            </a:ln>
            <a:effectLst/>
          </c:spPr>
          <c:marker>
            <c:symbol val="none"/>
          </c:marker>
          <c:cat>
            <c:strRef>
              <c:f>'T&amp;E Summary'!$W$10:$AA$10</c:f>
              <c:strCache>
                <c:ptCount val="5"/>
                <c:pt idx="0">
                  <c:v>Initiate</c:v>
                </c:pt>
                <c:pt idx="1">
                  <c:v>Prepare</c:v>
                </c:pt>
                <c:pt idx="2">
                  <c:v>Execute</c:v>
                </c:pt>
                <c:pt idx="3">
                  <c:v>Deliver</c:v>
                </c:pt>
                <c:pt idx="4">
                  <c:v>Close</c:v>
                </c:pt>
              </c:strCache>
            </c:strRef>
          </c:cat>
          <c:val>
            <c:numRef>
              <c:f>'T&amp;E Summary'!$W$18:$AA$18</c:f>
              <c:numCache>
                <c:formatCode>0%</c:formatCode>
                <c:ptCount val="5"/>
                <c:pt idx="0">
                  <c:v>0</c:v>
                </c:pt>
                <c:pt idx="1">
                  <c:v>0</c:v>
                </c:pt>
                <c:pt idx="2">
                  <c:v>0</c:v>
                </c:pt>
                <c:pt idx="3">
                  <c:v>0</c:v>
                </c:pt>
                <c:pt idx="4">
                  <c:v>0</c:v>
                </c:pt>
              </c:numCache>
            </c:numRef>
          </c:val>
          <c:smooth val="0"/>
          <c:extLst>
            <c:ext xmlns:c16="http://schemas.microsoft.com/office/drawing/2014/chart" uri="{C3380CC4-5D6E-409C-BE32-E72D297353CC}">
              <c16:uniqueId val="{00000007-60AA-483E-AF66-8A9D8CA1A8AF}"/>
            </c:ext>
          </c:extLst>
        </c:ser>
        <c:ser>
          <c:idx val="8"/>
          <c:order val="8"/>
          <c:tx>
            <c:strRef>
              <c:f>'T&amp;E Summary'!$V$19</c:f>
              <c:strCache>
                <c:ptCount val="1"/>
                <c:pt idx="0">
                  <c:v>-</c:v>
                </c:pt>
              </c:strCache>
            </c:strRef>
          </c:tx>
          <c:spPr>
            <a:ln w="28575" cap="rnd">
              <a:solidFill>
                <a:schemeClr val="accent3">
                  <a:lumMod val="60000"/>
                </a:schemeClr>
              </a:solidFill>
              <a:round/>
            </a:ln>
            <a:effectLst/>
          </c:spPr>
          <c:marker>
            <c:symbol val="none"/>
          </c:marker>
          <c:cat>
            <c:strRef>
              <c:f>'T&amp;E Summary'!$W$10:$AA$10</c:f>
              <c:strCache>
                <c:ptCount val="5"/>
                <c:pt idx="0">
                  <c:v>Initiate</c:v>
                </c:pt>
                <c:pt idx="1">
                  <c:v>Prepare</c:v>
                </c:pt>
                <c:pt idx="2">
                  <c:v>Execute</c:v>
                </c:pt>
                <c:pt idx="3">
                  <c:v>Deliver</c:v>
                </c:pt>
                <c:pt idx="4">
                  <c:v>Close</c:v>
                </c:pt>
              </c:strCache>
            </c:strRef>
          </c:cat>
          <c:val>
            <c:numRef>
              <c:f>'T&amp;E Summary'!$W$19:$AA$19</c:f>
              <c:numCache>
                <c:formatCode>0%</c:formatCode>
                <c:ptCount val="5"/>
                <c:pt idx="0">
                  <c:v>0</c:v>
                </c:pt>
                <c:pt idx="1">
                  <c:v>0</c:v>
                </c:pt>
                <c:pt idx="2">
                  <c:v>0</c:v>
                </c:pt>
                <c:pt idx="3">
                  <c:v>0</c:v>
                </c:pt>
                <c:pt idx="4">
                  <c:v>0</c:v>
                </c:pt>
              </c:numCache>
            </c:numRef>
          </c:val>
          <c:smooth val="0"/>
          <c:extLst>
            <c:ext xmlns:c16="http://schemas.microsoft.com/office/drawing/2014/chart" uri="{C3380CC4-5D6E-409C-BE32-E72D297353CC}">
              <c16:uniqueId val="{00000008-60AA-483E-AF66-8A9D8CA1A8AF}"/>
            </c:ext>
          </c:extLst>
        </c:ser>
        <c:ser>
          <c:idx val="9"/>
          <c:order val="9"/>
          <c:tx>
            <c:strRef>
              <c:f>'T&amp;E Summary'!$V$20</c:f>
              <c:strCache>
                <c:ptCount val="1"/>
                <c:pt idx="0">
                  <c:v>-</c:v>
                </c:pt>
              </c:strCache>
            </c:strRef>
          </c:tx>
          <c:spPr>
            <a:ln w="28575" cap="rnd">
              <a:solidFill>
                <a:schemeClr val="accent4">
                  <a:lumMod val="60000"/>
                </a:schemeClr>
              </a:solidFill>
              <a:round/>
            </a:ln>
            <a:effectLst/>
          </c:spPr>
          <c:marker>
            <c:symbol val="none"/>
          </c:marker>
          <c:cat>
            <c:strRef>
              <c:f>'T&amp;E Summary'!$W$10:$AA$10</c:f>
              <c:strCache>
                <c:ptCount val="5"/>
                <c:pt idx="0">
                  <c:v>Initiate</c:v>
                </c:pt>
                <c:pt idx="1">
                  <c:v>Prepare</c:v>
                </c:pt>
                <c:pt idx="2">
                  <c:v>Execute</c:v>
                </c:pt>
                <c:pt idx="3">
                  <c:v>Deliver</c:v>
                </c:pt>
                <c:pt idx="4">
                  <c:v>Close</c:v>
                </c:pt>
              </c:strCache>
            </c:strRef>
          </c:cat>
          <c:val>
            <c:numRef>
              <c:f>'T&amp;E Summary'!$W$20:$AA$20</c:f>
              <c:numCache>
                <c:formatCode>0%</c:formatCode>
                <c:ptCount val="5"/>
                <c:pt idx="0">
                  <c:v>0</c:v>
                </c:pt>
                <c:pt idx="1">
                  <c:v>0</c:v>
                </c:pt>
                <c:pt idx="2">
                  <c:v>0</c:v>
                </c:pt>
                <c:pt idx="3">
                  <c:v>0</c:v>
                </c:pt>
                <c:pt idx="4">
                  <c:v>0</c:v>
                </c:pt>
              </c:numCache>
            </c:numRef>
          </c:val>
          <c:smooth val="0"/>
          <c:extLst>
            <c:ext xmlns:c16="http://schemas.microsoft.com/office/drawing/2014/chart" uri="{C3380CC4-5D6E-409C-BE32-E72D297353CC}">
              <c16:uniqueId val="{00000009-60AA-483E-AF66-8A9D8CA1A8AF}"/>
            </c:ext>
          </c:extLst>
        </c:ser>
        <c:ser>
          <c:idx val="10"/>
          <c:order val="10"/>
          <c:tx>
            <c:strRef>
              <c:f>'T&amp;E Summary'!$V$21</c:f>
              <c:strCache>
                <c:ptCount val="1"/>
                <c:pt idx="0">
                  <c:v>-</c:v>
                </c:pt>
              </c:strCache>
            </c:strRef>
          </c:tx>
          <c:spPr>
            <a:ln w="28575" cap="rnd">
              <a:solidFill>
                <a:schemeClr val="accent5">
                  <a:lumMod val="60000"/>
                </a:schemeClr>
              </a:solidFill>
              <a:round/>
            </a:ln>
            <a:effectLst/>
          </c:spPr>
          <c:marker>
            <c:symbol val="none"/>
          </c:marker>
          <c:cat>
            <c:strRef>
              <c:f>'T&amp;E Summary'!$W$10:$AA$10</c:f>
              <c:strCache>
                <c:ptCount val="5"/>
                <c:pt idx="0">
                  <c:v>Initiate</c:v>
                </c:pt>
                <c:pt idx="1">
                  <c:v>Prepare</c:v>
                </c:pt>
                <c:pt idx="2">
                  <c:v>Execute</c:v>
                </c:pt>
                <c:pt idx="3">
                  <c:v>Deliver</c:v>
                </c:pt>
                <c:pt idx="4">
                  <c:v>Close</c:v>
                </c:pt>
              </c:strCache>
            </c:strRef>
          </c:cat>
          <c:val>
            <c:numRef>
              <c:f>'T&amp;E Summary'!$W$21:$AA$21</c:f>
              <c:numCache>
                <c:formatCode>0%</c:formatCode>
                <c:ptCount val="5"/>
                <c:pt idx="0">
                  <c:v>0</c:v>
                </c:pt>
                <c:pt idx="1">
                  <c:v>0</c:v>
                </c:pt>
                <c:pt idx="2">
                  <c:v>0</c:v>
                </c:pt>
                <c:pt idx="3">
                  <c:v>0</c:v>
                </c:pt>
                <c:pt idx="4">
                  <c:v>0</c:v>
                </c:pt>
              </c:numCache>
            </c:numRef>
          </c:val>
          <c:smooth val="0"/>
          <c:extLst>
            <c:ext xmlns:c16="http://schemas.microsoft.com/office/drawing/2014/chart" uri="{C3380CC4-5D6E-409C-BE32-E72D297353CC}">
              <c16:uniqueId val="{0000000A-60AA-483E-AF66-8A9D8CA1A8AF}"/>
            </c:ext>
          </c:extLst>
        </c:ser>
        <c:ser>
          <c:idx val="11"/>
          <c:order val="11"/>
          <c:tx>
            <c:strRef>
              <c:f>'T&amp;E Summary'!$V$22</c:f>
              <c:strCache>
                <c:ptCount val="1"/>
                <c:pt idx="0">
                  <c:v>-</c:v>
                </c:pt>
              </c:strCache>
            </c:strRef>
          </c:tx>
          <c:spPr>
            <a:ln w="28575" cap="rnd">
              <a:solidFill>
                <a:schemeClr val="accent6">
                  <a:lumMod val="60000"/>
                </a:schemeClr>
              </a:solidFill>
              <a:round/>
            </a:ln>
            <a:effectLst/>
          </c:spPr>
          <c:marker>
            <c:symbol val="none"/>
          </c:marker>
          <c:cat>
            <c:strRef>
              <c:f>'T&amp;E Summary'!$W$10:$AA$10</c:f>
              <c:strCache>
                <c:ptCount val="5"/>
                <c:pt idx="0">
                  <c:v>Initiate</c:v>
                </c:pt>
                <c:pt idx="1">
                  <c:v>Prepare</c:v>
                </c:pt>
                <c:pt idx="2">
                  <c:v>Execute</c:v>
                </c:pt>
                <c:pt idx="3">
                  <c:v>Deliver</c:v>
                </c:pt>
                <c:pt idx="4">
                  <c:v>Close</c:v>
                </c:pt>
              </c:strCache>
            </c:strRef>
          </c:cat>
          <c:val>
            <c:numRef>
              <c:f>'T&amp;E Summary'!$W$22:$AA$22</c:f>
              <c:numCache>
                <c:formatCode>0%</c:formatCode>
                <c:ptCount val="5"/>
                <c:pt idx="0">
                  <c:v>0</c:v>
                </c:pt>
                <c:pt idx="1">
                  <c:v>0</c:v>
                </c:pt>
                <c:pt idx="2">
                  <c:v>0</c:v>
                </c:pt>
                <c:pt idx="3">
                  <c:v>0</c:v>
                </c:pt>
                <c:pt idx="4">
                  <c:v>0</c:v>
                </c:pt>
              </c:numCache>
            </c:numRef>
          </c:val>
          <c:smooth val="0"/>
          <c:extLst>
            <c:ext xmlns:c16="http://schemas.microsoft.com/office/drawing/2014/chart" uri="{C3380CC4-5D6E-409C-BE32-E72D297353CC}">
              <c16:uniqueId val="{0000000B-60AA-483E-AF66-8A9D8CA1A8AF}"/>
            </c:ext>
          </c:extLst>
        </c:ser>
        <c:ser>
          <c:idx val="12"/>
          <c:order val="12"/>
          <c:tx>
            <c:strRef>
              <c:f>'T&amp;E Summary'!$V$23</c:f>
              <c:strCache>
                <c:ptCount val="1"/>
                <c:pt idx="0">
                  <c:v>-</c:v>
                </c:pt>
              </c:strCache>
            </c:strRef>
          </c:tx>
          <c:spPr>
            <a:ln w="28575" cap="rnd">
              <a:solidFill>
                <a:schemeClr val="accent1">
                  <a:lumMod val="80000"/>
                  <a:lumOff val="20000"/>
                </a:schemeClr>
              </a:solidFill>
              <a:round/>
            </a:ln>
            <a:effectLst/>
          </c:spPr>
          <c:marker>
            <c:symbol val="none"/>
          </c:marker>
          <c:cat>
            <c:strRef>
              <c:f>'T&amp;E Summary'!$W$10:$AA$10</c:f>
              <c:strCache>
                <c:ptCount val="5"/>
                <c:pt idx="0">
                  <c:v>Initiate</c:v>
                </c:pt>
                <c:pt idx="1">
                  <c:v>Prepare</c:v>
                </c:pt>
                <c:pt idx="2">
                  <c:v>Execute</c:v>
                </c:pt>
                <c:pt idx="3">
                  <c:v>Deliver</c:v>
                </c:pt>
                <c:pt idx="4">
                  <c:v>Close</c:v>
                </c:pt>
              </c:strCache>
            </c:strRef>
          </c:cat>
          <c:val>
            <c:numRef>
              <c:f>'T&amp;E Summary'!$W$23:$AA$23</c:f>
              <c:numCache>
                <c:formatCode>0%</c:formatCode>
                <c:ptCount val="5"/>
                <c:pt idx="0">
                  <c:v>0</c:v>
                </c:pt>
                <c:pt idx="1">
                  <c:v>0</c:v>
                </c:pt>
                <c:pt idx="2">
                  <c:v>0</c:v>
                </c:pt>
                <c:pt idx="3">
                  <c:v>0</c:v>
                </c:pt>
                <c:pt idx="4">
                  <c:v>0</c:v>
                </c:pt>
              </c:numCache>
            </c:numRef>
          </c:val>
          <c:smooth val="0"/>
          <c:extLst>
            <c:ext xmlns:c16="http://schemas.microsoft.com/office/drawing/2014/chart" uri="{C3380CC4-5D6E-409C-BE32-E72D297353CC}">
              <c16:uniqueId val="{0000000C-60AA-483E-AF66-8A9D8CA1A8AF}"/>
            </c:ext>
          </c:extLst>
        </c:ser>
        <c:ser>
          <c:idx val="13"/>
          <c:order val="13"/>
          <c:tx>
            <c:strRef>
              <c:f>'T&amp;E Summary'!$V$24</c:f>
              <c:strCache>
                <c:ptCount val="1"/>
                <c:pt idx="0">
                  <c:v>-</c:v>
                </c:pt>
              </c:strCache>
            </c:strRef>
          </c:tx>
          <c:spPr>
            <a:ln w="28575" cap="rnd">
              <a:solidFill>
                <a:schemeClr val="accent2">
                  <a:lumMod val="80000"/>
                  <a:lumOff val="20000"/>
                </a:schemeClr>
              </a:solidFill>
              <a:round/>
            </a:ln>
            <a:effectLst/>
          </c:spPr>
          <c:marker>
            <c:symbol val="none"/>
          </c:marker>
          <c:cat>
            <c:strRef>
              <c:f>'T&amp;E Summary'!$W$10:$AA$10</c:f>
              <c:strCache>
                <c:ptCount val="5"/>
                <c:pt idx="0">
                  <c:v>Initiate</c:v>
                </c:pt>
                <c:pt idx="1">
                  <c:v>Prepare</c:v>
                </c:pt>
                <c:pt idx="2">
                  <c:v>Execute</c:v>
                </c:pt>
                <c:pt idx="3">
                  <c:v>Deliver</c:v>
                </c:pt>
                <c:pt idx="4">
                  <c:v>Close</c:v>
                </c:pt>
              </c:strCache>
            </c:strRef>
          </c:cat>
          <c:val>
            <c:numRef>
              <c:f>'T&amp;E Summary'!$W$24:$AA$24</c:f>
              <c:numCache>
                <c:formatCode>0%</c:formatCode>
                <c:ptCount val="5"/>
                <c:pt idx="0">
                  <c:v>0</c:v>
                </c:pt>
                <c:pt idx="1">
                  <c:v>0</c:v>
                </c:pt>
                <c:pt idx="2">
                  <c:v>0</c:v>
                </c:pt>
                <c:pt idx="3">
                  <c:v>0</c:v>
                </c:pt>
                <c:pt idx="4">
                  <c:v>0</c:v>
                </c:pt>
              </c:numCache>
            </c:numRef>
          </c:val>
          <c:smooth val="0"/>
          <c:extLst>
            <c:ext xmlns:c16="http://schemas.microsoft.com/office/drawing/2014/chart" uri="{C3380CC4-5D6E-409C-BE32-E72D297353CC}">
              <c16:uniqueId val="{0000000D-60AA-483E-AF66-8A9D8CA1A8AF}"/>
            </c:ext>
          </c:extLst>
        </c:ser>
        <c:ser>
          <c:idx val="14"/>
          <c:order val="14"/>
          <c:tx>
            <c:strRef>
              <c:f>'T&amp;E Summary'!$V$25</c:f>
              <c:strCache>
                <c:ptCount val="1"/>
                <c:pt idx="0">
                  <c:v>-</c:v>
                </c:pt>
              </c:strCache>
            </c:strRef>
          </c:tx>
          <c:spPr>
            <a:ln w="28575" cap="rnd">
              <a:solidFill>
                <a:schemeClr val="accent3">
                  <a:lumMod val="80000"/>
                  <a:lumOff val="20000"/>
                </a:schemeClr>
              </a:solidFill>
              <a:round/>
            </a:ln>
            <a:effectLst/>
          </c:spPr>
          <c:marker>
            <c:symbol val="none"/>
          </c:marker>
          <c:cat>
            <c:strRef>
              <c:f>'T&amp;E Summary'!$W$10:$AA$10</c:f>
              <c:strCache>
                <c:ptCount val="5"/>
                <c:pt idx="0">
                  <c:v>Initiate</c:v>
                </c:pt>
                <c:pt idx="1">
                  <c:v>Prepare</c:v>
                </c:pt>
                <c:pt idx="2">
                  <c:v>Execute</c:v>
                </c:pt>
                <c:pt idx="3">
                  <c:v>Deliver</c:v>
                </c:pt>
                <c:pt idx="4">
                  <c:v>Close</c:v>
                </c:pt>
              </c:strCache>
            </c:strRef>
          </c:cat>
          <c:val>
            <c:numRef>
              <c:f>'T&amp;E Summary'!$W$25:$AA$25</c:f>
              <c:numCache>
                <c:formatCode>0%</c:formatCode>
                <c:ptCount val="5"/>
                <c:pt idx="0">
                  <c:v>0</c:v>
                </c:pt>
                <c:pt idx="1">
                  <c:v>0</c:v>
                </c:pt>
                <c:pt idx="2">
                  <c:v>0</c:v>
                </c:pt>
                <c:pt idx="3">
                  <c:v>0</c:v>
                </c:pt>
                <c:pt idx="4">
                  <c:v>0</c:v>
                </c:pt>
              </c:numCache>
            </c:numRef>
          </c:val>
          <c:smooth val="0"/>
          <c:extLst>
            <c:ext xmlns:c16="http://schemas.microsoft.com/office/drawing/2014/chart" uri="{C3380CC4-5D6E-409C-BE32-E72D297353CC}">
              <c16:uniqueId val="{0000000E-60AA-483E-AF66-8A9D8CA1A8AF}"/>
            </c:ext>
          </c:extLst>
        </c:ser>
        <c:dLbls>
          <c:showLegendKey val="0"/>
          <c:showVal val="0"/>
          <c:showCatName val="0"/>
          <c:showSerName val="0"/>
          <c:showPercent val="0"/>
          <c:showBubbleSize val="0"/>
        </c:dLbls>
        <c:smooth val="0"/>
        <c:axId val="506787424"/>
        <c:axId val="506777440"/>
      </c:lineChart>
      <c:catAx>
        <c:axId val="506787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crossAx val="506777440"/>
        <c:crosses val="autoZero"/>
        <c:auto val="1"/>
        <c:lblAlgn val="ctr"/>
        <c:lblOffset val="100"/>
        <c:noMultiLvlLbl val="0"/>
      </c:catAx>
      <c:valAx>
        <c:axId val="5067774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crossAx val="5067874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solidFill>
      <a:prstDash val="solid"/>
      <a:round/>
      <a:headEnd type="none" w="med" len="med"/>
      <a:tailEnd type="none" w="med" len="med"/>
    </a:ln>
    <a:effectLst/>
  </c:spPr>
  <c:txPr>
    <a:bodyPr/>
    <a:lstStyle/>
    <a:p>
      <a:pPr>
        <a:defRPr>
          <a:solidFill>
            <a:schemeClr val="accent1"/>
          </a:solidFill>
          <a:latin typeface="+mn-lt"/>
          <a:ea typeface="+mn-ea"/>
          <a:cs typeface="+mn-cs"/>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lockText="1" noThreeD="1"/>
</file>

<file path=xl/ctrlProps/ctrlProp61.xml><?xml version="1.0" encoding="utf-8"?>
<formControlPr xmlns="http://schemas.microsoft.com/office/spreadsheetml/2009/9/main" objectType="CheckBox" lockText="1" noThreeD="1"/>
</file>

<file path=xl/ctrlProps/ctrlProp62.xml><?xml version="1.0" encoding="utf-8"?>
<formControlPr xmlns="http://schemas.microsoft.com/office/spreadsheetml/2009/9/main" objectType="CheckBox" lockText="1" noThreeD="1"/>
</file>

<file path=xl/ctrlProps/ctrlProp63.xml><?xml version="1.0" encoding="utf-8"?>
<formControlPr xmlns="http://schemas.microsoft.com/office/spreadsheetml/2009/9/main" objectType="CheckBox"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objectType="CheckBox" lockText="1" noThreeD="1"/>
</file>

<file path=xl/ctrlProps/ctrlProp66.xml><?xml version="1.0" encoding="utf-8"?>
<formControlPr xmlns="http://schemas.microsoft.com/office/spreadsheetml/2009/9/main" objectType="CheckBox" lockText="1" noThreeD="1"/>
</file>

<file path=xl/ctrlProps/ctrlProp67.xml><?xml version="1.0" encoding="utf-8"?>
<formControlPr xmlns="http://schemas.microsoft.com/office/spreadsheetml/2009/9/main" objectType="CheckBox" lockText="1" noThreeD="1"/>
</file>

<file path=xl/ctrlProps/ctrlProp68.xml><?xml version="1.0" encoding="utf-8"?>
<formControlPr xmlns="http://schemas.microsoft.com/office/spreadsheetml/2009/9/main" objectType="CheckBox" lockText="1" noThreeD="1"/>
</file>

<file path=xl/ctrlProps/ctrlProp69.xml><?xml version="1.0" encoding="utf-8"?>
<formControlPr xmlns="http://schemas.microsoft.com/office/spreadsheetml/2009/9/main" objectType="CheckBox" lockText="1" noThreeD="1"/>
</file>

<file path=xl/ctrlProps/ctrlProp70.xml><?xml version="1.0" encoding="utf-8"?>
<formControlPr xmlns="http://schemas.microsoft.com/office/spreadsheetml/2009/9/main" objectType="CheckBox" lockText="1" noThreeD="1"/>
</file>

<file path=xl/ctrlProps/ctrlProp71.xml><?xml version="1.0" encoding="utf-8"?>
<formControlPr xmlns="http://schemas.microsoft.com/office/spreadsheetml/2009/9/main" objectType="CheckBox" lockText="1" noThreeD="1"/>
</file>

<file path=xl/ctrlProps/ctrlProp72.xml><?xml version="1.0" encoding="utf-8"?>
<formControlPr xmlns="http://schemas.microsoft.com/office/spreadsheetml/2009/9/main" objectType="CheckBox" lockText="1" noThreeD="1"/>
</file>

<file path=xl/ctrlProps/ctrlProp73.xml><?xml version="1.0" encoding="utf-8"?>
<formControlPr xmlns="http://schemas.microsoft.com/office/spreadsheetml/2009/9/main" objectType="CheckBox" lockText="1" noThreeD="1"/>
</file>

<file path=xl/ctrlProps/ctrlProp74.xml><?xml version="1.0" encoding="utf-8"?>
<formControlPr xmlns="http://schemas.microsoft.com/office/spreadsheetml/2009/9/main" objectType="CheckBox" lockText="1" noThreeD="1"/>
</file>

<file path=xl/ctrlProps/ctrlProp75.xml><?xml version="1.0" encoding="utf-8"?>
<formControlPr xmlns="http://schemas.microsoft.com/office/spreadsheetml/2009/9/main" objectType="CheckBox" lockText="1" noThreeD="1"/>
</file>

<file path=xl/ctrlProps/ctrlProp76.xml><?xml version="1.0" encoding="utf-8"?>
<formControlPr xmlns="http://schemas.microsoft.com/office/spreadsheetml/2009/9/main" objectType="CheckBox" lockText="1" noThreeD="1"/>
</file>

<file path=xl/ctrlProps/ctrlProp77.xml><?xml version="1.0" encoding="utf-8"?>
<formControlPr xmlns="http://schemas.microsoft.com/office/spreadsheetml/2009/9/main" objectType="CheckBox" lockText="1" noThreeD="1"/>
</file>

<file path=xl/ctrlProps/ctrlProp78.xml><?xml version="1.0" encoding="utf-8"?>
<formControlPr xmlns="http://schemas.microsoft.com/office/spreadsheetml/2009/9/main" objectType="CheckBox" lockText="1" noThreeD="1"/>
</file>

<file path=xl/ctrlProps/ctrlProp79.xml><?xml version="1.0" encoding="utf-8"?>
<formControlPr xmlns="http://schemas.microsoft.com/office/spreadsheetml/2009/9/main" objectType="CheckBox" lockText="1" noThreeD="1"/>
</file>

<file path=xl/ctrlProps/ctrlProp80.xml><?xml version="1.0" encoding="utf-8"?>
<formControlPr xmlns="http://schemas.microsoft.com/office/spreadsheetml/2009/9/main" objectType="CheckBox" lockText="1" noThreeD="1"/>
</file>

<file path=xl/ctrlProps/ctrlProp81.xml><?xml version="1.0" encoding="utf-8"?>
<formControlPr xmlns="http://schemas.microsoft.com/office/spreadsheetml/2009/9/main" objectType="CheckBox" lockText="1" noThreeD="1"/>
</file>

<file path=xl/ctrlProps/ctrlProp82.xml><?xml version="1.0" encoding="utf-8"?>
<formControlPr xmlns="http://schemas.microsoft.com/office/spreadsheetml/2009/9/main" objectType="CheckBox" lockText="1" noThreeD="1"/>
</file>

<file path=xl/ctrlProps/ctrlProp83.xml><?xml version="1.0" encoding="utf-8"?>
<formControlPr xmlns="http://schemas.microsoft.com/office/spreadsheetml/2009/9/main" objectType="CheckBox" lockText="1" noThreeD="1"/>
</file>

<file path=xl/ctrlProps/ctrlProp84.xml><?xml version="1.0" encoding="utf-8"?>
<formControlPr xmlns="http://schemas.microsoft.com/office/spreadsheetml/2009/9/main" objectType="CheckBox" lockText="1" noThreeD="1"/>
</file>

<file path=xl/ctrlProps/ctrlProp85.xml><?xml version="1.0" encoding="utf-8"?>
<formControlPr xmlns="http://schemas.microsoft.com/office/spreadsheetml/2009/9/main" objectType="CheckBox" lockText="1" noThreeD="1"/>
</file>

<file path=xl/ctrlProps/ctrlProp86.xml><?xml version="1.0" encoding="utf-8"?>
<formControlPr xmlns="http://schemas.microsoft.com/office/spreadsheetml/2009/9/main" objectType="CheckBox" lockText="1" noThreeD="1"/>
</file>

<file path=xl/ctrlProps/ctrlProp87.xml><?xml version="1.0" encoding="utf-8"?>
<formControlPr xmlns="http://schemas.microsoft.com/office/spreadsheetml/2009/9/main" objectType="CheckBox" lockText="1" noThreeD="1"/>
</file>

<file path=xl/ctrlProps/ctrlProp88.xml><?xml version="1.0" encoding="utf-8"?>
<formControlPr xmlns="http://schemas.microsoft.com/office/spreadsheetml/2009/9/main" objectType="CheckBox" lockText="1" noThreeD="1"/>
</file>

<file path=xl/ctrlProps/ctrlProp89.xml><?xml version="1.0" encoding="utf-8"?>
<formControlPr xmlns="http://schemas.microsoft.com/office/spreadsheetml/2009/9/main" objectType="CheckBox" lockText="1" noThreeD="1"/>
</file>

<file path=xl/ctrlProps/ctrlProp90.xml><?xml version="1.0" encoding="utf-8"?>
<formControlPr xmlns="http://schemas.microsoft.com/office/spreadsheetml/2009/9/main" objectType="CheckBox" lockText="1" noThreeD="1"/>
</file>

<file path=xl/ctrlProps/ctrlProp91.xml><?xml version="1.0" encoding="utf-8"?>
<formControlPr xmlns="http://schemas.microsoft.com/office/spreadsheetml/2009/9/main" objectType="CheckBox" lockText="1" noThreeD="1"/>
</file>

<file path=xl/ctrlProps/ctrlProp92.xml><?xml version="1.0" encoding="utf-8"?>
<formControlPr xmlns="http://schemas.microsoft.com/office/spreadsheetml/2009/9/main" objectType="CheckBox" lockText="1" noThreeD="1"/>
</file>

<file path=xl/ctrlProps/ctrlProp93.xml><?xml version="1.0" encoding="utf-8"?>
<formControlPr xmlns="http://schemas.microsoft.com/office/spreadsheetml/2009/9/main" objectType="CheckBox" lockText="1" noThreeD="1"/>
</file>

<file path=xl/ctrlProps/ctrlProp94.xml><?xml version="1.0" encoding="utf-8"?>
<formControlPr xmlns="http://schemas.microsoft.com/office/spreadsheetml/2009/9/main" objectType="CheckBox" lockText="1" noThreeD="1"/>
</file>

<file path=xl/ctrlProps/ctrlProp95.xml><?xml version="1.0" encoding="utf-8"?>
<formControlPr xmlns="http://schemas.microsoft.com/office/spreadsheetml/2009/9/main" objectType="CheckBox" lockText="1" noThreeD="1"/>
</file>

<file path=xl/ctrlProps/ctrlProp96.xml><?xml version="1.0" encoding="utf-8"?>
<formControlPr xmlns="http://schemas.microsoft.com/office/spreadsheetml/2009/9/main" objectType="CheckBox" lockText="1" noThreeD="1"/>
</file>

<file path=xl/ctrlProps/ctrlProp97.xml><?xml version="1.0" encoding="utf-8"?>
<formControlPr xmlns="http://schemas.microsoft.com/office/spreadsheetml/2009/9/main" objectType="CheckBox" lockText="1" noThreeD="1"/>
</file>

<file path=xl/ctrlProps/ctrlProp98.xml><?xml version="1.0" encoding="utf-8"?>
<formControlPr xmlns="http://schemas.microsoft.com/office/spreadsheetml/2009/9/main" objectType="CheckBox" lockText="1" noThreeD="1"/>
</file>

<file path=xl/ctrlProps/ctrlProp99.xml><?xml version="1.0" encoding="utf-8"?>
<formControlPr xmlns="http://schemas.microsoft.com/office/spreadsheetml/2009/9/main" objectType="CheckBox" lockText="1" noThreeD="1"/>
</file>

<file path=xl/ctrlProps/ctrlProp100.xml><?xml version="1.0" encoding="utf-8"?>
<formControlPr xmlns="http://schemas.microsoft.com/office/spreadsheetml/2009/9/main" objectType="CheckBox" lockText="1" noThreeD="1"/>
</file>

<file path=xl/ctrlProps/ctrlProp101.xml><?xml version="1.0" encoding="utf-8"?>
<formControlPr xmlns="http://schemas.microsoft.com/office/spreadsheetml/2009/9/main" objectType="CheckBox" lockText="1" noThreeD="1"/>
</file>

<file path=xl/ctrlProps/ctrlProp102.xml><?xml version="1.0" encoding="utf-8"?>
<formControlPr xmlns="http://schemas.microsoft.com/office/spreadsheetml/2009/9/main" objectType="CheckBox" lockText="1" noThreeD="1"/>
</file>

<file path=xl/ctrlProps/ctrlProp103.xml><?xml version="1.0" encoding="utf-8"?>
<formControlPr xmlns="http://schemas.microsoft.com/office/spreadsheetml/2009/9/main" objectType="CheckBox" lockText="1" noThreeD="1"/>
</file>

<file path=xl/ctrlProps/ctrlProp104.xml><?xml version="1.0" encoding="utf-8"?>
<formControlPr xmlns="http://schemas.microsoft.com/office/spreadsheetml/2009/9/main" objectType="CheckBox" lockText="1" noThreeD="1"/>
</file>

<file path=xl/ctrlProps/ctrlProp105.xml><?xml version="1.0" encoding="utf-8"?>
<formControlPr xmlns="http://schemas.microsoft.com/office/spreadsheetml/2009/9/main" objectType="CheckBox" lockText="1" noThreeD="1"/>
</file>

<file path=xl/ctrlProps/ctrlProp106.xml><?xml version="1.0" encoding="utf-8"?>
<formControlPr xmlns="http://schemas.microsoft.com/office/spreadsheetml/2009/9/main" objectType="CheckBox" lockText="1" noThreeD="1"/>
</file>

<file path=xl/ctrlProps/ctrlProp107.xml><?xml version="1.0" encoding="utf-8"?>
<formControlPr xmlns="http://schemas.microsoft.com/office/spreadsheetml/2009/9/main" objectType="CheckBox" lockText="1" noThreeD="1"/>
</file>

<file path=xl/ctrlProps/ctrlProp108.xml><?xml version="1.0" encoding="utf-8"?>
<formControlPr xmlns="http://schemas.microsoft.com/office/spreadsheetml/2009/9/main" objectType="CheckBox" lockText="1" noThreeD="1"/>
</file>

<file path=xl/ctrlProps/ctrlProp109.xml><?xml version="1.0" encoding="utf-8"?>
<formControlPr xmlns="http://schemas.microsoft.com/office/spreadsheetml/2009/9/main" objectType="CheckBox" lockText="1" noThreeD="1"/>
</file>

<file path=xl/ctrlProps/ctrlProp110.xml><?xml version="1.0" encoding="utf-8"?>
<formControlPr xmlns="http://schemas.microsoft.com/office/spreadsheetml/2009/9/main" objectType="CheckBox" lockText="1" noThreeD="1"/>
</file>

<file path=xl/ctrlProps/ctrlProp111.xml><?xml version="1.0" encoding="utf-8"?>
<formControlPr xmlns="http://schemas.microsoft.com/office/spreadsheetml/2009/9/main" objectType="CheckBox" lockText="1" noThreeD="1"/>
</file>

<file path=xl/ctrlProps/ctrlProp112.xml><?xml version="1.0" encoding="utf-8"?>
<formControlPr xmlns="http://schemas.microsoft.com/office/spreadsheetml/2009/9/main" objectType="CheckBox" lockText="1" noThreeD="1"/>
</file>

<file path=xl/ctrlProps/ctrlProp113.xml><?xml version="1.0" encoding="utf-8"?>
<formControlPr xmlns="http://schemas.microsoft.com/office/spreadsheetml/2009/9/main" objectType="CheckBox" lockText="1" noThreeD="1"/>
</file>

<file path=xl/ctrlProps/ctrlProp114.xml><?xml version="1.0" encoding="utf-8"?>
<formControlPr xmlns="http://schemas.microsoft.com/office/spreadsheetml/2009/9/main" objectType="CheckBox" lockText="1" noThreeD="1"/>
</file>

<file path=xl/ctrlProps/ctrlProp115.xml><?xml version="1.0" encoding="utf-8"?>
<formControlPr xmlns="http://schemas.microsoft.com/office/spreadsheetml/2009/9/main" objectType="CheckBox" lockText="1" noThreeD="1"/>
</file>

<file path=xl/ctrlProps/ctrlProp116.xml><?xml version="1.0" encoding="utf-8"?>
<formControlPr xmlns="http://schemas.microsoft.com/office/spreadsheetml/2009/9/main" objectType="CheckBox" lockText="1" noThreeD="1"/>
</file>

<file path=xl/ctrlProps/ctrlProp117.xml><?xml version="1.0" encoding="utf-8"?>
<formControlPr xmlns="http://schemas.microsoft.com/office/spreadsheetml/2009/9/main" objectType="CheckBox" lockText="1" noThreeD="1"/>
</file>

<file path=xl/ctrlProps/ctrlProp118.xml><?xml version="1.0" encoding="utf-8"?>
<formControlPr xmlns="http://schemas.microsoft.com/office/spreadsheetml/2009/9/main" objectType="CheckBox" lockText="1" noThreeD="1"/>
</file>

<file path=xl/ctrlProps/ctrlProp119.xml><?xml version="1.0" encoding="utf-8"?>
<formControlPr xmlns="http://schemas.microsoft.com/office/spreadsheetml/2009/9/main" objectType="CheckBox" lockText="1" noThreeD="1"/>
</file>

<file path=xl/ctrlProps/ctrlProp120.xml><?xml version="1.0" encoding="utf-8"?>
<formControlPr xmlns="http://schemas.microsoft.com/office/spreadsheetml/2009/9/main" objectType="CheckBox" lockText="1" noThreeD="1"/>
</file>

<file path=xl/ctrlProps/ctrlProp121.xml><?xml version="1.0" encoding="utf-8"?>
<formControlPr xmlns="http://schemas.microsoft.com/office/spreadsheetml/2009/9/main" objectType="CheckBox" lockText="1" noThreeD="1"/>
</file>

<file path=xl/ctrlProps/ctrlProp122.xml><?xml version="1.0" encoding="utf-8"?>
<formControlPr xmlns="http://schemas.microsoft.com/office/spreadsheetml/2009/9/main" objectType="CheckBox" lockText="1" noThreeD="1"/>
</file>

<file path=xl/ctrlProps/ctrlProp123.xml><?xml version="1.0" encoding="utf-8"?>
<formControlPr xmlns="http://schemas.microsoft.com/office/spreadsheetml/2009/9/main" objectType="CheckBox" lockText="1" noThreeD="1"/>
</file>

<file path=xl/ctrlProps/ctrlProp124.xml><?xml version="1.0" encoding="utf-8"?>
<formControlPr xmlns="http://schemas.microsoft.com/office/spreadsheetml/2009/9/main" objectType="CheckBox" lockText="1" noThreeD="1"/>
</file>

<file path=xl/ctrlProps/ctrlProp125.xml><?xml version="1.0" encoding="utf-8"?>
<formControlPr xmlns="http://schemas.microsoft.com/office/spreadsheetml/2009/9/main" objectType="CheckBox" lockText="1" noThreeD="1"/>
</file>

<file path=xl/ctrlProps/ctrlProp126.xml><?xml version="1.0" encoding="utf-8"?>
<formControlPr xmlns="http://schemas.microsoft.com/office/spreadsheetml/2009/9/main" objectType="CheckBox" lockText="1" noThreeD="1"/>
</file>

<file path=xl/ctrlProps/ctrlProp127.xml><?xml version="1.0" encoding="utf-8"?>
<formControlPr xmlns="http://schemas.microsoft.com/office/spreadsheetml/2009/9/main" objectType="CheckBox" lockText="1" noThreeD="1"/>
</file>

<file path=xl/ctrlProps/ctrlProp128.xml><?xml version="1.0" encoding="utf-8"?>
<formControlPr xmlns="http://schemas.microsoft.com/office/spreadsheetml/2009/9/main" objectType="CheckBox" lockText="1" noThreeD="1"/>
</file>

<file path=xl/ctrlProps/ctrlProp129.xml><?xml version="1.0" encoding="utf-8"?>
<formControlPr xmlns="http://schemas.microsoft.com/office/spreadsheetml/2009/9/main" objectType="CheckBox" lockText="1" noThreeD="1"/>
</file>

<file path=xl/ctrlProps/ctrlProp130.xml><?xml version="1.0" encoding="utf-8"?>
<formControlPr xmlns="http://schemas.microsoft.com/office/spreadsheetml/2009/9/main" objectType="CheckBox" lockText="1" noThreeD="1"/>
</file>

<file path=xl/ctrlProps/ctrlProp131.xml><?xml version="1.0" encoding="utf-8"?>
<formControlPr xmlns="http://schemas.microsoft.com/office/spreadsheetml/2009/9/main" objectType="CheckBox" lockText="1" noThreeD="1"/>
</file>

<file path=xl/ctrlProps/ctrlProp132.xml><?xml version="1.0" encoding="utf-8"?>
<formControlPr xmlns="http://schemas.microsoft.com/office/spreadsheetml/2009/9/main" objectType="CheckBox" lockText="1" noThreeD="1"/>
</file>

<file path=xl/ctrlProps/ctrlProp133.xml><?xml version="1.0" encoding="utf-8"?>
<formControlPr xmlns="http://schemas.microsoft.com/office/spreadsheetml/2009/9/main" objectType="CheckBox" lockText="1" noThreeD="1"/>
</file>

<file path=xl/ctrlProps/ctrlProp134.xml><?xml version="1.0" encoding="utf-8"?>
<formControlPr xmlns="http://schemas.microsoft.com/office/spreadsheetml/2009/9/main" objectType="CheckBox" lockText="1" noThreeD="1"/>
</file>

<file path=xl/ctrlProps/ctrlProp135.xml><?xml version="1.0" encoding="utf-8"?>
<formControlPr xmlns="http://schemas.microsoft.com/office/spreadsheetml/2009/9/main" objectType="CheckBox" lockText="1" noThreeD="1"/>
</file>

<file path=xl/ctrlProps/ctrlProp136.xml><?xml version="1.0" encoding="utf-8"?>
<formControlPr xmlns="http://schemas.microsoft.com/office/spreadsheetml/2009/9/main" objectType="CheckBox" lockText="1" noThreeD="1"/>
</file>

<file path=xl/ctrlProps/ctrlProp137.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3.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5.xml.rels><?xml version="1.0" encoding="UTF-8" standalone="yes"?>
<Relationships xmlns="http://schemas.openxmlformats.org/package/2006/relationships"><Relationship Id="rId1" Type="http://schemas.openxmlformats.org/officeDocument/2006/relationships/image" Target="../media/image4.png"/></Relationships>
</file>

<file path=xl/drawings/_rels/drawing17.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629771</xdr:colOff>
      <xdr:row>1</xdr:row>
      <xdr:rowOff>43904</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839446" cy="52015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66675</xdr:colOff>
          <xdr:row>0</xdr:row>
          <xdr:rowOff>114300</xdr:rowOff>
        </xdr:from>
        <xdr:to>
          <xdr:col>1</xdr:col>
          <xdr:colOff>85725</xdr:colOff>
          <xdr:row>2</xdr:row>
          <xdr:rowOff>66675</xdr:rowOff>
        </xdr:to>
        <xdr:sp macro="" textlink="">
          <xdr:nvSpPr>
            <xdr:cNvPr id="1025" name="Check Box 1" descr="ITOM"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1</xdr:row>
          <xdr:rowOff>114300</xdr:rowOff>
        </xdr:from>
        <xdr:to>
          <xdr:col>1</xdr:col>
          <xdr:colOff>85725</xdr:colOff>
          <xdr:row>3</xdr:row>
          <xdr:rowOff>66675</xdr:rowOff>
        </xdr:to>
        <xdr:sp macro="" textlink="">
          <xdr:nvSpPr>
            <xdr:cNvPr id="1026" name="Check Box 2" descr="ITOM" hidden="1">
              <a:extLst>
                <a:ext uri="{63B3BB69-23CF-44E3-9099-C40C66FF867C}">
                  <a14:compatExt spid="_x0000_s1026"/>
                </a:ext>
                <a:ext uri="{FF2B5EF4-FFF2-40B4-BE49-F238E27FC236}">
                  <a16:creationId xmlns:a16="http://schemas.microsoft.com/office/drawing/2014/main" id="{00000000-0008-0000-01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2</xdr:row>
          <xdr:rowOff>114300</xdr:rowOff>
        </xdr:from>
        <xdr:to>
          <xdr:col>1</xdr:col>
          <xdr:colOff>85725</xdr:colOff>
          <xdr:row>4</xdr:row>
          <xdr:rowOff>66675</xdr:rowOff>
        </xdr:to>
        <xdr:sp macro="" textlink="">
          <xdr:nvSpPr>
            <xdr:cNvPr id="1027" name="Check Box 3" descr="ITOM" hidden="1">
              <a:extLst>
                <a:ext uri="{63B3BB69-23CF-44E3-9099-C40C66FF867C}">
                  <a14:compatExt spid="_x0000_s1027"/>
                </a:ext>
                <a:ext uri="{FF2B5EF4-FFF2-40B4-BE49-F238E27FC236}">
                  <a16:creationId xmlns:a16="http://schemas.microsoft.com/office/drawing/2014/main" id="{00000000-0008-0000-01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3</xdr:row>
          <xdr:rowOff>114300</xdr:rowOff>
        </xdr:from>
        <xdr:to>
          <xdr:col>1</xdr:col>
          <xdr:colOff>85725</xdr:colOff>
          <xdr:row>5</xdr:row>
          <xdr:rowOff>66675</xdr:rowOff>
        </xdr:to>
        <xdr:sp macro="" textlink="">
          <xdr:nvSpPr>
            <xdr:cNvPr id="1028" name="Check Box 4" descr="ITOM" hidden="1">
              <a:extLst>
                <a:ext uri="{63B3BB69-23CF-44E3-9099-C40C66FF867C}">
                  <a14:compatExt spid="_x0000_s1028"/>
                </a:ext>
                <a:ext uri="{FF2B5EF4-FFF2-40B4-BE49-F238E27FC236}">
                  <a16:creationId xmlns:a16="http://schemas.microsoft.com/office/drawing/2014/main" id="{00000000-0008-0000-01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4</xdr:row>
          <xdr:rowOff>114300</xdr:rowOff>
        </xdr:from>
        <xdr:to>
          <xdr:col>1</xdr:col>
          <xdr:colOff>85725</xdr:colOff>
          <xdr:row>6</xdr:row>
          <xdr:rowOff>66675</xdr:rowOff>
        </xdr:to>
        <xdr:sp macro="" textlink="">
          <xdr:nvSpPr>
            <xdr:cNvPr id="1029" name="Check Box 5" descr="ITOM" hidden="1">
              <a:extLst>
                <a:ext uri="{63B3BB69-23CF-44E3-9099-C40C66FF867C}">
                  <a14:compatExt spid="_x0000_s1029"/>
                </a:ext>
                <a:ext uri="{FF2B5EF4-FFF2-40B4-BE49-F238E27FC236}">
                  <a16:creationId xmlns:a16="http://schemas.microsoft.com/office/drawing/2014/main" id="{00000000-0008-0000-01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5</xdr:row>
          <xdr:rowOff>104775</xdr:rowOff>
        </xdr:from>
        <xdr:to>
          <xdr:col>1</xdr:col>
          <xdr:colOff>85725</xdr:colOff>
          <xdr:row>7</xdr:row>
          <xdr:rowOff>47625</xdr:rowOff>
        </xdr:to>
        <xdr:sp macro="" textlink="">
          <xdr:nvSpPr>
            <xdr:cNvPr id="1032" name="Check Box 8" descr="ITOM" hidden="1">
              <a:extLst>
                <a:ext uri="{63B3BB69-23CF-44E3-9099-C40C66FF867C}">
                  <a14:compatExt spid="_x0000_s1032"/>
                </a:ext>
                <a:ext uri="{FF2B5EF4-FFF2-40B4-BE49-F238E27FC236}">
                  <a16:creationId xmlns:a16="http://schemas.microsoft.com/office/drawing/2014/main" id="{00000000-0008-0000-01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6</xdr:row>
          <xdr:rowOff>114300</xdr:rowOff>
        </xdr:from>
        <xdr:to>
          <xdr:col>1</xdr:col>
          <xdr:colOff>85725</xdr:colOff>
          <xdr:row>8</xdr:row>
          <xdr:rowOff>66675</xdr:rowOff>
        </xdr:to>
        <xdr:sp macro="" textlink="">
          <xdr:nvSpPr>
            <xdr:cNvPr id="1033" name="Check Box 9" descr="ITOM" hidden="1">
              <a:extLst>
                <a:ext uri="{63B3BB69-23CF-44E3-9099-C40C66FF867C}">
                  <a14:compatExt spid="_x0000_s1033"/>
                </a:ext>
                <a:ext uri="{FF2B5EF4-FFF2-40B4-BE49-F238E27FC236}">
                  <a16:creationId xmlns:a16="http://schemas.microsoft.com/office/drawing/2014/main" id="{00000000-0008-0000-01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7</xdr:row>
          <xdr:rowOff>114300</xdr:rowOff>
        </xdr:from>
        <xdr:to>
          <xdr:col>1</xdr:col>
          <xdr:colOff>85725</xdr:colOff>
          <xdr:row>9</xdr:row>
          <xdr:rowOff>66675</xdr:rowOff>
        </xdr:to>
        <xdr:sp macro="" textlink="">
          <xdr:nvSpPr>
            <xdr:cNvPr id="1034" name="Check Box 10" descr="ITOM" hidden="1">
              <a:extLst>
                <a:ext uri="{63B3BB69-23CF-44E3-9099-C40C66FF867C}">
                  <a14:compatExt spid="_x0000_s1034"/>
                </a:ext>
                <a:ext uri="{FF2B5EF4-FFF2-40B4-BE49-F238E27FC236}">
                  <a16:creationId xmlns:a16="http://schemas.microsoft.com/office/drawing/2014/main" id="{00000000-0008-0000-01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8</xdr:row>
          <xdr:rowOff>114300</xdr:rowOff>
        </xdr:from>
        <xdr:to>
          <xdr:col>1</xdr:col>
          <xdr:colOff>85725</xdr:colOff>
          <xdr:row>10</xdr:row>
          <xdr:rowOff>66675</xdr:rowOff>
        </xdr:to>
        <xdr:sp macro="" textlink="">
          <xdr:nvSpPr>
            <xdr:cNvPr id="1035" name="Check Box 11" descr="ITOM" hidden="1">
              <a:extLst>
                <a:ext uri="{63B3BB69-23CF-44E3-9099-C40C66FF867C}">
                  <a14:compatExt spid="_x0000_s1035"/>
                </a:ext>
                <a:ext uri="{FF2B5EF4-FFF2-40B4-BE49-F238E27FC236}">
                  <a16:creationId xmlns:a16="http://schemas.microsoft.com/office/drawing/2014/main" id="{00000000-0008-0000-01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9</xdr:row>
          <xdr:rowOff>114300</xdr:rowOff>
        </xdr:from>
        <xdr:to>
          <xdr:col>1</xdr:col>
          <xdr:colOff>85725</xdr:colOff>
          <xdr:row>11</xdr:row>
          <xdr:rowOff>66675</xdr:rowOff>
        </xdr:to>
        <xdr:sp macro="" textlink="">
          <xdr:nvSpPr>
            <xdr:cNvPr id="1036" name="Check Box 12" descr="ITOM" hidden="1">
              <a:extLst>
                <a:ext uri="{63B3BB69-23CF-44E3-9099-C40C66FF867C}">
                  <a14:compatExt spid="_x0000_s1036"/>
                </a:ext>
                <a:ext uri="{FF2B5EF4-FFF2-40B4-BE49-F238E27FC236}">
                  <a16:creationId xmlns:a16="http://schemas.microsoft.com/office/drawing/2014/main" id="{00000000-0008-0000-0100-00000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11</xdr:row>
          <xdr:rowOff>114300</xdr:rowOff>
        </xdr:from>
        <xdr:to>
          <xdr:col>1</xdr:col>
          <xdr:colOff>85725</xdr:colOff>
          <xdr:row>13</xdr:row>
          <xdr:rowOff>66675</xdr:rowOff>
        </xdr:to>
        <xdr:sp macro="" textlink="">
          <xdr:nvSpPr>
            <xdr:cNvPr id="1037" name="Check Box 13" descr="ITOM" hidden="1">
              <a:extLst>
                <a:ext uri="{63B3BB69-23CF-44E3-9099-C40C66FF867C}">
                  <a14:compatExt spid="_x0000_s1037"/>
                </a:ext>
                <a:ext uri="{FF2B5EF4-FFF2-40B4-BE49-F238E27FC236}">
                  <a16:creationId xmlns:a16="http://schemas.microsoft.com/office/drawing/2014/main" id="{00000000-0008-0000-0100-00000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12</xdr:row>
          <xdr:rowOff>114300</xdr:rowOff>
        </xdr:from>
        <xdr:to>
          <xdr:col>1</xdr:col>
          <xdr:colOff>85725</xdr:colOff>
          <xdr:row>14</xdr:row>
          <xdr:rowOff>66675</xdr:rowOff>
        </xdr:to>
        <xdr:sp macro="" textlink="">
          <xdr:nvSpPr>
            <xdr:cNvPr id="1038" name="Check Box 14" descr="ITOM" hidden="1">
              <a:extLst>
                <a:ext uri="{63B3BB69-23CF-44E3-9099-C40C66FF867C}">
                  <a14:compatExt spid="_x0000_s1038"/>
                </a:ext>
                <a:ext uri="{FF2B5EF4-FFF2-40B4-BE49-F238E27FC236}">
                  <a16:creationId xmlns:a16="http://schemas.microsoft.com/office/drawing/2014/main" id="{00000000-0008-0000-0100-00000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13</xdr:row>
          <xdr:rowOff>114300</xdr:rowOff>
        </xdr:from>
        <xdr:to>
          <xdr:col>1</xdr:col>
          <xdr:colOff>85725</xdr:colOff>
          <xdr:row>15</xdr:row>
          <xdr:rowOff>66675</xdr:rowOff>
        </xdr:to>
        <xdr:sp macro="" textlink="">
          <xdr:nvSpPr>
            <xdr:cNvPr id="1039" name="Check Box 15" descr="ITOM" hidden="1">
              <a:extLst>
                <a:ext uri="{63B3BB69-23CF-44E3-9099-C40C66FF867C}">
                  <a14:compatExt spid="_x0000_s1039"/>
                </a:ext>
                <a:ext uri="{FF2B5EF4-FFF2-40B4-BE49-F238E27FC236}">
                  <a16:creationId xmlns:a16="http://schemas.microsoft.com/office/drawing/2014/main" id="{00000000-0008-0000-0100-00000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14</xdr:row>
          <xdr:rowOff>114300</xdr:rowOff>
        </xdr:from>
        <xdr:to>
          <xdr:col>1</xdr:col>
          <xdr:colOff>85725</xdr:colOff>
          <xdr:row>16</xdr:row>
          <xdr:rowOff>66675</xdr:rowOff>
        </xdr:to>
        <xdr:sp macro="" textlink="">
          <xdr:nvSpPr>
            <xdr:cNvPr id="1040" name="Check Box 16" descr="ITOM" hidden="1">
              <a:extLst>
                <a:ext uri="{63B3BB69-23CF-44E3-9099-C40C66FF867C}">
                  <a14:compatExt spid="_x0000_s1040"/>
                </a:ext>
                <a:ext uri="{FF2B5EF4-FFF2-40B4-BE49-F238E27FC236}">
                  <a16:creationId xmlns:a16="http://schemas.microsoft.com/office/drawing/2014/main" id="{00000000-0008-0000-0100-00001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15</xdr:row>
          <xdr:rowOff>114300</xdr:rowOff>
        </xdr:from>
        <xdr:to>
          <xdr:col>1</xdr:col>
          <xdr:colOff>85725</xdr:colOff>
          <xdr:row>17</xdr:row>
          <xdr:rowOff>66675</xdr:rowOff>
        </xdr:to>
        <xdr:sp macro="" textlink="">
          <xdr:nvSpPr>
            <xdr:cNvPr id="1041" name="Check Box 17" descr="ITOM" hidden="1">
              <a:extLst>
                <a:ext uri="{63B3BB69-23CF-44E3-9099-C40C66FF867C}">
                  <a14:compatExt spid="_x0000_s1041"/>
                </a:ext>
                <a:ext uri="{FF2B5EF4-FFF2-40B4-BE49-F238E27FC236}">
                  <a16:creationId xmlns:a16="http://schemas.microsoft.com/office/drawing/2014/main" id="{00000000-0008-0000-0100-00001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16</xdr:row>
          <xdr:rowOff>114300</xdr:rowOff>
        </xdr:from>
        <xdr:to>
          <xdr:col>1</xdr:col>
          <xdr:colOff>85725</xdr:colOff>
          <xdr:row>18</xdr:row>
          <xdr:rowOff>66675</xdr:rowOff>
        </xdr:to>
        <xdr:sp macro="" textlink="">
          <xdr:nvSpPr>
            <xdr:cNvPr id="1042" name="Check Box 18" descr="ITOM" hidden="1">
              <a:extLst>
                <a:ext uri="{63B3BB69-23CF-44E3-9099-C40C66FF867C}">
                  <a14:compatExt spid="_x0000_s1042"/>
                </a:ext>
                <a:ext uri="{FF2B5EF4-FFF2-40B4-BE49-F238E27FC236}">
                  <a16:creationId xmlns:a16="http://schemas.microsoft.com/office/drawing/2014/main" id="{00000000-0008-0000-0100-00001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17</xdr:row>
          <xdr:rowOff>114300</xdr:rowOff>
        </xdr:from>
        <xdr:to>
          <xdr:col>1</xdr:col>
          <xdr:colOff>85725</xdr:colOff>
          <xdr:row>19</xdr:row>
          <xdr:rowOff>66675</xdr:rowOff>
        </xdr:to>
        <xdr:sp macro="" textlink="">
          <xdr:nvSpPr>
            <xdr:cNvPr id="1043" name="Check Box 19" descr="ITOM" hidden="1">
              <a:extLst>
                <a:ext uri="{63B3BB69-23CF-44E3-9099-C40C66FF867C}">
                  <a14:compatExt spid="_x0000_s1043"/>
                </a:ext>
                <a:ext uri="{FF2B5EF4-FFF2-40B4-BE49-F238E27FC236}">
                  <a16:creationId xmlns:a16="http://schemas.microsoft.com/office/drawing/2014/main" id="{00000000-0008-0000-0100-00001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18</xdr:row>
          <xdr:rowOff>114300</xdr:rowOff>
        </xdr:from>
        <xdr:to>
          <xdr:col>1</xdr:col>
          <xdr:colOff>85725</xdr:colOff>
          <xdr:row>20</xdr:row>
          <xdr:rowOff>66675</xdr:rowOff>
        </xdr:to>
        <xdr:sp macro="" textlink="">
          <xdr:nvSpPr>
            <xdr:cNvPr id="1044" name="Check Box 20" descr="ITOM" hidden="1">
              <a:extLst>
                <a:ext uri="{63B3BB69-23CF-44E3-9099-C40C66FF867C}">
                  <a14:compatExt spid="_x0000_s1044"/>
                </a:ext>
                <a:ext uri="{FF2B5EF4-FFF2-40B4-BE49-F238E27FC236}">
                  <a16:creationId xmlns:a16="http://schemas.microsoft.com/office/drawing/2014/main" id="{00000000-0008-0000-0100-00001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19</xdr:row>
          <xdr:rowOff>114300</xdr:rowOff>
        </xdr:from>
        <xdr:to>
          <xdr:col>1</xdr:col>
          <xdr:colOff>85725</xdr:colOff>
          <xdr:row>21</xdr:row>
          <xdr:rowOff>66675</xdr:rowOff>
        </xdr:to>
        <xdr:sp macro="" textlink="">
          <xdr:nvSpPr>
            <xdr:cNvPr id="1045" name="Check Box 21" descr="ITOM" hidden="1">
              <a:extLst>
                <a:ext uri="{63B3BB69-23CF-44E3-9099-C40C66FF867C}">
                  <a14:compatExt spid="_x0000_s1045"/>
                </a:ext>
                <a:ext uri="{FF2B5EF4-FFF2-40B4-BE49-F238E27FC236}">
                  <a16:creationId xmlns:a16="http://schemas.microsoft.com/office/drawing/2014/main" id="{00000000-0008-0000-0100-00001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20</xdr:row>
          <xdr:rowOff>114300</xdr:rowOff>
        </xdr:from>
        <xdr:to>
          <xdr:col>1</xdr:col>
          <xdr:colOff>85725</xdr:colOff>
          <xdr:row>22</xdr:row>
          <xdr:rowOff>66675</xdr:rowOff>
        </xdr:to>
        <xdr:sp macro="" textlink="">
          <xdr:nvSpPr>
            <xdr:cNvPr id="1046" name="Check Box 22" descr="ITOM" hidden="1">
              <a:extLst>
                <a:ext uri="{63B3BB69-23CF-44E3-9099-C40C66FF867C}">
                  <a14:compatExt spid="_x0000_s1046"/>
                </a:ext>
                <a:ext uri="{FF2B5EF4-FFF2-40B4-BE49-F238E27FC236}">
                  <a16:creationId xmlns:a16="http://schemas.microsoft.com/office/drawing/2014/main" id="{00000000-0008-0000-0100-00001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21</xdr:row>
          <xdr:rowOff>114300</xdr:rowOff>
        </xdr:from>
        <xdr:to>
          <xdr:col>1</xdr:col>
          <xdr:colOff>85725</xdr:colOff>
          <xdr:row>23</xdr:row>
          <xdr:rowOff>66675</xdr:rowOff>
        </xdr:to>
        <xdr:sp macro="" textlink="">
          <xdr:nvSpPr>
            <xdr:cNvPr id="1047" name="Check Box 23" descr="ITOM" hidden="1">
              <a:extLst>
                <a:ext uri="{63B3BB69-23CF-44E3-9099-C40C66FF867C}">
                  <a14:compatExt spid="_x0000_s1047"/>
                </a:ext>
                <a:ext uri="{FF2B5EF4-FFF2-40B4-BE49-F238E27FC236}">
                  <a16:creationId xmlns:a16="http://schemas.microsoft.com/office/drawing/2014/main" id="{00000000-0008-0000-0100-00001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22</xdr:row>
          <xdr:rowOff>114300</xdr:rowOff>
        </xdr:from>
        <xdr:to>
          <xdr:col>1</xdr:col>
          <xdr:colOff>85725</xdr:colOff>
          <xdr:row>24</xdr:row>
          <xdr:rowOff>66675</xdr:rowOff>
        </xdr:to>
        <xdr:sp macro="" textlink="">
          <xdr:nvSpPr>
            <xdr:cNvPr id="1048" name="Check Box 24" descr="ITOM" hidden="1">
              <a:extLst>
                <a:ext uri="{63B3BB69-23CF-44E3-9099-C40C66FF867C}">
                  <a14:compatExt spid="_x0000_s1048"/>
                </a:ext>
                <a:ext uri="{FF2B5EF4-FFF2-40B4-BE49-F238E27FC236}">
                  <a16:creationId xmlns:a16="http://schemas.microsoft.com/office/drawing/2014/main" id="{00000000-0008-0000-0100-00001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23</xdr:row>
          <xdr:rowOff>114300</xdr:rowOff>
        </xdr:from>
        <xdr:to>
          <xdr:col>1</xdr:col>
          <xdr:colOff>85725</xdr:colOff>
          <xdr:row>25</xdr:row>
          <xdr:rowOff>66675</xdr:rowOff>
        </xdr:to>
        <xdr:sp macro="" textlink="">
          <xdr:nvSpPr>
            <xdr:cNvPr id="1049" name="Check Box 25" descr="ITOM" hidden="1">
              <a:extLst>
                <a:ext uri="{63B3BB69-23CF-44E3-9099-C40C66FF867C}">
                  <a14:compatExt spid="_x0000_s1049"/>
                </a:ext>
                <a:ext uri="{FF2B5EF4-FFF2-40B4-BE49-F238E27FC236}">
                  <a16:creationId xmlns:a16="http://schemas.microsoft.com/office/drawing/2014/main" id="{00000000-0008-0000-0100-00001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24</xdr:row>
          <xdr:rowOff>114300</xdr:rowOff>
        </xdr:from>
        <xdr:to>
          <xdr:col>1</xdr:col>
          <xdr:colOff>85725</xdr:colOff>
          <xdr:row>26</xdr:row>
          <xdr:rowOff>66675</xdr:rowOff>
        </xdr:to>
        <xdr:sp macro="" textlink="">
          <xdr:nvSpPr>
            <xdr:cNvPr id="1050" name="Check Box 26" descr="ITOM" hidden="1">
              <a:extLst>
                <a:ext uri="{63B3BB69-23CF-44E3-9099-C40C66FF867C}">
                  <a14:compatExt spid="_x0000_s1050"/>
                </a:ext>
                <a:ext uri="{FF2B5EF4-FFF2-40B4-BE49-F238E27FC236}">
                  <a16:creationId xmlns:a16="http://schemas.microsoft.com/office/drawing/2014/main" id="{00000000-0008-0000-0100-00001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25</xdr:row>
          <xdr:rowOff>114300</xdr:rowOff>
        </xdr:from>
        <xdr:to>
          <xdr:col>1</xdr:col>
          <xdr:colOff>85725</xdr:colOff>
          <xdr:row>27</xdr:row>
          <xdr:rowOff>66675</xdr:rowOff>
        </xdr:to>
        <xdr:sp macro="" textlink="">
          <xdr:nvSpPr>
            <xdr:cNvPr id="1051" name="Check Box 27" descr="ITOM" hidden="1">
              <a:extLst>
                <a:ext uri="{63B3BB69-23CF-44E3-9099-C40C66FF867C}">
                  <a14:compatExt spid="_x0000_s1051"/>
                </a:ext>
                <a:ext uri="{FF2B5EF4-FFF2-40B4-BE49-F238E27FC236}">
                  <a16:creationId xmlns:a16="http://schemas.microsoft.com/office/drawing/2014/main" id="{00000000-0008-0000-0100-00001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26</xdr:row>
          <xdr:rowOff>114300</xdr:rowOff>
        </xdr:from>
        <xdr:to>
          <xdr:col>1</xdr:col>
          <xdr:colOff>85725</xdr:colOff>
          <xdr:row>28</xdr:row>
          <xdr:rowOff>66675</xdr:rowOff>
        </xdr:to>
        <xdr:sp macro="" textlink="">
          <xdr:nvSpPr>
            <xdr:cNvPr id="1052" name="Check Box 28" descr="ITOM" hidden="1">
              <a:extLst>
                <a:ext uri="{63B3BB69-23CF-44E3-9099-C40C66FF867C}">
                  <a14:compatExt spid="_x0000_s1052"/>
                </a:ext>
                <a:ext uri="{FF2B5EF4-FFF2-40B4-BE49-F238E27FC236}">
                  <a16:creationId xmlns:a16="http://schemas.microsoft.com/office/drawing/2014/main" id="{00000000-0008-0000-0100-00001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27</xdr:row>
          <xdr:rowOff>114300</xdr:rowOff>
        </xdr:from>
        <xdr:to>
          <xdr:col>1</xdr:col>
          <xdr:colOff>85725</xdr:colOff>
          <xdr:row>29</xdr:row>
          <xdr:rowOff>66675</xdr:rowOff>
        </xdr:to>
        <xdr:sp macro="" textlink="">
          <xdr:nvSpPr>
            <xdr:cNvPr id="1053" name="Check Box 29" descr="ITOM" hidden="1">
              <a:extLst>
                <a:ext uri="{63B3BB69-23CF-44E3-9099-C40C66FF867C}">
                  <a14:compatExt spid="_x0000_s1053"/>
                </a:ext>
                <a:ext uri="{FF2B5EF4-FFF2-40B4-BE49-F238E27FC236}">
                  <a16:creationId xmlns:a16="http://schemas.microsoft.com/office/drawing/2014/main" id="{00000000-0008-0000-0100-00001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28</xdr:row>
          <xdr:rowOff>114300</xdr:rowOff>
        </xdr:from>
        <xdr:to>
          <xdr:col>1</xdr:col>
          <xdr:colOff>85725</xdr:colOff>
          <xdr:row>30</xdr:row>
          <xdr:rowOff>66675</xdr:rowOff>
        </xdr:to>
        <xdr:sp macro="" textlink="">
          <xdr:nvSpPr>
            <xdr:cNvPr id="1054" name="Check Box 30" descr="ITOM" hidden="1">
              <a:extLst>
                <a:ext uri="{63B3BB69-23CF-44E3-9099-C40C66FF867C}">
                  <a14:compatExt spid="_x0000_s1054"/>
                </a:ext>
                <a:ext uri="{FF2B5EF4-FFF2-40B4-BE49-F238E27FC236}">
                  <a16:creationId xmlns:a16="http://schemas.microsoft.com/office/drawing/2014/main" id="{00000000-0008-0000-0100-00001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29</xdr:row>
          <xdr:rowOff>114300</xdr:rowOff>
        </xdr:from>
        <xdr:to>
          <xdr:col>1</xdr:col>
          <xdr:colOff>85725</xdr:colOff>
          <xdr:row>31</xdr:row>
          <xdr:rowOff>66675</xdr:rowOff>
        </xdr:to>
        <xdr:sp macro="" textlink="">
          <xdr:nvSpPr>
            <xdr:cNvPr id="1055" name="Check Box 31" descr="ITOM" hidden="1">
              <a:extLst>
                <a:ext uri="{63B3BB69-23CF-44E3-9099-C40C66FF867C}">
                  <a14:compatExt spid="_x0000_s1055"/>
                </a:ext>
                <a:ext uri="{FF2B5EF4-FFF2-40B4-BE49-F238E27FC236}">
                  <a16:creationId xmlns:a16="http://schemas.microsoft.com/office/drawing/2014/main" id="{00000000-0008-0000-0100-00001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30</xdr:row>
          <xdr:rowOff>114300</xdr:rowOff>
        </xdr:from>
        <xdr:to>
          <xdr:col>1</xdr:col>
          <xdr:colOff>85725</xdr:colOff>
          <xdr:row>32</xdr:row>
          <xdr:rowOff>66675</xdr:rowOff>
        </xdr:to>
        <xdr:sp macro="" textlink="">
          <xdr:nvSpPr>
            <xdr:cNvPr id="1056" name="Check Box 32" descr="ITOM" hidden="1">
              <a:extLst>
                <a:ext uri="{63B3BB69-23CF-44E3-9099-C40C66FF867C}">
                  <a14:compatExt spid="_x0000_s1056"/>
                </a:ext>
                <a:ext uri="{FF2B5EF4-FFF2-40B4-BE49-F238E27FC236}">
                  <a16:creationId xmlns:a16="http://schemas.microsoft.com/office/drawing/2014/main" id="{00000000-0008-0000-0100-00002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31</xdr:row>
          <xdr:rowOff>114300</xdr:rowOff>
        </xdr:from>
        <xdr:to>
          <xdr:col>1</xdr:col>
          <xdr:colOff>85725</xdr:colOff>
          <xdr:row>33</xdr:row>
          <xdr:rowOff>66675</xdr:rowOff>
        </xdr:to>
        <xdr:sp macro="" textlink="">
          <xdr:nvSpPr>
            <xdr:cNvPr id="1057" name="Check Box 33" descr="ITOM" hidden="1">
              <a:extLst>
                <a:ext uri="{63B3BB69-23CF-44E3-9099-C40C66FF867C}">
                  <a14:compatExt spid="_x0000_s1057"/>
                </a:ext>
                <a:ext uri="{FF2B5EF4-FFF2-40B4-BE49-F238E27FC236}">
                  <a16:creationId xmlns:a16="http://schemas.microsoft.com/office/drawing/2014/main" id="{00000000-0008-0000-0100-00002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32</xdr:row>
          <xdr:rowOff>114300</xdr:rowOff>
        </xdr:from>
        <xdr:to>
          <xdr:col>1</xdr:col>
          <xdr:colOff>85725</xdr:colOff>
          <xdr:row>34</xdr:row>
          <xdr:rowOff>66675</xdr:rowOff>
        </xdr:to>
        <xdr:sp macro="" textlink="">
          <xdr:nvSpPr>
            <xdr:cNvPr id="1058" name="Check Box 34" descr="ITOM" hidden="1">
              <a:extLst>
                <a:ext uri="{63B3BB69-23CF-44E3-9099-C40C66FF867C}">
                  <a14:compatExt spid="_x0000_s1058"/>
                </a:ext>
                <a:ext uri="{FF2B5EF4-FFF2-40B4-BE49-F238E27FC236}">
                  <a16:creationId xmlns:a16="http://schemas.microsoft.com/office/drawing/2014/main" id="{00000000-0008-0000-0100-00002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33</xdr:row>
          <xdr:rowOff>114300</xdr:rowOff>
        </xdr:from>
        <xdr:to>
          <xdr:col>1</xdr:col>
          <xdr:colOff>85725</xdr:colOff>
          <xdr:row>35</xdr:row>
          <xdr:rowOff>66675</xdr:rowOff>
        </xdr:to>
        <xdr:sp macro="" textlink="">
          <xdr:nvSpPr>
            <xdr:cNvPr id="1059" name="Check Box 35" descr="ITOM" hidden="1">
              <a:extLst>
                <a:ext uri="{63B3BB69-23CF-44E3-9099-C40C66FF867C}">
                  <a14:compatExt spid="_x0000_s1059"/>
                </a:ext>
                <a:ext uri="{FF2B5EF4-FFF2-40B4-BE49-F238E27FC236}">
                  <a16:creationId xmlns:a16="http://schemas.microsoft.com/office/drawing/2014/main" id="{00000000-0008-0000-0100-00002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34</xdr:row>
          <xdr:rowOff>114300</xdr:rowOff>
        </xdr:from>
        <xdr:to>
          <xdr:col>1</xdr:col>
          <xdr:colOff>85725</xdr:colOff>
          <xdr:row>36</xdr:row>
          <xdr:rowOff>66675</xdr:rowOff>
        </xdr:to>
        <xdr:sp macro="" textlink="">
          <xdr:nvSpPr>
            <xdr:cNvPr id="1060" name="Check Box 36" descr="ITOM" hidden="1">
              <a:extLst>
                <a:ext uri="{63B3BB69-23CF-44E3-9099-C40C66FF867C}">
                  <a14:compatExt spid="_x0000_s1060"/>
                </a:ext>
                <a:ext uri="{FF2B5EF4-FFF2-40B4-BE49-F238E27FC236}">
                  <a16:creationId xmlns:a16="http://schemas.microsoft.com/office/drawing/2014/main" id="{00000000-0008-0000-0100-00002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35</xdr:row>
          <xdr:rowOff>114300</xdr:rowOff>
        </xdr:from>
        <xdr:to>
          <xdr:col>1</xdr:col>
          <xdr:colOff>85725</xdr:colOff>
          <xdr:row>37</xdr:row>
          <xdr:rowOff>66675</xdr:rowOff>
        </xdr:to>
        <xdr:sp macro="" textlink="">
          <xdr:nvSpPr>
            <xdr:cNvPr id="1061" name="Check Box 37" descr="ITOM" hidden="1">
              <a:extLst>
                <a:ext uri="{63B3BB69-23CF-44E3-9099-C40C66FF867C}">
                  <a14:compatExt spid="_x0000_s1061"/>
                </a:ext>
                <a:ext uri="{FF2B5EF4-FFF2-40B4-BE49-F238E27FC236}">
                  <a16:creationId xmlns:a16="http://schemas.microsoft.com/office/drawing/2014/main" id="{00000000-0008-0000-0100-00002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36</xdr:row>
          <xdr:rowOff>114300</xdr:rowOff>
        </xdr:from>
        <xdr:to>
          <xdr:col>1</xdr:col>
          <xdr:colOff>85725</xdr:colOff>
          <xdr:row>38</xdr:row>
          <xdr:rowOff>66675</xdr:rowOff>
        </xdr:to>
        <xdr:sp macro="" textlink="">
          <xdr:nvSpPr>
            <xdr:cNvPr id="1062" name="Check Box 38" descr="ITOM" hidden="1">
              <a:extLst>
                <a:ext uri="{63B3BB69-23CF-44E3-9099-C40C66FF867C}">
                  <a14:compatExt spid="_x0000_s1062"/>
                </a:ext>
                <a:ext uri="{FF2B5EF4-FFF2-40B4-BE49-F238E27FC236}">
                  <a16:creationId xmlns:a16="http://schemas.microsoft.com/office/drawing/2014/main" id="{00000000-0008-0000-0100-00002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37</xdr:row>
          <xdr:rowOff>114300</xdr:rowOff>
        </xdr:from>
        <xdr:to>
          <xdr:col>1</xdr:col>
          <xdr:colOff>85725</xdr:colOff>
          <xdr:row>39</xdr:row>
          <xdr:rowOff>66675</xdr:rowOff>
        </xdr:to>
        <xdr:sp macro="" textlink="">
          <xdr:nvSpPr>
            <xdr:cNvPr id="1063" name="Check Box 39" descr="ITOM" hidden="1">
              <a:extLst>
                <a:ext uri="{63B3BB69-23CF-44E3-9099-C40C66FF867C}">
                  <a14:compatExt spid="_x0000_s1063"/>
                </a:ext>
                <a:ext uri="{FF2B5EF4-FFF2-40B4-BE49-F238E27FC236}">
                  <a16:creationId xmlns:a16="http://schemas.microsoft.com/office/drawing/2014/main" id="{00000000-0008-0000-0100-00002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38</xdr:row>
          <xdr:rowOff>114300</xdr:rowOff>
        </xdr:from>
        <xdr:to>
          <xdr:col>1</xdr:col>
          <xdr:colOff>85725</xdr:colOff>
          <xdr:row>40</xdr:row>
          <xdr:rowOff>66675</xdr:rowOff>
        </xdr:to>
        <xdr:sp macro="" textlink="">
          <xdr:nvSpPr>
            <xdr:cNvPr id="1064" name="Check Box 40" descr="ITOM" hidden="1">
              <a:extLst>
                <a:ext uri="{63B3BB69-23CF-44E3-9099-C40C66FF867C}">
                  <a14:compatExt spid="_x0000_s1064"/>
                </a:ext>
                <a:ext uri="{FF2B5EF4-FFF2-40B4-BE49-F238E27FC236}">
                  <a16:creationId xmlns:a16="http://schemas.microsoft.com/office/drawing/2014/main" id="{00000000-0008-0000-0100-00002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39</xdr:row>
          <xdr:rowOff>114300</xdr:rowOff>
        </xdr:from>
        <xdr:to>
          <xdr:col>1</xdr:col>
          <xdr:colOff>85725</xdr:colOff>
          <xdr:row>41</xdr:row>
          <xdr:rowOff>66675</xdr:rowOff>
        </xdr:to>
        <xdr:sp macro="" textlink="">
          <xdr:nvSpPr>
            <xdr:cNvPr id="1065" name="Check Box 41" descr="ITOM" hidden="1">
              <a:extLst>
                <a:ext uri="{63B3BB69-23CF-44E3-9099-C40C66FF867C}">
                  <a14:compatExt spid="_x0000_s1065"/>
                </a:ext>
                <a:ext uri="{FF2B5EF4-FFF2-40B4-BE49-F238E27FC236}">
                  <a16:creationId xmlns:a16="http://schemas.microsoft.com/office/drawing/2014/main" id="{00000000-0008-0000-0100-00002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40</xdr:row>
          <xdr:rowOff>114300</xdr:rowOff>
        </xdr:from>
        <xdr:to>
          <xdr:col>1</xdr:col>
          <xdr:colOff>85725</xdr:colOff>
          <xdr:row>42</xdr:row>
          <xdr:rowOff>66675</xdr:rowOff>
        </xdr:to>
        <xdr:sp macro="" textlink="">
          <xdr:nvSpPr>
            <xdr:cNvPr id="1066" name="Check Box 42" descr="ITOM" hidden="1">
              <a:extLst>
                <a:ext uri="{63B3BB69-23CF-44E3-9099-C40C66FF867C}">
                  <a14:compatExt spid="_x0000_s1066"/>
                </a:ext>
                <a:ext uri="{FF2B5EF4-FFF2-40B4-BE49-F238E27FC236}">
                  <a16:creationId xmlns:a16="http://schemas.microsoft.com/office/drawing/2014/main" id="{00000000-0008-0000-0100-00002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41</xdr:row>
          <xdr:rowOff>114300</xdr:rowOff>
        </xdr:from>
        <xdr:to>
          <xdr:col>1</xdr:col>
          <xdr:colOff>85725</xdr:colOff>
          <xdr:row>43</xdr:row>
          <xdr:rowOff>66675</xdr:rowOff>
        </xdr:to>
        <xdr:sp macro="" textlink="">
          <xdr:nvSpPr>
            <xdr:cNvPr id="1067" name="Check Box 43" descr="ITOM" hidden="1">
              <a:extLst>
                <a:ext uri="{63B3BB69-23CF-44E3-9099-C40C66FF867C}">
                  <a14:compatExt spid="_x0000_s1067"/>
                </a:ext>
                <a:ext uri="{FF2B5EF4-FFF2-40B4-BE49-F238E27FC236}">
                  <a16:creationId xmlns:a16="http://schemas.microsoft.com/office/drawing/2014/main" id="{00000000-0008-0000-0100-00002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42</xdr:row>
          <xdr:rowOff>114300</xdr:rowOff>
        </xdr:from>
        <xdr:to>
          <xdr:col>1</xdr:col>
          <xdr:colOff>85725</xdr:colOff>
          <xdr:row>44</xdr:row>
          <xdr:rowOff>66675</xdr:rowOff>
        </xdr:to>
        <xdr:sp macro="" textlink="">
          <xdr:nvSpPr>
            <xdr:cNvPr id="1068" name="Check Box 44" descr="ITOM" hidden="1">
              <a:extLst>
                <a:ext uri="{63B3BB69-23CF-44E3-9099-C40C66FF867C}">
                  <a14:compatExt spid="_x0000_s1068"/>
                </a:ext>
                <a:ext uri="{FF2B5EF4-FFF2-40B4-BE49-F238E27FC236}">
                  <a16:creationId xmlns:a16="http://schemas.microsoft.com/office/drawing/2014/main" id="{00000000-0008-0000-0100-00002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43</xdr:row>
          <xdr:rowOff>114300</xdr:rowOff>
        </xdr:from>
        <xdr:to>
          <xdr:col>1</xdr:col>
          <xdr:colOff>85725</xdr:colOff>
          <xdr:row>45</xdr:row>
          <xdr:rowOff>66675</xdr:rowOff>
        </xdr:to>
        <xdr:sp macro="" textlink="">
          <xdr:nvSpPr>
            <xdr:cNvPr id="1069" name="Check Box 45" descr="ITOM" hidden="1">
              <a:extLst>
                <a:ext uri="{63B3BB69-23CF-44E3-9099-C40C66FF867C}">
                  <a14:compatExt spid="_x0000_s1069"/>
                </a:ext>
                <a:ext uri="{FF2B5EF4-FFF2-40B4-BE49-F238E27FC236}">
                  <a16:creationId xmlns:a16="http://schemas.microsoft.com/office/drawing/2014/main" id="{00000000-0008-0000-0100-00002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44</xdr:row>
          <xdr:rowOff>114300</xdr:rowOff>
        </xdr:from>
        <xdr:to>
          <xdr:col>1</xdr:col>
          <xdr:colOff>85725</xdr:colOff>
          <xdr:row>46</xdr:row>
          <xdr:rowOff>66675</xdr:rowOff>
        </xdr:to>
        <xdr:sp macro="" textlink="">
          <xdr:nvSpPr>
            <xdr:cNvPr id="1070" name="Check Box 46" descr="ITOM" hidden="1">
              <a:extLst>
                <a:ext uri="{63B3BB69-23CF-44E3-9099-C40C66FF867C}">
                  <a14:compatExt spid="_x0000_s1070"/>
                </a:ext>
                <a:ext uri="{FF2B5EF4-FFF2-40B4-BE49-F238E27FC236}">
                  <a16:creationId xmlns:a16="http://schemas.microsoft.com/office/drawing/2014/main" id="{00000000-0008-0000-0100-00002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45</xdr:row>
          <xdr:rowOff>114300</xdr:rowOff>
        </xdr:from>
        <xdr:to>
          <xdr:col>1</xdr:col>
          <xdr:colOff>85725</xdr:colOff>
          <xdr:row>47</xdr:row>
          <xdr:rowOff>66675</xdr:rowOff>
        </xdr:to>
        <xdr:sp macro="" textlink="">
          <xdr:nvSpPr>
            <xdr:cNvPr id="1071" name="Check Box 47" descr="ITOM" hidden="1">
              <a:extLst>
                <a:ext uri="{63B3BB69-23CF-44E3-9099-C40C66FF867C}">
                  <a14:compatExt spid="_x0000_s1071"/>
                </a:ext>
                <a:ext uri="{FF2B5EF4-FFF2-40B4-BE49-F238E27FC236}">
                  <a16:creationId xmlns:a16="http://schemas.microsoft.com/office/drawing/2014/main" id="{00000000-0008-0000-0100-00002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46</xdr:row>
          <xdr:rowOff>114300</xdr:rowOff>
        </xdr:from>
        <xdr:to>
          <xdr:col>1</xdr:col>
          <xdr:colOff>85725</xdr:colOff>
          <xdr:row>48</xdr:row>
          <xdr:rowOff>66675</xdr:rowOff>
        </xdr:to>
        <xdr:sp macro="" textlink="">
          <xdr:nvSpPr>
            <xdr:cNvPr id="1072" name="Check Box 48" descr="ITOM" hidden="1">
              <a:extLst>
                <a:ext uri="{63B3BB69-23CF-44E3-9099-C40C66FF867C}">
                  <a14:compatExt spid="_x0000_s1072"/>
                </a:ext>
                <a:ext uri="{FF2B5EF4-FFF2-40B4-BE49-F238E27FC236}">
                  <a16:creationId xmlns:a16="http://schemas.microsoft.com/office/drawing/2014/main" id="{00000000-0008-0000-0100-00003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47</xdr:row>
          <xdr:rowOff>114300</xdr:rowOff>
        </xdr:from>
        <xdr:to>
          <xdr:col>1</xdr:col>
          <xdr:colOff>85725</xdr:colOff>
          <xdr:row>49</xdr:row>
          <xdr:rowOff>66675</xdr:rowOff>
        </xdr:to>
        <xdr:sp macro="" textlink="">
          <xdr:nvSpPr>
            <xdr:cNvPr id="1073" name="Check Box 49" descr="ITOM" hidden="1">
              <a:extLst>
                <a:ext uri="{63B3BB69-23CF-44E3-9099-C40C66FF867C}">
                  <a14:compatExt spid="_x0000_s1073"/>
                </a:ext>
                <a:ext uri="{FF2B5EF4-FFF2-40B4-BE49-F238E27FC236}">
                  <a16:creationId xmlns:a16="http://schemas.microsoft.com/office/drawing/2014/main" id="{00000000-0008-0000-0100-00003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48</xdr:row>
          <xdr:rowOff>114300</xdr:rowOff>
        </xdr:from>
        <xdr:to>
          <xdr:col>1</xdr:col>
          <xdr:colOff>85725</xdr:colOff>
          <xdr:row>50</xdr:row>
          <xdr:rowOff>66675</xdr:rowOff>
        </xdr:to>
        <xdr:sp macro="" textlink="">
          <xdr:nvSpPr>
            <xdr:cNvPr id="1074" name="Check Box 50" descr="ITOM" hidden="1">
              <a:extLst>
                <a:ext uri="{63B3BB69-23CF-44E3-9099-C40C66FF867C}">
                  <a14:compatExt spid="_x0000_s1074"/>
                </a:ext>
                <a:ext uri="{FF2B5EF4-FFF2-40B4-BE49-F238E27FC236}">
                  <a16:creationId xmlns:a16="http://schemas.microsoft.com/office/drawing/2014/main" id="{00000000-0008-0000-0100-00003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49</xdr:row>
          <xdr:rowOff>114300</xdr:rowOff>
        </xdr:from>
        <xdr:to>
          <xdr:col>1</xdr:col>
          <xdr:colOff>85725</xdr:colOff>
          <xdr:row>51</xdr:row>
          <xdr:rowOff>66675</xdr:rowOff>
        </xdr:to>
        <xdr:sp macro="" textlink="">
          <xdr:nvSpPr>
            <xdr:cNvPr id="1075" name="Check Box 51" descr="ITOM" hidden="1">
              <a:extLst>
                <a:ext uri="{63B3BB69-23CF-44E3-9099-C40C66FF867C}">
                  <a14:compatExt spid="_x0000_s1075"/>
                </a:ext>
                <a:ext uri="{FF2B5EF4-FFF2-40B4-BE49-F238E27FC236}">
                  <a16:creationId xmlns:a16="http://schemas.microsoft.com/office/drawing/2014/main" id="{00000000-0008-0000-0100-00003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50</xdr:row>
          <xdr:rowOff>114300</xdr:rowOff>
        </xdr:from>
        <xdr:to>
          <xdr:col>1</xdr:col>
          <xdr:colOff>85725</xdr:colOff>
          <xdr:row>52</xdr:row>
          <xdr:rowOff>66675</xdr:rowOff>
        </xdr:to>
        <xdr:sp macro="" textlink="">
          <xdr:nvSpPr>
            <xdr:cNvPr id="1076" name="Check Box 52" descr="ITOM" hidden="1">
              <a:extLst>
                <a:ext uri="{63B3BB69-23CF-44E3-9099-C40C66FF867C}">
                  <a14:compatExt spid="_x0000_s1076"/>
                </a:ext>
                <a:ext uri="{FF2B5EF4-FFF2-40B4-BE49-F238E27FC236}">
                  <a16:creationId xmlns:a16="http://schemas.microsoft.com/office/drawing/2014/main" id="{00000000-0008-0000-0100-00003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51</xdr:row>
          <xdr:rowOff>114300</xdr:rowOff>
        </xdr:from>
        <xdr:to>
          <xdr:col>1</xdr:col>
          <xdr:colOff>85725</xdr:colOff>
          <xdr:row>53</xdr:row>
          <xdr:rowOff>66675</xdr:rowOff>
        </xdr:to>
        <xdr:sp macro="" textlink="">
          <xdr:nvSpPr>
            <xdr:cNvPr id="1077" name="Check Box 53" descr="ITOM" hidden="1">
              <a:extLst>
                <a:ext uri="{63B3BB69-23CF-44E3-9099-C40C66FF867C}">
                  <a14:compatExt spid="_x0000_s1077"/>
                </a:ext>
                <a:ext uri="{FF2B5EF4-FFF2-40B4-BE49-F238E27FC236}">
                  <a16:creationId xmlns:a16="http://schemas.microsoft.com/office/drawing/2014/main" id="{00000000-0008-0000-0100-00003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52</xdr:row>
          <xdr:rowOff>114300</xdr:rowOff>
        </xdr:from>
        <xdr:to>
          <xdr:col>1</xdr:col>
          <xdr:colOff>85725</xdr:colOff>
          <xdr:row>54</xdr:row>
          <xdr:rowOff>66675</xdr:rowOff>
        </xdr:to>
        <xdr:sp macro="" textlink="">
          <xdr:nvSpPr>
            <xdr:cNvPr id="1078" name="Check Box 54" descr="ITOM" hidden="1">
              <a:extLst>
                <a:ext uri="{63B3BB69-23CF-44E3-9099-C40C66FF867C}">
                  <a14:compatExt spid="_x0000_s1078"/>
                </a:ext>
                <a:ext uri="{FF2B5EF4-FFF2-40B4-BE49-F238E27FC236}">
                  <a16:creationId xmlns:a16="http://schemas.microsoft.com/office/drawing/2014/main" id="{00000000-0008-0000-0100-00003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53</xdr:row>
          <xdr:rowOff>114300</xdr:rowOff>
        </xdr:from>
        <xdr:to>
          <xdr:col>1</xdr:col>
          <xdr:colOff>85725</xdr:colOff>
          <xdr:row>55</xdr:row>
          <xdr:rowOff>66675</xdr:rowOff>
        </xdr:to>
        <xdr:sp macro="" textlink="">
          <xdr:nvSpPr>
            <xdr:cNvPr id="1079" name="Check Box 55" descr="ITOM" hidden="1">
              <a:extLst>
                <a:ext uri="{63B3BB69-23CF-44E3-9099-C40C66FF867C}">
                  <a14:compatExt spid="_x0000_s1079"/>
                </a:ext>
                <a:ext uri="{FF2B5EF4-FFF2-40B4-BE49-F238E27FC236}">
                  <a16:creationId xmlns:a16="http://schemas.microsoft.com/office/drawing/2014/main" id="{00000000-0008-0000-0100-00003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54</xdr:row>
          <xdr:rowOff>114300</xdr:rowOff>
        </xdr:from>
        <xdr:to>
          <xdr:col>1</xdr:col>
          <xdr:colOff>85725</xdr:colOff>
          <xdr:row>56</xdr:row>
          <xdr:rowOff>66675</xdr:rowOff>
        </xdr:to>
        <xdr:sp macro="" textlink="">
          <xdr:nvSpPr>
            <xdr:cNvPr id="1080" name="Check Box 56" descr="ITOM" hidden="1">
              <a:extLst>
                <a:ext uri="{63B3BB69-23CF-44E3-9099-C40C66FF867C}">
                  <a14:compatExt spid="_x0000_s1080"/>
                </a:ext>
                <a:ext uri="{FF2B5EF4-FFF2-40B4-BE49-F238E27FC236}">
                  <a16:creationId xmlns:a16="http://schemas.microsoft.com/office/drawing/2014/main" id="{00000000-0008-0000-0100-00003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55</xdr:row>
          <xdr:rowOff>114300</xdr:rowOff>
        </xdr:from>
        <xdr:to>
          <xdr:col>1</xdr:col>
          <xdr:colOff>85725</xdr:colOff>
          <xdr:row>57</xdr:row>
          <xdr:rowOff>66675</xdr:rowOff>
        </xdr:to>
        <xdr:sp macro="" textlink="">
          <xdr:nvSpPr>
            <xdr:cNvPr id="1081" name="Check Box 57" descr="ITOM" hidden="1">
              <a:extLst>
                <a:ext uri="{63B3BB69-23CF-44E3-9099-C40C66FF867C}">
                  <a14:compatExt spid="_x0000_s1081"/>
                </a:ext>
                <a:ext uri="{FF2B5EF4-FFF2-40B4-BE49-F238E27FC236}">
                  <a16:creationId xmlns:a16="http://schemas.microsoft.com/office/drawing/2014/main" id="{00000000-0008-0000-0100-00003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56</xdr:row>
          <xdr:rowOff>114300</xdr:rowOff>
        </xdr:from>
        <xdr:to>
          <xdr:col>1</xdr:col>
          <xdr:colOff>85725</xdr:colOff>
          <xdr:row>58</xdr:row>
          <xdr:rowOff>66675</xdr:rowOff>
        </xdr:to>
        <xdr:sp macro="" textlink="">
          <xdr:nvSpPr>
            <xdr:cNvPr id="1082" name="Check Box 58" descr="ITOM" hidden="1">
              <a:extLst>
                <a:ext uri="{63B3BB69-23CF-44E3-9099-C40C66FF867C}">
                  <a14:compatExt spid="_x0000_s1082"/>
                </a:ext>
                <a:ext uri="{FF2B5EF4-FFF2-40B4-BE49-F238E27FC236}">
                  <a16:creationId xmlns:a16="http://schemas.microsoft.com/office/drawing/2014/main" id="{00000000-0008-0000-0100-00003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57</xdr:row>
          <xdr:rowOff>114300</xdr:rowOff>
        </xdr:from>
        <xdr:to>
          <xdr:col>1</xdr:col>
          <xdr:colOff>85725</xdr:colOff>
          <xdr:row>59</xdr:row>
          <xdr:rowOff>66675</xdr:rowOff>
        </xdr:to>
        <xdr:sp macro="" textlink="">
          <xdr:nvSpPr>
            <xdr:cNvPr id="1083" name="Check Box 59" descr="ITOM" hidden="1">
              <a:extLst>
                <a:ext uri="{63B3BB69-23CF-44E3-9099-C40C66FF867C}">
                  <a14:compatExt spid="_x0000_s1083"/>
                </a:ext>
                <a:ext uri="{FF2B5EF4-FFF2-40B4-BE49-F238E27FC236}">
                  <a16:creationId xmlns:a16="http://schemas.microsoft.com/office/drawing/2014/main" id="{00000000-0008-0000-0100-00003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58</xdr:row>
          <xdr:rowOff>114300</xdr:rowOff>
        </xdr:from>
        <xdr:to>
          <xdr:col>1</xdr:col>
          <xdr:colOff>85725</xdr:colOff>
          <xdr:row>60</xdr:row>
          <xdr:rowOff>66675</xdr:rowOff>
        </xdr:to>
        <xdr:sp macro="" textlink="">
          <xdr:nvSpPr>
            <xdr:cNvPr id="1084" name="Check Box 60" descr="ITOM" hidden="1">
              <a:extLst>
                <a:ext uri="{63B3BB69-23CF-44E3-9099-C40C66FF867C}">
                  <a14:compatExt spid="_x0000_s1084"/>
                </a:ext>
                <a:ext uri="{FF2B5EF4-FFF2-40B4-BE49-F238E27FC236}">
                  <a16:creationId xmlns:a16="http://schemas.microsoft.com/office/drawing/2014/main" id="{00000000-0008-0000-0100-00003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59</xdr:row>
          <xdr:rowOff>114300</xdr:rowOff>
        </xdr:from>
        <xdr:to>
          <xdr:col>1</xdr:col>
          <xdr:colOff>85725</xdr:colOff>
          <xdr:row>61</xdr:row>
          <xdr:rowOff>66675</xdr:rowOff>
        </xdr:to>
        <xdr:sp macro="" textlink="">
          <xdr:nvSpPr>
            <xdr:cNvPr id="1085" name="Check Box 61" descr="ITOM" hidden="1">
              <a:extLst>
                <a:ext uri="{63B3BB69-23CF-44E3-9099-C40C66FF867C}">
                  <a14:compatExt spid="_x0000_s1085"/>
                </a:ext>
                <a:ext uri="{FF2B5EF4-FFF2-40B4-BE49-F238E27FC236}">
                  <a16:creationId xmlns:a16="http://schemas.microsoft.com/office/drawing/2014/main" id="{00000000-0008-0000-0100-00003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60</xdr:row>
          <xdr:rowOff>114300</xdr:rowOff>
        </xdr:from>
        <xdr:to>
          <xdr:col>1</xdr:col>
          <xdr:colOff>85725</xdr:colOff>
          <xdr:row>62</xdr:row>
          <xdr:rowOff>66675</xdr:rowOff>
        </xdr:to>
        <xdr:sp macro="" textlink="">
          <xdr:nvSpPr>
            <xdr:cNvPr id="1086" name="Check Box 62" descr="ITOM" hidden="1">
              <a:extLst>
                <a:ext uri="{63B3BB69-23CF-44E3-9099-C40C66FF867C}">
                  <a14:compatExt spid="_x0000_s1086"/>
                </a:ext>
                <a:ext uri="{FF2B5EF4-FFF2-40B4-BE49-F238E27FC236}">
                  <a16:creationId xmlns:a16="http://schemas.microsoft.com/office/drawing/2014/main" id="{00000000-0008-0000-0100-00003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61</xdr:row>
          <xdr:rowOff>114300</xdr:rowOff>
        </xdr:from>
        <xdr:to>
          <xdr:col>1</xdr:col>
          <xdr:colOff>85725</xdr:colOff>
          <xdr:row>63</xdr:row>
          <xdr:rowOff>66675</xdr:rowOff>
        </xdr:to>
        <xdr:sp macro="" textlink="">
          <xdr:nvSpPr>
            <xdr:cNvPr id="1087" name="Check Box 63" descr="ITOM" hidden="1">
              <a:extLst>
                <a:ext uri="{63B3BB69-23CF-44E3-9099-C40C66FF867C}">
                  <a14:compatExt spid="_x0000_s1087"/>
                </a:ext>
                <a:ext uri="{FF2B5EF4-FFF2-40B4-BE49-F238E27FC236}">
                  <a16:creationId xmlns:a16="http://schemas.microsoft.com/office/drawing/2014/main" id="{00000000-0008-0000-0100-00003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62</xdr:row>
          <xdr:rowOff>114300</xdr:rowOff>
        </xdr:from>
        <xdr:to>
          <xdr:col>1</xdr:col>
          <xdr:colOff>85725</xdr:colOff>
          <xdr:row>64</xdr:row>
          <xdr:rowOff>66675</xdr:rowOff>
        </xdr:to>
        <xdr:sp macro="" textlink="">
          <xdr:nvSpPr>
            <xdr:cNvPr id="1088" name="Check Box 64" descr="ITOM" hidden="1">
              <a:extLst>
                <a:ext uri="{63B3BB69-23CF-44E3-9099-C40C66FF867C}">
                  <a14:compatExt spid="_x0000_s1088"/>
                </a:ext>
                <a:ext uri="{FF2B5EF4-FFF2-40B4-BE49-F238E27FC236}">
                  <a16:creationId xmlns:a16="http://schemas.microsoft.com/office/drawing/2014/main" id="{00000000-0008-0000-0100-00004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63</xdr:row>
          <xdr:rowOff>114300</xdr:rowOff>
        </xdr:from>
        <xdr:to>
          <xdr:col>1</xdr:col>
          <xdr:colOff>85725</xdr:colOff>
          <xdr:row>65</xdr:row>
          <xdr:rowOff>66675</xdr:rowOff>
        </xdr:to>
        <xdr:sp macro="" textlink="">
          <xdr:nvSpPr>
            <xdr:cNvPr id="1089" name="Check Box 65" descr="ITOM" hidden="1">
              <a:extLst>
                <a:ext uri="{63B3BB69-23CF-44E3-9099-C40C66FF867C}">
                  <a14:compatExt spid="_x0000_s1089"/>
                </a:ext>
                <a:ext uri="{FF2B5EF4-FFF2-40B4-BE49-F238E27FC236}">
                  <a16:creationId xmlns:a16="http://schemas.microsoft.com/office/drawing/2014/main" id="{00000000-0008-0000-0100-00004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64</xdr:row>
          <xdr:rowOff>114300</xdr:rowOff>
        </xdr:from>
        <xdr:to>
          <xdr:col>1</xdr:col>
          <xdr:colOff>85725</xdr:colOff>
          <xdr:row>66</xdr:row>
          <xdr:rowOff>66675</xdr:rowOff>
        </xdr:to>
        <xdr:sp macro="" textlink="">
          <xdr:nvSpPr>
            <xdr:cNvPr id="1090" name="Check Box 66" descr="ITOM" hidden="1">
              <a:extLst>
                <a:ext uri="{63B3BB69-23CF-44E3-9099-C40C66FF867C}">
                  <a14:compatExt spid="_x0000_s1090"/>
                </a:ext>
                <a:ext uri="{FF2B5EF4-FFF2-40B4-BE49-F238E27FC236}">
                  <a16:creationId xmlns:a16="http://schemas.microsoft.com/office/drawing/2014/main" id="{00000000-0008-0000-0100-00004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65</xdr:row>
          <xdr:rowOff>114300</xdr:rowOff>
        </xdr:from>
        <xdr:to>
          <xdr:col>1</xdr:col>
          <xdr:colOff>85725</xdr:colOff>
          <xdr:row>67</xdr:row>
          <xdr:rowOff>66675</xdr:rowOff>
        </xdr:to>
        <xdr:sp macro="" textlink="">
          <xdr:nvSpPr>
            <xdr:cNvPr id="1091" name="Check Box 67" descr="ITOM" hidden="1">
              <a:extLst>
                <a:ext uri="{63B3BB69-23CF-44E3-9099-C40C66FF867C}">
                  <a14:compatExt spid="_x0000_s1091"/>
                </a:ext>
                <a:ext uri="{FF2B5EF4-FFF2-40B4-BE49-F238E27FC236}">
                  <a16:creationId xmlns:a16="http://schemas.microsoft.com/office/drawing/2014/main" id="{00000000-0008-0000-0100-00004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66</xdr:row>
          <xdr:rowOff>114300</xdr:rowOff>
        </xdr:from>
        <xdr:to>
          <xdr:col>1</xdr:col>
          <xdr:colOff>85725</xdr:colOff>
          <xdr:row>68</xdr:row>
          <xdr:rowOff>66675</xdr:rowOff>
        </xdr:to>
        <xdr:sp macro="" textlink="">
          <xdr:nvSpPr>
            <xdr:cNvPr id="1092" name="Check Box 68" descr="ITOM" hidden="1">
              <a:extLst>
                <a:ext uri="{63B3BB69-23CF-44E3-9099-C40C66FF867C}">
                  <a14:compatExt spid="_x0000_s1092"/>
                </a:ext>
                <a:ext uri="{FF2B5EF4-FFF2-40B4-BE49-F238E27FC236}">
                  <a16:creationId xmlns:a16="http://schemas.microsoft.com/office/drawing/2014/main" id="{00000000-0008-0000-0100-00004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67</xdr:row>
          <xdr:rowOff>114300</xdr:rowOff>
        </xdr:from>
        <xdr:to>
          <xdr:col>1</xdr:col>
          <xdr:colOff>85725</xdr:colOff>
          <xdr:row>69</xdr:row>
          <xdr:rowOff>66675</xdr:rowOff>
        </xdr:to>
        <xdr:sp macro="" textlink="">
          <xdr:nvSpPr>
            <xdr:cNvPr id="1093" name="Check Box 69" descr="ITOM" hidden="1">
              <a:extLst>
                <a:ext uri="{63B3BB69-23CF-44E3-9099-C40C66FF867C}">
                  <a14:compatExt spid="_x0000_s1093"/>
                </a:ext>
                <a:ext uri="{FF2B5EF4-FFF2-40B4-BE49-F238E27FC236}">
                  <a16:creationId xmlns:a16="http://schemas.microsoft.com/office/drawing/2014/main" id="{00000000-0008-0000-0100-00004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68</xdr:row>
          <xdr:rowOff>114300</xdr:rowOff>
        </xdr:from>
        <xdr:to>
          <xdr:col>1</xdr:col>
          <xdr:colOff>85725</xdr:colOff>
          <xdr:row>70</xdr:row>
          <xdr:rowOff>66675</xdr:rowOff>
        </xdr:to>
        <xdr:sp macro="" textlink="">
          <xdr:nvSpPr>
            <xdr:cNvPr id="1094" name="Check Box 70" descr="ITOM" hidden="1">
              <a:extLst>
                <a:ext uri="{63B3BB69-23CF-44E3-9099-C40C66FF867C}">
                  <a14:compatExt spid="_x0000_s1094"/>
                </a:ext>
                <a:ext uri="{FF2B5EF4-FFF2-40B4-BE49-F238E27FC236}">
                  <a16:creationId xmlns:a16="http://schemas.microsoft.com/office/drawing/2014/main" id="{00000000-0008-0000-0100-00004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69</xdr:row>
          <xdr:rowOff>114300</xdr:rowOff>
        </xdr:from>
        <xdr:to>
          <xdr:col>1</xdr:col>
          <xdr:colOff>85725</xdr:colOff>
          <xdr:row>71</xdr:row>
          <xdr:rowOff>66675</xdr:rowOff>
        </xdr:to>
        <xdr:sp macro="" textlink="">
          <xdr:nvSpPr>
            <xdr:cNvPr id="1095" name="Check Box 71" descr="ITOM" hidden="1">
              <a:extLst>
                <a:ext uri="{63B3BB69-23CF-44E3-9099-C40C66FF867C}">
                  <a14:compatExt spid="_x0000_s1095"/>
                </a:ext>
                <a:ext uri="{FF2B5EF4-FFF2-40B4-BE49-F238E27FC236}">
                  <a16:creationId xmlns:a16="http://schemas.microsoft.com/office/drawing/2014/main" id="{00000000-0008-0000-0100-00004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70</xdr:row>
          <xdr:rowOff>114300</xdr:rowOff>
        </xdr:from>
        <xdr:to>
          <xdr:col>1</xdr:col>
          <xdr:colOff>85725</xdr:colOff>
          <xdr:row>72</xdr:row>
          <xdr:rowOff>66675</xdr:rowOff>
        </xdr:to>
        <xdr:sp macro="" textlink="">
          <xdr:nvSpPr>
            <xdr:cNvPr id="1096" name="Check Box 72" descr="ITOM" hidden="1">
              <a:extLst>
                <a:ext uri="{63B3BB69-23CF-44E3-9099-C40C66FF867C}">
                  <a14:compatExt spid="_x0000_s1096"/>
                </a:ext>
                <a:ext uri="{FF2B5EF4-FFF2-40B4-BE49-F238E27FC236}">
                  <a16:creationId xmlns:a16="http://schemas.microsoft.com/office/drawing/2014/main" id="{00000000-0008-0000-0100-00004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71</xdr:row>
          <xdr:rowOff>114300</xdr:rowOff>
        </xdr:from>
        <xdr:to>
          <xdr:col>1</xdr:col>
          <xdr:colOff>85725</xdr:colOff>
          <xdr:row>73</xdr:row>
          <xdr:rowOff>66675</xdr:rowOff>
        </xdr:to>
        <xdr:sp macro="" textlink="">
          <xdr:nvSpPr>
            <xdr:cNvPr id="1097" name="Check Box 73" descr="ITOM" hidden="1">
              <a:extLst>
                <a:ext uri="{63B3BB69-23CF-44E3-9099-C40C66FF867C}">
                  <a14:compatExt spid="_x0000_s1097"/>
                </a:ext>
                <a:ext uri="{FF2B5EF4-FFF2-40B4-BE49-F238E27FC236}">
                  <a16:creationId xmlns:a16="http://schemas.microsoft.com/office/drawing/2014/main" id="{00000000-0008-0000-0100-00004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72</xdr:row>
          <xdr:rowOff>114300</xdr:rowOff>
        </xdr:from>
        <xdr:to>
          <xdr:col>1</xdr:col>
          <xdr:colOff>85725</xdr:colOff>
          <xdr:row>74</xdr:row>
          <xdr:rowOff>66675</xdr:rowOff>
        </xdr:to>
        <xdr:sp macro="" textlink="">
          <xdr:nvSpPr>
            <xdr:cNvPr id="1098" name="Check Box 74" descr="ITOM" hidden="1">
              <a:extLst>
                <a:ext uri="{63B3BB69-23CF-44E3-9099-C40C66FF867C}">
                  <a14:compatExt spid="_x0000_s1098"/>
                </a:ext>
                <a:ext uri="{FF2B5EF4-FFF2-40B4-BE49-F238E27FC236}">
                  <a16:creationId xmlns:a16="http://schemas.microsoft.com/office/drawing/2014/main" id="{00000000-0008-0000-0100-00004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73</xdr:row>
          <xdr:rowOff>114300</xdr:rowOff>
        </xdr:from>
        <xdr:to>
          <xdr:col>1</xdr:col>
          <xdr:colOff>85725</xdr:colOff>
          <xdr:row>75</xdr:row>
          <xdr:rowOff>66675</xdr:rowOff>
        </xdr:to>
        <xdr:sp macro="" textlink="">
          <xdr:nvSpPr>
            <xdr:cNvPr id="1099" name="Check Box 75" descr="ITOM" hidden="1">
              <a:extLst>
                <a:ext uri="{63B3BB69-23CF-44E3-9099-C40C66FF867C}">
                  <a14:compatExt spid="_x0000_s1099"/>
                </a:ext>
                <a:ext uri="{FF2B5EF4-FFF2-40B4-BE49-F238E27FC236}">
                  <a16:creationId xmlns:a16="http://schemas.microsoft.com/office/drawing/2014/main" id="{00000000-0008-0000-0100-00004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74</xdr:row>
          <xdr:rowOff>114300</xdr:rowOff>
        </xdr:from>
        <xdr:to>
          <xdr:col>1</xdr:col>
          <xdr:colOff>85725</xdr:colOff>
          <xdr:row>76</xdr:row>
          <xdr:rowOff>66675</xdr:rowOff>
        </xdr:to>
        <xdr:sp macro="" textlink="">
          <xdr:nvSpPr>
            <xdr:cNvPr id="1100" name="Check Box 76" descr="ITOM" hidden="1">
              <a:extLst>
                <a:ext uri="{63B3BB69-23CF-44E3-9099-C40C66FF867C}">
                  <a14:compatExt spid="_x0000_s1100"/>
                </a:ext>
                <a:ext uri="{FF2B5EF4-FFF2-40B4-BE49-F238E27FC236}">
                  <a16:creationId xmlns:a16="http://schemas.microsoft.com/office/drawing/2014/main" id="{00000000-0008-0000-0100-00004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75</xdr:row>
          <xdr:rowOff>114300</xdr:rowOff>
        </xdr:from>
        <xdr:to>
          <xdr:col>1</xdr:col>
          <xdr:colOff>85725</xdr:colOff>
          <xdr:row>77</xdr:row>
          <xdr:rowOff>66675</xdr:rowOff>
        </xdr:to>
        <xdr:sp macro="" textlink="">
          <xdr:nvSpPr>
            <xdr:cNvPr id="1101" name="Check Box 77" descr="ITOM" hidden="1">
              <a:extLst>
                <a:ext uri="{63B3BB69-23CF-44E3-9099-C40C66FF867C}">
                  <a14:compatExt spid="_x0000_s1101"/>
                </a:ext>
                <a:ext uri="{FF2B5EF4-FFF2-40B4-BE49-F238E27FC236}">
                  <a16:creationId xmlns:a16="http://schemas.microsoft.com/office/drawing/2014/main" id="{00000000-0008-0000-0100-00004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76</xdr:row>
          <xdr:rowOff>114300</xdr:rowOff>
        </xdr:from>
        <xdr:to>
          <xdr:col>1</xdr:col>
          <xdr:colOff>85725</xdr:colOff>
          <xdr:row>78</xdr:row>
          <xdr:rowOff>66675</xdr:rowOff>
        </xdr:to>
        <xdr:sp macro="" textlink="">
          <xdr:nvSpPr>
            <xdr:cNvPr id="1102" name="Check Box 78" descr="ITOM" hidden="1">
              <a:extLst>
                <a:ext uri="{63B3BB69-23CF-44E3-9099-C40C66FF867C}">
                  <a14:compatExt spid="_x0000_s1102"/>
                </a:ext>
                <a:ext uri="{FF2B5EF4-FFF2-40B4-BE49-F238E27FC236}">
                  <a16:creationId xmlns:a16="http://schemas.microsoft.com/office/drawing/2014/main" id="{00000000-0008-0000-0100-00004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77</xdr:row>
          <xdr:rowOff>114300</xdr:rowOff>
        </xdr:from>
        <xdr:to>
          <xdr:col>1</xdr:col>
          <xdr:colOff>85725</xdr:colOff>
          <xdr:row>79</xdr:row>
          <xdr:rowOff>66675</xdr:rowOff>
        </xdr:to>
        <xdr:sp macro="" textlink="">
          <xdr:nvSpPr>
            <xdr:cNvPr id="1103" name="Check Box 79" descr="ITOM" hidden="1">
              <a:extLst>
                <a:ext uri="{63B3BB69-23CF-44E3-9099-C40C66FF867C}">
                  <a14:compatExt spid="_x0000_s1103"/>
                </a:ext>
                <a:ext uri="{FF2B5EF4-FFF2-40B4-BE49-F238E27FC236}">
                  <a16:creationId xmlns:a16="http://schemas.microsoft.com/office/drawing/2014/main" id="{00000000-0008-0000-0100-00004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78</xdr:row>
          <xdr:rowOff>114300</xdr:rowOff>
        </xdr:from>
        <xdr:to>
          <xdr:col>1</xdr:col>
          <xdr:colOff>85725</xdr:colOff>
          <xdr:row>80</xdr:row>
          <xdr:rowOff>66675</xdr:rowOff>
        </xdr:to>
        <xdr:sp macro="" textlink="">
          <xdr:nvSpPr>
            <xdr:cNvPr id="1104" name="Check Box 80" descr="ITOM" hidden="1">
              <a:extLst>
                <a:ext uri="{63B3BB69-23CF-44E3-9099-C40C66FF867C}">
                  <a14:compatExt spid="_x0000_s1104"/>
                </a:ext>
                <a:ext uri="{FF2B5EF4-FFF2-40B4-BE49-F238E27FC236}">
                  <a16:creationId xmlns:a16="http://schemas.microsoft.com/office/drawing/2014/main" id="{00000000-0008-0000-0100-00005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79</xdr:row>
          <xdr:rowOff>114300</xdr:rowOff>
        </xdr:from>
        <xdr:to>
          <xdr:col>1</xdr:col>
          <xdr:colOff>85725</xdr:colOff>
          <xdr:row>81</xdr:row>
          <xdr:rowOff>66675</xdr:rowOff>
        </xdr:to>
        <xdr:sp macro="" textlink="">
          <xdr:nvSpPr>
            <xdr:cNvPr id="1105" name="Check Box 81" descr="ITOM" hidden="1">
              <a:extLst>
                <a:ext uri="{63B3BB69-23CF-44E3-9099-C40C66FF867C}">
                  <a14:compatExt spid="_x0000_s1105"/>
                </a:ext>
                <a:ext uri="{FF2B5EF4-FFF2-40B4-BE49-F238E27FC236}">
                  <a16:creationId xmlns:a16="http://schemas.microsoft.com/office/drawing/2014/main" id="{00000000-0008-0000-0100-00005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80</xdr:row>
          <xdr:rowOff>114300</xdr:rowOff>
        </xdr:from>
        <xdr:to>
          <xdr:col>1</xdr:col>
          <xdr:colOff>85725</xdr:colOff>
          <xdr:row>82</xdr:row>
          <xdr:rowOff>66675</xdr:rowOff>
        </xdr:to>
        <xdr:sp macro="" textlink="">
          <xdr:nvSpPr>
            <xdr:cNvPr id="1106" name="Check Box 82" descr="ITOM" hidden="1">
              <a:extLst>
                <a:ext uri="{63B3BB69-23CF-44E3-9099-C40C66FF867C}">
                  <a14:compatExt spid="_x0000_s1106"/>
                </a:ext>
                <a:ext uri="{FF2B5EF4-FFF2-40B4-BE49-F238E27FC236}">
                  <a16:creationId xmlns:a16="http://schemas.microsoft.com/office/drawing/2014/main" id="{00000000-0008-0000-0100-00005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81</xdr:row>
          <xdr:rowOff>114300</xdr:rowOff>
        </xdr:from>
        <xdr:to>
          <xdr:col>1</xdr:col>
          <xdr:colOff>85725</xdr:colOff>
          <xdr:row>83</xdr:row>
          <xdr:rowOff>66675</xdr:rowOff>
        </xdr:to>
        <xdr:sp macro="" textlink="">
          <xdr:nvSpPr>
            <xdr:cNvPr id="1107" name="Check Box 83" descr="ITOM" hidden="1">
              <a:extLst>
                <a:ext uri="{63B3BB69-23CF-44E3-9099-C40C66FF867C}">
                  <a14:compatExt spid="_x0000_s1107"/>
                </a:ext>
                <a:ext uri="{FF2B5EF4-FFF2-40B4-BE49-F238E27FC236}">
                  <a16:creationId xmlns:a16="http://schemas.microsoft.com/office/drawing/2014/main" id="{00000000-0008-0000-0100-00005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82</xdr:row>
          <xdr:rowOff>114300</xdr:rowOff>
        </xdr:from>
        <xdr:to>
          <xdr:col>1</xdr:col>
          <xdr:colOff>85725</xdr:colOff>
          <xdr:row>84</xdr:row>
          <xdr:rowOff>66675</xdr:rowOff>
        </xdr:to>
        <xdr:sp macro="" textlink="">
          <xdr:nvSpPr>
            <xdr:cNvPr id="1108" name="Check Box 84" descr="ITOM" hidden="1">
              <a:extLst>
                <a:ext uri="{63B3BB69-23CF-44E3-9099-C40C66FF867C}">
                  <a14:compatExt spid="_x0000_s1108"/>
                </a:ext>
                <a:ext uri="{FF2B5EF4-FFF2-40B4-BE49-F238E27FC236}">
                  <a16:creationId xmlns:a16="http://schemas.microsoft.com/office/drawing/2014/main" id="{00000000-0008-0000-0100-00005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83</xdr:row>
          <xdr:rowOff>114300</xdr:rowOff>
        </xdr:from>
        <xdr:to>
          <xdr:col>1</xdr:col>
          <xdr:colOff>85725</xdr:colOff>
          <xdr:row>85</xdr:row>
          <xdr:rowOff>66675</xdr:rowOff>
        </xdr:to>
        <xdr:sp macro="" textlink="">
          <xdr:nvSpPr>
            <xdr:cNvPr id="1109" name="Check Box 85" descr="ITOM" hidden="1">
              <a:extLst>
                <a:ext uri="{63B3BB69-23CF-44E3-9099-C40C66FF867C}">
                  <a14:compatExt spid="_x0000_s1109"/>
                </a:ext>
                <a:ext uri="{FF2B5EF4-FFF2-40B4-BE49-F238E27FC236}">
                  <a16:creationId xmlns:a16="http://schemas.microsoft.com/office/drawing/2014/main" id="{00000000-0008-0000-0100-00005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84</xdr:row>
          <xdr:rowOff>114300</xdr:rowOff>
        </xdr:from>
        <xdr:to>
          <xdr:col>1</xdr:col>
          <xdr:colOff>85725</xdr:colOff>
          <xdr:row>86</xdr:row>
          <xdr:rowOff>66675</xdr:rowOff>
        </xdr:to>
        <xdr:sp macro="" textlink="">
          <xdr:nvSpPr>
            <xdr:cNvPr id="1110" name="Check Box 86" descr="ITOM" hidden="1">
              <a:extLst>
                <a:ext uri="{63B3BB69-23CF-44E3-9099-C40C66FF867C}">
                  <a14:compatExt spid="_x0000_s1110"/>
                </a:ext>
                <a:ext uri="{FF2B5EF4-FFF2-40B4-BE49-F238E27FC236}">
                  <a16:creationId xmlns:a16="http://schemas.microsoft.com/office/drawing/2014/main" id="{00000000-0008-0000-0100-00005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85</xdr:row>
          <xdr:rowOff>114300</xdr:rowOff>
        </xdr:from>
        <xdr:to>
          <xdr:col>1</xdr:col>
          <xdr:colOff>85725</xdr:colOff>
          <xdr:row>87</xdr:row>
          <xdr:rowOff>66675</xdr:rowOff>
        </xdr:to>
        <xdr:sp macro="" textlink="">
          <xdr:nvSpPr>
            <xdr:cNvPr id="1111" name="Check Box 87" descr="ITOM" hidden="1">
              <a:extLst>
                <a:ext uri="{63B3BB69-23CF-44E3-9099-C40C66FF867C}">
                  <a14:compatExt spid="_x0000_s1111"/>
                </a:ext>
                <a:ext uri="{FF2B5EF4-FFF2-40B4-BE49-F238E27FC236}">
                  <a16:creationId xmlns:a16="http://schemas.microsoft.com/office/drawing/2014/main" id="{00000000-0008-0000-0100-00005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86</xdr:row>
          <xdr:rowOff>114300</xdr:rowOff>
        </xdr:from>
        <xdr:to>
          <xdr:col>1</xdr:col>
          <xdr:colOff>85725</xdr:colOff>
          <xdr:row>88</xdr:row>
          <xdr:rowOff>66675</xdr:rowOff>
        </xdr:to>
        <xdr:sp macro="" textlink="">
          <xdr:nvSpPr>
            <xdr:cNvPr id="1112" name="Check Box 88" descr="ITOM" hidden="1">
              <a:extLst>
                <a:ext uri="{63B3BB69-23CF-44E3-9099-C40C66FF867C}">
                  <a14:compatExt spid="_x0000_s1112"/>
                </a:ext>
                <a:ext uri="{FF2B5EF4-FFF2-40B4-BE49-F238E27FC236}">
                  <a16:creationId xmlns:a16="http://schemas.microsoft.com/office/drawing/2014/main" id="{00000000-0008-0000-0100-00005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87</xdr:row>
          <xdr:rowOff>114300</xdr:rowOff>
        </xdr:from>
        <xdr:to>
          <xdr:col>1</xdr:col>
          <xdr:colOff>85725</xdr:colOff>
          <xdr:row>89</xdr:row>
          <xdr:rowOff>66675</xdr:rowOff>
        </xdr:to>
        <xdr:sp macro="" textlink="">
          <xdr:nvSpPr>
            <xdr:cNvPr id="1113" name="Check Box 89" descr="ITOM" hidden="1">
              <a:extLst>
                <a:ext uri="{63B3BB69-23CF-44E3-9099-C40C66FF867C}">
                  <a14:compatExt spid="_x0000_s1113"/>
                </a:ext>
                <a:ext uri="{FF2B5EF4-FFF2-40B4-BE49-F238E27FC236}">
                  <a16:creationId xmlns:a16="http://schemas.microsoft.com/office/drawing/2014/main" id="{00000000-0008-0000-0100-00005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88</xdr:row>
          <xdr:rowOff>114300</xdr:rowOff>
        </xdr:from>
        <xdr:to>
          <xdr:col>1</xdr:col>
          <xdr:colOff>85725</xdr:colOff>
          <xdr:row>90</xdr:row>
          <xdr:rowOff>66675</xdr:rowOff>
        </xdr:to>
        <xdr:sp macro="" textlink="">
          <xdr:nvSpPr>
            <xdr:cNvPr id="1114" name="Check Box 90" descr="ITOM" hidden="1">
              <a:extLst>
                <a:ext uri="{63B3BB69-23CF-44E3-9099-C40C66FF867C}">
                  <a14:compatExt spid="_x0000_s1114"/>
                </a:ext>
                <a:ext uri="{FF2B5EF4-FFF2-40B4-BE49-F238E27FC236}">
                  <a16:creationId xmlns:a16="http://schemas.microsoft.com/office/drawing/2014/main" id="{00000000-0008-0000-0100-00005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89</xdr:row>
          <xdr:rowOff>114300</xdr:rowOff>
        </xdr:from>
        <xdr:to>
          <xdr:col>1</xdr:col>
          <xdr:colOff>85725</xdr:colOff>
          <xdr:row>91</xdr:row>
          <xdr:rowOff>66675</xdr:rowOff>
        </xdr:to>
        <xdr:sp macro="" textlink="">
          <xdr:nvSpPr>
            <xdr:cNvPr id="1115" name="Check Box 91" descr="ITOM" hidden="1">
              <a:extLst>
                <a:ext uri="{63B3BB69-23CF-44E3-9099-C40C66FF867C}">
                  <a14:compatExt spid="_x0000_s1115"/>
                </a:ext>
                <a:ext uri="{FF2B5EF4-FFF2-40B4-BE49-F238E27FC236}">
                  <a16:creationId xmlns:a16="http://schemas.microsoft.com/office/drawing/2014/main" id="{00000000-0008-0000-0100-00005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90</xdr:row>
          <xdr:rowOff>114300</xdr:rowOff>
        </xdr:from>
        <xdr:to>
          <xdr:col>1</xdr:col>
          <xdr:colOff>85725</xdr:colOff>
          <xdr:row>92</xdr:row>
          <xdr:rowOff>66675</xdr:rowOff>
        </xdr:to>
        <xdr:sp macro="" textlink="">
          <xdr:nvSpPr>
            <xdr:cNvPr id="1116" name="Check Box 92" descr="ITOM" hidden="1">
              <a:extLst>
                <a:ext uri="{63B3BB69-23CF-44E3-9099-C40C66FF867C}">
                  <a14:compatExt spid="_x0000_s1116"/>
                </a:ext>
                <a:ext uri="{FF2B5EF4-FFF2-40B4-BE49-F238E27FC236}">
                  <a16:creationId xmlns:a16="http://schemas.microsoft.com/office/drawing/2014/main" id="{00000000-0008-0000-0100-00005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91</xdr:row>
          <xdr:rowOff>114300</xdr:rowOff>
        </xdr:from>
        <xdr:to>
          <xdr:col>1</xdr:col>
          <xdr:colOff>85725</xdr:colOff>
          <xdr:row>93</xdr:row>
          <xdr:rowOff>66675</xdr:rowOff>
        </xdr:to>
        <xdr:sp macro="" textlink="">
          <xdr:nvSpPr>
            <xdr:cNvPr id="1117" name="Check Box 93" descr="ITOM" hidden="1">
              <a:extLst>
                <a:ext uri="{63B3BB69-23CF-44E3-9099-C40C66FF867C}">
                  <a14:compatExt spid="_x0000_s1117"/>
                </a:ext>
                <a:ext uri="{FF2B5EF4-FFF2-40B4-BE49-F238E27FC236}">
                  <a16:creationId xmlns:a16="http://schemas.microsoft.com/office/drawing/2014/main" id="{00000000-0008-0000-0100-00005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92</xdr:row>
          <xdr:rowOff>114300</xdr:rowOff>
        </xdr:from>
        <xdr:to>
          <xdr:col>1</xdr:col>
          <xdr:colOff>85725</xdr:colOff>
          <xdr:row>94</xdr:row>
          <xdr:rowOff>66675</xdr:rowOff>
        </xdr:to>
        <xdr:sp macro="" textlink="">
          <xdr:nvSpPr>
            <xdr:cNvPr id="1118" name="Check Box 94" descr="ITOM" hidden="1">
              <a:extLst>
                <a:ext uri="{63B3BB69-23CF-44E3-9099-C40C66FF867C}">
                  <a14:compatExt spid="_x0000_s1118"/>
                </a:ext>
                <a:ext uri="{FF2B5EF4-FFF2-40B4-BE49-F238E27FC236}">
                  <a16:creationId xmlns:a16="http://schemas.microsoft.com/office/drawing/2014/main" id="{00000000-0008-0000-0100-00005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93</xdr:row>
          <xdr:rowOff>114300</xdr:rowOff>
        </xdr:from>
        <xdr:to>
          <xdr:col>1</xdr:col>
          <xdr:colOff>85725</xdr:colOff>
          <xdr:row>95</xdr:row>
          <xdr:rowOff>66675</xdr:rowOff>
        </xdr:to>
        <xdr:sp macro="" textlink="">
          <xdr:nvSpPr>
            <xdr:cNvPr id="1119" name="Check Box 95" descr="ITOM" hidden="1">
              <a:extLst>
                <a:ext uri="{63B3BB69-23CF-44E3-9099-C40C66FF867C}">
                  <a14:compatExt spid="_x0000_s1119"/>
                </a:ext>
                <a:ext uri="{FF2B5EF4-FFF2-40B4-BE49-F238E27FC236}">
                  <a16:creationId xmlns:a16="http://schemas.microsoft.com/office/drawing/2014/main" id="{00000000-0008-0000-0100-00005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94</xdr:row>
          <xdr:rowOff>114300</xdr:rowOff>
        </xdr:from>
        <xdr:to>
          <xdr:col>1</xdr:col>
          <xdr:colOff>85725</xdr:colOff>
          <xdr:row>96</xdr:row>
          <xdr:rowOff>66675</xdr:rowOff>
        </xdr:to>
        <xdr:sp macro="" textlink="">
          <xdr:nvSpPr>
            <xdr:cNvPr id="1120" name="Check Box 96" descr="ITOM" hidden="1">
              <a:extLst>
                <a:ext uri="{63B3BB69-23CF-44E3-9099-C40C66FF867C}">
                  <a14:compatExt spid="_x0000_s1120"/>
                </a:ext>
                <a:ext uri="{FF2B5EF4-FFF2-40B4-BE49-F238E27FC236}">
                  <a16:creationId xmlns:a16="http://schemas.microsoft.com/office/drawing/2014/main" id="{00000000-0008-0000-0100-00006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95</xdr:row>
          <xdr:rowOff>114300</xdr:rowOff>
        </xdr:from>
        <xdr:to>
          <xdr:col>1</xdr:col>
          <xdr:colOff>85725</xdr:colOff>
          <xdr:row>97</xdr:row>
          <xdr:rowOff>66675</xdr:rowOff>
        </xdr:to>
        <xdr:sp macro="" textlink="">
          <xdr:nvSpPr>
            <xdr:cNvPr id="1121" name="Check Box 97" descr="ITOM" hidden="1">
              <a:extLst>
                <a:ext uri="{63B3BB69-23CF-44E3-9099-C40C66FF867C}">
                  <a14:compatExt spid="_x0000_s1121"/>
                </a:ext>
                <a:ext uri="{FF2B5EF4-FFF2-40B4-BE49-F238E27FC236}">
                  <a16:creationId xmlns:a16="http://schemas.microsoft.com/office/drawing/2014/main" id="{00000000-0008-0000-0100-00006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96</xdr:row>
          <xdr:rowOff>114300</xdr:rowOff>
        </xdr:from>
        <xdr:to>
          <xdr:col>1</xdr:col>
          <xdr:colOff>85725</xdr:colOff>
          <xdr:row>98</xdr:row>
          <xdr:rowOff>66675</xdr:rowOff>
        </xdr:to>
        <xdr:sp macro="" textlink="">
          <xdr:nvSpPr>
            <xdr:cNvPr id="1122" name="Check Box 98" descr="ITOM" hidden="1">
              <a:extLst>
                <a:ext uri="{63B3BB69-23CF-44E3-9099-C40C66FF867C}">
                  <a14:compatExt spid="_x0000_s1122"/>
                </a:ext>
                <a:ext uri="{FF2B5EF4-FFF2-40B4-BE49-F238E27FC236}">
                  <a16:creationId xmlns:a16="http://schemas.microsoft.com/office/drawing/2014/main" id="{00000000-0008-0000-0100-00006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97</xdr:row>
          <xdr:rowOff>114300</xdr:rowOff>
        </xdr:from>
        <xdr:to>
          <xdr:col>1</xdr:col>
          <xdr:colOff>85725</xdr:colOff>
          <xdr:row>99</xdr:row>
          <xdr:rowOff>66675</xdr:rowOff>
        </xdr:to>
        <xdr:sp macro="" textlink="">
          <xdr:nvSpPr>
            <xdr:cNvPr id="1123" name="Check Box 99" descr="ITOM" hidden="1">
              <a:extLst>
                <a:ext uri="{63B3BB69-23CF-44E3-9099-C40C66FF867C}">
                  <a14:compatExt spid="_x0000_s1123"/>
                </a:ext>
                <a:ext uri="{FF2B5EF4-FFF2-40B4-BE49-F238E27FC236}">
                  <a16:creationId xmlns:a16="http://schemas.microsoft.com/office/drawing/2014/main" id="{00000000-0008-0000-0100-00006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98</xdr:row>
          <xdr:rowOff>114300</xdr:rowOff>
        </xdr:from>
        <xdr:to>
          <xdr:col>1</xdr:col>
          <xdr:colOff>85725</xdr:colOff>
          <xdr:row>100</xdr:row>
          <xdr:rowOff>66675</xdr:rowOff>
        </xdr:to>
        <xdr:sp macro="" textlink="">
          <xdr:nvSpPr>
            <xdr:cNvPr id="1124" name="Check Box 100" descr="ITOM" hidden="1">
              <a:extLst>
                <a:ext uri="{63B3BB69-23CF-44E3-9099-C40C66FF867C}">
                  <a14:compatExt spid="_x0000_s1124"/>
                </a:ext>
                <a:ext uri="{FF2B5EF4-FFF2-40B4-BE49-F238E27FC236}">
                  <a16:creationId xmlns:a16="http://schemas.microsoft.com/office/drawing/2014/main" id="{00000000-0008-0000-0100-00006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99</xdr:row>
          <xdr:rowOff>114300</xdr:rowOff>
        </xdr:from>
        <xdr:to>
          <xdr:col>1</xdr:col>
          <xdr:colOff>85725</xdr:colOff>
          <xdr:row>101</xdr:row>
          <xdr:rowOff>66675</xdr:rowOff>
        </xdr:to>
        <xdr:sp macro="" textlink="">
          <xdr:nvSpPr>
            <xdr:cNvPr id="1125" name="Check Box 101" descr="ITOM" hidden="1">
              <a:extLst>
                <a:ext uri="{63B3BB69-23CF-44E3-9099-C40C66FF867C}">
                  <a14:compatExt spid="_x0000_s1125"/>
                </a:ext>
                <a:ext uri="{FF2B5EF4-FFF2-40B4-BE49-F238E27FC236}">
                  <a16:creationId xmlns:a16="http://schemas.microsoft.com/office/drawing/2014/main" id="{00000000-0008-0000-0100-00006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100</xdr:row>
          <xdr:rowOff>114300</xdr:rowOff>
        </xdr:from>
        <xdr:to>
          <xdr:col>1</xdr:col>
          <xdr:colOff>85725</xdr:colOff>
          <xdr:row>102</xdr:row>
          <xdr:rowOff>66675</xdr:rowOff>
        </xdr:to>
        <xdr:sp macro="" textlink="">
          <xdr:nvSpPr>
            <xdr:cNvPr id="1126" name="Check Box 102" descr="ITOM" hidden="1">
              <a:extLst>
                <a:ext uri="{63B3BB69-23CF-44E3-9099-C40C66FF867C}">
                  <a14:compatExt spid="_x0000_s1126"/>
                </a:ext>
                <a:ext uri="{FF2B5EF4-FFF2-40B4-BE49-F238E27FC236}">
                  <a16:creationId xmlns:a16="http://schemas.microsoft.com/office/drawing/2014/main" id="{00000000-0008-0000-0100-00006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101</xdr:row>
          <xdr:rowOff>114300</xdr:rowOff>
        </xdr:from>
        <xdr:to>
          <xdr:col>1</xdr:col>
          <xdr:colOff>85725</xdr:colOff>
          <xdr:row>103</xdr:row>
          <xdr:rowOff>66675</xdr:rowOff>
        </xdr:to>
        <xdr:sp macro="" textlink="">
          <xdr:nvSpPr>
            <xdr:cNvPr id="1127" name="Check Box 103" descr="ITOM" hidden="1">
              <a:extLst>
                <a:ext uri="{63B3BB69-23CF-44E3-9099-C40C66FF867C}">
                  <a14:compatExt spid="_x0000_s1127"/>
                </a:ext>
                <a:ext uri="{FF2B5EF4-FFF2-40B4-BE49-F238E27FC236}">
                  <a16:creationId xmlns:a16="http://schemas.microsoft.com/office/drawing/2014/main" id="{00000000-0008-0000-0100-00006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102</xdr:row>
          <xdr:rowOff>114300</xdr:rowOff>
        </xdr:from>
        <xdr:to>
          <xdr:col>1</xdr:col>
          <xdr:colOff>85725</xdr:colOff>
          <xdr:row>104</xdr:row>
          <xdr:rowOff>66675</xdr:rowOff>
        </xdr:to>
        <xdr:sp macro="" textlink="">
          <xdr:nvSpPr>
            <xdr:cNvPr id="1128" name="Check Box 104" descr="ITOM" hidden="1">
              <a:extLst>
                <a:ext uri="{63B3BB69-23CF-44E3-9099-C40C66FF867C}">
                  <a14:compatExt spid="_x0000_s1128"/>
                </a:ext>
                <a:ext uri="{FF2B5EF4-FFF2-40B4-BE49-F238E27FC236}">
                  <a16:creationId xmlns:a16="http://schemas.microsoft.com/office/drawing/2014/main" id="{00000000-0008-0000-0100-00006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103</xdr:row>
          <xdr:rowOff>114300</xdr:rowOff>
        </xdr:from>
        <xdr:to>
          <xdr:col>1</xdr:col>
          <xdr:colOff>85725</xdr:colOff>
          <xdr:row>105</xdr:row>
          <xdr:rowOff>66675</xdr:rowOff>
        </xdr:to>
        <xdr:sp macro="" textlink="">
          <xdr:nvSpPr>
            <xdr:cNvPr id="1129" name="Check Box 105" descr="ITOM" hidden="1">
              <a:extLst>
                <a:ext uri="{63B3BB69-23CF-44E3-9099-C40C66FF867C}">
                  <a14:compatExt spid="_x0000_s1129"/>
                </a:ext>
                <a:ext uri="{FF2B5EF4-FFF2-40B4-BE49-F238E27FC236}">
                  <a16:creationId xmlns:a16="http://schemas.microsoft.com/office/drawing/2014/main" id="{00000000-0008-0000-0100-00006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104</xdr:row>
          <xdr:rowOff>114300</xdr:rowOff>
        </xdr:from>
        <xdr:to>
          <xdr:col>1</xdr:col>
          <xdr:colOff>85725</xdr:colOff>
          <xdr:row>106</xdr:row>
          <xdr:rowOff>66675</xdr:rowOff>
        </xdr:to>
        <xdr:sp macro="" textlink="">
          <xdr:nvSpPr>
            <xdr:cNvPr id="1130" name="Check Box 106" descr="ITOM" hidden="1">
              <a:extLst>
                <a:ext uri="{63B3BB69-23CF-44E3-9099-C40C66FF867C}">
                  <a14:compatExt spid="_x0000_s1130"/>
                </a:ext>
                <a:ext uri="{FF2B5EF4-FFF2-40B4-BE49-F238E27FC236}">
                  <a16:creationId xmlns:a16="http://schemas.microsoft.com/office/drawing/2014/main" id="{00000000-0008-0000-0100-00006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105</xdr:row>
          <xdr:rowOff>114300</xdr:rowOff>
        </xdr:from>
        <xdr:to>
          <xdr:col>1</xdr:col>
          <xdr:colOff>85725</xdr:colOff>
          <xdr:row>107</xdr:row>
          <xdr:rowOff>66675</xdr:rowOff>
        </xdr:to>
        <xdr:sp macro="" textlink="">
          <xdr:nvSpPr>
            <xdr:cNvPr id="1131" name="Check Box 107" descr="ITOM" hidden="1">
              <a:extLst>
                <a:ext uri="{63B3BB69-23CF-44E3-9099-C40C66FF867C}">
                  <a14:compatExt spid="_x0000_s1131"/>
                </a:ext>
                <a:ext uri="{FF2B5EF4-FFF2-40B4-BE49-F238E27FC236}">
                  <a16:creationId xmlns:a16="http://schemas.microsoft.com/office/drawing/2014/main" id="{00000000-0008-0000-0100-00006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106</xdr:row>
          <xdr:rowOff>114300</xdr:rowOff>
        </xdr:from>
        <xdr:to>
          <xdr:col>1</xdr:col>
          <xdr:colOff>85725</xdr:colOff>
          <xdr:row>108</xdr:row>
          <xdr:rowOff>66675</xdr:rowOff>
        </xdr:to>
        <xdr:sp macro="" textlink="">
          <xdr:nvSpPr>
            <xdr:cNvPr id="1132" name="Check Box 108" descr="ITOM" hidden="1">
              <a:extLst>
                <a:ext uri="{63B3BB69-23CF-44E3-9099-C40C66FF867C}">
                  <a14:compatExt spid="_x0000_s1132"/>
                </a:ext>
                <a:ext uri="{FF2B5EF4-FFF2-40B4-BE49-F238E27FC236}">
                  <a16:creationId xmlns:a16="http://schemas.microsoft.com/office/drawing/2014/main" id="{00000000-0008-0000-0100-00006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107</xdr:row>
          <xdr:rowOff>114300</xdr:rowOff>
        </xdr:from>
        <xdr:to>
          <xdr:col>1</xdr:col>
          <xdr:colOff>85725</xdr:colOff>
          <xdr:row>109</xdr:row>
          <xdr:rowOff>66675</xdr:rowOff>
        </xdr:to>
        <xdr:sp macro="" textlink="">
          <xdr:nvSpPr>
            <xdr:cNvPr id="1133" name="Check Box 109" descr="ITOM" hidden="1">
              <a:extLst>
                <a:ext uri="{63B3BB69-23CF-44E3-9099-C40C66FF867C}">
                  <a14:compatExt spid="_x0000_s1133"/>
                </a:ext>
                <a:ext uri="{FF2B5EF4-FFF2-40B4-BE49-F238E27FC236}">
                  <a16:creationId xmlns:a16="http://schemas.microsoft.com/office/drawing/2014/main" id="{00000000-0008-0000-0100-00006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108</xdr:row>
          <xdr:rowOff>114300</xdr:rowOff>
        </xdr:from>
        <xdr:to>
          <xdr:col>1</xdr:col>
          <xdr:colOff>85725</xdr:colOff>
          <xdr:row>110</xdr:row>
          <xdr:rowOff>66675</xdr:rowOff>
        </xdr:to>
        <xdr:sp macro="" textlink="">
          <xdr:nvSpPr>
            <xdr:cNvPr id="1134" name="Check Box 110" descr="ITOM" hidden="1">
              <a:extLst>
                <a:ext uri="{63B3BB69-23CF-44E3-9099-C40C66FF867C}">
                  <a14:compatExt spid="_x0000_s1134"/>
                </a:ext>
                <a:ext uri="{FF2B5EF4-FFF2-40B4-BE49-F238E27FC236}">
                  <a16:creationId xmlns:a16="http://schemas.microsoft.com/office/drawing/2014/main" id="{00000000-0008-0000-0100-00006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109</xdr:row>
          <xdr:rowOff>114300</xdr:rowOff>
        </xdr:from>
        <xdr:to>
          <xdr:col>1</xdr:col>
          <xdr:colOff>85725</xdr:colOff>
          <xdr:row>111</xdr:row>
          <xdr:rowOff>66675</xdr:rowOff>
        </xdr:to>
        <xdr:sp macro="" textlink="">
          <xdr:nvSpPr>
            <xdr:cNvPr id="1135" name="Check Box 111" descr="ITOM" hidden="1">
              <a:extLst>
                <a:ext uri="{63B3BB69-23CF-44E3-9099-C40C66FF867C}">
                  <a14:compatExt spid="_x0000_s1135"/>
                </a:ext>
                <a:ext uri="{FF2B5EF4-FFF2-40B4-BE49-F238E27FC236}">
                  <a16:creationId xmlns:a16="http://schemas.microsoft.com/office/drawing/2014/main" id="{00000000-0008-0000-0100-00006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110</xdr:row>
          <xdr:rowOff>114300</xdr:rowOff>
        </xdr:from>
        <xdr:to>
          <xdr:col>1</xdr:col>
          <xdr:colOff>85725</xdr:colOff>
          <xdr:row>112</xdr:row>
          <xdr:rowOff>66675</xdr:rowOff>
        </xdr:to>
        <xdr:sp macro="" textlink="">
          <xdr:nvSpPr>
            <xdr:cNvPr id="1136" name="Check Box 112" descr="ITOM" hidden="1">
              <a:extLst>
                <a:ext uri="{63B3BB69-23CF-44E3-9099-C40C66FF867C}">
                  <a14:compatExt spid="_x0000_s1136"/>
                </a:ext>
                <a:ext uri="{FF2B5EF4-FFF2-40B4-BE49-F238E27FC236}">
                  <a16:creationId xmlns:a16="http://schemas.microsoft.com/office/drawing/2014/main" id="{00000000-0008-0000-0100-00007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111</xdr:row>
          <xdr:rowOff>114300</xdr:rowOff>
        </xdr:from>
        <xdr:to>
          <xdr:col>1</xdr:col>
          <xdr:colOff>85725</xdr:colOff>
          <xdr:row>113</xdr:row>
          <xdr:rowOff>66675</xdr:rowOff>
        </xdr:to>
        <xdr:sp macro="" textlink="">
          <xdr:nvSpPr>
            <xdr:cNvPr id="1137" name="Check Box 113" descr="ITOM" hidden="1">
              <a:extLst>
                <a:ext uri="{63B3BB69-23CF-44E3-9099-C40C66FF867C}">
                  <a14:compatExt spid="_x0000_s1137"/>
                </a:ext>
                <a:ext uri="{FF2B5EF4-FFF2-40B4-BE49-F238E27FC236}">
                  <a16:creationId xmlns:a16="http://schemas.microsoft.com/office/drawing/2014/main" id="{00000000-0008-0000-0100-00007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112</xdr:row>
          <xdr:rowOff>114300</xdr:rowOff>
        </xdr:from>
        <xdr:to>
          <xdr:col>1</xdr:col>
          <xdr:colOff>85725</xdr:colOff>
          <xdr:row>114</xdr:row>
          <xdr:rowOff>66675</xdr:rowOff>
        </xdr:to>
        <xdr:sp macro="" textlink="">
          <xdr:nvSpPr>
            <xdr:cNvPr id="1138" name="Check Box 114" descr="ITOM" hidden="1">
              <a:extLst>
                <a:ext uri="{63B3BB69-23CF-44E3-9099-C40C66FF867C}">
                  <a14:compatExt spid="_x0000_s1138"/>
                </a:ext>
                <a:ext uri="{FF2B5EF4-FFF2-40B4-BE49-F238E27FC236}">
                  <a16:creationId xmlns:a16="http://schemas.microsoft.com/office/drawing/2014/main" id="{00000000-0008-0000-0100-00007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113</xdr:row>
          <xdr:rowOff>114300</xdr:rowOff>
        </xdr:from>
        <xdr:to>
          <xdr:col>1</xdr:col>
          <xdr:colOff>85725</xdr:colOff>
          <xdr:row>115</xdr:row>
          <xdr:rowOff>66675</xdr:rowOff>
        </xdr:to>
        <xdr:sp macro="" textlink="">
          <xdr:nvSpPr>
            <xdr:cNvPr id="1139" name="Check Box 115" descr="ITOM" hidden="1">
              <a:extLst>
                <a:ext uri="{63B3BB69-23CF-44E3-9099-C40C66FF867C}">
                  <a14:compatExt spid="_x0000_s1139"/>
                </a:ext>
                <a:ext uri="{FF2B5EF4-FFF2-40B4-BE49-F238E27FC236}">
                  <a16:creationId xmlns:a16="http://schemas.microsoft.com/office/drawing/2014/main" id="{00000000-0008-0000-0100-00007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114</xdr:row>
          <xdr:rowOff>114300</xdr:rowOff>
        </xdr:from>
        <xdr:to>
          <xdr:col>1</xdr:col>
          <xdr:colOff>85725</xdr:colOff>
          <xdr:row>116</xdr:row>
          <xdr:rowOff>66675</xdr:rowOff>
        </xdr:to>
        <xdr:sp macro="" textlink="">
          <xdr:nvSpPr>
            <xdr:cNvPr id="1140" name="Check Box 116" descr="ITOM" hidden="1">
              <a:extLst>
                <a:ext uri="{63B3BB69-23CF-44E3-9099-C40C66FF867C}">
                  <a14:compatExt spid="_x0000_s1140"/>
                </a:ext>
                <a:ext uri="{FF2B5EF4-FFF2-40B4-BE49-F238E27FC236}">
                  <a16:creationId xmlns:a16="http://schemas.microsoft.com/office/drawing/2014/main" id="{00000000-0008-0000-0100-00007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115</xdr:row>
          <xdr:rowOff>114300</xdr:rowOff>
        </xdr:from>
        <xdr:to>
          <xdr:col>1</xdr:col>
          <xdr:colOff>85725</xdr:colOff>
          <xdr:row>117</xdr:row>
          <xdr:rowOff>66675</xdr:rowOff>
        </xdr:to>
        <xdr:sp macro="" textlink="">
          <xdr:nvSpPr>
            <xdr:cNvPr id="1141" name="Check Box 117" descr="ITOM" hidden="1">
              <a:extLst>
                <a:ext uri="{63B3BB69-23CF-44E3-9099-C40C66FF867C}">
                  <a14:compatExt spid="_x0000_s1141"/>
                </a:ext>
                <a:ext uri="{FF2B5EF4-FFF2-40B4-BE49-F238E27FC236}">
                  <a16:creationId xmlns:a16="http://schemas.microsoft.com/office/drawing/2014/main" id="{00000000-0008-0000-0100-00007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116</xdr:row>
          <xdr:rowOff>114300</xdr:rowOff>
        </xdr:from>
        <xdr:to>
          <xdr:col>1</xdr:col>
          <xdr:colOff>85725</xdr:colOff>
          <xdr:row>118</xdr:row>
          <xdr:rowOff>66675</xdr:rowOff>
        </xdr:to>
        <xdr:sp macro="" textlink="">
          <xdr:nvSpPr>
            <xdr:cNvPr id="1142" name="Check Box 118" descr="ITOM" hidden="1">
              <a:extLst>
                <a:ext uri="{63B3BB69-23CF-44E3-9099-C40C66FF867C}">
                  <a14:compatExt spid="_x0000_s1142"/>
                </a:ext>
                <a:ext uri="{FF2B5EF4-FFF2-40B4-BE49-F238E27FC236}">
                  <a16:creationId xmlns:a16="http://schemas.microsoft.com/office/drawing/2014/main" id="{00000000-0008-0000-0100-00007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117</xdr:row>
          <xdr:rowOff>114300</xdr:rowOff>
        </xdr:from>
        <xdr:to>
          <xdr:col>1</xdr:col>
          <xdr:colOff>85725</xdr:colOff>
          <xdr:row>119</xdr:row>
          <xdr:rowOff>66675</xdr:rowOff>
        </xdr:to>
        <xdr:sp macro="" textlink="">
          <xdr:nvSpPr>
            <xdr:cNvPr id="1143" name="Check Box 119" descr="ITOM" hidden="1">
              <a:extLst>
                <a:ext uri="{63B3BB69-23CF-44E3-9099-C40C66FF867C}">
                  <a14:compatExt spid="_x0000_s1143"/>
                </a:ext>
                <a:ext uri="{FF2B5EF4-FFF2-40B4-BE49-F238E27FC236}">
                  <a16:creationId xmlns:a16="http://schemas.microsoft.com/office/drawing/2014/main" id="{00000000-0008-0000-0100-00007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118</xdr:row>
          <xdr:rowOff>114300</xdr:rowOff>
        </xdr:from>
        <xdr:to>
          <xdr:col>1</xdr:col>
          <xdr:colOff>85725</xdr:colOff>
          <xdr:row>120</xdr:row>
          <xdr:rowOff>66675</xdr:rowOff>
        </xdr:to>
        <xdr:sp macro="" textlink="">
          <xdr:nvSpPr>
            <xdr:cNvPr id="1144" name="Check Box 120" descr="ITOM" hidden="1">
              <a:extLst>
                <a:ext uri="{63B3BB69-23CF-44E3-9099-C40C66FF867C}">
                  <a14:compatExt spid="_x0000_s1144"/>
                </a:ext>
                <a:ext uri="{FF2B5EF4-FFF2-40B4-BE49-F238E27FC236}">
                  <a16:creationId xmlns:a16="http://schemas.microsoft.com/office/drawing/2014/main" id="{00000000-0008-0000-0100-00007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119</xdr:row>
          <xdr:rowOff>114300</xdr:rowOff>
        </xdr:from>
        <xdr:to>
          <xdr:col>1</xdr:col>
          <xdr:colOff>85725</xdr:colOff>
          <xdr:row>121</xdr:row>
          <xdr:rowOff>66675</xdr:rowOff>
        </xdr:to>
        <xdr:sp macro="" textlink="">
          <xdr:nvSpPr>
            <xdr:cNvPr id="1145" name="Check Box 121" descr="ITOM" hidden="1">
              <a:extLst>
                <a:ext uri="{63B3BB69-23CF-44E3-9099-C40C66FF867C}">
                  <a14:compatExt spid="_x0000_s1145"/>
                </a:ext>
                <a:ext uri="{FF2B5EF4-FFF2-40B4-BE49-F238E27FC236}">
                  <a16:creationId xmlns:a16="http://schemas.microsoft.com/office/drawing/2014/main" id="{00000000-0008-0000-0100-00007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120</xdr:row>
          <xdr:rowOff>114300</xdr:rowOff>
        </xdr:from>
        <xdr:to>
          <xdr:col>1</xdr:col>
          <xdr:colOff>85725</xdr:colOff>
          <xdr:row>122</xdr:row>
          <xdr:rowOff>66675</xdr:rowOff>
        </xdr:to>
        <xdr:sp macro="" textlink="">
          <xdr:nvSpPr>
            <xdr:cNvPr id="1146" name="Check Box 122" descr="ITOM" hidden="1">
              <a:extLst>
                <a:ext uri="{63B3BB69-23CF-44E3-9099-C40C66FF867C}">
                  <a14:compatExt spid="_x0000_s1146"/>
                </a:ext>
                <a:ext uri="{FF2B5EF4-FFF2-40B4-BE49-F238E27FC236}">
                  <a16:creationId xmlns:a16="http://schemas.microsoft.com/office/drawing/2014/main" id="{00000000-0008-0000-0100-00007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121</xdr:row>
          <xdr:rowOff>114300</xdr:rowOff>
        </xdr:from>
        <xdr:to>
          <xdr:col>1</xdr:col>
          <xdr:colOff>85725</xdr:colOff>
          <xdr:row>123</xdr:row>
          <xdr:rowOff>66675</xdr:rowOff>
        </xdr:to>
        <xdr:sp macro="" textlink="">
          <xdr:nvSpPr>
            <xdr:cNvPr id="1147" name="Check Box 123" descr="ITOM" hidden="1">
              <a:extLst>
                <a:ext uri="{63B3BB69-23CF-44E3-9099-C40C66FF867C}">
                  <a14:compatExt spid="_x0000_s1147"/>
                </a:ext>
                <a:ext uri="{FF2B5EF4-FFF2-40B4-BE49-F238E27FC236}">
                  <a16:creationId xmlns:a16="http://schemas.microsoft.com/office/drawing/2014/main" id="{00000000-0008-0000-0100-00007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122</xdr:row>
          <xdr:rowOff>114300</xdr:rowOff>
        </xdr:from>
        <xdr:to>
          <xdr:col>1</xdr:col>
          <xdr:colOff>85725</xdr:colOff>
          <xdr:row>124</xdr:row>
          <xdr:rowOff>66675</xdr:rowOff>
        </xdr:to>
        <xdr:sp macro="" textlink="">
          <xdr:nvSpPr>
            <xdr:cNvPr id="1148" name="Check Box 124" descr="ITOM" hidden="1">
              <a:extLst>
                <a:ext uri="{63B3BB69-23CF-44E3-9099-C40C66FF867C}">
                  <a14:compatExt spid="_x0000_s1148"/>
                </a:ext>
                <a:ext uri="{FF2B5EF4-FFF2-40B4-BE49-F238E27FC236}">
                  <a16:creationId xmlns:a16="http://schemas.microsoft.com/office/drawing/2014/main" id="{00000000-0008-0000-0100-00007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123</xdr:row>
          <xdr:rowOff>114300</xdr:rowOff>
        </xdr:from>
        <xdr:to>
          <xdr:col>1</xdr:col>
          <xdr:colOff>85725</xdr:colOff>
          <xdr:row>125</xdr:row>
          <xdr:rowOff>66675</xdr:rowOff>
        </xdr:to>
        <xdr:sp macro="" textlink="">
          <xdr:nvSpPr>
            <xdr:cNvPr id="1149" name="Check Box 125" descr="ITOM" hidden="1">
              <a:extLst>
                <a:ext uri="{63B3BB69-23CF-44E3-9099-C40C66FF867C}">
                  <a14:compatExt spid="_x0000_s1149"/>
                </a:ext>
                <a:ext uri="{FF2B5EF4-FFF2-40B4-BE49-F238E27FC236}">
                  <a16:creationId xmlns:a16="http://schemas.microsoft.com/office/drawing/2014/main" id="{00000000-0008-0000-0100-00007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124</xdr:row>
          <xdr:rowOff>114300</xdr:rowOff>
        </xdr:from>
        <xdr:to>
          <xdr:col>1</xdr:col>
          <xdr:colOff>85725</xdr:colOff>
          <xdr:row>126</xdr:row>
          <xdr:rowOff>66675</xdr:rowOff>
        </xdr:to>
        <xdr:sp macro="" textlink="">
          <xdr:nvSpPr>
            <xdr:cNvPr id="1150" name="Check Box 126" descr="ITOM" hidden="1">
              <a:extLst>
                <a:ext uri="{63B3BB69-23CF-44E3-9099-C40C66FF867C}">
                  <a14:compatExt spid="_x0000_s1150"/>
                </a:ext>
                <a:ext uri="{FF2B5EF4-FFF2-40B4-BE49-F238E27FC236}">
                  <a16:creationId xmlns:a16="http://schemas.microsoft.com/office/drawing/2014/main" id="{00000000-0008-0000-0100-00007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125</xdr:row>
          <xdr:rowOff>114300</xdr:rowOff>
        </xdr:from>
        <xdr:to>
          <xdr:col>1</xdr:col>
          <xdr:colOff>85725</xdr:colOff>
          <xdr:row>127</xdr:row>
          <xdr:rowOff>66675</xdr:rowOff>
        </xdr:to>
        <xdr:sp macro="" textlink="">
          <xdr:nvSpPr>
            <xdr:cNvPr id="1151" name="Check Box 127" descr="ITOM" hidden="1">
              <a:extLst>
                <a:ext uri="{63B3BB69-23CF-44E3-9099-C40C66FF867C}">
                  <a14:compatExt spid="_x0000_s1151"/>
                </a:ext>
                <a:ext uri="{FF2B5EF4-FFF2-40B4-BE49-F238E27FC236}">
                  <a16:creationId xmlns:a16="http://schemas.microsoft.com/office/drawing/2014/main" id="{00000000-0008-0000-0100-00007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126</xdr:row>
          <xdr:rowOff>114300</xdr:rowOff>
        </xdr:from>
        <xdr:to>
          <xdr:col>1</xdr:col>
          <xdr:colOff>85725</xdr:colOff>
          <xdr:row>128</xdr:row>
          <xdr:rowOff>66675</xdr:rowOff>
        </xdr:to>
        <xdr:sp macro="" textlink="">
          <xdr:nvSpPr>
            <xdr:cNvPr id="1152" name="Check Box 128" descr="ITOM" hidden="1">
              <a:extLst>
                <a:ext uri="{63B3BB69-23CF-44E3-9099-C40C66FF867C}">
                  <a14:compatExt spid="_x0000_s1152"/>
                </a:ext>
                <a:ext uri="{FF2B5EF4-FFF2-40B4-BE49-F238E27FC236}">
                  <a16:creationId xmlns:a16="http://schemas.microsoft.com/office/drawing/2014/main" id="{00000000-0008-0000-0100-00008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127</xdr:row>
          <xdr:rowOff>114300</xdr:rowOff>
        </xdr:from>
        <xdr:to>
          <xdr:col>1</xdr:col>
          <xdr:colOff>85725</xdr:colOff>
          <xdr:row>129</xdr:row>
          <xdr:rowOff>66675</xdr:rowOff>
        </xdr:to>
        <xdr:sp macro="" textlink="">
          <xdr:nvSpPr>
            <xdr:cNvPr id="1153" name="Check Box 129" descr="ITOM" hidden="1">
              <a:extLst>
                <a:ext uri="{63B3BB69-23CF-44E3-9099-C40C66FF867C}">
                  <a14:compatExt spid="_x0000_s1153"/>
                </a:ext>
                <a:ext uri="{FF2B5EF4-FFF2-40B4-BE49-F238E27FC236}">
                  <a16:creationId xmlns:a16="http://schemas.microsoft.com/office/drawing/2014/main" id="{00000000-0008-0000-0100-00008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128</xdr:row>
          <xdr:rowOff>114300</xdr:rowOff>
        </xdr:from>
        <xdr:to>
          <xdr:col>1</xdr:col>
          <xdr:colOff>85725</xdr:colOff>
          <xdr:row>130</xdr:row>
          <xdr:rowOff>66675</xdr:rowOff>
        </xdr:to>
        <xdr:sp macro="" textlink="">
          <xdr:nvSpPr>
            <xdr:cNvPr id="1154" name="Check Box 130" descr="ITOM" hidden="1">
              <a:extLst>
                <a:ext uri="{63B3BB69-23CF-44E3-9099-C40C66FF867C}">
                  <a14:compatExt spid="_x0000_s1154"/>
                </a:ext>
                <a:ext uri="{FF2B5EF4-FFF2-40B4-BE49-F238E27FC236}">
                  <a16:creationId xmlns:a16="http://schemas.microsoft.com/office/drawing/2014/main" id="{00000000-0008-0000-0100-00008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129</xdr:row>
          <xdr:rowOff>114300</xdr:rowOff>
        </xdr:from>
        <xdr:to>
          <xdr:col>1</xdr:col>
          <xdr:colOff>85725</xdr:colOff>
          <xdr:row>131</xdr:row>
          <xdr:rowOff>66675</xdr:rowOff>
        </xdr:to>
        <xdr:sp macro="" textlink="">
          <xdr:nvSpPr>
            <xdr:cNvPr id="1155" name="Check Box 131" descr="ITOM" hidden="1">
              <a:extLst>
                <a:ext uri="{63B3BB69-23CF-44E3-9099-C40C66FF867C}">
                  <a14:compatExt spid="_x0000_s1155"/>
                </a:ext>
                <a:ext uri="{FF2B5EF4-FFF2-40B4-BE49-F238E27FC236}">
                  <a16:creationId xmlns:a16="http://schemas.microsoft.com/office/drawing/2014/main" id="{00000000-0008-0000-0100-00008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130</xdr:row>
          <xdr:rowOff>114300</xdr:rowOff>
        </xdr:from>
        <xdr:to>
          <xdr:col>1</xdr:col>
          <xdr:colOff>85725</xdr:colOff>
          <xdr:row>132</xdr:row>
          <xdr:rowOff>66675</xdr:rowOff>
        </xdr:to>
        <xdr:sp macro="" textlink="">
          <xdr:nvSpPr>
            <xdr:cNvPr id="1156" name="Check Box 132" descr="ITOM" hidden="1">
              <a:extLst>
                <a:ext uri="{63B3BB69-23CF-44E3-9099-C40C66FF867C}">
                  <a14:compatExt spid="_x0000_s1156"/>
                </a:ext>
                <a:ext uri="{FF2B5EF4-FFF2-40B4-BE49-F238E27FC236}">
                  <a16:creationId xmlns:a16="http://schemas.microsoft.com/office/drawing/2014/main" id="{00000000-0008-0000-0100-00008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131</xdr:row>
          <xdr:rowOff>114300</xdr:rowOff>
        </xdr:from>
        <xdr:to>
          <xdr:col>1</xdr:col>
          <xdr:colOff>85725</xdr:colOff>
          <xdr:row>133</xdr:row>
          <xdr:rowOff>66675</xdr:rowOff>
        </xdr:to>
        <xdr:sp macro="" textlink="">
          <xdr:nvSpPr>
            <xdr:cNvPr id="1157" name="Check Box 133" descr="ITOM" hidden="1">
              <a:extLst>
                <a:ext uri="{63B3BB69-23CF-44E3-9099-C40C66FF867C}">
                  <a14:compatExt spid="_x0000_s1157"/>
                </a:ext>
                <a:ext uri="{FF2B5EF4-FFF2-40B4-BE49-F238E27FC236}">
                  <a16:creationId xmlns:a16="http://schemas.microsoft.com/office/drawing/2014/main" id="{00000000-0008-0000-0100-00008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132</xdr:row>
          <xdr:rowOff>114300</xdr:rowOff>
        </xdr:from>
        <xdr:to>
          <xdr:col>1</xdr:col>
          <xdr:colOff>85725</xdr:colOff>
          <xdr:row>134</xdr:row>
          <xdr:rowOff>66675</xdr:rowOff>
        </xdr:to>
        <xdr:sp macro="" textlink="">
          <xdr:nvSpPr>
            <xdr:cNvPr id="1158" name="Check Box 134" descr="ITOM" hidden="1">
              <a:extLst>
                <a:ext uri="{63B3BB69-23CF-44E3-9099-C40C66FF867C}">
                  <a14:compatExt spid="_x0000_s1158"/>
                </a:ext>
                <a:ext uri="{FF2B5EF4-FFF2-40B4-BE49-F238E27FC236}">
                  <a16:creationId xmlns:a16="http://schemas.microsoft.com/office/drawing/2014/main" id="{00000000-0008-0000-0100-00008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133</xdr:row>
          <xdr:rowOff>114300</xdr:rowOff>
        </xdr:from>
        <xdr:to>
          <xdr:col>1</xdr:col>
          <xdr:colOff>85725</xdr:colOff>
          <xdr:row>135</xdr:row>
          <xdr:rowOff>66675</xdr:rowOff>
        </xdr:to>
        <xdr:sp macro="" textlink="">
          <xdr:nvSpPr>
            <xdr:cNvPr id="1159" name="Check Box 135" descr="ITOM" hidden="1">
              <a:extLst>
                <a:ext uri="{63B3BB69-23CF-44E3-9099-C40C66FF867C}">
                  <a14:compatExt spid="_x0000_s1159"/>
                </a:ext>
                <a:ext uri="{FF2B5EF4-FFF2-40B4-BE49-F238E27FC236}">
                  <a16:creationId xmlns:a16="http://schemas.microsoft.com/office/drawing/2014/main" id="{00000000-0008-0000-0100-00008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134</xdr:row>
          <xdr:rowOff>114300</xdr:rowOff>
        </xdr:from>
        <xdr:to>
          <xdr:col>1</xdr:col>
          <xdr:colOff>85725</xdr:colOff>
          <xdr:row>136</xdr:row>
          <xdr:rowOff>66675</xdr:rowOff>
        </xdr:to>
        <xdr:sp macro="" textlink="">
          <xdr:nvSpPr>
            <xdr:cNvPr id="1160" name="Check Box 136" descr="ITOM" hidden="1">
              <a:extLst>
                <a:ext uri="{63B3BB69-23CF-44E3-9099-C40C66FF867C}">
                  <a14:compatExt spid="_x0000_s1160"/>
                </a:ext>
                <a:ext uri="{FF2B5EF4-FFF2-40B4-BE49-F238E27FC236}">
                  <a16:creationId xmlns:a16="http://schemas.microsoft.com/office/drawing/2014/main" id="{00000000-0008-0000-0100-00008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135</xdr:row>
          <xdr:rowOff>114300</xdr:rowOff>
        </xdr:from>
        <xdr:to>
          <xdr:col>1</xdr:col>
          <xdr:colOff>85725</xdr:colOff>
          <xdr:row>137</xdr:row>
          <xdr:rowOff>66675</xdr:rowOff>
        </xdr:to>
        <xdr:sp macro="" textlink="">
          <xdr:nvSpPr>
            <xdr:cNvPr id="1161" name="Check Box 137" descr="ITOM" hidden="1">
              <a:extLst>
                <a:ext uri="{63B3BB69-23CF-44E3-9099-C40C66FF867C}">
                  <a14:compatExt spid="_x0000_s1161"/>
                </a:ext>
                <a:ext uri="{FF2B5EF4-FFF2-40B4-BE49-F238E27FC236}">
                  <a16:creationId xmlns:a16="http://schemas.microsoft.com/office/drawing/2014/main" id="{00000000-0008-0000-0100-00008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136</xdr:row>
          <xdr:rowOff>114300</xdr:rowOff>
        </xdr:from>
        <xdr:to>
          <xdr:col>1</xdr:col>
          <xdr:colOff>85725</xdr:colOff>
          <xdr:row>138</xdr:row>
          <xdr:rowOff>66675</xdr:rowOff>
        </xdr:to>
        <xdr:sp macro="" textlink="">
          <xdr:nvSpPr>
            <xdr:cNvPr id="1162" name="Check Box 138" descr="ITOM" hidden="1">
              <a:extLst>
                <a:ext uri="{63B3BB69-23CF-44E3-9099-C40C66FF867C}">
                  <a14:compatExt spid="_x0000_s1162"/>
                </a:ext>
                <a:ext uri="{FF2B5EF4-FFF2-40B4-BE49-F238E27FC236}">
                  <a16:creationId xmlns:a16="http://schemas.microsoft.com/office/drawing/2014/main" id="{00000000-0008-0000-0100-00008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10</xdr:row>
          <xdr:rowOff>114300</xdr:rowOff>
        </xdr:from>
        <xdr:to>
          <xdr:col>1</xdr:col>
          <xdr:colOff>85725</xdr:colOff>
          <xdr:row>12</xdr:row>
          <xdr:rowOff>66675</xdr:rowOff>
        </xdr:to>
        <xdr:sp macro="" textlink="">
          <xdr:nvSpPr>
            <xdr:cNvPr id="1164" name="Check Box 140" descr="ITOM" hidden="1">
              <a:extLst>
                <a:ext uri="{63B3BB69-23CF-44E3-9099-C40C66FF867C}">
                  <a14:compatExt spid="_x0000_s1164"/>
                </a:ext>
                <a:ext uri="{FF2B5EF4-FFF2-40B4-BE49-F238E27FC236}">
                  <a16:creationId xmlns:a16="http://schemas.microsoft.com/office/drawing/2014/main" id="{00000000-0008-0000-0100-00008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editAs="oneCell">
    <xdr:from>
      <xdr:col>3</xdr:col>
      <xdr:colOff>123825</xdr:colOff>
      <xdr:row>0</xdr:row>
      <xdr:rowOff>57150</xdr:rowOff>
    </xdr:from>
    <xdr:to>
      <xdr:col>4</xdr:col>
      <xdr:colOff>536121</xdr:colOff>
      <xdr:row>0</xdr:row>
      <xdr:rowOff>610019</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57900" y="57150"/>
          <a:ext cx="1021896" cy="55286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123825</xdr:colOff>
      <xdr:row>0</xdr:row>
      <xdr:rowOff>57150</xdr:rowOff>
    </xdr:from>
    <xdr:to>
      <xdr:col>4</xdr:col>
      <xdr:colOff>536121</xdr:colOff>
      <xdr:row>0</xdr:row>
      <xdr:rowOff>610019</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57900" y="57150"/>
          <a:ext cx="1021896" cy="55286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114300</xdr:colOff>
      <xdr:row>0</xdr:row>
      <xdr:rowOff>38100</xdr:rowOff>
    </xdr:from>
    <xdr:to>
      <xdr:col>4</xdr:col>
      <xdr:colOff>526596</xdr:colOff>
      <xdr:row>0</xdr:row>
      <xdr:rowOff>590969</xdr:rowOff>
    </xdr:to>
    <xdr:pic>
      <xdr:nvPicPr>
        <xdr:cNvPr id="3" name="Picture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48375" y="38100"/>
          <a:ext cx="1021896" cy="55286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123825</xdr:colOff>
      <xdr:row>0</xdr:row>
      <xdr:rowOff>43544</xdr:rowOff>
    </xdr:from>
    <xdr:to>
      <xdr:col>4</xdr:col>
      <xdr:colOff>536121</xdr:colOff>
      <xdr:row>0</xdr:row>
      <xdr:rowOff>596413</xdr:rowOff>
    </xdr:to>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57900" y="43544"/>
          <a:ext cx="1021896" cy="55286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4</xdr:col>
      <xdr:colOff>1389532</xdr:colOff>
      <xdr:row>0</xdr:row>
      <xdr:rowOff>66674</xdr:rowOff>
    </xdr:from>
    <xdr:to>
      <xdr:col>5</xdr:col>
      <xdr:colOff>1698926</xdr:colOff>
      <xdr:row>0</xdr:row>
      <xdr:rowOff>584651</xdr:rowOff>
    </xdr:to>
    <xdr:pic>
      <xdr:nvPicPr>
        <xdr:cNvPr id="2" name="Picture 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09885" y="66674"/>
          <a:ext cx="1828800" cy="516072"/>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7</xdr:col>
      <xdr:colOff>2038350</xdr:colOff>
      <xdr:row>81</xdr:row>
      <xdr:rowOff>114300</xdr:rowOff>
    </xdr:from>
    <xdr:to>
      <xdr:col>11</xdr:col>
      <xdr:colOff>1800225</xdr:colOff>
      <xdr:row>105</xdr:row>
      <xdr:rowOff>152400</xdr:rowOff>
    </xdr:to>
    <xdr:sp macro="" textlink="">
      <xdr:nvSpPr>
        <xdr:cNvPr id="2" name="TextBox 1">
          <a:extLst>
            <a:ext uri="{FF2B5EF4-FFF2-40B4-BE49-F238E27FC236}">
              <a16:creationId xmlns:a16="http://schemas.microsoft.com/office/drawing/2014/main" id="{00000000-0008-0000-1000-000002000000}"/>
            </a:ext>
          </a:extLst>
        </xdr:cNvPr>
        <xdr:cNvSpPr txBox="1"/>
      </xdr:nvSpPr>
      <xdr:spPr>
        <a:xfrm>
          <a:off x="7953375" y="16116300"/>
          <a:ext cx="9477375" cy="461010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FF0000"/>
              </a:solidFill>
            </a:rPr>
            <a:t>To create more roles, add roles in the Lists(s) sheet, the costs and standard rates in the (Std</a:t>
          </a:r>
          <a:r>
            <a:rPr lang="en-US" sz="1100" baseline="0">
              <a:solidFill>
                <a:srgbClr val="FF0000"/>
              </a:solidFill>
            </a:rPr>
            <a:t>Costs and StdRates sheet), and then </a:t>
          </a:r>
          <a:r>
            <a:rPr lang="en-US" sz="1100">
              <a:solidFill>
                <a:srgbClr val="FF0000"/>
              </a:solidFill>
            </a:rPr>
            <a:t>roles here for the new role and copy the formulas down. Update the prcing</a:t>
          </a:r>
          <a:r>
            <a:rPr lang="en-US" sz="1100" baseline="0">
              <a:solidFill>
                <a:srgbClr val="FF0000"/>
              </a:solidFill>
            </a:rPr>
            <a:t> sheets data validation lists to include the new role in the List(s) sheet.</a:t>
          </a:r>
          <a:endParaRPr lang="en-US" sz="1100">
            <a:solidFill>
              <a:srgbClr val="FF0000"/>
            </a:solidFill>
          </a:endParaRPr>
        </a:p>
      </xdr:txBody>
    </xdr:sp>
    <xdr:clientData/>
  </xdr:twoCellAnchor>
</xdr:wsDr>
</file>

<file path=xl/drawings/drawing9.xml><?xml version="1.0" encoding="utf-8"?>
<xdr:wsDr xmlns:xdr="http://schemas.openxmlformats.org/drawingml/2006/spreadsheetDrawing" xmlns:a="http://schemas.openxmlformats.org/drawingml/2006/main">
  <xdr:oneCellAnchor>
    <xdr:from>
      <xdr:col>8</xdr:col>
      <xdr:colOff>208621</xdr:colOff>
      <xdr:row>130</xdr:row>
      <xdr:rowOff>102685</xdr:rowOff>
    </xdr:from>
    <xdr:ext cx="3468963" cy="937629"/>
    <xdr:sp macro="" textlink="">
      <xdr:nvSpPr>
        <xdr:cNvPr id="2" name="Rectangle 1">
          <a:extLst>
            <a:ext uri="{FF2B5EF4-FFF2-40B4-BE49-F238E27FC236}">
              <a16:creationId xmlns:a16="http://schemas.microsoft.com/office/drawing/2014/main" id="{00000000-0008-0000-1400-000002000000}"/>
            </a:ext>
          </a:extLst>
        </xdr:cNvPr>
        <xdr:cNvSpPr/>
      </xdr:nvSpPr>
      <xdr:spPr>
        <a:xfrm rot="19979755">
          <a:off x="7180921" y="25458235"/>
          <a:ext cx="3468963" cy="937629"/>
        </a:xfrm>
        <a:prstGeom prst="rect">
          <a:avLst/>
        </a:prstGeom>
        <a:noFill/>
      </xdr:spPr>
      <xdr:txBody>
        <a:bodyPr wrap="none" lIns="91440" tIns="45720" rIns="91440" bIns="45720">
          <a:spAutoFit/>
        </a:bodyPr>
        <a:lstStyle/>
        <a:p>
          <a:pPr algn="ctr"/>
          <a:r>
            <a:rPr lang="en-US" sz="5400" b="1" cap="none" spc="0">
              <a:ln w="22225">
                <a:solidFill>
                  <a:schemeClr val="accent2"/>
                </a:solidFill>
                <a:prstDash val="solid"/>
              </a:ln>
              <a:solidFill>
                <a:schemeClr val="accent2">
                  <a:lumMod val="40000"/>
                  <a:lumOff val="60000"/>
                </a:schemeClr>
              </a:solidFill>
              <a:effectLst/>
            </a:rPr>
            <a:t>OBSOLETE?</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6</xdr:col>
      <xdr:colOff>1526020</xdr:colOff>
      <xdr:row>97</xdr:row>
      <xdr:rowOff>112210</xdr:rowOff>
    </xdr:from>
    <xdr:ext cx="8263673" cy="937629"/>
    <xdr:sp macro="" textlink="">
      <xdr:nvSpPr>
        <xdr:cNvPr id="2" name="Rectangle 1">
          <a:extLst>
            <a:ext uri="{FF2B5EF4-FFF2-40B4-BE49-F238E27FC236}">
              <a16:creationId xmlns:a16="http://schemas.microsoft.com/office/drawing/2014/main" id="{00000000-0008-0000-1500-000002000000}"/>
            </a:ext>
          </a:extLst>
        </xdr:cNvPr>
        <xdr:cNvSpPr/>
      </xdr:nvSpPr>
      <xdr:spPr>
        <a:xfrm>
          <a:off x="9736570" y="19162210"/>
          <a:ext cx="8263673" cy="937629"/>
        </a:xfrm>
        <a:prstGeom prst="rect">
          <a:avLst/>
        </a:prstGeom>
        <a:noFill/>
      </xdr:spPr>
      <xdr:txBody>
        <a:bodyPr wrap="none" lIns="91440" tIns="45720" rIns="91440" bIns="45720">
          <a:spAutoFit/>
        </a:bodyPr>
        <a:lstStyle/>
        <a:p>
          <a:pPr algn="ctr"/>
          <a:r>
            <a:rPr lang="en-US" sz="5400" b="1" cap="none" spc="0">
              <a:ln w="22225">
                <a:solidFill>
                  <a:schemeClr val="accent2"/>
                </a:solidFill>
                <a:prstDash val="solid"/>
              </a:ln>
              <a:solidFill>
                <a:schemeClr val="accent2">
                  <a:lumMod val="40000"/>
                  <a:lumOff val="60000"/>
                </a:schemeClr>
              </a:solidFill>
              <a:effectLst/>
            </a:rPr>
            <a:t>This replaces Costs</a:t>
          </a:r>
          <a:r>
            <a:rPr lang="en-US" sz="5400" b="1" cap="none" spc="0" baseline="0">
              <a:ln w="22225">
                <a:solidFill>
                  <a:schemeClr val="accent2"/>
                </a:solidFill>
                <a:prstDash val="solid"/>
              </a:ln>
              <a:solidFill>
                <a:schemeClr val="accent2">
                  <a:lumMod val="40000"/>
                  <a:lumOff val="60000"/>
                </a:schemeClr>
              </a:solidFill>
              <a:effectLst/>
            </a:rPr>
            <a:t> (2) sheet</a:t>
          </a:r>
          <a:endParaRPr lang="en-US" sz="5400" b="1" cap="none" spc="0">
            <a:ln w="22225">
              <a:solidFill>
                <a:schemeClr val="accent2"/>
              </a:solidFill>
              <a:prstDash val="solid"/>
            </a:ln>
            <a:solidFill>
              <a:schemeClr val="accent2">
                <a:lumMod val="40000"/>
                <a:lumOff val="60000"/>
              </a:schemeClr>
            </a:solidFill>
            <a:effectLst/>
          </a:endParaRPr>
        </a:p>
      </xdr:txBody>
    </xdr:sp>
    <xdr:clientData/>
  </xdr:oneCellAnchor>
</xdr:wsDr>
</file>

<file path=xl/drawings/drawing11.xml><?xml version="1.0" encoding="utf-8"?>
<xdr:wsDr xmlns:xdr="http://schemas.openxmlformats.org/drawingml/2006/spreadsheetDrawing" xmlns:a="http://schemas.openxmlformats.org/drawingml/2006/main">
  <xdr:twoCellAnchor editAs="oneCell">
    <xdr:from>
      <xdr:col>24</xdr:col>
      <xdr:colOff>133350</xdr:colOff>
      <xdr:row>0</xdr:row>
      <xdr:rowOff>57150</xdr:rowOff>
    </xdr:from>
    <xdr:to>
      <xdr:col>29</xdr:col>
      <xdr:colOff>66755</xdr:colOff>
      <xdr:row>0</xdr:row>
      <xdr:rowOff>573222</xdr:rowOff>
    </xdr:to>
    <xdr:pic>
      <xdr:nvPicPr>
        <xdr:cNvPr id="3" name="Picture 2">
          <a:extLst>
            <a:ext uri="{FF2B5EF4-FFF2-40B4-BE49-F238E27FC236}">
              <a16:creationId xmlns:a16="http://schemas.microsoft.com/office/drawing/2014/main" id="{00000000-0008-0000-18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582400" y="57150"/>
          <a:ext cx="1838405" cy="516072"/>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629771</xdr:colOff>
      <xdr:row>1</xdr:row>
      <xdr:rowOff>53429</xdr:rowOff>
    </xdr:to>
    <xdr:pic>
      <xdr:nvPicPr>
        <xdr:cNvPr id="2" name="Picture 1">
          <a:extLst>
            <a:ext uri="{FF2B5EF4-FFF2-40B4-BE49-F238E27FC236}">
              <a16:creationId xmlns:a16="http://schemas.microsoft.com/office/drawing/2014/main" id="{00000000-0008-0000-19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839446" cy="520154"/>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9</xdr:col>
      <xdr:colOff>857250</xdr:colOff>
      <xdr:row>0</xdr:row>
      <xdr:rowOff>116541</xdr:rowOff>
    </xdr:from>
    <xdr:to>
      <xdr:col>18</xdr:col>
      <xdr:colOff>575662</xdr:colOff>
      <xdr:row>1</xdr:row>
      <xdr:rowOff>3963</xdr:rowOff>
    </xdr:to>
    <xdr:pic>
      <xdr:nvPicPr>
        <xdr:cNvPr id="2" name="Picture 1">
          <a:extLst>
            <a:ext uri="{FF2B5EF4-FFF2-40B4-BE49-F238E27FC236}">
              <a16:creationId xmlns:a16="http://schemas.microsoft.com/office/drawing/2014/main" id="{00000000-0008-0000-1D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716250" y="116541"/>
          <a:ext cx="1852012" cy="516072"/>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23</xdr:row>
      <xdr:rowOff>0</xdr:rowOff>
    </xdr:from>
    <xdr:to>
      <xdr:col>9</xdr:col>
      <xdr:colOff>237005</xdr:colOff>
      <xdr:row>47</xdr:row>
      <xdr:rowOff>56030</xdr:rowOff>
    </xdr:to>
    <xdr:graphicFrame macro="">
      <xdr:nvGraphicFramePr>
        <xdr:cNvPr id="3" name="Chart 2">
          <a:extLst>
            <a:ext uri="{FF2B5EF4-FFF2-40B4-BE49-F238E27FC236}">
              <a16:creationId xmlns:a16="http://schemas.microsoft.com/office/drawing/2014/main" id="{00000000-0008-0000-2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editAs="oneCell">
    <xdr:from>
      <xdr:col>7</xdr:col>
      <xdr:colOff>9525</xdr:colOff>
      <xdr:row>4</xdr:row>
      <xdr:rowOff>19050</xdr:rowOff>
    </xdr:from>
    <xdr:to>
      <xdr:col>15</xdr:col>
      <xdr:colOff>396875</xdr:colOff>
      <xdr:row>36</xdr:row>
      <xdr:rowOff>19050</xdr:rowOff>
    </xdr:to>
    <xdr:pic>
      <xdr:nvPicPr>
        <xdr:cNvPr id="2" name="Picture 1">
          <a:extLst>
            <a:ext uri="{FF2B5EF4-FFF2-40B4-BE49-F238E27FC236}">
              <a16:creationId xmlns:a16="http://schemas.microsoft.com/office/drawing/2014/main" id="{00000000-0008-0000-23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72375" y="666750"/>
          <a:ext cx="5010150" cy="5791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6.xml><?xml version="1.0" encoding="utf-8"?>
<xdr:wsDr xmlns:xdr="http://schemas.openxmlformats.org/drawingml/2006/spreadsheetDrawing" xmlns:a="http://schemas.openxmlformats.org/drawingml/2006/main">
  <xdr:oneCellAnchor>
    <xdr:from>
      <xdr:col>0</xdr:col>
      <xdr:colOff>56903</xdr:colOff>
      <xdr:row>2</xdr:row>
      <xdr:rowOff>102685</xdr:rowOff>
    </xdr:from>
    <xdr:ext cx="6020302" cy="937629"/>
    <xdr:sp macro="" textlink="">
      <xdr:nvSpPr>
        <xdr:cNvPr id="2" name="Rectangle 1">
          <a:extLst>
            <a:ext uri="{FF2B5EF4-FFF2-40B4-BE49-F238E27FC236}">
              <a16:creationId xmlns:a16="http://schemas.microsoft.com/office/drawing/2014/main" id="{00000000-0008-0000-2400-000002000000}"/>
            </a:ext>
          </a:extLst>
        </xdr:cNvPr>
        <xdr:cNvSpPr/>
      </xdr:nvSpPr>
      <xdr:spPr>
        <a:xfrm rot="20563109">
          <a:off x="56903" y="864685"/>
          <a:ext cx="6020302" cy="937629"/>
        </a:xfrm>
        <a:prstGeom prst="rect">
          <a:avLst/>
        </a:prstGeom>
        <a:noFill/>
      </xdr:spPr>
      <xdr:txBody>
        <a:bodyPr wrap="none" lIns="91440" tIns="45720" rIns="91440" bIns="45720">
          <a:spAutoFit/>
        </a:bodyPr>
        <a:lstStyle/>
        <a:p>
          <a:pPr algn="ctr"/>
          <a:r>
            <a:rPr lang="en-US" sz="5400" b="1" cap="none" spc="0">
              <a:ln w="22225">
                <a:solidFill>
                  <a:schemeClr val="accent2"/>
                </a:solidFill>
                <a:prstDash val="solid"/>
              </a:ln>
              <a:solidFill>
                <a:schemeClr val="accent2">
                  <a:lumMod val="40000"/>
                  <a:lumOff val="60000"/>
                </a:schemeClr>
              </a:solidFill>
              <a:effectLst/>
            </a:rPr>
            <a:t>Obsolete as</a:t>
          </a:r>
          <a:r>
            <a:rPr lang="en-US" sz="5400" b="1" cap="none" spc="0" baseline="0">
              <a:ln w="22225">
                <a:solidFill>
                  <a:schemeClr val="accent2"/>
                </a:solidFill>
                <a:prstDash val="solid"/>
              </a:ln>
              <a:solidFill>
                <a:schemeClr val="accent2">
                  <a:lumMod val="40000"/>
                  <a:lumOff val="60000"/>
                </a:schemeClr>
              </a:solidFill>
              <a:effectLst/>
            </a:rPr>
            <a:t> of</a:t>
          </a:r>
          <a:r>
            <a:rPr lang="en-US" sz="5400" b="1" cap="none" spc="0">
              <a:ln w="22225">
                <a:solidFill>
                  <a:schemeClr val="accent2"/>
                </a:solidFill>
                <a:prstDash val="solid"/>
              </a:ln>
              <a:solidFill>
                <a:schemeClr val="accent2">
                  <a:lumMod val="40000"/>
                  <a:lumOff val="60000"/>
                </a:schemeClr>
              </a:solidFill>
              <a:effectLst/>
            </a:rPr>
            <a:t> 2024</a:t>
          </a:r>
        </a:p>
      </xdr:txBody>
    </xdr:sp>
    <xdr:clientData/>
  </xdr:oneCellAnchor>
</xdr:wsDr>
</file>

<file path=xl/drawings/drawing17.xml><?xml version="1.0" encoding="utf-8"?>
<xdr:wsDr xmlns:xdr="http://schemas.openxmlformats.org/drawingml/2006/spreadsheetDrawing" xmlns:a="http://schemas.openxmlformats.org/drawingml/2006/main">
  <xdr:twoCellAnchor editAs="oneCell">
    <xdr:from>
      <xdr:col>4</xdr:col>
      <xdr:colOff>3810000</xdr:colOff>
      <xdr:row>0</xdr:row>
      <xdr:rowOff>66675</xdr:rowOff>
    </xdr:from>
    <xdr:to>
      <xdr:col>5</xdr:col>
      <xdr:colOff>0</xdr:colOff>
      <xdr:row>0</xdr:row>
      <xdr:rowOff>582747</xdr:rowOff>
    </xdr:to>
    <xdr:pic>
      <xdr:nvPicPr>
        <xdr:cNvPr id="2" name="Picture 1">
          <a:extLst>
            <a:ext uri="{FF2B5EF4-FFF2-40B4-BE49-F238E27FC236}">
              <a16:creationId xmlns:a16="http://schemas.microsoft.com/office/drawing/2014/main" id="{00000000-0008-0000-25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34375" y="66675"/>
          <a:ext cx="1828800" cy="51607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https://highmetric.sharepoint.com/sites/Column-Group/highmetric/HighMetric%20Team%20Documents/Contracts/_AA-Templates/__Presales/QA%20Templates/01.%20Estimating%20File%20Template/Manticore%203.0%20-%20DRAFT/MANTICORE_TEMPLATE_SCOPECREATEDATE-YYYMMDD_CLIENTNAME_MODULES_v3.00.xlsx" TargetMode="External"/><Relationship Id="rId2" Type="http://schemas.microsoft.com/office/2019/04/relationships/externalLinkLongPath" Target="/sites/Column-Group/highmetric/HighMetric%20Team%20Documents/Contracts/_AA-Templates/__Presales/QA%20Templates/01.%20Estimating%20File%20Template/Manticore%203.0%20-%20DRAFT/MANTICORE_TEMPLATE_SCOPECREATEDATE-YYYMMDD_CLIENTNAME_MODULES_v3.00.xlsx?1A17C544" TargetMode="External"/><Relationship Id="rId1" Type="http://schemas.openxmlformats.org/officeDocument/2006/relationships/externalLinkPath" Target="file:///\\1A17C544\MANTICORE_TEMPLATE_SCOPECREATEDATE-YYYMMDD_CLIENTNAME_MODULES_v3.00.xlsx" TargetMode="External"/><Relationship Id="rId4" Type="http://schemas.openxmlformats.org/officeDocument/2006/relationships/externalLinkPath" Target="../../../../../sites/Column-Group/highmetric/HighMetric%20Team%20Documents/Contracts/_AA-Templates/__Presales/QA%20Templates/01.%20Estimating%20File%20Template/Manticore%203.0%20-%20DRAFT/MANTICORE_TEMPLATE_SCOPECREATEDATE-YYYMMDD_CLIENTNAME_MODULES_v3.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relativeUrl r:id="rId4"/>
    </xxl21:alternateUrls>
    <sheetNames>
      <sheetName val="Estimate - Master (2)"/>
      <sheetName val="Candace Working Notes"/>
      <sheetName val="INSTRUCTIONS"/>
      <sheetName val="Managed Services --&gt;"/>
      <sheetName val="MS - Deal Review Guidance"/>
      <sheetName val="MS Pricing"/>
      <sheetName val="MS Lookups"/>
      <sheetName val="Change Orders and Staff Aug --&gt;"/>
      <sheetName val="Basic Pricing File"/>
      <sheetName val="Manticore --&gt;"/>
      <sheetName val="Deal Review Guidance"/>
      <sheetName val="Oversight Guidance"/>
      <sheetName val="Opportunity Details"/>
      <sheetName val="Pricing"/>
      <sheetName val="Tasks and Estimates"/>
      <sheetName val="T&amp;E Summary"/>
      <sheetName val="Resource Plan"/>
      <sheetName val="Deal Review Preparation"/>
      <sheetName val="Manticore v3.0--&gt;"/>
      <sheetName val="1.0 Pricing &amp; Role Selection"/>
      <sheetName val="2.0 Scoping"/>
      <sheetName val="3.0 Allocate Hours"/>
      <sheetName val="Scoping Baseline Estimates"/>
      <sheetName val="Deal Review Preparation (3.0)"/>
      <sheetName val="Bill_Rates"/>
      <sheetName val="StdCosts and StdRates"/>
      <sheetName val="Variables"/>
      <sheetName val="FX"/>
      <sheetName val="Costs (2)"/>
      <sheetName val="Bill_Rates (backup)"/>
      <sheetName val="Roles"/>
      <sheetName val="SKP_Rates"/>
      <sheetName val="Estimate Summary"/>
      <sheetName val="Estimate - CSM - OLD"/>
      <sheetName val="Assumptions"/>
      <sheetName val="Milestone Fee Schedule"/>
      <sheetName val="Client Rates and Roles"/>
      <sheetName val="Estimate - Misc. Repository"/>
      <sheetName val="List"/>
      <sheetName val="Costs"/>
      <sheetName val="WBS + Timeline"/>
      <sheetName val="ScopingTasks"/>
      <sheetName val="Sheet2"/>
      <sheetName val="Lists (2)"/>
      <sheetName val="Skills"/>
      <sheetName val="Revision History"/>
      <sheetName val="TDATE"/>
      <sheetName val="Calc"/>
      <sheetName val="Estimate - OLD"/>
      <sheetName val="MANTICORE_TEMPLATE_SCOPECREAT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sheetData sheetId="15"/>
      <sheetData sheetId="16" refreshError="1"/>
      <sheetData sheetId="17" refreshError="1"/>
      <sheetData sheetId="18" refreshError="1"/>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Set>
  </externalBook>
</externalLink>
</file>

<file path=xl/persons/person.xml><?xml version="1.0" encoding="utf-8"?>
<personList xmlns="http://schemas.microsoft.com/office/spreadsheetml/2018/threadedcomments" xmlns:x="http://schemas.openxmlformats.org/spreadsheetml/2006/main">
  <person displayName="Brian Thoman" id="{3FC2D2D1-8B0D-4D3F-B7CC-0ECB2055197B}" userId="S::bthoman@columnit.com::4011087b-34b2-4056-82c3-dd833da24e58" providerId="AD"/>
  <person displayName="Scott Knecht" id="{81EB4EDE-69BD-4F6D-AEC0-0718493CA092}" userId="S::sknecht@highmetric.com::05c702c3-516b-4d7f-94e4-fe1a06a45a17"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C6EE422-3B11-4E58-B3AB-57A029284683}" autoFormatId="16" applyNumberFormats="0" applyBorderFormats="0" applyFontFormats="0" applyPatternFormats="0" applyAlignmentFormats="0" applyWidthHeightFormats="0">
  <queryTableRefresh nextId="4">
    <queryTableFields count="3">
      <queryTableField id="1" name="Role" tableColumnId="1"/>
      <queryTableField id="2" name="Phase" tableColumnId="2"/>
      <queryTableField id="3" name="Min" tableColumnId="3"/>
    </queryTableFields>
  </queryTableRefresh>
</queryTable>
</file>

<file path=xl/tables/_rels/table1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450A2A3-DAAA-454C-91A9-B7F0A249C560}" name="Table1456" displayName="Table1456" ref="C10:BB51" headerRowDxfId="921" dataDxfId="920" totalsRowDxfId="919">
  <autoFilter ref="C10:BB51" xr:uid="{CC2B6726-1993-4B48-AB8E-2DAA6AD9A10D}"/>
  <tableColumns count="52">
    <tableColumn id="85" xr3:uid="{5462AE56-2D54-4DD5-B1D5-09CA61DFF488}" name="Phase" totalsRowLabel="Total" dataDxfId="917" totalsRowDxfId="918"/>
    <tableColumn id="83" xr3:uid="{F9E330B4-8EC9-4C33-BCB4-510E196A383F}" name="Task" dataDxfId="915" totalsRowDxfId="916"/>
    <tableColumn id="84" xr3:uid="{B359B478-6BF2-4117-BBCD-8D6970264A94}" name="Description" dataDxfId="913" totalsRowDxfId="914"/>
    <tableColumn id="94" xr3:uid="{4619EAE3-C91F-48BD-BCD0-BB956F076506}" name="Assumption" dataDxfId="911" totalsRowDxfId="912"/>
    <tableColumn id="41" xr3:uid="{54002E55-C427-40EE-8321-5BDD1FD4492E}" name="Project Role" dataDxfId="909" totalsRowDxfId="910"/>
    <tableColumn id="93" xr3:uid="{1A676145-7C85-41E1-AFF4-FA6A7AD81E61}" name="Billable/ Non-Billable" dataDxfId="907" totalsRowDxfId="908"/>
    <tableColumn id="36" xr3:uid="{871EFE53-06D2-4634-84B7-75A0ACDCCC51}" name="Hours" dataDxfId="906"/>
    <tableColumn id="40" xr3:uid="{0D7C9022-C4C1-4067-A220-96B5EFDB218E}" name="Rate / HR" dataDxfId="904" totalsRowDxfId="905">
      <calculatedColumnFormula array="1">INDEX('Client Rates and Roles'!$F$2:$F$433,MATCH(1,COUNTIFS(#REF!,'Client Rates and Roles'!$D$2:$D$433,G11,'Client Rates and Roles'!$B$2:$B$433,H11,'Client Rates and Roles'!$C$2:$C$433,$C$6,'Client Rates and Roles'!$A$2:$A$433),0))</calculatedColumnFormula>
    </tableColumn>
    <tableColumn id="42" xr3:uid="{2071F596-5DA9-40E2-B354-2906BEA9203B}" name="Estimated Cost" dataDxfId="902" totalsRowDxfId="903">
      <calculatedColumnFormula>I11*J11</calculatedColumnFormula>
    </tableColumn>
    <tableColumn id="37" xr3:uid="{169AA07D-B177-49FB-9B78-7F762E6F7C66}" name="Additional PM Oversight" dataDxfId="900" totalsRowDxfId="901"/>
    <tableColumn id="44" xr3:uid="{1918E686-545B-41E7-BFAB-31DDBD1F0870}" name="Additional BA Oversight" dataDxfId="898" totalsRowDxfId="899"/>
    <tableColumn id="38" xr3:uid="{DBDF6347-63AD-41FF-953A-C785B3979852}" name="Additional SA Oversight" dataDxfId="896" totalsRowDxfId="897"/>
    <tableColumn id="2" xr3:uid="{7958EB5F-801A-4179-8D4E-D4A642200641}" name="Program Director _x000a_(IT Workflow - US)" dataDxfId="894" totalsRowDxfId="895"/>
    <tableColumn id="73" xr3:uid="{5AD3EA22-805D-41E9-A69A-2FC1B4C3347B}" name="Engagement Manager_x000a_(IT Workflow - US)" dataDxfId="892" totalsRowDxfId="893"/>
    <tableColumn id="77" xr3:uid="{9D66F017-CDBB-48E3-A116-113358CF1143}" name="Project Coordinator_x000a_(IT Workflow - US)" dataDxfId="890" totalsRowDxfId="891"/>
    <tableColumn id="78" xr3:uid="{60137B62-BD76-4D73-BE81-15AA67ECD8F8}" name="Chief Business Process Architect_x000a_(IT Workflow - US)" dataDxfId="888" totalsRowDxfId="889"/>
    <tableColumn id="79" xr3:uid="{8C9AF81C-FE6B-4343-A8E5-067FEC901972}" name="Business Process Architect_x000a_(IT Workflow - US)" dataDxfId="886" totalsRowDxfId="887"/>
    <tableColumn id="80" xr3:uid="{0ABD24F9-E529-4049-8C2E-9746CEF0BB54}" name="Business Analyst_x000a_(IT Workflow - US)" dataDxfId="884" totalsRowDxfId="885"/>
    <tableColumn id="81" xr3:uid="{164FA7FC-3FD8-4337-90ED-911FD1C8B956}" name="Chief Architect_x000a_(IT Workflow - US)" dataDxfId="882" totalsRowDxfId="883"/>
    <tableColumn id="27" xr3:uid="{AA256C32-FACA-41BB-AF4C-6F8669BDDEBB}" name="Solution Architect_x000a_(IT Workflow - US)" dataDxfId="880" totalsRowDxfId="881"/>
    <tableColumn id="26" xr3:uid="{FA66F533-2822-4EA3-A2CB-0149EDAB2799}" name="Platform Architect_x000a_(IT Workflow - US)" dataDxfId="878" totalsRowDxfId="879"/>
    <tableColumn id="25" xr3:uid="{15203B94-71CC-4D9C-9622-42E455992FE3}" name="Chief Engineer_x000a_(IT Workflow - US)" dataDxfId="876" totalsRowDxfId="877"/>
    <tableColumn id="24" xr3:uid="{85254324-BB59-46E0-9565-5D0DA8D3E3F1}" name="Lead Engineer_x000a_(IT Workflow - US)" dataDxfId="874" totalsRowDxfId="875"/>
    <tableColumn id="23" xr3:uid="{AB24E931-E4EA-4D54-B7D6-AFB3F3F2A1B4}" name="Engineer_x000a_(IT Workflow - US)" dataDxfId="872" totalsRowDxfId="873"/>
    <tableColumn id="1" xr3:uid="{F8F96A2B-E96D-4001-A709-C19984A9251B}" name="TOTAL _x000a_(IT Workflow - US)" totalsRowFunction="sum" dataDxfId="870" totalsRowDxfId="871">
      <calculatedColumnFormula>SUM(Table1456[[#This Row],[Program Director 
(IT Workflow - US)]:[Engineer
(IT Workflow - US)]])</calculatedColumnFormula>
    </tableColumn>
    <tableColumn id="3" xr3:uid="{77B52F67-7485-47A7-9245-93AE00FAE71C}" name="Notes (IT Workflow - US)" dataDxfId="868" totalsRowDxfId="869"/>
    <tableColumn id="4" xr3:uid="{42E2C271-2075-4F71-BF8A-0BD7F7A528CC}" name="Program Director _x000a_(Customer and Employee Workflow - US)" dataDxfId="866" totalsRowDxfId="867"/>
    <tableColumn id="5" xr3:uid="{B327F0C7-0194-4D08-99AB-A1E6B898358F}" name="Engagement Manager_x000a_(Customer and Employee Workflow - US)" dataDxfId="864" totalsRowDxfId="865"/>
    <tableColumn id="6" xr3:uid="{02ED120C-5B27-40FC-B84F-D52DCA2DD1B7}" name="Project Coordinator_x000a_(Customer and Employee Workflow - US)" dataDxfId="862" totalsRowDxfId="863"/>
    <tableColumn id="7" xr3:uid="{313AAA73-8BF6-4C03-AD79-826D734F1CFD}" name="Chief Business Process Architect_x000a_(Customer and Employee Workflow - US)" dataDxfId="860" totalsRowDxfId="861"/>
    <tableColumn id="8" xr3:uid="{DEA89CA7-8ADF-4C2F-944B-9959FFA26F29}" name="Business Process Architect_x000a_(Customer and Employee Workflow - US)" dataDxfId="858" totalsRowDxfId="859"/>
    <tableColumn id="9" xr3:uid="{ED4D794E-78AA-4E76-97CB-964D156CA733}" name="Business Analyst_x000a_(Customer and Employee Workflow - US)" dataDxfId="856" totalsRowDxfId="857"/>
    <tableColumn id="10" xr3:uid="{2FD0807E-2B0B-467B-8B37-93044E30E6D2}" name="Chief Architect_x000a_(Customer and Employee Workflow - US)" dataDxfId="854" totalsRowDxfId="855"/>
    <tableColumn id="11" xr3:uid="{49A2082B-8FFC-4359-8697-C256F826E834}" name="Solution Architect_x000a_(Customer and Employee Workflow - US)" dataDxfId="852" totalsRowDxfId="853"/>
    <tableColumn id="12" xr3:uid="{77D64FAA-4D3B-4A8B-9B67-79F4B644C77E}" name="Platform Architect_x000a_(Customer and Employee Workflow - US)" dataDxfId="850" totalsRowDxfId="851"/>
    <tableColumn id="13" xr3:uid="{E8A99C36-BC29-41AC-81CE-DCF25E36CF05}" name="Chief Engineer_x000a_(Customer and Employee Workflow - US)" dataDxfId="848" totalsRowDxfId="849"/>
    <tableColumn id="14" xr3:uid="{BA6E0AD7-DF75-4C13-A510-26051FFCDF27}" name="Lead Engineer_x000a_(Customer and Employee Workflow - US)" dataDxfId="846" totalsRowDxfId="847"/>
    <tableColumn id="15" xr3:uid="{28CB4C91-35B7-436A-AAD6-DB67EA022D74}" name="Engineer_x000a_(Customer and Employee Workflow - US)" dataDxfId="844" totalsRowDxfId="845"/>
    <tableColumn id="16" xr3:uid="{951573BC-3FA9-4063-9360-418BFEDDA8DC}" name="TOTAL_x000a_ (Customer and Employee Workflow - US)" dataDxfId="842" totalsRowDxfId="843">
      <calculatedColumnFormula>SUM(Table1456[[#This Row],[Program Director 
(Customer and Employee Workflow - US)]:[Engineer
(Customer and Employee Workflow - US)]])</calculatedColumnFormula>
    </tableColumn>
    <tableColumn id="17" xr3:uid="{C46FF8D4-0C7C-490D-A14B-207E17A6FECE}" name="Notes (Customer and Employee Workflow - US)" dataDxfId="840" totalsRowDxfId="841"/>
    <tableColumn id="18" xr3:uid="{CBB4C3CD-6B23-4C1A-BE23-7AC220A7FD1C}" name="Program Director _x000a_(IRM / SecOps - US)" dataDxfId="838" totalsRowDxfId="839"/>
    <tableColumn id="19" xr3:uid="{EE7EF0C7-9FBB-4639-A09F-335C4E7710EF}" name="Engagement Manager_x000a_(IRM / SecOps - US)" dataDxfId="836" totalsRowDxfId="837"/>
    <tableColumn id="20" xr3:uid="{DAD871E0-1BCD-4EBE-B793-4D4916DEABEA}" name="Project Coordinator_x000a_(IRM / SecOps - US)" dataDxfId="834" totalsRowDxfId="835"/>
    <tableColumn id="21" xr3:uid="{9AF9458E-10C6-4FFC-B905-7745AE61D884}" name="Chief Business Process Architect_x000a_(IRM / SecOps - US)" dataDxfId="832" totalsRowDxfId="833"/>
    <tableColumn id="22" xr3:uid="{3D7EDE64-269E-49A9-B5F9-68EEEB71B55F}" name="Business Process Architect_x000a_(IRM / SecOps - US)" dataDxfId="830" totalsRowDxfId="831"/>
    <tableColumn id="28" xr3:uid="{3BF8374B-592F-4E66-8DB3-2E0FABB7859F}" name="Business Analyst_x000a_(IRM / SecOps - US)" dataDxfId="828" totalsRowDxfId="829"/>
    <tableColumn id="29" xr3:uid="{EAAFE563-5702-493C-BCEF-60E29FA195F2}" name="Chief Architect_x000a_(IRM / SecOps - US)" dataDxfId="826" totalsRowDxfId="827"/>
    <tableColumn id="30" xr3:uid="{A4108C3D-87FF-4705-8992-3B2CD647552D}" name="Solution Architect_x000a_(IRM / SecOps - US)" dataDxfId="824" totalsRowDxfId="825"/>
    <tableColumn id="31" xr3:uid="{CE82E84D-350C-4B1A-839F-46E1E5373062}" name="Platform Architect_x000a_(IRM / SecOps - US)" dataDxfId="822" totalsRowDxfId="823"/>
    <tableColumn id="32" xr3:uid="{85077AB1-D0AA-4197-ADF9-A31FB5A06794}" name="Chief Engineer_x000a_(IRM / SecOps - US)" dataDxfId="820" totalsRowDxfId="821"/>
    <tableColumn id="33" xr3:uid="{38B63AB3-B1F7-4A63-97B2-0010ACED1D5F}" name="Lead Engineer_x000a_(IRM / SecOps - US)" dataDxfId="818" totalsRowDxfId="819"/>
    <tableColumn id="34" xr3:uid="{FAAC9587-E10E-4594-84A8-7BD843031E7A}" name="Engineer_x000a_(IRM / SecOps - US)" dataDxfId="816" totalsRowDxfId="81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6C17932-D47D-4329-B1A3-309CCAD1E97B}" name="TandE" displayName="TandE" ref="B1:Z151" totalsRowShown="0" headerRowDxfId="738" dataDxfId="737" headerRowBorderDxfId="735" tableBorderDxfId="736" totalsRowBorderDxfId="734">
  <autoFilter ref="B1:Z151" xr:uid="{36C17932-D47D-4329-B1A3-309CCAD1E97B}"/>
  <tableColumns count="25">
    <tableColumn id="2" xr3:uid="{2044CA0C-5E43-4221-96AA-96E06AFBE4B7}" name="Phase" dataDxfId="733"/>
    <tableColumn id="6" xr3:uid="{84A29358-5B2F-4A65-BC9D-2C4AAD710D0C}" name="Start Week" dataDxfId="732"/>
    <tableColumn id="9" xr3:uid="{9A61B134-16D8-4D1B-96D4-5610ADE1DCC1}" name="End Week" dataDxfId="731"/>
    <tableColumn id="3" xr3:uid="{D8E8FB9C-57C9-4EB6-A179-B2E6154DAD68}" name="Task" dataDxfId="730"/>
    <tableColumn id="4" xr3:uid="{05C03CC8-CB39-46D9-8697-B249F2C68DEB}" name="Description" dataDxfId="729"/>
    <tableColumn id="5" xr3:uid="{9C931CAB-7E28-4A1B-8AE4-75511413EB4E}" name="Assumption" dataDxfId="728"/>
    <tableColumn id="7" xr3:uid="{CD2C9915-DBF9-4003-8741-8DA9E7AEEB5A}" name="Hide Row from SOW" dataDxfId="727"/>
    <tableColumn id="1" xr3:uid="{603F491B-4475-48D3-8690-3E976FC561A7}" name="Practice" dataDxfId="726"/>
    <tableColumn id="39" xr3:uid="{BDC0F93C-8BA1-42E1-A47A-FE70730F9CB6}" name="Presales Notes (Internal)" dataDxfId="725"/>
    <tableColumn id="8" xr3:uid="{02B012DD-82D1-4B30-A471-CD7FE70A107F}" name="Billable/ Non-Billable" dataDxfId="724"/>
    <tableColumn id="10" xr3:uid="{81D10373-61D7-4E0D-8545-BD500E7F7BC9}" name="Role 1" dataDxfId="723"/>
    <tableColumn id="12" xr3:uid="{02E3E99C-219E-4C16-9924-455716A1E7F6}" name="Role 2" dataDxfId="722"/>
    <tableColumn id="14" xr3:uid="{F718B40C-A0D8-4B47-93A2-3D51A3092C73}" name="Role 3" dataDxfId="721"/>
    <tableColumn id="16" xr3:uid="{0FC824D4-3014-44AB-A87B-26C75C6D21D7}" name="Role 4" dataDxfId="720"/>
    <tableColumn id="18" xr3:uid="{6243FB74-4827-4BF1-847E-E00C9F91257E}" name="Role 5" dataDxfId="719"/>
    <tableColumn id="20" xr3:uid="{979F2EC6-338D-4F73-B9EB-A0691D7288D0}" name="Role 6" dataDxfId="718"/>
    <tableColumn id="22" xr3:uid="{FC3C38C4-A869-456E-B9C6-29A4B7693503}" name="Role 7" dataDxfId="717"/>
    <tableColumn id="24" xr3:uid="{C1B1A191-2831-427C-8AD1-7E35C1088757}" name="Role 8" dataDxfId="716"/>
    <tableColumn id="26" xr3:uid="{0223E1D1-24A8-403B-8162-E343E1021FAA}" name="Role 9" dataDxfId="715"/>
    <tableColumn id="28" xr3:uid="{05DD15EF-B229-4068-B5AA-CABC2126FC46}" name="Role 10" dataDxfId="714"/>
    <tableColumn id="30" xr3:uid="{CE84C7FF-B368-4AFE-BA6B-5DFEF32FB157}" name="Role 11" dataDxfId="713"/>
    <tableColumn id="32" xr3:uid="{93A3B62A-7F3F-4CE6-B9FE-8A49D7DD384C}" name="Role 12" dataDxfId="712"/>
    <tableColumn id="34" xr3:uid="{3C61843D-B8B5-4361-BBE3-86680726F44F}" name="Role 13" dataDxfId="711"/>
    <tableColumn id="36" xr3:uid="{BEAF5ADA-92C3-4454-9E2F-AE3D04933D8D}" name="Role 14" dataDxfId="710"/>
    <tableColumn id="38" xr3:uid="{6D2E5A42-5006-4AF2-9643-935CB9CC0E18}" name="Role 15" dataDxfId="709"/>
  </tableColumns>
  <tableStyleInfo name="TableStyleLight2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8FFD2A4A-B1BC-432C-BDA7-4A9F684AD40B}" name="RolesandSkills" displayName="RolesandSkills" ref="B154:S169" totalsRowShown="0" headerRowDxfId="708" dataDxfId="707" headerRowBorderDxfId="705" tableBorderDxfId="706" totalsRowBorderDxfId="704">
  <autoFilter ref="B154:S169" xr:uid="{8FFD2A4A-B1BC-432C-BDA7-4A9F684AD40B}"/>
  <tableColumns count="18">
    <tableColumn id="1" xr3:uid="{ABB22ABF-4636-4D2E-8768-6423A1FF62FD}" name="Role #" dataDxfId="703"/>
    <tableColumn id="6" xr3:uid="{099CD1D4-5867-42CF-BE55-EA3EE7B8AAB6}" name="Role + Practice" dataDxfId="702">
      <calculatedColumnFormula>IF(ISBLANK(RolesandSkills[[#This Row],[Role]]),"",RolesandSkills[[#This Row],[Role]]&amp;"-"&amp;RolesandSkills[[#This Row],[Practice]])</calculatedColumnFormula>
    </tableColumn>
    <tableColumn id="2" xr3:uid="{97FB5A70-B67D-44C0-A9C7-CFF98A98CD92}" name="Resource Location" dataDxfId="701">
      <calculatedColumnFormula>IF(ISBLANK(Pricing!D27),"",Pricing!D27)</calculatedColumnFormula>
    </tableColumn>
    <tableColumn id="13" xr3:uid="{0B23CAF9-354E-4FD8-A6E0-102CB72A2639}" name="Practice" dataDxfId="700">
      <calculatedColumnFormula>IF(ISBLANK(Pricing!T27),"",Pricing!T27)</calculatedColumnFormula>
    </tableColumn>
    <tableColumn id="18" xr3:uid="{3B0006A2-3604-424D-861E-1E4BD91BF221}" name="Skill #1" dataDxfId="699">
      <calculatedColumnFormula>IF(ISBLANK(Pricing!U27),"",Pricing!U27)</calculatedColumnFormula>
    </tableColumn>
    <tableColumn id="12" xr3:uid="{A68624C4-7FBD-4BD3-9588-36EF31029FD1}" name="Skill #2" dataDxfId="698">
      <calculatedColumnFormula>IF(ISBLANK(Pricing!V27),"",Pricing!V27)</calculatedColumnFormula>
    </tableColumn>
    <tableColumn id="7" xr3:uid="{7565414A-2224-4EDE-8301-45A36A27BF03}" name="Skill #3" dataDxfId="697">
      <calculatedColumnFormula>IF(ISBLANK(Pricing!W27),"",Pricing!W27)</calculatedColumnFormula>
    </tableColumn>
    <tableColumn id="8" xr3:uid="{EE9840BD-F68F-4260-A049-79B051021533}" name="Role" dataDxfId="696">
      <calculatedColumnFormula>IF(ISBLANK(Pricing!E27),"",Pricing!E27)</calculatedColumnFormula>
    </tableColumn>
    <tableColumn id="3" xr3:uid="{8B9EF2E6-80EC-4C68-B72F-644DF049D623}" name="Initiate %" dataDxfId="695"/>
    <tableColumn id="4" xr3:uid="{14AB55F3-92DC-4B60-8BAD-04C2D386660A}" name="Initiate Hours" dataDxfId="694">
      <calculatedColumnFormula>ROUND(RolesandSkills[[#This Row],[Initiate %]]*TotalsNoOversight[[#Totals],[Initiate]],0)</calculatedColumnFormula>
    </tableColumn>
    <tableColumn id="14" xr3:uid="{30E89052-2842-4AA2-96E5-70FD3CC2314F}" name="Plan %" dataDxfId="693"/>
    <tableColumn id="5" xr3:uid="{B9A9A5CF-9B9A-4074-A563-CBF6DB20585A}" name="Plan Hours" dataDxfId="692">
      <calculatedColumnFormula>ROUND(RolesandSkills[[#This Row],[Plan %]]*TotalsNoOversight[[#Totals],[Plan]],0)</calculatedColumnFormula>
    </tableColumn>
    <tableColumn id="15" xr3:uid="{7868044C-E4C3-4E8D-9A51-C7022D33D3D0}" name="Execute %" dataDxfId="691"/>
    <tableColumn id="9" xr3:uid="{ECFE6AA7-202D-44D3-9CBC-D2EAC349D475}" name="Execute Hours" dataDxfId="690">
      <calculatedColumnFormula>ROUND(RolesandSkills[[#This Row],[Execute %]]*TotalsNoOversight[[#Totals],[Execute]],0)</calculatedColumnFormula>
    </tableColumn>
    <tableColumn id="16" xr3:uid="{F01B4999-25A3-4CBC-82EE-2346B1C9CE6E}" name="Deliver %" dataDxfId="689"/>
    <tableColumn id="10" xr3:uid="{352DCE22-7C79-4B0B-8087-20A66B4A7552}" name="Deliver Hours" dataDxfId="688">
      <calculatedColumnFormula>ROUND(RolesandSkills[[#This Row],[Deliver %]]*TotalsNoOversight[[#Totals],[Deliver]],0)</calculatedColumnFormula>
    </tableColumn>
    <tableColumn id="17" xr3:uid="{3DDB278F-933F-4FF4-BB43-7C55BCAEF9CD}" name="Close %" dataDxfId="687"/>
    <tableColumn id="11" xr3:uid="{017C071E-7137-4DA3-9958-DA594D377DA9}" name="Close Hours" dataDxfId="686">
      <calculatedColumnFormula>ROUND(RolesandSkills[[#This Row],[Close %]]*TotalsNoOversight[[#Totals],[Close]],0)</calculatedColumnFormula>
    </tableColumn>
  </tableColumns>
  <tableStyleInfo name="Table Style 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8D71C5BF-4E0A-48B9-8FEB-6F53ACF9C670}" name="Table9" displayName="Table9" ref="B211:E243" totalsRowCount="1" headerRowDxfId="685" dataDxfId="684">
  <autoFilter ref="B211:E242" xr:uid="{8D71C5BF-4E0A-48B9-8FEB-6F53ACF9C670}"/>
  <tableColumns count="4">
    <tableColumn id="1" xr3:uid="{51B96FC2-BF81-496E-84B7-0885C30F0439}" name="Milestone #" totalsRowLabel="Total" dataDxfId="682" totalsRowDxfId="683"/>
    <tableColumn id="2" xr3:uid="{9436473A-9F32-414A-AF08-233D47002DD5}" name="Trigger" dataDxfId="680" totalsRowDxfId="681"/>
    <tableColumn id="3" xr3:uid="{748E3006-33E6-42D2-BFC4-C6B33CB27175}" name="%" totalsRowFunction="sum" dataDxfId="678" totalsRowDxfId="679"/>
    <tableColumn id="4" xr3:uid="{DEB74E27-337D-4738-AC71-5CDE64BC4C39}" name="Price" totalsRowFunction="sum" dataDxfId="676" totalsRowDxfId="677" dataCellStyle="Currency" totalsRowCellStyle="Currency">
      <calculatedColumnFormula>IFERROR(Table9[[#This Row],[%]]*Pricing!P$45,"")</calculatedColumnFormula>
    </tableColumn>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5265C72C-FB9B-4B98-9F35-06F2DAEF5660}" name="RolePhaseTotals" displayName="RolePhaseTotals" ref="B10:J26" totalsRowCount="1" headerRowDxfId="665" dataDxfId="664" totalsRowDxfId="663">
  <autoFilter ref="B10:J25" xr:uid="{5265C72C-FB9B-4B98-9F35-06F2DAEF5660}"/>
  <tableColumns count="9">
    <tableColumn id="1" xr3:uid="{5B30B36F-5CCF-4DB8-89D6-CFC70145B05B}" name="Role #" totalsRowLabel="Total" dataDxfId="661" totalsRowDxfId="662"/>
    <tableColumn id="2" xr3:uid="{716DAF3C-36B1-4350-B72D-DABCBD828997}" name="Role" dataDxfId="659" totalsRowDxfId="660">
      <calculatedColumnFormula>INDEX(RolesandSkills[Role + Practice],MATCH(RolePhaseTotals[[#This Row],[Role '#]],RolesandSkills[Role '#],0),1)</calculatedColumnFormula>
    </tableColumn>
    <tableColumn id="3" xr3:uid="{62F88113-8D78-4904-8D5B-20627D2E18FD}" name="Initiate" totalsRowFunction="sum" dataDxfId="657" totalsRowDxfId="658">
      <calculatedColumnFormula>SUMIF(TandE[Phase],"Initiate",TandE[Role 1])</calculatedColumnFormula>
    </tableColumn>
    <tableColumn id="4" xr3:uid="{825E9661-3F4E-4F01-90D2-7764183B80CE}" name="Plan" totalsRowFunction="sum" dataDxfId="655" totalsRowDxfId="656"/>
    <tableColumn id="5" xr3:uid="{0BFDBF62-ED36-43EF-A2E6-ABF2BFD49009}" name="Execute" totalsRowFunction="sum" dataDxfId="653" totalsRowDxfId="654"/>
    <tableColumn id="6" xr3:uid="{A2102FC8-7800-44B1-B887-4AE612632D12}" name="Deliver" totalsRowFunction="sum" dataDxfId="651" totalsRowDxfId="652"/>
    <tableColumn id="7" xr3:uid="{9ADE05F2-BADA-4331-9262-BB5B79F3A647}" name="Close" totalsRowFunction="sum" dataDxfId="649" totalsRowDxfId="650"/>
    <tableColumn id="8" xr3:uid="{B51D84B9-70FC-48A6-BCC6-3173FFA1D74E}" name="Total" totalsRowFunction="sum" dataDxfId="647" totalsRowDxfId="648">
      <calculatedColumnFormula>SUM(RolePhaseTotals[[#This Row],[Initiate]:[Close]])</calculatedColumnFormula>
    </tableColumn>
    <tableColumn id="9" xr3:uid="{938807A8-6841-4E39-9469-B60340C2F308}" name="%" dataDxfId="645" totalsRowDxfId="646">
      <calculatedColumnFormula>IFERROR(RolePhaseTotals[[#This Row],[Total]]/RolePhaseTotals[[#Totals],[Total]],0)</calculatedColumnFormula>
    </tableColumn>
  </tableColumns>
  <tableStyleInfo name="Table Style 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36E9C803-663C-41E4-8009-18C5760BF6E3}" name="Table21" displayName="Table21" ref="L10:R26" totalsRowCount="1" headerRowDxfId="644" dataDxfId="643" totalsRowDxfId="642" headerRowBorderDxfId="640" tableBorderDxfId="641">
  <autoFilter ref="L10:R25" xr:uid="{36E9C803-663C-41E4-8009-18C5760BF6E3}"/>
  <tableColumns count="7">
    <tableColumn id="1" xr3:uid="{89CCA293-E860-48D7-8909-5BF612B001F2}" name="Role #" totalsRowLabel="Total" dataDxfId="638" totalsRowDxfId="639"/>
    <tableColumn id="2" xr3:uid="{558C5D60-C31E-4CAF-96F4-E4A59257791B}" name="Role" dataDxfId="636" totalsRowDxfId="637">
      <calculatedColumnFormula>INDEX(RolesandSkills[Role + Practice],MATCH(Table21[[#This Row],[Role '#]],RolesandSkills[Role '#],0),1)</calculatedColumnFormula>
    </tableColumn>
    <tableColumn id="3" xr3:uid="{9C15CC14-2116-407D-AF03-2393094AED12}" name="Initiate" totalsRowFunction="sum" dataDxfId="634" totalsRowDxfId="635">
      <calculatedColumnFormula>IF(ISERROR(D11/Initiate_Length),0,D11/Initiate_Length)</calculatedColumnFormula>
    </tableColumn>
    <tableColumn id="4" xr3:uid="{392A219F-011C-4101-9D63-0D1BD891B796}" name="Plan" totalsRowFunction="sum" dataDxfId="632" totalsRowDxfId="633">
      <calculatedColumnFormula>IF(ISERROR(E11/Plan_Length),0,E11/Plan_Length)</calculatedColumnFormula>
    </tableColumn>
    <tableColumn id="5" xr3:uid="{B31BF264-84E1-48A0-8709-DEB6C5E28CE8}" name="Execute" totalsRowFunction="sum" dataDxfId="630" totalsRowDxfId="631">
      <calculatedColumnFormula>IF(ISERROR(F11/Execute_Length),0,F11/Execute_Length)</calculatedColumnFormula>
    </tableColumn>
    <tableColumn id="6" xr3:uid="{70BD4089-912E-4D5F-A511-28008C7DCE06}" name="Deliver" totalsRowFunction="sum" dataDxfId="628" totalsRowDxfId="629">
      <calculatedColumnFormula>IF(ISERROR(G11/Deliver_Length),0,G11/Deliver_Length)</calculatedColumnFormula>
    </tableColumn>
    <tableColumn id="7" xr3:uid="{DCAD6EB6-32C8-4C9A-BB67-DEC84AB8DDE4}" name="Close" totalsRowFunction="sum" dataDxfId="626" totalsRowDxfId="627">
      <calculatedColumnFormula>IF(ISERROR(H11/Close_Length),0,H11/Close_Length)</calculatedColumnFormula>
    </tableColumn>
  </tableColumns>
  <tableStyleInfo name="Table Style 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ED8568FC-5060-48F1-B998-37F289045E1F}" name="Table22" displayName="Table22" ref="B2:C7" totalsRowShown="0" headerRowDxfId="625" dataDxfId="624" headerRowBorderDxfId="622" tableBorderDxfId="623" totalsRowBorderDxfId="621">
  <autoFilter ref="B2:C7" xr:uid="{ED8568FC-5060-48F1-B998-37F289045E1F}"/>
  <tableColumns count="2">
    <tableColumn id="1" xr3:uid="{E354E053-9456-4AD1-9B6F-6C602958A9BD}" name="Phase" dataDxfId="620"/>
    <tableColumn id="2" xr3:uid="{688D6B5C-198F-4CB9-85F8-1850707D3AF9}" name="Length (weeks)" dataDxfId="619"/>
  </tableColumns>
  <tableStyleInfo name="Table Style 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1EB1551-241A-41A8-A661-AD765B8E9C22}" name="Table911" displayName="Table911" ref="E2:G7" totalsRowShown="0" headerRowDxfId="618" dataDxfId="617">
  <autoFilter ref="E2:G7" xr:uid="{51EB1551-241A-41A8-A661-AD765B8E9C22}"/>
  <tableColumns count="3">
    <tableColumn id="1" xr3:uid="{7D09778D-CA23-4087-BC08-7CE31E3D9E02}" name="Phase" dataDxfId="616"/>
    <tableColumn id="2" xr3:uid="{8A501401-B40B-4AE1-B5EB-269550A75FA4}" name="Start date" dataDxfId="615">
      <calculatedColumnFormula>Exp_Proj_Start</calculatedColumnFormula>
    </tableColumn>
    <tableColumn id="3" xr3:uid="{077B816F-E9D8-4C13-B5D3-D11E8EDEF108}" name="End Date" dataDxfId="614">
      <calculatedColumnFormula>Table911[[#This Row],[Start date]]+(7*Plan_Length)</calculatedColumnFormula>
    </tableColumn>
  </tableColumns>
  <tableStyleInfo name="Table Style 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A10DCE3A-C384-4B28-B161-4553651C18EC}" name="Table2117" displayName="Table2117" ref="B32:BJ49" totalsRowCount="1" headerRowDxfId="613" dataDxfId="612" totalsRowDxfId="611" headerRowBorderDxfId="609" tableBorderDxfId="610">
  <autoFilter ref="B32:BJ48" xr:uid="{A10DCE3A-C384-4B28-B161-4553651C18EC}"/>
  <tableColumns count="61">
    <tableColumn id="1" xr3:uid="{17B1098D-5022-4FF2-8095-87EE01F6E35D}" name="Role #" totalsRowLabel="Total" dataDxfId="607" totalsRowDxfId="608"/>
    <tableColumn id="2" xr3:uid="{BC0ED3D9-B90F-438B-980E-43CFDEB288A1}" name="Role" dataDxfId="605" totalsRowDxfId="606">
      <calculatedColumnFormula>INDEX(RolesandSkills[Role + Practice],MATCH(Table2117[[#This Row],[Role '#]],RolesandSkills[Role '#],0),1)</calculatedColumnFormula>
    </tableColumn>
    <tableColumn id="55" xr3:uid="{9CEF472A-D81F-4990-8B26-F1F0192A1898}" name="Resource Location" dataDxfId="603" totalsRowDxfId="604">
      <calculatedColumnFormula>INDEX(RolesandSkills[Resource Location],MATCH(Table2117[[#This Row],[Role '#]],RolesandSkills[Role '#],0),1)</calculatedColumnFormula>
    </tableColumn>
    <tableColumn id="59" xr3:uid="{EB7CB89B-2817-459C-8FD5-07F6B30A6A73}" name="Practice" dataDxfId="601" totalsRowDxfId="602">
      <calculatedColumnFormula>INDEX(RolesandSkills[Practice],MATCH(Table2117[[#This Row],[Role '#]],RolesandSkills[Role '#],0),1)</calculatedColumnFormula>
    </tableColumn>
    <tableColumn id="56" xr3:uid="{BCFD20D8-AE2C-4416-9876-48CE4E1409DC}" name="Skill #1" dataDxfId="599" totalsRowDxfId="600">
      <calculatedColumnFormula>INDEX(RolesandSkills[Skill '#1],MATCH(Table2117[[#This Row],[Role '#]],RolesandSkills[Role '#],0),1)</calculatedColumnFormula>
    </tableColumn>
    <tableColumn id="57" xr3:uid="{B3C3BB0D-D038-465C-ADDE-D10637548454}" name="Skill #2" dataDxfId="597" totalsRowDxfId="598">
      <calculatedColumnFormula>INDEX(RolesandSkills[Skill '#2],MATCH(Table2117[[#This Row],[Role '#]],RolesandSkills[Role '#],0),1)</calculatedColumnFormula>
    </tableColumn>
    <tableColumn id="58" xr3:uid="{5EED61C8-F361-401E-AE93-B5EBC6D1EEAD}" name="Skill #3" dataDxfId="595" totalsRowDxfId="596">
      <calculatedColumnFormula>INDEX(RolesandSkills[Skill '#3],MATCH(Table2117[[#This Row],[Role '#]],RolesandSkills[Role '#],0),1)</calculatedColumnFormula>
    </tableColumn>
    <tableColumn id="61" xr3:uid="{2DA35898-C0D5-4C03-8B78-745BDFCC3FE7}" name="Total Hours (Pricing Tab)" dataDxfId="593" totalsRowDxfId="594">
      <calculatedColumnFormula>I10</calculatedColumnFormula>
    </tableColumn>
    <tableColumn id="60" xr3:uid="{3C43F5F2-29FC-4FD4-80E3-946C12CDAA81}" name="Total Hours (Calculated)" dataDxfId="591" totalsRowDxfId="592">
      <calculatedColumnFormula>SUM(Table2117[[#This Row],[1]:[52]])</calculatedColumnFormula>
    </tableColumn>
    <tableColumn id="3" xr3:uid="{F31BDA76-5C7E-47BB-B5DE-3801A8061D47}" name="1" totalsRowFunction="custom" dataDxfId="589" totalsRowDxfId="590">
      <totalsRowFormula>SUM(K34:K48)</totalsRowFormula>
    </tableColumn>
    <tableColumn id="4" xr3:uid="{45466A85-50A2-49CD-AB9C-E618BC08312A}" name="2" totalsRowFunction="custom" dataDxfId="587" totalsRowDxfId="588">
      <totalsRowFormula>SUM(L34:L48)</totalsRowFormula>
    </tableColumn>
    <tableColumn id="5" xr3:uid="{D65A86BE-039C-4AEE-95DD-E9AC509E4867}" name="3" totalsRowFunction="custom" dataDxfId="585" totalsRowDxfId="586">
      <totalsRowFormula>SUM(M34:M48)</totalsRowFormula>
    </tableColumn>
    <tableColumn id="6" xr3:uid="{41408641-3A4B-4C86-984D-5611D68B7426}" name="4" totalsRowFunction="custom" dataDxfId="583" totalsRowDxfId="584">
      <totalsRowFormula>SUM(N34:N48)</totalsRowFormula>
    </tableColumn>
    <tableColumn id="7" xr3:uid="{2F1FF989-3E71-42EA-9962-E296561A3AED}" name="5" totalsRowFunction="custom" dataDxfId="581" totalsRowDxfId="582">
      <totalsRowFormula>SUM(O34:O48)</totalsRowFormula>
    </tableColumn>
    <tableColumn id="8" xr3:uid="{A0EF7B48-BBA3-4A84-BF93-59DE95472D15}" name="6" totalsRowFunction="custom" dataDxfId="579" totalsRowDxfId="580">
      <totalsRowFormula>SUM(P34:P48)</totalsRowFormula>
    </tableColumn>
    <tableColumn id="9" xr3:uid="{601A9712-0072-4886-9C5A-680F58384414}" name="7" totalsRowFunction="custom" dataDxfId="577" totalsRowDxfId="578">
      <totalsRowFormula>SUM(Q34:Q48)</totalsRowFormula>
    </tableColumn>
    <tableColumn id="10" xr3:uid="{2DE42F1E-718D-4A46-8945-652946E67307}" name="8" totalsRowFunction="custom" dataDxfId="575" totalsRowDxfId="576">
      <totalsRowFormula>SUM(R34:R48)</totalsRowFormula>
    </tableColumn>
    <tableColumn id="11" xr3:uid="{7E2A4551-ABF8-437F-80FD-51CE2815063E}" name="9" totalsRowFunction="custom" dataDxfId="573" totalsRowDxfId="574">
      <totalsRowFormula>SUM(S34:S48)</totalsRowFormula>
    </tableColumn>
    <tableColumn id="12" xr3:uid="{A6FCEB65-1D98-412E-83AB-4A73DED2DB7B}" name="10" totalsRowFunction="custom" dataDxfId="571" totalsRowDxfId="572">
      <totalsRowFormula>SUM(T34:T48)</totalsRowFormula>
    </tableColumn>
    <tableColumn id="13" xr3:uid="{79B0D172-9F27-4C9E-BABE-6B02D0A2DE00}" name="11" totalsRowFunction="custom" dataDxfId="569" totalsRowDxfId="570">
      <totalsRowFormula>SUM(U34:U48)</totalsRowFormula>
    </tableColumn>
    <tableColumn id="14" xr3:uid="{FC151782-E082-4BB5-9D83-52E8E599CD94}" name="12" totalsRowFunction="custom" dataDxfId="567" totalsRowDxfId="568">
      <totalsRowFormula>SUM(V34:V48)</totalsRowFormula>
    </tableColumn>
    <tableColumn id="15" xr3:uid="{73A818D1-64AF-49C1-82D4-7B2ABD6B3392}" name="13" totalsRowFunction="custom" dataDxfId="565" totalsRowDxfId="566">
      <totalsRowFormula>SUM(W34:W48)</totalsRowFormula>
    </tableColumn>
    <tableColumn id="16" xr3:uid="{BACE5042-E86D-4D30-9DB9-46ADE941EE22}" name="14" totalsRowFunction="custom" dataDxfId="563" totalsRowDxfId="564">
      <totalsRowFormula>SUM(X34:X48)</totalsRowFormula>
    </tableColumn>
    <tableColumn id="17" xr3:uid="{004B2F3C-094A-442F-922B-77D3BE177BBD}" name="15" totalsRowFunction="custom" dataDxfId="561" totalsRowDxfId="562">
      <totalsRowFormula>SUM(Y34:Y48)</totalsRowFormula>
    </tableColumn>
    <tableColumn id="18" xr3:uid="{FFE19999-527A-4EB7-8768-46F5F5939E46}" name="16" totalsRowFunction="custom" dataDxfId="559" totalsRowDxfId="560">
      <totalsRowFormula>SUM(Z34:Z48)</totalsRowFormula>
    </tableColumn>
    <tableColumn id="19" xr3:uid="{E61AB09E-D011-4E5B-9A31-443BEE9633FE}" name="17" totalsRowFunction="custom" dataDxfId="557" totalsRowDxfId="558">
      <totalsRowFormula>SUM(AA34:AA48)</totalsRowFormula>
    </tableColumn>
    <tableColumn id="20" xr3:uid="{CF3C5E19-2FA1-43A1-A75F-6420A868738F}" name="18" totalsRowFunction="custom" dataDxfId="555" totalsRowDxfId="556">
      <totalsRowFormula>SUM(AB34:AB48)</totalsRowFormula>
    </tableColumn>
    <tableColumn id="21" xr3:uid="{A1968AA9-09A9-49FA-8693-35089AE5F85B}" name="19" totalsRowFunction="custom" dataDxfId="553" totalsRowDxfId="554">
      <totalsRowFormula>SUM(AC34:AC48)</totalsRowFormula>
    </tableColumn>
    <tableColumn id="22" xr3:uid="{82EDD67D-9B4E-46EF-8112-87054A5CFC32}" name="20" totalsRowFunction="custom" dataDxfId="551" totalsRowDxfId="552">
      <totalsRowFormula>SUM(AD34:AD48)</totalsRowFormula>
    </tableColumn>
    <tableColumn id="23" xr3:uid="{3382C5AC-1DBC-4E5C-83F0-71D200311349}" name="21" totalsRowFunction="custom" dataDxfId="549" totalsRowDxfId="550">
      <totalsRowFormula>SUM(AE34:AE48)</totalsRowFormula>
    </tableColumn>
    <tableColumn id="24" xr3:uid="{CD015AAA-845C-4CA4-BDB3-1810C07CE77E}" name="22" totalsRowFunction="custom" dataDxfId="547" totalsRowDxfId="548">
      <totalsRowFormula>SUM(AF34:AF48)</totalsRowFormula>
    </tableColumn>
    <tableColumn id="25" xr3:uid="{0B305CE8-1D97-47BE-A7DB-11EEDFAAEEB9}" name="23" totalsRowFunction="custom" dataDxfId="545" totalsRowDxfId="546">
      <totalsRowFormula>SUM(AG34:AG48)</totalsRowFormula>
    </tableColumn>
    <tableColumn id="26" xr3:uid="{2C1AFFC5-BA0B-4EE3-B13D-16C56092BC89}" name="24" totalsRowFunction="custom" dataDxfId="543" totalsRowDxfId="544">
      <totalsRowFormula>SUM(AH34:AH48)</totalsRowFormula>
    </tableColumn>
    <tableColumn id="27" xr3:uid="{2DE00EE8-1F7E-493C-BB7A-B9234D5C1209}" name="25" totalsRowFunction="custom" dataDxfId="541" totalsRowDxfId="542">
      <totalsRowFormula>SUM(AI34:AI48)</totalsRowFormula>
    </tableColumn>
    <tableColumn id="28" xr3:uid="{59818846-9ABA-4379-B0AE-706D5C481BE8}" name="26" totalsRowFunction="custom" dataDxfId="539" totalsRowDxfId="540">
      <totalsRowFormula>SUM(AJ34:AJ48)</totalsRowFormula>
    </tableColumn>
    <tableColumn id="29" xr3:uid="{AC628000-1297-4DF7-A158-AF4E8FF3B177}" name="27" totalsRowFunction="custom" dataDxfId="537" totalsRowDxfId="538">
      <totalsRowFormula>SUM(AK34:AK48)</totalsRowFormula>
    </tableColumn>
    <tableColumn id="30" xr3:uid="{3FBE5576-F1C0-4FC5-99DD-3B01C9327804}" name="28" totalsRowFunction="custom" dataDxfId="535" totalsRowDxfId="536">
      <totalsRowFormula>SUM(AL34:AL48)</totalsRowFormula>
    </tableColumn>
    <tableColumn id="31" xr3:uid="{0834D744-22C9-4E3D-8F96-A9D6BC231CE7}" name="29" totalsRowFunction="custom" dataDxfId="533" totalsRowDxfId="534">
      <totalsRowFormula>SUM(AM34:AM48)</totalsRowFormula>
    </tableColumn>
    <tableColumn id="32" xr3:uid="{E5F28D0D-916B-4DE5-9EA3-9842BCC851AB}" name="30" totalsRowFunction="custom" dataDxfId="531" totalsRowDxfId="532">
      <totalsRowFormula>SUM(AN34:AN48)</totalsRowFormula>
    </tableColumn>
    <tableColumn id="33" xr3:uid="{A00578CB-FA8C-466D-82CF-C017554E8AA5}" name="31" totalsRowFunction="custom" dataDxfId="529" totalsRowDxfId="530">
      <totalsRowFormula>SUM(AO34:AO48)</totalsRowFormula>
    </tableColumn>
    <tableColumn id="34" xr3:uid="{1995A111-77B7-4D1E-A39F-C72F048FF5C7}" name="32" totalsRowFunction="custom" dataDxfId="527" totalsRowDxfId="528">
      <totalsRowFormula>SUM(AP34:AP48)</totalsRowFormula>
    </tableColumn>
    <tableColumn id="35" xr3:uid="{A26F360E-AC74-46FA-B70F-BEBE6F0D88C6}" name="33" totalsRowFunction="custom" dataDxfId="525" totalsRowDxfId="526">
      <totalsRowFormula>SUM(AQ34:AQ48)</totalsRowFormula>
    </tableColumn>
    <tableColumn id="36" xr3:uid="{57A91714-50C0-499E-9619-010E85DEA843}" name="34" totalsRowFunction="custom" dataDxfId="523" totalsRowDxfId="524">
      <totalsRowFormula>SUM(AR34:AR48)</totalsRowFormula>
    </tableColumn>
    <tableColumn id="37" xr3:uid="{753B0AEB-E252-49B3-9F17-2B873A29B5A1}" name="35" totalsRowFunction="custom" dataDxfId="521" totalsRowDxfId="522">
      <totalsRowFormula>SUM(AS34:AS48)</totalsRowFormula>
    </tableColumn>
    <tableColumn id="38" xr3:uid="{2D7B3F2F-D218-434D-9F4D-7F7ECCA3C470}" name="36" totalsRowFunction="custom" dataDxfId="519" totalsRowDxfId="520">
      <totalsRowFormula>SUM(AT34:AT48)</totalsRowFormula>
    </tableColumn>
    <tableColumn id="39" xr3:uid="{6BEB578E-9BAD-417A-8992-FFED970F3613}" name="37" totalsRowFunction="custom" dataDxfId="517" totalsRowDxfId="518">
      <totalsRowFormula>SUM(AU34:AU48)</totalsRowFormula>
    </tableColumn>
    <tableColumn id="40" xr3:uid="{6DD5AF69-4389-4931-A8C9-BFA4845C4833}" name="38" totalsRowFunction="custom" dataDxfId="515" totalsRowDxfId="516">
      <totalsRowFormula>SUM(AV34:AV48)</totalsRowFormula>
    </tableColumn>
    <tableColumn id="41" xr3:uid="{8F7DFB36-E79D-4E74-8BB7-C1F772573092}" name="39" totalsRowFunction="custom" dataDxfId="513" totalsRowDxfId="514">
      <totalsRowFormula>SUM(AW34:AW48)</totalsRowFormula>
    </tableColumn>
    <tableColumn id="42" xr3:uid="{C0DED6EF-7693-4BD1-80C0-798C5AB52B11}" name="40" totalsRowFunction="custom" dataDxfId="511" totalsRowDxfId="512">
      <totalsRowFormula>SUM(AX34:AX48)</totalsRowFormula>
    </tableColumn>
    <tableColumn id="43" xr3:uid="{C2C00D57-4207-4CF7-904D-0AB025F36DFB}" name="41" totalsRowFunction="custom" dataDxfId="509" totalsRowDxfId="510">
      <totalsRowFormula>SUM(AY34:AY48)</totalsRowFormula>
    </tableColumn>
    <tableColumn id="44" xr3:uid="{65FE9D51-475C-4055-876B-195BF67318B6}" name="42" totalsRowFunction="custom" dataDxfId="507" totalsRowDxfId="508">
      <totalsRowFormula>SUM(AZ34:AZ48)</totalsRowFormula>
    </tableColumn>
    <tableColumn id="45" xr3:uid="{34979378-D847-4E81-9F9B-0C02806E69AF}" name="43" totalsRowFunction="custom" dataDxfId="505" totalsRowDxfId="506">
      <totalsRowFormula>SUM(BA34:BA48)</totalsRowFormula>
    </tableColumn>
    <tableColumn id="46" xr3:uid="{3306B396-A92C-474B-A684-A9CC14C920DE}" name="44" totalsRowFunction="custom" dataDxfId="503" totalsRowDxfId="504">
      <totalsRowFormula>SUM(BB34:BB48)</totalsRowFormula>
    </tableColumn>
    <tableColumn id="47" xr3:uid="{0708C81F-AF49-4E0C-BDF4-E652F3CF5918}" name="45" totalsRowFunction="custom" dataDxfId="501" totalsRowDxfId="502">
      <totalsRowFormula>SUM(BC34:BC48)</totalsRowFormula>
    </tableColumn>
    <tableColumn id="48" xr3:uid="{D4B03069-59D4-4D61-8142-9C1B462D8A67}" name="46" totalsRowFunction="custom" dataDxfId="499" totalsRowDxfId="500">
      <totalsRowFormula>SUM(BD34:BD48)</totalsRowFormula>
    </tableColumn>
    <tableColumn id="49" xr3:uid="{399070C0-3DBC-45B2-95B9-644E8E886E87}" name="47" totalsRowFunction="custom" dataDxfId="497" totalsRowDxfId="498">
      <totalsRowFormula>SUM(BE34:BE48)</totalsRowFormula>
    </tableColumn>
    <tableColumn id="50" xr3:uid="{9C117092-2C9C-4F36-A2C8-C5A4B2C23D7A}" name="48" totalsRowFunction="custom" dataDxfId="495" totalsRowDxfId="496">
      <totalsRowFormula>SUM(BF34:BF48)</totalsRowFormula>
    </tableColumn>
    <tableColumn id="51" xr3:uid="{734679BB-6C4C-45E1-99B8-0D5D1E746CA4}" name="49" totalsRowFunction="custom" dataDxfId="493" totalsRowDxfId="494">
      <totalsRowFormula>SUM(BG34:BG48)</totalsRowFormula>
    </tableColumn>
    <tableColumn id="52" xr3:uid="{3ED4D03D-AC5F-4383-8471-59C144788528}" name="50" totalsRowFunction="custom" dataDxfId="491" totalsRowDxfId="492">
      <totalsRowFormula>SUM(BH34:BH48)</totalsRowFormula>
    </tableColumn>
    <tableColumn id="53" xr3:uid="{EB40E67C-2FF2-4918-B3C6-21055C7F9BCD}" name="51" totalsRowFunction="custom" dataDxfId="489" totalsRowDxfId="490">
      <totalsRowFormula>SUM(BI34:BI48)</totalsRowFormula>
    </tableColumn>
    <tableColumn id="54" xr3:uid="{25AF580B-0307-4DE1-BEBB-36A987FE829B}" name="52" totalsRowFunction="custom" dataDxfId="487" totalsRowDxfId="488">
      <totalsRowFormula>SUM(BJ34:BJ48)</totalsRowFormula>
    </tableColumn>
  </tableColumns>
  <tableStyleInfo name="Table Style 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85A317B1-F329-433D-AD98-86E044B005F7}" name="Table2114" displayName="Table2114" ref="U10:AA25" totalsRowShown="0" headerRowDxfId="486" dataDxfId="485" headerRowBorderDxfId="483" tableBorderDxfId="484">
  <autoFilter ref="U10:AA25" xr:uid="{85A317B1-F329-433D-AD98-86E044B005F7}"/>
  <tableColumns count="7">
    <tableColumn id="1" xr3:uid="{49049D07-971C-499A-9C01-B9682BA99123}" name="Role #" dataDxfId="482"/>
    <tableColumn id="2" xr3:uid="{5F51A1EB-84DB-4BD4-B0BC-5D599596A954}" name="Role" dataDxfId="481">
      <calculatedColumnFormula>INDEX(RolesandSkills[Role + Practice],MATCH(Table2114[[#This Row],[Role '#]],RolesandSkills[Role '#],0),1)</calculatedColumnFormula>
    </tableColumn>
    <tableColumn id="3" xr3:uid="{27765189-A8E0-4BAF-A888-2128A125CCB4}" name="Initiate" dataDxfId="480">
      <calculatedColumnFormula>IFERROR(D11/I11,0)</calculatedColumnFormula>
    </tableColumn>
    <tableColumn id="4" xr3:uid="{14D33395-C772-4567-8DFC-4F99E49D81A0}" name="Prepare" dataDxfId="479">
      <calculatedColumnFormula>IFERROR(E11/I11,0)</calculatedColumnFormula>
    </tableColumn>
    <tableColumn id="5" xr3:uid="{27BB711D-9AE3-4152-96EF-DF31DFEE6DC7}" name="Execute" dataDxfId="478">
      <calculatedColumnFormula>IFERROR(F11/I11,0)</calculatedColumnFormula>
    </tableColumn>
    <tableColumn id="6" xr3:uid="{B8484A57-D8AE-4DC1-A40E-B437F9A0816C}" name="Deliver" dataDxfId="477">
      <calculatedColumnFormula>IFERROR(G11/I11,0)</calculatedColumnFormula>
    </tableColumn>
    <tableColumn id="7" xr3:uid="{5BF847B0-FABC-497A-9C85-426BBBDEF77E}" name="Close" dataDxfId="476">
      <calculatedColumnFormula>IFERROR(H11/I11,0)</calculatedColumnFormula>
    </tableColumn>
  </tableColumns>
  <tableStyleInfo name="Table Style 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89F042C1-9C31-4663-9C03-D6B8A0C3785E}" name="Table211725" displayName="Table211725" ref="B77:BG93" totalsRowCount="1" headerRowDxfId="475" dataDxfId="474" totalsRowDxfId="473" headerRowBorderDxfId="471" tableBorderDxfId="472">
  <autoFilter ref="B77:BG92" xr:uid="{89F042C1-9C31-4663-9C03-D6B8A0C3785E}"/>
  <tableColumns count="58">
    <tableColumn id="1" xr3:uid="{36AF98D7-EA7E-4A94-8373-6E913258F11C}" name="Role #" totalsRowLabel="Total" dataDxfId="469" totalsRowDxfId="470"/>
    <tableColumn id="2" xr3:uid="{0DDE4E4F-709C-4883-88A4-781CEFF348BF}" name="Role" dataDxfId="467" totalsRowDxfId="468">
      <calculatedColumnFormula>INDEX(RolesandSkills[Role + Practice],MATCH(Table211725[[#This Row],[Role '#]],RolesandSkills[Role '#],0),1)</calculatedColumnFormula>
    </tableColumn>
    <tableColumn id="55" xr3:uid="{E8C39DCD-5BF5-46ED-8E61-A528BE28A2C1}" name="Resource Location" dataDxfId="465" totalsRowDxfId="466">
      <calculatedColumnFormula>INDEX(RolesandSkills[Resource Location],MATCH(Table211725[[#This Row],[Role '#]],RolesandSkills[Role '#],0),1)</calculatedColumnFormula>
    </tableColumn>
    <tableColumn id="56" xr3:uid="{3BD69D65-FB5B-400D-9DE5-DD2069CA4CC8}" name="Skill #1" dataDxfId="463" totalsRowDxfId="464">
      <calculatedColumnFormula>INDEX(RolesandSkills[Skill '#1],MATCH(Table211725[[#This Row],[Role '#]],RolesandSkills[Role '#],0),1)</calculatedColumnFormula>
    </tableColumn>
    <tableColumn id="57" xr3:uid="{9A1FCA5E-7905-4FC4-8C3F-C048855FE987}" name="Skill #2" dataDxfId="461" totalsRowDxfId="462">
      <calculatedColumnFormula>INDEX(RolesandSkills[Skill '#2],MATCH(Table211725[[#This Row],[Role '#]],RolesandSkills[Role '#],0),1)</calculatedColumnFormula>
    </tableColumn>
    <tableColumn id="58" xr3:uid="{93A095AE-1F75-4C9D-B974-0E01407E1C6F}" name="Skill #3" dataDxfId="459" totalsRowDxfId="460">
      <calculatedColumnFormula>INDEX(RolesandSkills[Skill '#3],MATCH(Table211725[[#This Row],[Role '#]],RolesandSkills[Role '#],0),1)</calculatedColumnFormula>
    </tableColumn>
    <tableColumn id="3" xr3:uid="{F404325F-1ED2-4CCA-ADBF-A7E3D590ECF5}" name="1" totalsRowFunction="sum" dataDxfId="457" totalsRowDxfId="458">
      <calculatedColumnFormula>SUMIF(TandE[Phase],"Initiate",TandE[Role 7])+_xlfn.IFNA((INDEX(RolesandSkills[Initiate Hours],MATCH(Table211725[[#This Row],[Role '#]],RolesandSkills[Role '#],0),1)),0)</calculatedColumnFormula>
    </tableColumn>
    <tableColumn id="4" xr3:uid="{A77EC7AB-B9F3-4155-9E48-6D58EDA69AC8}" name="2" totalsRowFunction="sum" dataDxfId="455" totalsRowDxfId="456">
      <calculatedColumnFormula>SUMIF(TandE[Start Week],Table211725[[#Headers],[2]],TandE[Role 2])+_xlfn.IFNA((INDEX(RolesandSkills[Plan %],MATCH(Table211725[[#This Row],[Role]],RolesandSkills[Role + Practice],0),1)),0)</calculatedColumnFormula>
    </tableColumn>
    <tableColumn id="5" xr3:uid="{4D8D9074-C86C-4016-BA12-ED25DB996F18}" name="3" totalsRowFunction="sum" dataDxfId="453" totalsRowDxfId="454">
      <calculatedColumnFormula>IF(ISERROR(P56/Execute_Length),0,P56/Execute_Length)</calculatedColumnFormula>
    </tableColumn>
    <tableColumn id="6" xr3:uid="{D2A3AA06-0874-4E5E-8DF6-B2379202F8DD}" name="4" totalsRowFunction="sum" dataDxfId="451" totalsRowDxfId="452">
      <calculatedColumnFormula>IF(ISERROR(Q56/Deliver_Length),0,Q56/Deliver_Length)</calculatedColumnFormula>
    </tableColumn>
    <tableColumn id="7" xr3:uid="{EF24A60C-DCB5-4BAD-BFC0-52B63C2DCBB9}" name="5" totalsRowFunction="sum" dataDxfId="449" totalsRowDxfId="450">
      <calculatedColumnFormula>IF(ISERROR(R56/Close_Length),0,R56/Close_Length)</calculatedColumnFormula>
    </tableColumn>
    <tableColumn id="8" xr3:uid="{662918D1-7A82-4CFF-9723-E507C36D2C3C}" name="6" dataDxfId="447" totalsRowDxfId="448"/>
    <tableColumn id="9" xr3:uid="{9F1E4578-17BC-4235-A237-D4AFE9194877}" name="7" dataDxfId="445" totalsRowDxfId="446"/>
    <tableColumn id="10" xr3:uid="{CA503D1C-CFE3-4586-9715-6C2FB6094C6F}" name="8" dataDxfId="443" totalsRowDxfId="444"/>
    <tableColumn id="11" xr3:uid="{6C9B70DE-C51C-4E3A-B9C0-3D4DA10964F1}" name="9" dataDxfId="441" totalsRowDxfId="442"/>
    <tableColumn id="12" xr3:uid="{A131811F-2083-4364-BBA0-0672C2D891BB}" name="10" dataDxfId="439" totalsRowDxfId="440"/>
    <tableColumn id="13" xr3:uid="{33E3FFA8-ECC1-4B9E-80D3-EDA7697A1978}" name="11" dataDxfId="437" totalsRowDxfId="438"/>
    <tableColumn id="14" xr3:uid="{0E93C0AC-5B21-431C-9D16-1173E0B35791}" name="12" dataDxfId="435" totalsRowDxfId="436"/>
    <tableColumn id="15" xr3:uid="{15B29B5C-302B-40DD-8C5F-AAEA8BD734B2}" name="13" dataDxfId="433" totalsRowDxfId="434"/>
    <tableColumn id="16" xr3:uid="{43C029F6-362F-41A8-A769-6582B3BF142A}" name="14" dataDxfId="431" totalsRowDxfId="432"/>
    <tableColumn id="17" xr3:uid="{E56EBEE1-50A9-4832-B258-921111AC15D4}" name="15" dataDxfId="429" totalsRowDxfId="430"/>
    <tableColumn id="18" xr3:uid="{FF375232-F013-4E0D-BE0D-30F553619CC3}" name="16" dataDxfId="427" totalsRowDxfId="428"/>
    <tableColumn id="19" xr3:uid="{CDBD01AB-5639-4B14-9CE4-88D1CB7284CF}" name="17" dataDxfId="425" totalsRowDxfId="426"/>
    <tableColumn id="20" xr3:uid="{93EA5129-4BE9-4E5C-884F-C0CBD3600C31}" name="18" dataDxfId="423" totalsRowDxfId="424"/>
    <tableColumn id="21" xr3:uid="{80F186B9-8E08-4A44-9B1C-DDE7DFFDB94A}" name="19" dataDxfId="421" totalsRowDxfId="422"/>
    <tableColumn id="22" xr3:uid="{1C550C2D-CA07-498A-854E-0D80524B6FC6}" name="20" dataDxfId="419" totalsRowDxfId="420"/>
    <tableColumn id="23" xr3:uid="{BE7B1BBF-9DDD-4BD1-AFCF-6F817384E3C0}" name="21" dataDxfId="417" totalsRowDxfId="418"/>
    <tableColumn id="24" xr3:uid="{7D96B345-EEEF-40BE-BF00-F1D7870FBDFD}" name="22" dataDxfId="415" totalsRowDxfId="416"/>
    <tableColumn id="25" xr3:uid="{7129AC52-74BC-4C6B-969B-97797584F304}" name="23" dataDxfId="413" totalsRowDxfId="414"/>
    <tableColumn id="26" xr3:uid="{13495772-C832-4E09-B7F6-D1F89F2DA8C8}" name="24" dataDxfId="411" totalsRowDxfId="412"/>
    <tableColumn id="27" xr3:uid="{E1F6F0A7-537F-4DF8-B7B8-6E61E4FCC1F8}" name="25" dataDxfId="409" totalsRowDxfId="410"/>
    <tableColumn id="28" xr3:uid="{741BFFB2-BCE1-416C-8ECF-87E3390AC9E8}" name="26" dataDxfId="407" totalsRowDxfId="408"/>
    <tableColumn id="29" xr3:uid="{792A357F-1EC9-4825-B62D-DE96BDE1DABB}" name="27" dataDxfId="405" totalsRowDxfId="406"/>
    <tableColumn id="30" xr3:uid="{EA6E0A9A-08F4-41A3-AFD4-B74128EB661C}" name="28" dataDxfId="403" totalsRowDxfId="404"/>
    <tableColumn id="31" xr3:uid="{B62807E5-5CF2-424D-91B3-886866096237}" name="29" dataDxfId="401" totalsRowDxfId="402"/>
    <tableColumn id="32" xr3:uid="{88F04D4B-F2D2-4384-8F31-E428778F56BF}" name="30" dataDxfId="399" totalsRowDxfId="400"/>
    <tableColumn id="33" xr3:uid="{41DA9864-5B40-4452-94C7-DF56BEC94590}" name="31" dataDxfId="397" totalsRowDxfId="398"/>
    <tableColumn id="34" xr3:uid="{7B3B611E-1C00-48F0-98B9-C4335C7986C6}" name="32" dataDxfId="395" totalsRowDxfId="396"/>
    <tableColumn id="35" xr3:uid="{324CF6EC-3282-4172-A36A-B15B571C86AF}" name="33" dataDxfId="393" totalsRowDxfId="394"/>
    <tableColumn id="36" xr3:uid="{E978BCE5-6616-41FB-806F-860E54FC086F}" name="34" dataDxfId="391" totalsRowDxfId="392"/>
    <tableColumn id="37" xr3:uid="{59B25DA0-9695-4841-889C-58E9CCC146F7}" name="35" dataDxfId="389" totalsRowDxfId="390"/>
    <tableColumn id="38" xr3:uid="{5EB29FF9-9A9A-4444-A322-D244F8E8D229}" name="36" dataDxfId="387" totalsRowDxfId="388"/>
    <tableColumn id="39" xr3:uid="{DFD02779-B7E3-47EE-8C60-EF1BB3C2CD3A}" name="37" dataDxfId="385" totalsRowDxfId="386"/>
    <tableColumn id="40" xr3:uid="{0FA9BAD4-912A-4549-9F1A-3D4F698CA00B}" name="38" dataDxfId="383" totalsRowDxfId="384"/>
    <tableColumn id="41" xr3:uid="{A4054639-AD0D-4095-BBA1-01B7D3A260AB}" name="39" dataDxfId="381" totalsRowDxfId="382"/>
    <tableColumn id="42" xr3:uid="{A0B55ADD-5806-42E7-98C5-969C49B18466}" name="40" dataDxfId="379" totalsRowDxfId="380"/>
    <tableColumn id="43" xr3:uid="{051AE73D-F113-415B-80B5-B49C1F24359A}" name="41" dataDxfId="377" totalsRowDxfId="378"/>
    <tableColumn id="44" xr3:uid="{8291EE7F-7C36-4513-9F54-5F25267FA2BE}" name="42" dataDxfId="375" totalsRowDxfId="376"/>
    <tableColumn id="45" xr3:uid="{39ED536C-51C6-4CF2-85C6-934A2C10B01B}" name="43" dataDxfId="373" totalsRowDxfId="374"/>
    <tableColumn id="46" xr3:uid="{8F6418A5-5361-4E0A-B125-561BADCDCD8F}" name="44" dataDxfId="371" totalsRowDxfId="372"/>
    <tableColumn id="47" xr3:uid="{ED6C2ABB-1466-4893-8AAE-B45C5D5FAF71}" name="45" dataDxfId="369" totalsRowDxfId="370"/>
    <tableColumn id="48" xr3:uid="{D7956223-8FEB-4104-B0B1-FFD94A42D4EB}" name="46" dataDxfId="367" totalsRowDxfId="368"/>
    <tableColumn id="49" xr3:uid="{6F48BF8D-1296-4CC3-94F9-B46E0934FFE1}" name="47" dataDxfId="365" totalsRowDxfId="366"/>
    <tableColumn id="50" xr3:uid="{B3FC795F-4592-4D2A-8415-54276879A95A}" name="48" dataDxfId="363" totalsRowDxfId="364"/>
    <tableColumn id="51" xr3:uid="{1FFA4C19-9E41-4F56-A222-C9172AFF6019}" name="49" dataDxfId="361" totalsRowDxfId="362"/>
    <tableColumn id="52" xr3:uid="{369DBE1D-88A3-4D74-B9D9-6CA63D227D74}" name="50" dataDxfId="359" totalsRowDxfId="360"/>
    <tableColumn id="53" xr3:uid="{D1D68F42-CD33-495F-A28E-163FC7489081}" name="51" dataDxfId="357" totalsRowDxfId="358"/>
    <tableColumn id="54" xr3:uid="{AEAFF3EA-6316-4719-B9F0-096888258159}" name="52" dataDxfId="355" totalsRowDxfId="356"/>
  </tableColumns>
  <tableStyleInfo name="Table Style 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C4274155-2EC2-46B7-8BB7-1CC287691AE9}" name="AllocationMinInput" displayName="AllocationMinInput" ref="U1:Z21" totalsRowShown="0" headerRowDxfId="354" dataDxfId="353" headerRowCellStyle="Normal 8" dataCellStyle="Normal 8">
  <autoFilter ref="U1:Z21" xr:uid="{C4274155-2EC2-46B7-8BB7-1CC287691AE9}"/>
  <tableColumns count="6">
    <tableColumn id="1" xr3:uid="{F10F136F-3616-4E8A-9B67-2679B525D38B}" name="Role" dataDxfId="352" dataCellStyle="Normal 8"/>
    <tableColumn id="2" xr3:uid="{FC053BE6-64C9-45C3-A84C-64101FAE66AF}" name="Initiate" dataDxfId="351" dataCellStyle="Normal 8"/>
    <tableColumn id="3" xr3:uid="{DDB713EC-062D-48F1-98E3-91D8D436CF25}" name="Plan" dataDxfId="350" dataCellStyle="Normal 8"/>
    <tableColumn id="4" xr3:uid="{B58FE7EF-BCF0-4DF4-8040-336892D6BA0A}" name="Execute" dataDxfId="349" dataCellStyle="Normal 8"/>
    <tableColumn id="5" xr3:uid="{119F8239-3E65-4E82-B9B9-00C6389D9290}" name="Deliver" dataDxfId="348" dataCellStyle="Normal 8"/>
    <tableColumn id="6" xr3:uid="{478ACFFF-025C-4B2B-B01E-CF70F866C83D}" name="Close" dataDxfId="347" dataCellStyle="Normal 8"/>
  </tableColumns>
  <tableStyleInfo name="TableStyleMedium1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AAD36D02-F9D5-493F-AF1C-988045F95EC7}" name="AllocationMinimums" displayName="AllocationMinimums" ref="AA1:AC101" tableType="queryTable" totalsRowShown="0" headerRowDxfId="346" dataDxfId="345" headerRowCellStyle="Normal 8" dataCellStyle="Normal 8">
  <autoFilter ref="AA1:AC101" xr:uid="{AAD36D02-F9D5-493F-AF1C-988045F95EC7}"/>
  <tableColumns count="3">
    <tableColumn id="1" xr3:uid="{24B45FCF-069B-46C7-85BF-340A84114B55}" uniqueName="1" name="Role" queryTableFieldId="1" dataDxfId="344" dataCellStyle="Normal 8"/>
    <tableColumn id="2" xr3:uid="{7D3EFDCE-0FF1-4C25-A02F-DF29A896271A}" uniqueName="2" name="Phase" queryTableFieldId="2" dataDxfId="343" dataCellStyle="Normal 8"/>
    <tableColumn id="3" xr3:uid="{A4848C9F-A3B0-4EAD-AF02-86528F9D4846}" uniqueName="3" name="Min" queryTableFieldId="3" dataDxfId="342" dataCellStyle="Normal 8"/>
  </tableColumns>
  <tableStyleInfo name="TableStyleMedium7"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8A1214F-3E77-4996-8202-1534F11A45E7}" name="TotalsNoOversight" displayName="TotalsNoOversight" ref="B14:J30" totalsRowCount="1" headerRowDxfId="341" dataDxfId="340" totalsRowDxfId="339">
  <autoFilter ref="B14:J29" xr:uid="{08A1214F-3E77-4996-8202-1534F11A45E7}"/>
  <tableColumns count="9">
    <tableColumn id="1" xr3:uid="{F5A38F9A-A0FC-41C2-8D2E-E86B1BA71602}" name="Role #" totalsRowLabel="Total" dataDxfId="337" totalsRowDxfId="338"/>
    <tableColumn id="2" xr3:uid="{9D37C72B-629F-4994-8FF6-9F6D4E5C0554}" name="Role" dataDxfId="335" totalsRowDxfId="336">
      <calculatedColumnFormula>INDEX(RolesandSkills[Role + Practice],MATCH(TotalsNoOversight[[#This Row],[Role '#]],RolesandSkills[Role '#],0),1)</calculatedColumnFormula>
    </tableColumn>
    <tableColumn id="3" xr3:uid="{00F19BC4-2F29-43D4-9220-2848B4D052DF}" name="Initiate" totalsRowFunction="sum" dataDxfId="333" totalsRowDxfId="334">
      <calculatedColumnFormula>SUMIF(TandE[Phase],"Initiate",TandE[Role 1])</calculatedColumnFormula>
    </tableColumn>
    <tableColumn id="4" xr3:uid="{11C39500-4DFD-4619-9FC4-A346257067A8}" name="Plan" totalsRowFunction="sum" dataDxfId="331" totalsRowDxfId="332"/>
    <tableColumn id="5" xr3:uid="{B1D65C3B-60BD-4BF9-A077-4029787D48E0}" name="Execute" totalsRowFunction="sum" dataDxfId="329" totalsRowDxfId="330"/>
    <tableColumn id="6" xr3:uid="{DA5E95B4-A8C1-4F5F-8D3F-D98650226354}" name="Deliver" totalsRowFunction="sum" dataDxfId="327" totalsRowDxfId="328"/>
    <tableColumn id="7" xr3:uid="{DFBE637D-92BF-4EF9-976E-E81BB4FF98CE}" name="Close" totalsRowFunction="sum" dataDxfId="325" totalsRowDxfId="326"/>
    <tableColumn id="8" xr3:uid="{C6D4EEA4-19E3-4DB2-B163-1CE2F2D491BE}" name="Total" totalsRowFunction="sum" dataDxfId="323" totalsRowDxfId="324">
      <calculatedColumnFormula>SUM(TotalsNoOversight[[#This Row],[Initiate]:[Close]])</calculatedColumnFormula>
    </tableColumn>
    <tableColumn id="9" xr3:uid="{932759AA-C8EE-462B-ABD8-ADE7E1D252E3}" name="%" dataDxfId="321" totalsRowDxfId="322">
      <calculatedColumnFormula>TotalsNoOversight[[#This Row],[Total]]/TotalsNoOversight[[#Totals],[Total]]</calculatedColumnFormula>
    </tableColumn>
  </tableColumns>
  <tableStyleInfo name="TableStyleLight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92CFF01-90D7-4B93-AED0-C11B1D223255}" name="Table1453" displayName="Table1453" ref="C14:BD123" headerRowDxfId="315" dataDxfId="314" totalsRowDxfId="313">
  <autoFilter ref="C14:BD123" xr:uid="{CC2B6726-1993-4B48-AB8E-2DAA6AD9A10D}"/>
  <tableColumns count="54">
    <tableColumn id="85" xr3:uid="{0C4DA4E7-2768-4732-9002-C81B6C0FE41B}" name="Phase" totalsRowLabel="Total" dataDxfId="311" totalsRowDxfId="312"/>
    <tableColumn id="83" xr3:uid="{1823842F-97F8-452F-9D82-012D943672F5}" name="Task" dataDxfId="309" totalsRowDxfId="310"/>
    <tableColumn id="84" xr3:uid="{62394F70-BEC5-4E9C-B6E1-A5544D0CD647}" name="Description" dataDxfId="307" totalsRowDxfId="308"/>
    <tableColumn id="35" xr3:uid="{E461F6C9-B491-47AD-A31D-C322B233A27C}" name="OPEN QUESTIONS" dataDxfId="305" totalsRowDxfId="306"/>
    <tableColumn id="94" xr3:uid="{0F2A92DF-4E95-4C69-A98F-D21DD4A0A1BC}" name="Assumption" dataDxfId="303" totalsRowDxfId="304"/>
    <tableColumn id="41" xr3:uid="{9F68173C-3345-4709-9B63-8F577EF6BCE5}" name="Project Role" dataDxfId="301" totalsRowDxfId="302"/>
    <tableColumn id="39" xr3:uid="{6F6CAAD8-1D7B-43E4-845B-C8049B63C2B2}" name="Practice" dataDxfId="299" totalsRowDxfId="300"/>
    <tableColumn id="93" xr3:uid="{E645AAA8-008E-4AF8-99E1-408A1771787C}" name="Billable/ Non-Billable" dataDxfId="297" totalsRowDxfId="298"/>
    <tableColumn id="36" xr3:uid="{3AD1E0FB-36E3-41DA-988C-EEE19229269E}" name="Hours" dataDxfId="296"/>
    <tableColumn id="40" xr3:uid="{CC551B52-E5C7-4B36-917C-3487D4B50B02}" name="Rate / HR" dataDxfId="294" totalsRowDxfId="295">
      <calculatedColumnFormula array="1">INDEX('Client Rates and Roles'!$F$2:$F$433,MATCH(1,COUNTIFS(#REF!,'Client Rates and Roles'!$D$2:$D$433,H15,'Client Rates and Roles'!$B$2:$B$433,J15,'Client Rates and Roles'!$C$2:$C$433,$C$6,'Client Rates and Roles'!$A$2:$A$433),0))</calculatedColumnFormula>
    </tableColumn>
    <tableColumn id="42" xr3:uid="{3D719D36-C1EA-4ADE-B653-4ADE9A2EA5ED}" name="Estimated Cost" dataDxfId="292" totalsRowDxfId="293">
      <calculatedColumnFormula>K15*L15</calculatedColumnFormula>
    </tableColumn>
    <tableColumn id="37" xr3:uid="{61848B24-4D73-4CA5-BCDE-C005A8667D07}" name="Additional PM Oversight" dataDxfId="290" totalsRowDxfId="291"/>
    <tableColumn id="44" xr3:uid="{0AC50789-6BBE-4DEF-92DF-EDDB6A6CD39B}" name="Additional BA Oversight" dataDxfId="288" totalsRowDxfId="289"/>
    <tableColumn id="38" xr3:uid="{8A85999B-44F8-4CF5-8015-14089E107F58}" name="Additional SA Oversight" dataDxfId="286" totalsRowDxfId="287"/>
    <tableColumn id="2" xr3:uid="{7F7CD28C-EF56-4B19-9AA9-E8ADEB29BF6C}" name="Program Director _x000a_(IT Workflow - US)" dataDxfId="284" totalsRowDxfId="285"/>
    <tableColumn id="73" xr3:uid="{FD8F93D7-F705-4BF9-8661-7E491C7CAF09}" name="Engagement Manager_x000a_(IT Workflow - US)" dataDxfId="282" totalsRowDxfId="283"/>
    <tableColumn id="77" xr3:uid="{9FD43D67-630B-4A4C-898E-0B3D99D2E8F5}" name="Project Coordinator_x000a_(IT Workflow - US)" dataDxfId="280" totalsRowDxfId="281"/>
    <tableColumn id="78" xr3:uid="{9376EF6A-BAEC-45EC-838B-F634152F5D4C}" name="Chief Business Process Architect_x000a_(IT Workflow - US)" dataDxfId="278" totalsRowDxfId="279"/>
    <tableColumn id="79" xr3:uid="{60260567-8398-4F0B-875F-4A88A0EED415}" name="Business Process Architect_x000a_(IT Workflow - US)" dataDxfId="276" totalsRowDxfId="277"/>
    <tableColumn id="80" xr3:uid="{80E435AA-E876-4D73-AA34-52352B51F5A7}" name="Business Analyst_x000a_(IT Workflow - US)" dataDxfId="274" totalsRowDxfId="275"/>
    <tableColumn id="81" xr3:uid="{470DC447-027C-464B-BB89-612B332CB925}" name="Chief Architect_x000a_(IT Workflow - US)" dataDxfId="272" totalsRowDxfId="273"/>
    <tableColumn id="27" xr3:uid="{BAE688B1-E337-4C40-9A22-01BF8705406E}" name="Solution Architect_x000a_(IT Workflow - US)" dataDxfId="270" totalsRowDxfId="271"/>
    <tableColumn id="26" xr3:uid="{55AA101B-2F66-4E99-ABB1-7D8C72DCF9B3}" name="Platform Architect_x000a_(IT Workflow - US)" dataDxfId="268" totalsRowDxfId="269"/>
    <tableColumn id="25" xr3:uid="{1A3EE9F7-EF2A-45F8-8894-DBB058DDA4B3}" name="Chief Engineer_x000a_(IT Workflow - US)" dataDxfId="266" totalsRowDxfId="267"/>
    <tableColumn id="24" xr3:uid="{094C357D-D93A-43D4-BCA8-14E53AB273B2}" name="Lead Engineer_x000a_(IT Workflow - US)" dataDxfId="264" totalsRowDxfId="265"/>
    <tableColumn id="23" xr3:uid="{1C218C91-42D3-4D75-9443-26060437645C}" name="Engineer_x000a_(IT Workflow - US)" dataDxfId="262" totalsRowDxfId="263"/>
    <tableColumn id="1" xr3:uid="{68373A12-8A9D-4F60-8A43-3694A1E63E0A}" name="TOTAL _x000a_(IT Workflow - US)" totalsRowFunction="sum" dataDxfId="260" totalsRowDxfId="261">
      <calculatedColumnFormula>SUM(Table1453[[#This Row],[Program Director 
(IT Workflow - US)]:[Engineer
(IT Workflow - US)]])</calculatedColumnFormula>
    </tableColumn>
    <tableColumn id="3" xr3:uid="{4863E79D-F77D-45B4-8152-3C60E49916AA}" name="Notes (IT Workflow - US)" dataDxfId="258" totalsRowDxfId="259"/>
    <tableColumn id="4" xr3:uid="{DE310FBC-D474-4E07-8A2A-C5AC1E83FB8D}" name="Program Director _x000a_(Customer and Employee Workflow - US)" dataDxfId="256" totalsRowDxfId="257"/>
    <tableColumn id="5" xr3:uid="{8E7C4875-7AE0-4F80-97AF-C46304A07887}" name="Engagement Manager_x000a_(Customer and Employee Workflow - US)" dataDxfId="254" totalsRowDxfId="255"/>
    <tableColumn id="6" xr3:uid="{02CC7F3C-B91E-4366-9A85-9E115BCC0806}" name="Project Coordinator_x000a_(Customer and Employee Workflow - US)" dataDxfId="252" totalsRowDxfId="253"/>
    <tableColumn id="7" xr3:uid="{26C76340-822D-40CA-AF15-3910D9B1B693}" name="Chief Business Process Architect_x000a_(Customer and Employee Workflow - US)" dataDxfId="250" totalsRowDxfId="251"/>
    <tableColumn id="8" xr3:uid="{2471E01C-90EF-4561-BE69-11079A10D557}" name="Business Process Architect_x000a_(Customer and Employee Workflow - US)" dataDxfId="248" totalsRowDxfId="249"/>
    <tableColumn id="9" xr3:uid="{3099B057-E5EA-4127-8C21-82AD7338F5A9}" name="Business Analyst_x000a_(Customer and Employee Workflow - US)" dataDxfId="246" totalsRowDxfId="247"/>
    <tableColumn id="10" xr3:uid="{8E665E5D-C7BB-4273-AB3B-D5E018269106}" name="Chief Architect_x000a_(Customer and Employee Workflow - US)" dataDxfId="244" totalsRowDxfId="245"/>
    <tableColumn id="11" xr3:uid="{30D83420-388C-4540-8F36-B61AE908A727}" name="Solution Architect_x000a_(Customer and Employee Workflow - US)" dataDxfId="242" totalsRowDxfId="243"/>
    <tableColumn id="12" xr3:uid="{9998FD39-36CE-4B68-969A-1FC07498D221}" name="Platform Architect_x000a_(Customer and Employee Workflow - US)" dataDxfId="240" totalsRowDxfId="241"/>
    <tableColumn id="13" xr3:uid="{DB464227-5E64-4B5B-AB88-6BF0DD83A8F3}" name="Chief Engineer_x000a_(Customer and Employee Workflow - US)" dataDxfId="238" totalsRowDxfId="239"/>
    <tableColumn id="14" xr3:uid="{7293BA6B-A736-4143-937A-9DEFC8F5AFD6}" name="Lead Engineer_x000a_(Customer and Employee Workflow - US)" dataDxfId="236" totalsRowDxfId="237"/>
    <tableColumn id="15" xr3:uid="{90CE6A49-5542-4C7D-8418-689BA311020A}" name="Engineer_x000a_(Customer and Employee Workflow - US)" dataDxfId="234" totalsRowDxfId="235"/>
    <tableColumn id="16" xr3:uid="{C7D496FD-C8DE-4240-BF02-C4C0BC09C4DF}" name="TOTAL_x000a_ (Customer and Employee Workflow - US)" dataDxfId="232" totalsRowDxfId="233">
      <calculatedColumnFormula>SUM(Table1453[[#This Row],[Program Director 
(Customer and Employee Workflow - US)]:[Engineer
(Customer and Employee Workflow - US)]])</calculatedColumnFormula>
    </tableColumn>
    <tableColumn id="17" xr3:uid="{9B72466A-4CEA-4B83-B3BD-913DABBBF282}" name="Notes (Customer and Employee Workflow - US)" dataDxfId="230" totalsRowDxfId="231"/>
    <tableColumn id="18" xr3:uid="{F561D8DB-9F69-4468-98DB-5D853D8BD3A8}" name="Program Director _x000a_(IRM / SecOps - US)" dataDxfId="228" totalsRowDxfId="229"/>
    <tableColumn id="19" xr3:uid="{ABC18E78-BF21-46A4-AD79-070A630406F5}" name="Engagement Manager_x000a_(IRM / SecOps - US)" dataDxfId="226" totalsRowDxfId="227"/>
    <tableColumn id="20" xr3:uid="{15FC4864-0EC4-460D-8977-6CCE44639D90}" name="Project Coordinator_x000a_(IRM / SecOps - US)" dataDxfId="224" totalsRowDxfId="225"/>
    <tableColumn id="21" xr3:uid="{501E6099-B772-4115-8C94-3C3A4F8E52D1}" name="Chief Business Process Architect_x000a_(IRM / SecOps - US)" dataDxfId="222" totalsRowDxfId="223"/>
    <tableColumn id="22" xr3:uid="{585B00BF-0C1A-407C-B95F-35FF03B4D58A}" name="Business Process Architect_x000a_(IRM / SecOps - US)" dataDxfId="220" totalsRowDxfId="221"/>
    <tableColumn id="28" xr3:uid="{11614AA9-D8FE-4710-94F8-36967453FADF}" name="Business Analyst_x000a_(IRM / SecOps - US)" dataDxfId="218" totalsRowDxfId="219"/>
    <tableColumn id="29" xr3:uid="{6C4FAC7B-26C8-453A-A10C-F112755E3E87}" name="Chief Architect_x000a_(IRM / SecOps - US)" dataDxfId="216" totalsRowDxfId="217"/>
    <tableColumn id="30" xr3:uid="{8B4FD514-39B1-4A6C-B63D-2036D50BE02E}" name="Solution Architect_x000a_(IRM / SecOps - US)" dataDxfId="214" totalsRowDxfId="215"/>
    <tableColumn id="31" xr3:uid="{0B685D00-7643-499D-ADC9-96B422E9348B}" name="Platform Architect_x000a_(IRM / SecOps - US)" dataDxfId="212" totalsRowDxfId="213"/>
    <tableColumn id="32" xr3:uid="{F2C37175-AAC3-415C-9A1B-EE4078701B19}" name="Chief Engineer_x000a_(IRM / SecOps - US)" dataDxfId="210" totalsRowDxfId="211"/>
    <tableColumn id="33" xr3:uid="{C4A94152-8A8A-4EF2-8446-3445C3A13066}" name="Lead Engineer_x000a_(IRM / SecOps - US)" dataDxfId="208" totalsRowDxfId="209"/>
    <tableColumn id="34" xr3:uid="{DC05212B-77BB-4D3B-972F-CB507F74989A}" name="Engineer_x000a_(IRM / SecOps - US)" dataDxfId="206" totalsRowDxfId="207"/>
  </tableColumns>
  <tableStyleInfo name="TableStyleLight19"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84A4665-09F9-4B15-AEBC-792EC3E43FFD}" name="Table8104" displayName="Table8104" ref="C135:D141" totalsRowShown="0">
  <autoFilter ref="C135:D141" xr:uid="{55E5972C-19A4-46A1-92C9-04C2815F7EF9}"/>
  <tableColumns count="2">
    <tableColumn id="1" xr3:uid="{6706E5CC-D191-40A7-B37E-516B89F8F1E5}" name="Oversight" dataDxfId="205"/>
    <tableColumn id="2" xr3:uid="{25CE6805-275B-4373-B0FB-518FD7E24F9E}" name="Percentage" dataDxfId="204"/>
  </tableColumns>
  <tableStyleInfo name="TableStyleLight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A20765C-0E7B-46F2-95E3-80AF6A1BBEC6}" name="Table108" displayName="Table108" ref="C149:F165" totalsRowShown="0" headerRowDxfId="203" dataDxfId="202" headerRowBorderDxfId="200" tableBorderDxfId="201">
  <autoFilter ref="C149:F165" xr:uid="{FB7B13C1-EDC2-4962-8522-1E4833368057}"/>
  <tableColumns count="4">
    <tableColumn id="1" xr3:uid="{9ED9E643-314E-46DC-A4E8-3D69379157BD}" name="Resource"/>
    <tableColumn id="3" xr3:uid="{0ACF72CF-510E-49BC-B6F3-614F4B128346}" name="Estimated Hours" dataDxfId="199"/>
    <tableColumn id="4" xr3:uid="{98417232-F56B-438B-912A-16B736040272}" name="Rate / Hour" dataDxfId="198"/>
    <tableColumn id="5" xr3:uid="{7E18B98D-BADE-459C-A436-A073FF0A778D}" name="Estimated Cost" dataDxfId="197"/>
  </tableColumns>
  <tableStyleInfo name="TableStyleLight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B4C9F80-54E7-4880-A696-F855B1DB682F}" name="Table101213" displayName="Table101213" ref="H149:K165" totalsRowShown="0" headerRowDxfId="196" dataDxfId="195" headerRowBorderDxfId="193" tableBorderDxfId="194">
  <autoFilter ref="H149:K165" xr:uid="{3F6AAD98-AD03-495E-AE36-CBE74357AEE2}"/>
  <tableColumns count="4">
    <tableColumn id="1" xr3:uid="{6F261AE5-6AD3-4555-9B31-BDC63A9B49BD}" name="Resource"/>
    <tableColumn id="3" xr3:uid="{04CD5ED7-17AC-4506-970F-D2BFB333F4DC}" name="Estimated Hours" dataDxfId="192"/>
    <tableColumn id="4" xr3:uid="{DF652BC1-73D2-4B12-9F99-C3B5B67AF2ED}" name="Rate / Hour" dataDxfId="191"/>
    <tableColumn id="5" xr3:uid="{A4860178-5F0E-493A-8C59-064A4DCA0AB9}" name="Estimated Cost" dataDxfId="190"/>
  </tableColumns>
  <tableStyleInfo name="TableStyleLight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8A62B0C-B344-4194-AD05-04FBB97D14B9}" name="Table147" displayName="Table147" ref="A3:S38" headerRowDxfId="189" dataDxfId="188">
  <autoFilter ref="A3:S38" xr:uid="{CC2B6726-1993-4B48-AB8E-2DAA6AD9A10D}"/>
  <tableColumns count="19">
    <tableColumn id="3" xr3:uid="{666F85FC-9E06-4AAF-B2D1-A272EBC61F1C}" name="Use Case" dataDxfId="186" totalsRowDxfId="187"/>
    <tableColumn id="85" xr3:uid="{AC32D41C-F8CF-4A14-8298-12E6A4863758}" name="Phase" totalsRowLabel="Total" dataDxfId="184" totalsRowDxfId="185"/>
    <tableColumn id="83" xr3:uid="{086EF04C-715C-4823-AA56-7F8B145D54C2}" name="Task" dataDxfId="182" totalsRowDxfId="183"/>
    <tableColumn id="84" xr3:uid="{5135B597-C5F4-4946-9330-BE9DB8B4FF82}" name="Description" dataDxfId="180" totalsRowDxfId="181"/>
    <tableColumn id="94" xr3:uid="{5E2DD7DB-A198-4154-808A-21097D84EF97}" name="Assumption" dataDxfId="178" totalsRowDxfId="179"/>
    <tableColumn id="93" xr3:uid="{E71C2E06-11A7-4DF0-889B-0250CB18F1C4}" name="Billable/ Non-Billable" dataDxfId="176" totalsRowDxfId="177"/>
    <tableColumn id="4" xr3:uid="{1A123F8C-FD61-4DE7-884E-01EB1009DC10}" name="Hours" dataDxfId="174" totalsRowDxfId="175"/>
    <tableColumn id="5" xr3:uid="{518025E1-D235-4362-B700-E98D81C56065}" name="Flat Cost" dataDxfId="172" totalsRowDxfId="173"/>
    <tableColumn id="8" xr3:uid="{BBE3627A-52A2-45D6-A477-2135BC72419B}" name="Additional PM Oversight" dataDxfId="170" totalsRowDxfId="171"/>
    <tableColumn id="7" xr3:uid="{B2D801ED-5175-4EF4-A1CE-6AE70FF6EBA4}" name="Additional BA Oversight" dataDxfId="168" totalsRowDxfId="169"/>
    <tableColumn id="6" xr3:uid="{4E9D5C5C-6B70-4196-BB83-97CF7A7E9506}" name="Additional SA Oversight" dataDxfId="166" totalsRowDxfId="167"/>
    <tableColumn id="2" xr3:uid="{6722E164-C3BA-454B-84C0-CB224EEFB1A5}" name="Chief architect" dataDxfId="164" totalsRowDxfId="165"/>
    <tableColumn id="73" xr3:uid="{4A08C4B9-7D20-4403-ADEC-33A9CE5629C5}" name="Practice lead" dataDxfId="162" totalsRowDxfId="163"/>
    <tableColumn id="77" xr3:uid="{5B3CDBF3-6AD2-40D9-B467-0665C0480CE5}" name="Architect" dataDxfId="160" totalsRowDxfId="161"/>
    <tableColumn id="78" xr3:uid="{7474C506-B172-48C2-BD41-C6908E24CC2F}" name="Consultant" dataDxfId="158" totalsRowDxfId="159"/>
    <tableColumn id="79" xr3:uid="{F9DDC275-78CC-4238-9EDA-45667801F18E}" name="PMO" dataDxfId="156" totalsRowDxfId="157"/>
    <tableColumn id="80" xr3:uid="{DA81746D-58D6-464A-904D-3C9346B8E061}" name="Business analyst" dataDxfId="154" totalsRowDxfId="155"/>
    <tableColumn id="81" xr3:uid="{4E911BE9-CDA0-4AE9-9E1B-9D7B4563DB80}" name="Administrator" dataDxfId="152" totalsRowDxfId="153"/>
    <tableColumn id="1" xr3:uid="{9D758C68-61F7-4116-8A48-C0416C04FAA1}" name="TOTAL" totalsRowFunction="sum" dataDxfId="150" totalsRowDxfId="151">
      <calculatedColumnFormula>SUM(Table147[[#This Row],[Chief architect]:[Administrator]])</calculatedColumnFormula>
    </tableColumn>
  </tableColumns>
  <tableStyleInfo name="TableStyleLight19"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4DA04D8-8826-406B-9632-80C8EB0727F8}" name="Table8" displayName="Table8" ref="A24:B27" totalsRowShown="0">
  <autoFilter ref="A24:B27" xr:uid="{94DA04D8-8826-406B-9632-80C8EB0727F8}"/>
  <tableColumns count="2">
    <tableColumn id="1" xr3:uid="{D20D6130-1455-4EB3-956D-29848747AB22}" name="Oversight" dataDxfId="149"/>
    <tableColumn id="2" xr3:uid="{6B98E410-9E9E-47B7-8EBB-5B2B7E56105E}" name="Percentage" dataDxfId="148"/>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58D26B3-6B75-431D-891D-7011817830C1}" name="Table215" displayName="Table215" ref="C4:W20" totalsRowCount="1" headerRowDxfId="145" dataDxfId="144" totalsRowDxfId="143" headerRowBorderDxfId="141" tableBorderDxfId="142">
  <autoFilter ref="C4:W19" xr:uid="{158D26B3-6B75-431D-891D-7011817830C1}"/>
  <tableColumns count="21">
    <tableColumn id="1" xr3:uid="{BECD1C59-05E2-4D04-9895-FE9788C2DA48}" name="Role #" totalsRowLabel="Total" dataDxfId="139" totalsRowDxfId="140"/>
    <tableColumn id="16" xr3:uid="{88DB96E3-1010-453A-8526-2723E84CFD11}" name="Client" dataDxfId="137" totalsRowDxfId="138">
      <calculatedColumnFormula>Client</calculatedColumnFormula>
    </tableColumn>
    <tableColumn id="17" xr3:uid="{43DC8FBB-3B85-42F6-AFAA-246B045687DF}" name="Engagement Name" dataDxfId="135" totalsRowDxfId="136">
      <calculatedColumnFormula>Engagement_Title</calculatedColumnFormula>
    </tableColumn>
    <tableColumn id="18" xr3:uid="{07FAA096-16A9-473B-9219-30F214200722}" name="Client Location" dataDxfId="133" totalsRowDxfId="134">
      <calculatedColumnFormula>Client_Location</calculatedColumnFormula>
    </tableColumn>
    <tableColumn id="19" xr3:uid="{378B45BF-9601-458B-BE6A-5E1C0578732F}" name="Account Exec" dataDxfId="131" totalsRowDxfId="132">
      <calculatedColumnFormula>Sales_Lead</calculatedColumnFormula>
    </tableColumn>
    <tableColumn id="20" xr3:uid="{4F64C325-6E67-49DB-A771-E72EF98BB1FC}" name="Resource Location" dataDxfId="129" totalsRowDxfId="130">
      <calculatedColumnFormula>INDEX(RolesandSkills[Resource Location],MATCH(Table215[[#This Row],[Role '#]],RolesandSkills[Role '#],0),1)</calculatedColumnFormula>
    </tableColumn>
    <tableColumn id="9" xr3:uid="{A7EFFC3B-5AFB-4DE7-9A6B-DE3CCE32AEB4}" name="Practice" dataDxfId="127" totalsRowDxfId="128">
      <calculatedColumnFormula>INDEX(RolesandSkills[Practice],MATCH(Table215[[#This Row],[Role '#]],RolesandSkills[Role '#],0),1)</calculatedColumnFormula>
    </tableColumn>
    <tableColumn id="2" xr3:uid="{F2F4EDD5-4057-4F6A-805E-2712C1101EA3}" name="Role" dataDxfId="125" totalsRowDxfId="126">
      <calculatedColumnFormula>INDEX(RolesandSkills[Role],MATCH(Table215[[#This Row],[Role '#]],RolesandSkills[Role '#],0),1)</calculatedColumnFormula>
    </tableColumn>
    <tableColumn id="8" xr3:uid="{8898EEF9-2915-4F8C-8868-E552DBAA37DA}" name="Skills or Experience Notes" dataDxfId="123" totalsRowDxfId="124">
      <calculatedColumnFormula>Pricing!AH27</calculatedColumnFormula>
    </tableColumn>
    <tableColumn id="21" xr3:uid="{B7A30C4C-E97A-4042-A5C1-A6B997C1BD64}" name="Restriction from using Global Delivery?" dataDxfId="121" totalsRowDxfId="122">
      <calculatedColumnFormula>India_Leverage</calculatedColumnFormula>
    </tableColumn>
    <tableColumn id="15" xr3:uid="{0C2A81DE-EEFD-480F-908A-DD7067991963}" name="Softbooked Resource Name" dataDxfId="119" totalsRowDxfId="120"/>
    <tableColumn id="10" xr3:uid="{B00436E4-CCAA-4E75-87A4-BCD2EE23BC02}" name="Initiate Start Date" dataDxfId="117" totalsRowDxfId="118">
      <calculatedColumnFormula>Exp_Proj_Start</calculatedColumnFormula>
    </tableColumn>
    <tableColumn id="3" xr3:uid="{74E1969A-2969-4817-9DE4-64600F30C32E}" name="Initiate - Hrs per week" totalsRowFunction="sum" dataDxfId="115" totalsRowDxfId="116">
      <calculatedColumnFormula>'T&amp;E Summary'!N11</calculatedColumnFormula>
    </tableColumn>
    <tableColumn id="11" xr3:uid="{C3B4F70D-E26E-4E7E-AF2D-15EBFF88251B}" name="Plan Start Date" dataDxfId="113" totalsRowDxfId="114">
      <calculatedColumnFormula>IFERROR(Table215[[#This Row],[Initiate Start Date]]+(Initiate_Length*7),"")</calculatedColumnFormula>
    </tableColumn>
    <tableColumn id="4" xr3:uid="{F8BCD71A-7066-491E-8462-76A5E93FE4EF}" name="Plan  - Hrs per week" totalsRowFunction="sum" dataDxfId="111" totalsRowDxfId="112">
      <calculatedColumnFormula>'T&amp;E Summary'!O11</calculatedColumnFormula>
    </tableColumn>
    <tableColumn id="12" xr3:uid="{965F3A68-8934-467C-A331-820B79C11A08}" name="Execute Start Date" dataDxfId="109" totalsRowDxfId="110">
      <calculatedColumnFormula>IFERROR(Table215[[#This Row],[Plan Start Date]]+(Plan_Length *7),"")</calculatedColumnFormula>
    </tableColumn>
    <tableColumn id="5" xr3:uid="{E479DF32-22A2-4E7D-8E96-150330CE5C2D}" name="Execute  - Hrs per week" totalsRowFunction="sum" dataDxfId="107" totalsRowDxfId="108">
      <calculatedColumnFormula>'T&amp;E Summary'!P11</calculatedColumnFormula>
    </tableColumn>
    <tableColumn id="13" xr3:uid="{5F9BE015-E4EF-44E1-AD46-84030A5EB860}" name="Deliver Start Date" dataDxfId="105" totalsRowDxfId="106">
      <calculatedColumnFormula>IFERROR(Table215[[#This Row],[Execute Start Date]]+(7*Execute_Length),"")</calculatedColumnFormula>
    </tableColumn>
    <tableColumn id="6" xr3:uid="{A9C2EA22-2A1D-46EF-812D-8A1F419BDF52}" name="Deliver - Hrs per week" totalsRowFunction="sum" dataDxfId="103" totalsRowDxfId="104">
      <calculatedColumnFormula>'T&amp;E Summary'!Q11</calculatedColumnFormula>
    </tableColumn>
    <tableColumn id="14" xr3:uid="{139841CA-AA20-4ECC-9E7A-1BB977265932}" name="Close Start Date" dataDxfId="101" totalsRowDxfId="102">
      <calculatedColumnFormula>IFERROR(Table215[[#This Row],[Deliver Start Date]]+(Deliver_Length*7),"")</calculatedColumnFormula>
    </tableColumn>
    <tableColumn id="7" xr3:uid="{A4082F29-8B70-43D8-A385-3036F5AE5CAE}" name="Close - Hrs per week" totalsRowFunction="sum" dataDxfId="99" totalsRowDxfId="100">
      <calculatedColumnFormula>'T&amp;E Summary'!R11</calculatedColumnFormula>
    </tableColumn>
  </tableColumns>
  <tableStyleInfo name="TableStyleLight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78954D22-657E-4D7D-8659-FEBEE4AA9057}" name="Table91116" displayName="Table91116" ref="E42:G47" totalsRowShown="0" headerRowDxfId="88" dataDxfId="87">
  <autoFilter ref="E42:G47" xr:uid="{78954D22-657E-4D7D-8659-FEBEE4AA9057}"/>
  <tableColumns count="3">
    <tableColumn id="1" xr3:uid="{0612B0E5-7D5A-48D7-AEFF-8ABCCEACB88A}" name="Phase" dataDxfId="86"/>
    <tableColumn id="2" xr3:uid="{5E8B4B8E-8683-428F-BAD0-52146FB492B1}" name="Start date" dataDxfId="85">
      <calculatedColumnFormula>Exp_Proj_Start</calculatedColumnFormula>
    </tableColumn>
    <tableColumn id="3" xr3:uid="{BAB82D8B-1FB2-4FB6-8FE1-DF5821DFDADA}" name="End Date" dataDxfId="84">
      <calculatedColumnFormula>Table91116[[#This Row],[Start date]]+(7*Plan_Length)</calculatedColumnFormula>
    </tableColumn>
  </tableColumns>
  <tableStyleInfo name="Table Style 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C2B6726-1993-4B48-AB8E-2DAA6AD9A10D}" name="Table1" displayName="Table1" ref="A4:CD61" totalsRowShown="0" headerRowDxfId="80">
  <autoFilter ref="A4:CD61" xr:uid="{CC2B6726-1993-4B48-AB8E-2DAA6AD9A10D}"/>
  <tableColumns count="82">
    <tableColumn id="1" xr3:uid="{8F3E52B5-ACAD-4586-89B2-5AB4FD0286E5}" name="Task ID" dataDxfId="79">
      <calculatedColumnFormula>#REF! &amp; " - " &amp;#REF! &amp; " - " &amp;#REF!</calculatedColumnFormula>
    </tableColumn>
    <tableColumn id="83" xr3:uid="{EFCBF617-074E-40DE-98F9-838FCEE1AD1E}" name="Task"/>
    <tableColumn id="84" xr3:uid="{31BFECBC-DB2B-4158-8565-DC0C824AB6F5}" name="Description"/>
    <tableColumn id="2" xr3:uid="{28956EE6-D9C2-44B8-9CCC-2CCB5FD62C89}" name="AS-Advisory - D - Senior Manager, Advisory" dataDxfId="78"/>
    <tableColumn id="73" xr3:uid="{4F29AACE-DF7C-4E17-89DF-8BD38B2039DB}" name="AS-Advisory - E - Director, Advisory" dataDxfId="77"/>
    <tableColumn id="77" xr3:uid="{167881D4-1FE0-4B22-8D22-ED9D1E88CA81}" name="AS-Advisory - F - VP, Advisory" dataDxfId="76"/>
    <tableColumn id="78" xr3:uid="{90B14287-94E8-42A1-89C7-E4D28C7A76F5}" name="PS-Del Mgmt - A - Associate PMO Analyst" dataDxfId="75"/>
    <tableColumn id="79" xr3:uid="{C6E7E2F1-3174-4F51-959D-8F1799D36D2F}" name="PS-Del Mgmt - B - PMO Analyst" dataDxfId="74"/>
    <tableColumn id="80" xr3:uid="{BB6758EE-C5A6-48C8-9D6D-B09B2B54D16F}" name="PS-Del Mgmt - C - Project Manager" dataDxfId="73"/>
    <tableColumn id="81" xr3:uid="{A33C64F8-5D1B-4DD7-A8C2-996983534AAA}" name="PS-Del Mgmt - D - Senior Project Manager" dataDxfId="72"/>
    <tableColumn id="82" xr3:uid="{DBC72AF1-90F9-4969-9857-CC48B39C43EF}" name="PS-Del Mgmt - D - Program Manager" dataDxfId="71"/>
    <tableColumn id="74" xr3:uid="{F29FDF07-F6E5-4077-8060-7843D18A907D}" name="PS-Del Mgmt - E - Director, Program Management" dataDxfId="70"/>
    <tableColumn id="75" xr3:uid="{398A6C2E-84F2-4180-AD46-7187D19AF5F8}" name="PS-Del Mgmt - E - Director, Global Delivery Mgmt" dataDxfId="69"/>
    <tableColumn id="76" xr3:uid="{B5941048-A20A-4D9E-B09D-7FEB4A161D24}" name="PS-Del Mgmt - E - Director, Global Gov &amp; Risk" dataDxfId="68"/>
    <tableColumn id="72" xr3:uid="{25A7A4F7-8640-40A8-8181-EAB8E379382A}" name="PS-Del Mgmt - F - VP, Global Delivery Excl &amp; Gov" dataDxfId="67"/>
    <tableColumn id="3" xr3:uid="{4D8F6A82-3C25-4F48-81A4-EE2E7513E1E2}" name="PS-OCM - C - Training Manager" dataDxfId="66"/>
    <tableColumn id="4" xr3:uid="{6EE66879-6798-419E-B7A4-870EEB27599A}" name="PS-OCM - E - Director, OCM" dataDxfId="65"/>
    <tableColumn id="24" xr3:uid="{95252228-42B6-48DB-94B4-C5D3AAF66BD9}" name="PS-Business Cnslt - A - Associate Business Analyst" dataDxfId="64"/>
    <tableColumn id="5" xr3:uid="{EC8CBDE6-8C1F-45A3-AD3E-AB0B52F8DB83}" name="PS-Business Cnslt - B - Business Analyst" dataDxfId="63"/>
    <tableColumn id="6" xr3:uid="{0AB2316D-22C3-493E-9259-9F26FBC368E0}" name="PS-Business Cnslt - C - Senior Business Analyst" dataDxfId="62"/>
    <tableColumn id="7" xr3:uid="{851EFF37-8394-4B41-B763-930D439374A0}" name="PS-Business Cnslt - D - Business Process Architect " dataDxfId="61"/>
    <tableColumn id="8" xr3:uid="{5B28A63B-5531-4000-B039-571F6C16DF0B}" name="PS-Business Cnslt - E - Director, Business Process Architecture" dataDxfId="60"/>
    <tableColumn id="9" xr3:uid="{8E6E5A84-1AE5-4905-9677-6AC9AEEFDB65}" name="PS-Business Cnslt - E - Director, Global Business Consulting " dataDxfId="59"/>
    <tableColumn id="10" xr3:uid="{7147B9DD-3FA9-4744-A762-ECAE8542CAF4}" name="PS-Business Cnslt - F - VP, Business &amp; Design Consulting" dataDxfId="58"/>
    <tableColumn id="11" xr3:uid="{24DED8DE-DA81-490D-B3B1-96CA93E98775}" name="PS-Design Cnslt - A - Associate UI/UX Designer" dataDxfId="57"/>
    <tableColumn id="12" xr3:uid="{516B17AB-F3B8-4039-A09B-A7A1E45821B9}" name="PS-Design Cnslt - B - UI/UX Designer" dataDxfId="56"/>
    <tableColumn id="13" xr3:uid="{B0214298-78FD-4E2C-BA83-04DD3787D867}" name="PS-Design Cnslt - C - Senior UI/UX Designer" dataDxfId="55">
      <calculatedColumnFormula>SUM(Table1[[#This Row],[AS-Advisory - D - Senior Manager, Advisory]:[PS-Design Cnslt - B - UI/UX Designer]])</calculatedColumnFormula>
    </tableColumn>
    <tableColumn id="14" xr3:uid="{2B12E0B0-4168-478E-BBD2-B48F161C3B29}" name="PS-Design Cnslt - D - UI/UX Architect" dataDxfId="54"/>
    <tableColumn id="15" xr3:uid="{20F91546-B595-477A-8550-994386537E5E}" name="PS-Design Cnslt - E - Director, Design Consulting" dataDxfId="53"/>
    <tableColumn id="16" xr3:uid="{60D809C9-CE9B-4AEF-9288-97150080494B}" name="PS-Design Cnslt - E - Director, Global Design Consulting" dataDxfId="52"/>
    <tableColumn id="17" xr3:uid="{DB044593-CD61-4B89-8897-DC9723E57F5E}" name="PS-Design Cnslt - F - VP, Business &amp; Design Consulting" dataDxfId="51"/>
    <tableColumn id="18" xr3:uid="{78E5F967-14FA-480A-86A2-9D6C37C303BA}" name="PS-Engineering - A - Associate Software Engineer" dataDxfId="50"/>
    <tableColumn id="19" xr3:uid="{048FB9EB-10D0-43D0-85E6-63F60AF79C2F}" name="PS-Engineering - B - Software Engineer" dataDxfId="49"/>
    <tableColumn id="20" xr3:uid="{EC3FDA06-BCFE-4BD3-A25E-615F36207CA2}" name="PS-Engineering - C - Senior Software Engineer" dataDxfId="48"/>
    <tableColumn id="21" xr3:uid="{FDF7496E-F831-4C74-B1B5-4E6D2A28EB59}" name="PS-Engineering - D - Managing Engineer" dataDxfId="47"/>
    <tableColumn id="22" xr3:uid="{F2A98DEF-769D-4592-BA94-F45F8EEF3B3F}" name="PS-Engineering - E - Director, Engineering" dataDxfId="46"/>
    <tableColumn id="23" xr3:uid="{AD77348F-B544-4073-9052-C2E1803A224B}" name="PS-Engineering - E - Director, Global Engineering " dataDxfId="45"/>
    <tableColumn id="25" xr3:uid="{947E4E6B-3B56-4B6A-ACD5-32B1F4FB0BD0}" name="PS-Engineering - F - VP, Architecture &amp; Engineering" dataDxfId="44"/>
    <tableColumn id="26" xr3:uid="{41211982-6E24-4787-A9EB-FBDDA50C04AA}" name="PS-Architecture - C - Solution Architect" dataDxfId="43"/>
    <tableColumn id="27" xr3:uid="{D91A90AD-321F-4AC6-94D3-82E6AC475377}" name="PS-Architecture - C - Platform Architect" dataDxfId="42"/>
    <tableColumn id="28" xr3:uid="{C823D815-E648-4BD2-9696-4AE0518DEF66}" name="PS-Architecture - D - Solution Architect" dataDxfId="41"/>
    <tableColumn id="29" xr3:uid="{D87C5D1F-9033-4666-A819-0AD6F46F3CB1}" name="PS-Architecture - D - Platform Architect" dataDxfId="40"/>
    <tableColumn id="30" xr3:uid="{DA5F48B9-53C1-4688-8362-9DE70635A9E3}" name="PS-Architecture - D - Senior Solution Architect" dataDxfId="39"/>
    <tableColumn id="31" xr3:uid="{B83624AB-9D27-4935-AE72-6535A7014B16}" name="PS-Architecture - D - Senior Platform Architect" dataDxfId="38"/>
    <tableColumn id="32" xr3:uid="{0649913A-8846-4DA3-86FE-2939EB29D167}" name="PS-Architecture - E - Director, Architecture" dataDxfId="37"/>
    <tableColumn id="33" xr3:uid="{A205D720-B264-4033-99A4-0F2F1742453B}" name="PS-Architecture - E - Director, Global Architecture " dataDxfId="36"/>
    <tableColumn id="34" xr3:uid="{928AEBDF-97FD-44DF-9310-EE6D1506C63A}" name="PS-Architecture - F - VP, Architecture &amp; Engineering" dataDxfId="35"/>
    <tableColumn id="35" xr3:uid="{D3C409FE-0E17-4A8C-9D3D-8582F79F81E9}" name="PS-CoI&amp;I - A - Associate Product Analyst" dataDxfId="34"/>
    <tableColumn id="36" xr3:uid="{2BF99DC3-FE38-4DD2-AA69-A08CA52D9D72}" name="PS-CoI&amp;I - B - Product Industrialization Engineer" dataDxfId="33"/>
    <tableColumn id="37" xr3:uid="{A070DEB0-D5F4-4D94-B5E1-6EA1D7F2AEAD}" name="PS-CoI&amp;I - C - Senior Product Industrialization Engineer" dataDxfId="32"/>
    <tableColumn id="38" xr3:uid="{E9CFB8D3-A3E9-45CA-81DF-3A3ACCB6EDB2}" name="PS-CoI&amp;I - D - Product Manager" dataDxfId="31"/>
    <tableColumn id="39" xr3:uid="{01D234F2-3832-4FC9-A592-C4E9B93C1AA7}" name="PS-CoI&amp;I - E - Director, COI&amp;I" dataDxfId="30"/>
    <tableColumn id="40" xr3:uid="{CC8E6B04-B9E2-4EEC-A263-7A056BFF265F}" name="MS-Plat Serv Del - A - Associate Technical Account Manager (PE)" dataDxfId="29"/>
    <tableColumn id="41" xr3:uid="{2C9488A0-9D99-484F-908D-F048F30A454C}" name="MS-Plat Serv Del - A - Associate Platform Analyst (PE)" dataDxfId="28"/>
    <tableColumn id="42" xr3:uid="{FB419ECB-545B-4B79-B48D-05CC3C97F3C3}" name="MS-Plat Serv Del - A - Associate Software Engineer (PE)" dataDxfId="27"/>
    <tableColumn id="43" xr3:uid="{23866355-8AE1-4431-A96B-F6A669724CA6}" name="MS-Plat Serv Del - B - Technical Account Manager (PE)" dataDxfId="26"/>
    <tableColumn id="44" xr3:uid="{7604F78A-8D9A-4DBC-8983-CFC1A5503D7B}" name="MS-Plat Serv Del - B - Platform Analyst (PE)" dataDxfId="25"/>
    <tableColumn id="45" xr3:uid="{CBB4F657-635A-4C84-B25B-99528F32E01B}" name="MS-Plat Serv Del - B - Software Engineer (PE)" dataDxfId="24"/>
    <tableColumn id="46" xr3:uid="{FD7DB144-2651-4029-958D-017A65F84D06}" name="MS-Plat Serv Del - C - Senior Technical Account Manager (PE)" dataDxfId="23"/>
    <tableColumn id="47" xr3:uid="{A6FB6DDC-67CA-4DCC-BB0B-62AD2CDFEEBF}" name="MS-Plat Serv Del - C - Senior Software Engineer (PE)" dataDxfId="22"/>
    <tableColumn id="48" xr3:uid="{F33C43CE-7A85-4421-9BB8-49117E821C6A}" name="MS-Plat Serv Del - D - Platform Development Services Manager" dataDxfId="21"/>
    <tableColumn id="49" xr3:uid="{21E86A92-484E-4876-92B3-C2C21BF90207}" name="MS-Plat Serv Del - D - Manager, TAM" dataDxfId="20"/>
    <tableColumn id="50" xr3:uid="{CB72720A-3913-410C-A3CC-8935F29FD14E}" name="MS-Plat Serv Del - D - Manager, Platform Administration" dataDxfId="19"/>
    <tableColumn id="51" xr3:uid="{C0163978-04C7-43C7-AAE0-67D1933530B2}" name="MS-Plat Serv Del - D - Senior Manager, Service Delivery (PE)" dataDxfId="18"/>
    <tableColumn id="52" xr3:uid="{AEC4E51B-C41C-44D6-A22A-3041B52E25D9}" name="MS-Plat Serv Del - E - Director, Global Platform Services Delivery" dataDxfId="17"/>
    <tableColumn id="53" xr3:uid="{9E3B1CE6-3E9C-4150-AB38-78A7D7B53D26}" name="MS-Plat Serv Del - F - VP, Platform Excellence" dataDxfId="16"/>
    <tableColumn id="54" xr3:uid="{D521A8F1-C9E6-409A-82A1-3BFEDAE7EFCF}" name="MS-DMP - A - Associate PMO Analyst (PE)" dataDxfId="15"/>
    <tableColumn id="55" xr3:uid="{90C745C9-8BDD-4482-B8D5-72476F04145D}" name="MS-DMP - A - Business Analyst (PE)" dataDxfId="14"/>
    <tableColumn id="56" xr3:uid="{A028D779-8F75-45E8-90E6-8510A8552736}" name="MS-DMP - B - PMO Analyst (PE)" dataDxfId="13"/>
    <tableColumn id="57" xr3:uid="{D8DB270C-CECF-4AC4-9E39-9EF22C6271D2}" name="MS-DMP - B - Quality Analyst (PE)" dataDxfId="12"/>
    <tableColumn id="58" xr3:uid="{5473DED6-8431-4042-AB3D-DC30A274B79A}" name="MS-DMP - B - Software Engineer (DMP)" dataDxfId="11"/>
    <tableColumn id="59" xr3:uid="{C54A940C-2E83-4D70-98AA-56BD0E710EE4}" name="MS-DMP - C - Senior Platform Analyst (PE)" dataDxfId="10"/>
    <tableColumn id="60" xr3:uid="{49678B07-62B2-4AD6-9A91-7201C8BBDA56}" name="MS-DMP - C - Senior QA Analyst (PE)" dataDxfId="9"/>
    <tableColumn id="61" xr3:uid="{CB84B808-FDFB-49C6-9989-908D12DD4212}" name="MS-DMP - C - Project Manager (PE)" dataDxfId="8"/>
    <tableColumn id="62" xr3:uid="{7E07997A-5748-4C8A-B946-7DC31FA696C5}" name="MS-DMP - C - Senior Business Analyst (PE)" dataDxfId="7"/>
    <tableColumn id="63" xr3:uid="{1BF900D4-FC12-4D14-8240-EC416A8F5CC0}" name="MS-DMP - D - DMP Program Director (PE)" dataDxfId="6"/>
    <tableColumn id="64" xr3:uid="{56C0947D-C765-4E94-816C-41B228E0AE40}" name="MS-DMP - D - Managing Architect (PE)" dataDxfId="5"/>
    <tableColumn id="65" xr3:uid="{EEFDE846-C012-4FD8-B81C-B6C6526D25BC}" name="MS-DMP - D - Business Process Architect (PE)" dataDxfId="4"/>
    <tableColumn id="66" xr3:uid="{7C2848DB-1CC9-4453-8328-C03E2F56FFD3}" name="MS-DMP - D - Platform Architect (PE)" dataDxfId="3"/>
    <tableColumn id="67" xr3:uid="{66955DDC-264B-4562-8418-2FFF283CF95B}" name="MS-BOM - B - BOM Practioner (PE)" dataDxfId="2"/>
    <tableColumn id="68" xr3:uid="{EA3F572F-432F-4764-9FF9-B55EC3CC6047}" name="MS-BOM - C - Senior BOM Practioner (PE)" dataDxfId="1"/>
    <tableColumn id="69" xr3:uid="{EE6BCBDC-2370-4C40-9232-C6FB277CA97B}" name="MS-BOM - D - BOM Architect (PE)" dataDxfId="0"/>
  </tableColumns>
  <tableStyleInfo showFirstColumn="0" showLastColumn="0" showRowStripes="1" showColumnStripes="0"/>
</table>
</file>

<file path=xl/theme/theme1.xml><?xml version="1.0" encoding="utf-8"?>
<a:theme xmlns:a="http://schemas.openxmlformats.org/drawingml/2006/main" name="Office Theme">
  <a:themeElements>
    <a:clrScheme name="NewRocket 2022">
      <a:dk1>
        <a:srgbClr val="242B3A"/>
      </a:dk1>
      <a:lt1>
        <a:srgbClr val="49505F"/>
      </a:lt1>
      <a:dk2>
        <a:srgbClr val="A1B4C8"/>
      </a:dk2>
      <a:lt2>
        <a:srgbClr val="F0F5FA"/>
      </a:lt2>
      <a:accent1>
        <a:srgbClr val="573D82"/>
      </a:accent1>
      <a:accent2>
        <a:srgbClr val="EB3278"/>
      </a:accent2>
      <a:accent3>
        <a:srgbClr val="1EA9C3"/>
      </a:accent3>
      <a:accent4>
        <a:srgbClr val="3E87CC"/>
      </a:accent4>
      <a:accent5>
        <a:srgbClr val="95C63F"/>
      </a:accent5>
      <a:accent6>
        <a:srgbClr val="F0C748"/>
      </a:accent6>
      <a:hlink>
        <a:srgbClr val="EB3278"/>
      </a:hlink>
      <a:folHlink>
        <a:srgbClr val="1EA9C3"/>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24" dT="2019-02-28T20:09:53.90" personId="{3FC2D2D1-8B0D-4D3F-B7CC-0ECB2055197B}" id="{25020C43-74FB-4B0B-A498-2C2312299D83}">
    <text>Only for existing environments for clients already live on the platform</text>
  </threadedComment>
  <threadedComment ref="D47" dT="2021-08-10T17:46:56.42" personId="{3FC2D2D1-8B0D-4D3F-B7CC-0ECB2055197B}" id="{C379CFF2-C19E-4A49-83B2-85D680CE5F10}">
    <text>This task is only needed for existing ServiceNow customers already live on the platform</text>
  </threadedComment>
  <threadedComment ref="E49" dT="2021-08-10T17:47:04.98" personId="{3FC2D2D1-8B0D-4D3F-B7CC-0ECB2055197B}" id="{E2EB0D97-55E8-4D45-8B07-AB8CF4F2B140}">
    <text>If MID Server installation is OUT, then increase the LOE by 2 hrs for account for LDAP certificate setup and network connection to LDAP server</text>
  </threadedComment>
  <threadedComment ref="E53" dT="2019-12-11T19:53:21.08" personId="{3FC2D2D1-8B0D-4D3F-B7CC-0ECB2055197B}" id="{F6C7E4EB-5D56-4155-A9D0-44E337343075}">
    <text>How many?</text>
  </threadedComment>
  <threadedComment ref="E63" dT="2019-12-11T19:53:48.37" personId="{3FC2D2D1-8B0D-4D3F-B7CC-0ECB2055197B}" id="{EFD59107-34D3-411E-BFD3-5D4035869CF0}">
    <text>How many?</text>
  </threadedComment>
  <threadedComment ref="E67" dT="2021-08-10T17:47:27.89" personId="{3FC2D2D1-8B0D-4D3F-B7CC-0ECB2055197B}" id="{1A77E772-8EB8-42DA-A432-28D01D279408}">
    <text>If known, define the quatity and complexity of catalog items. If unknown, assume simple and a set quantity. Scoping guidelines:
Low Complexity: 4 hours
Medium Complexity: 8 hours
High Complexity: 24 hours
Custom (TBD) but this would be used for Order Guides and things that don’t fit in the sizing below.</text>
  </threadedComment>
  <threadedComment ref="E68" dT="2021-08-10T17:47:37.68" personId="{3FC2D2D1-8B0D-4D3F-B7CC-0ECB2055197B}" id="{879BBB6C-920A-4B27-A83B-5FA7A4A29905}">
    <text>If known, define the quatity and complexity of catalog items. If unknown, assume simple and a set quantity. Scoping guidelines:
Low Complexity: 4 hours
Medium Complexity: 8 hours
High Complexity: 24 hours
Custom (TBD) but this would be used for Order Guides and things that don’t fit in the sizing below.</text>
  </threadedComment>
  <threadedComment ref="E69" dT="2021-08-10T17:47:47.96" personId="{3FC2D2D1-8B0D-4D3F-B7CC-0ECB2055197B}" id="{74BE1395-4F71-4640-93B7-24B770F00D30}">
    <text>If known, define the quatity and complexity of catalog items. If unknown, assume simple and a set quantity. Scoping guidelines:
Low Complexity: 4 hours
Medium Complexity: 8 hours
High Complexity: 24 hours
Custom (TBD) but this would be used for Order Guides and things that don’t fit in the sizing below.</text>
  </threadedComment>
  <threadedComment ref="E73" dT="2019-12-11T19:54:24.62" personId="{3FC2D2D1-8B0D-4D3F-B7CC-0ECB2055197B}" id="{F3491A77-FB30-4A56-B710-27446FC4283B}">
    <text>How Many?</text>
  </threadedComment>
  <threadedComment ref="E77" dT="2019-12-11T19:55:03.52" personId="{3FC2D2D1-8B0D-4D3F-B7CC-0ECB2055197B}" id="{FEFF378B-8F57-4D6B-AC19-A39C1EEAD209}">
    <text>How many?</text>
  </threadedComment>
  <threadedComment ref="E78" dT="2019-12-11T19:55:32.63" personId="{3FC2D2D1-8B0D-4D3F-B7CC-0ECB2055197B}" id="{FF6FA791-C232-4A61-B031-C18983057659}">
    <text>How many?</text>
  </threadedComment>
  <threadedComment ref="E82" dT="2019-12-11T19:58:47.93" personId="{3FC2D2D1-8B0D-4D3F-B7CC-0ECB2055197B}" id="{126A5524-EB36-455C-9A20-C9E9AED65E76}">
    <text>How many?</text>
  </threadedComment>
  <threadedComment ref="E83" dT="2019-12-11T19:55:52.10" personId="{3FC2D2D1-8B0D-4D3F-B7CC-0ECB2055197B}" id="{27310C81-AABC-4B93-BD7E-F70193C8BE7D}">
    <text>How many?</text>
  </threadedComment>
  <threadedComment ref="E84" dT="2019-12-11T19:58:47.93" personId="{3FC2D2D1-8B0D-4D3F-B7CC-0ECB2055197B}" id="{8C61B9D6-3B6C-49F6-B42E-7926D3F8AAB0}">
    <text>How many?</text>
  </threadedComment>
  <threadedComment ref="E87" dT="2019-12-11T19:55:52.10" personId="{3FC2D2D1-8B0D-4D3F-B7CC-0ECB2055197B}" id="{528CB523-AF4D-4D01-B3D4-0DCA80CC6EA5}">
    <text>How many?</text>
  </threadedComment>
  <threadedComment ref="E88" dT="2022-03-13T23:26:51.63" personId="{81EB4EDE-69BD-4F6D-AEC0-0718493CA092}" id="{6FEA8C0A-8EE1-4A00-925D-9AC5A0FE4955}">
    <text>Average about 4 hours per SLA assuming unique workflows per SLA.</text>
  </threadedComment>
  <threadedComment ref="E100" dT="2022-03-13T23:32:04.15" personId="{81EB4EDE-69BD-4F6D-AEC0-0718493CA092}" id="{DF06A06B-7911-46AF-BFE6-24FAFE58CF16}">
    <text>QRGs are correctly scoped unless the customer has a specific template they want to use. Add two hours. Alternative is to list the QRG as 8 to 10 hours for 3 to 4 pages of content.
The PPT presentation is per application. Depending on the application, PPTs may take between 12 and 16 hours to complete.
The Full Guide option should say 16 hours per application. Example: Incident Management Training Guide = 16 hours, Incident and Change Management = 32 hours, a full ITSM suite = 48 hours. 
Will need to add Video Demonstrations. Each video demonstration will be between 2 minutes and 8 minutes in length and cover individual topics. One hour should be allotted for every 5 minutes of video demo created.</text>
  </threadedComment>
  <threadedComment ref="E101" dT="2021-11-08T18:28:31.30" personId="{3FC2D2D1-8B0D-4D3F-B7CC-0ECB2055197B}" id="{54730BE5-CF93-4964-9B8C-348D3EDD26B4}">
    <text>If you are adding guided tours please be sure to add 2 hours to whatever training sessions scope you have thrown in.</text>
  </threadedComment>
  <threadedComment ref="E102" dT="2022-03-13T23:32:17.95" personId="{81EB4EDE-69BD-4F6D-AEC0-0718493CA092}" id="{FD0C75C0-7B7D-42F4-8B3A-7E9E1BDC8A78}">
    <text>PER APPLICATION:
Onsite training up to 4 hours per application.
Remote training up to 3 hours per application.</text>
  </threadedComment>
</ThreadedComments>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17" Type="http://schemas.openxmlformats.org/officeDocument/2006/relationships/ctrlProp" Target="../ctrlProps/ctrlProp114.xml"/><Relationship Id="rId21" Type="http://schemas.openxmlformats.org/officeDocument/2006/relationships/ctrlProp" Target="../ctrlProps/ctrlProp18.xml"/><Relationship Id="rId42" Type="http://schemas.openxmlformats.org/officeDocument/2006/relationships/ctrlProp" Target="../ctrlProps/ctrlProp39.xml"/><Relationship Id="rId63" Type="http://schemas.openxmlformats.org/officeDocument/2006/relationships/ctrlProp" Target="../ctrlProps/ctrlProp60.xml"/><Relationship Id="rId84" Type="http://schemas.openxmlformats.org/officeDocument/2006/relationships/ctrlProp" Target="../ctrlProps/ctrlProp81.xml"/><Relationship Id="rId138" Type="http://schemas.openxmlformats.org/officeDocument/2006/relationships/ctrlProp" Target="../ctrlProps/ctrlProp135.xml"/><Relationship Id="rId16" Type="http://schemas.openxmlformats.org/officeDocument/2006/relationships/ctrlProp" Target="../ctrlProps/ctrlProp13.xml"/><Relationship Id="rId107" Type="http://schemas.openxmlformats.org/officeDocument/2006/relationships/ctrlProp" Target="../ctrlProps/ctrlProp104.xml"/><Relationship Id="rId11" Type="http://schemas.openxmlformats.org/officeDocument/2006/relationships/ctrlProp" Target="../ctrlProps/ctrlProp8.xml"/><Relationship Id="rId32" Type="http://schemas.openxmlformats.org/officeDocument/2006/relationships/ctrlProp" Target="../ctrlProps/ctrlProp29.xml"/><Relationship Id="rId37" Type="http://schemas.openxmlformats.org/officeDocument/2006/relationships/ctrlProp" Target="../ctrlProps/ctrlProp34.xml"/><Relationship Id="rId53" Type="http://schemas.openxmlformats.org/officeDocument/2006/relationships/ctrlProp" Target="../ctrlProps/ctrlProp50.xml"/><Relationship Id="rId58" Type="http://schemas.openxmlformats.org/officeDocument/2006/relationships/ctrlProp" Target="../ctrlProps/ctrlProp55.xml"/><Relationship Id="rId74" Type="http://schemas.openxmlformats.org/officeDocument/2006/relationships/ctrlProp" Target="../ctrlProps/ctrlProp71.xml"/><Relationship Id="rId79" Type="http://schemas.openxmlformats.org/officeDocument/2006/relationships/ctrlProp" Target="../ctrlProps/ctrlProp76.xml"/><Relationship Id="rId102" Type="http://schemas.openxmlformats.org/officeDocument/2006/relationships/ctrlProp" Target="../ctrlProps/ctrlProp99.xml"/><Relationship Id="rId123" Type="http://schemas.openxmlformats.org/officeDocument/2006/relationships/ctrlProp" Target="../ctrlProps/ctrlProp120.xml"/><Relationship Id="rId128" Type="http://schemas.openxmlformats.org/officeDocument/2006/relationships/ctrlProp" Target="../ctrlProps/ctrlProp125.xml"/><Relationship Id="rId5" Type="http://schemas.openxmlformats.org/officeDocument/2006/relationships/ctrlProp" Target="../ctrlProps/ctrlProp2.xml"/><Relationship Id="rId90" Type="http://schemas.openxmlformats.org/officeDocument/2006/relationships/ctrlProp" Target="../ctrlProps/ctrlProp87.xml"/><Relationship Id="rId95" Type="http://schemas.openxmlformats.org/officeDocument/2006/relationships/ctrlProp" Target="../ctrlProps/ctrlProp92.xml"/><Relationship Id="rId22" Type="http://schemas.openxmlformats.org/officeDocument/2006/relationships/ctrlProp" Target="../ctrlProps/ctrlProp19.xml"/><Relationship Id="rId27" Type="http://schemas.openxmlformats.org/officeDocument/2006/relationships/ctrlProp" Target="../ctrlProps/ctrlProp24.xml"/><Relationship Id="rId43" Type="http://schemas.openxmlformats.org/officeDocument/2006/relationships/ctrlProp" Target="../ctrlProps/ctrlProp40.xml"/><Relationship Id="rId48" Type="http://schemas.openxmlformats.org/officeDocument/2006/relationships/ctrlProp" Target="../ctrlProps/ctrlProp45.xml"/><Relationship Id="rId64" Type="http://schemas.openxmlformats.org/officeDocument/2006/relationships/ctrlProp" Target="../ctrlProps/ctrlProp61.xml"/><Relationship Id="rId69" Type="http://schemas.openxmlformats.org/officeDocument/2006/relationships/ctrlProp" Target="../ctrlProps/ctrlProp66.xml"/><Relationship Id="rId113" Type="http://schemas.openxmlformats.org/officeDocument/2006/relationships/ctrlProp" Target="../ctrlProps/ctrlProp110.xml"/><Relationship Id="rId118" Type="http://schemas.openxmlformats.org/officeDocument/2006/relationships/ctrlProp" Target="../ctrlProps/ctrlProp115.xml"/><Relationship Id="rId134" Type="http://schemas.openxmlformats.org/officeDocument/2006/relationships/ctrlProp" Target="../ctrlProps/ctrlProp131.xml"/><Relationship Id="rId139" Type="http://schemas.openxmlformats.org/officeDocument/2006/relationships/ctrlProp" Target="../ctrlProps/ctrlProp136.xml"/><Relationship Id="rId80" Type="http://schemas.openxmlformats.org/officeDocument/2006/relationships/ctrlProp" Target="../ctrlProps/ctrlProp77.xml"/><Relationship Id="rId85" Type="http://schemas.openxmlformats.org/officeDocument/2006/relationships/ctrlProp" Target="../ctrlProps/ctrlProp82.xml"/><Relationship Id="rId12" Type="http://schemas.openxmlformats.org/officeDocument/2006/relationships/ctrlProp" Target="../ctrlProps/ctrlProp9.xml"/><Relationship Id="rId17" Type="http://schemas.openxmlformats.org/officeDocument/2006/relationships/ctrlProp" Target="../ctrlProps/ctrlProp14.xml"/><Relationship Id="rId33" Type="http://schemas.openxmlformats.org/officeDocument/2006/relationships/ctrlProp" Target="../ctrlProps/ctrlProp30.xml"/><Relationship Id="rId38" Type="http://schemas.openxmlformats.org/officeDocument/2006/relationships/ctrlProp" Target="../ctrlProps/ctrlProp35.xml"/><Relationship Id="rId59" Type="http://schemas.openxmlformats.org/officeDocument/2006/relationships/ctrlProp" Target="../ctrlProps/ctrlProp56.xml"/><Relationship Id="rId103" Type="http://schemas.openxmlformats.org/officeDocument/2006/relationships/ctrlProp" Target="../ctrlProps/ctrlProp100.xml"/><Relationship Id="rId108" Type="http://schemas.openxmlformats.org/officeDocument/2006/relationships/ctrlProp" Target="../ctrlProps/ctrlProp105.xml"/><Relationship Id="rId124" Type="http://schemas.openxmlformats.org/officeDocument/2006/relationships/ctrlProp" Target="../ctrlProps/ctrlProp121.xml"/><Relationship Id="rId129" Type="http://schemas.openxmlformats.org/officeDocument/2006/relationships/ctrlProp" Target="../ctrlProps/ctrlProp126.xml"/><Relationship Id="rId54" Type="http://schemas.openxmlformats.org/officeDocument/2006/relationships/ctrlProp" Target="../ctrlProps/ctrlProp51.xml"/><Relationship Id="rId70" Type="http://schemas.openxmlformats.org/officeDocument/2006/relationships/ctrlProp" Target="../ctrlProps/ctrlProp67.xml"/><Relationship Id="rId75" Type="http://schemas.openxmlformats.org/officeDocument/2006/relationships/ctrlProp" Target="../ctrlProps/ctrlProp72.xml"/><Relationship Id="rId91" Type="http://schemas.openxmlformats.org/officeDocument/2006/relationships/ctrlProp" Target="../ctrlProps/ctrlProp88.xml"/><Relationship Id="rId96" Type="http://schemas.openxmlformats.org/officeDocument/2006/relationships/ctrlProp" Target="../ctrlProps/ctrlProp93.xml"/><Relationship Id="rId140" Type="http://schemas.openxmlformats.org/officeDocument/2006/relationships/ctrlProp" Target="../ctrlProps/ctrlProp137.xml"/><Relationship Id="rId1" Type="http://schemas.openxmlformats.org/officeDocument/2006/relationships/printerSettings" Target="../printerSettings/printerSettings2.bin"/><Relationship Id="rId6" Type="http://schemas.openxmlformats.org/officeDocument/2006/relationships/ctrlProp" Target="../ctrlProps/ctrlProp3.xml"/><Relationship Id="rId23" Type="http://schemas.openxmlformats.org/officeDocument/2006/relationships/ctrlProp" Target="../ctrlProps/ctrlProp20.xml"/><Relationship Id="rId28" Type="http://schemas.openxmlformats.org/officeDocument/2006/relationships/ctrlProp" Target="../ctrlProps/ctrlProp25.xml"/><Relationship Id="rId49" Type="http://schemas.openxmlformats.org/officeDocument/2006/relationships/ctrlProp" Target="../ctrlProps/ctrlProp46.xml"/><Relationship Id="rId114" Type="http://schemas.openxmlformats.org/officeDocument/2006/relationships/ctrlProp" Target="../ctrlProps/ctrlProp111.xml"/><Relationship Id="rId119" Type="http://schemas.openxmlformats.org/officeDocument/2006/relationships/ctrlProp" Target="../ctrlProps/ctrlProp116.xml"/><Relationship Id="rId44" Type="http://schemas.openxmlformats.org/officeDocument/2006/relationships/ctrlProp" Target="../ctrlProps/ctrlProp41.xml"/><Relationship Id="rId60" Type="http://schemas.openxmlformats.org/officeDocument/2006/relationships/ctrlProp" Target="../ctrlProps/ctrlProp57.xml"/><Relationship Id="rId65" Type="http://schemas.openxmlformats.org/officeDocument/2006/relationships/ctrlProp" Target="../ctrlProps/ctrlProp62.xml"/><Relationship Id="rId81" Type="http://schemas.openxmlformats.org/officeDocument/2006/relationships/ctrlProp" Target="../ctrlProps/ctrlProp78.xml"/><Relationship Id="rId86" Type="http://schemas.openxmlformats.org/officeDocument/2006/relationships/ctrlProp" Target="../ctrlProps/ctrlProp83.xml"/><Relationship Id="rId130" Type="http://schemas.openxmlformats.org/officeDocument/2006/relationships/ctrlProp" Target="../ctrlProps/ctrlProp127.xml"/><Relationship Id="rId135" Type="http://schemas.openxmlformats.org/officeDocument/2006/relationships/ctrlProp" Target="../ctrlProps/ctrlProp132.xml"/><Relationship Id="rId13" Type="http://schemas.openxmlformats.org/officeDocument/2006/relationships/ctrlProp" Target="../ctrlProps/ctrlProp10.xml"/><Relationship Id="rId18" Type="http://schemas.openxmlformats.org/officeDocument/2006/relationships/ctrlProp" Target="../ctrlProps/ctrlProp15.xml"/><Relationship Id="rId39" Type="http://schemas.openxmlformats.org/officeDocument/2006/relationships/ctrlProp" Target="../ctrlProps/ctrlProp36.xml"/><Relationship Id="rId109" Type="http://schemas.openxmlformats.org/officeDocument/2006/relationships/ctrlProp" Target="../ctrlProps/ctrlProp106.xml"/><Relationship Id="rId34" Type="http://schemas.openxmlformats.org/officeDocument/2006/relationships/ctrlProp" Target="../ctrlProps/ctrlProp31.xml"/><Relationship Id="rId50" Type="http://schemas.openxmlformats.org/officeDocument/2006/relationships/ctrlProp" Target="../ctrlProps/ctrlProp47.xml"/><Relationship Id="rId55" Type="http://schemas.openxmlformats.org/officeDocument/2006/relationships/ctrlProp" Target="../ctrlProps/ctrlProp52.xml"/><Relationship Id="rId76" Type="http://schemas.openxmlformats.org/officeDocument/2006/relationships/ctrlProp" Target="../ctrlProps/ctrlProp73.xml"/><Relationship Id="rId97" Type="http://schemas.openxmlformats.org/officeDocument/2006/relationships/ctrlProp" Target="../ctrlProps/ctrlProp94.xml"/><Relationship Id="rId104" Type="http://schemas.openxmlformats.org/officeDocument/2006/relationships/ctrlProp" Target="../ctrlProps/ctrlProp101.xml"/><Relationship Id="rId120" Type="http://schemas.openxmlformats.org/officeDocument/2006/relationships/ctrlProp" Target="../ctrlProps/ctrlProp117.xml"/><Relationship Id="rId125" Type="http://schemas.openxmlformats.org/officeDocument/2006/relationships/ctrlProp" Target="../ctrlProps/ctrlProp122.xml"/><Relationship Id="rId7" Type="http://schemas.openxmlformats.org/officeDocument/2006/relationships/ctrlProp" Target="../ctrlProps/ctrlProp4.xml"/><Relationship Id="rId71" Type="http://schemas.openxmlformats.org/officeDocument/2006/relationships/ctrlProp" Target="../ctrlProps/ctrlProp68.xml"/><Relationship Id="rId92" Type="http://schemas.openxmlformats.org/officeDocument/2006/relationships/ctrlProp" Target="../ctrlProps/ctrlProp89.xml"/><Relationship Id="rId2" Type="http://schemas.openxmlformats.org/officeDocument/2006/relationships/drawing" Target="../drawings/drawing2.xml"/><Relationship Id="rId29" Type="http://schemas.openxmlformats.org/officeDocument/2006/relationships/ctrlProp" Target="../ctrlProps/ctrlProp26.xml"/><Relationship Id="rId24" Type="http://schemas.openxmlformats.org/officeDocument/2006/relationships/ctrlProp" Target="../ctrlProps/ctrlProp21.xml"/><Relationship Id="rId40" Type="http://schemas.openxmlformats.org/officeDocument/2006/relationships/ctrlProp" Target="../ctrlProps/ctrlProp37.xml"/><Relationship Id="rId45" Type="http://schemas.openxmlformats.org/officeDocument/2006/relationships/ctrlProp" Target="../ctrlProps/ctrlProp42.xml"/><Relationship Id="rId66" Type="http://schemas.openxmlformats.org/officeDocument/2006/relationships/ctrlProp" Target="../ctrlProps/ctrlProp63.xml"/><Relationship Id="rId87" Type="http://schemas.openxmlformats.org/officeDocument/2006/relationships/ctrlProp" Target="../ctrlProps/ctrlProp84.xml"/><Relationship Id="rId110" Type="http://schemas.openxmlformats.org/officeDocument/2006/relationships/ctrlProp" Target="../ctrlProps/ctrlProp107.xml"/><Relationship Id="rId115" Type="http://schemas.openxmlformats.org/officeDocument/2006/relationships/ctrlProp" Target="../ctrlProps/ctrlProp112.xml"/><Relationship Id="rId131" Type="http://schemas.openxmlformats.org/officeDocument/2006/relationships/ctrlProp" Target="../ctrlProps/ctrlProp128.xml"/><Relationship Id="rId136" Type="http://schemas.openxmlformats.org/officeDocument/2006/relationships/ctrlProp" Target="../ctrlProps/ctrlProp133.xml"/><Relationship Id="rId61" Type="http://schemas.openxmlformats.org/officeDocument/2006/relationships/ctrlProp" Target="../ctrlProps/ctrlProp58.xml"/><Relationship Id="rId82" Type="http://schemas.openxmlformats.org/officeDocument/2006/relationships/ctrlProp" Target="../ctrlProps/ctrlProp79.xml"/><Relationship Id="rId19" Type="http://schemas.openxmlformats.org/officeDocument/2006/relationships/ctrlProp" Target="../ctrlProps/ctrlProp16.xml"/><Relationship Id="rId14" Type="http://schemas.openxmlformats.org/officeDocument/2006/relationships/ctrlProp" Target="../ctrlProps/ctrlProp11.xml"/><Relationship Id="rId30" Type="http://schemas.openxmlformats.org/officeDocument/2006/relationships/ctrlProp" Target="../ctrlProps/ctrlProp27.xml"/><Relationship Id="rId35" Type="http://schemas.openxmlformats.org/officeDocument/2006/relationships/ctrlProp" Target="../ctrlProps/ctrlProp32.xml"/><Relationship Id="rId56" Type="http://schemas.openxmlformats.org/officeDocument/2006/relationships/ctrlProp" Target="../ctrlProps/ctrlProp53.xml"/><Relationship Id="rId77" Type="http://schemas.openxmlformats.org/officeDocument/2006/relationships/ctrlProp" Target="../ctrlProps/ctrlProp74.xml"/><Relationship Id="rId100" Type="http://schemas.openxmlformats.org/officeDocument/2006/relationships/ctrlProp" Target="../ctrlProps/ctrlProp97.xml"/><Relationship Id="rId105" Type="http://schemas.openxmlformats.org/officeDocument/2006/relationships/ctrlProp" Target="../ctrlProps/ctrlProp102.xml"/><Relationship Id="rId126" Type="http://schemas.openxmlformats.org/officeDocument/2006/relationships/ctrlProp" Target="../ctrlProps/ctrlProp123.xml"/><Relationship Id="rId8" Type="http://schemas.openxmlformats.org/officeDocument/2006/relationships/ctrlProp" Target="../ctrlProps/ctrlProp5.xml"/><Relationship Id="rId51" Type="http://schemas.openxmlformats.org/officeDocument/2006/relationships/ctrlProp" Target="../ctrlProps/ctrlProp48.xml"/><Relationship Id="rId72" Type="http://schemas.openxmlformats.org/officeDocument/2006/relationships/ctrlProp" Target="../ctrlProps/ctrlProp69.xml"/><Relationship Id="rId93" Type="http://schemas.openxmlformats.org/officeDocument/2006/relationships/ctrlProp" Target="../ctrlProps/ctrlProp90.xml"/><Relationship Id="rId98" Type="http://schemas.openxmlformats.org/officeDocument/2006/relationships/ctrlProp" Target="../ctrlProps/ctrlProp95.xml"/><Relationship Id="rId121" Type="http://schemas.openxmlformats.org/officeDocument/2006/relationships/ctrlProp" Target="../ctrlProps/ctrlProp118.xml"/><Relationship Id="rId3" Type="http://schemas.openxmlformats.org/officeDocument/2006/relationships/vmlDrawing" Target="../drawings/vmlDrawing1.vml"/><Relationship Id="rId25" Type="http://schemas.openxmlformats.org/officeDocument/2006/relationships/ctrlProp" Target="../ctrlProps/ctrlProp22.xml"/><Relationship Id="rId46" Type="http://schemas.openxmlformats.org/officeDocument/2006/relationships/ctrlProp" Target="../ctrlProps/ctrlProp43.xml"/><Relationship Id="rId67" Type="http://schemas.openxmlformats.org/officeDocument/2006/relationships/ctrlProp" Target="../ctrlProps/ctrlProp64.xml"/><Relationship Id="rId116" Type="http://schemas.openxmlformats.org/officeDocument/2006/relationships/ctrlProp" Target="../ctrlProps/ctrlProp113.xml"/><Relationship Id="rId137" Type="http://schemas.openxmlformats.org/officeDocument/2006/relationships/ctrlProp" Target="../ctrlProps/ctrlProp134.xml"/><Relationship Id="rId20" Type="http://schemas.openxmlformats.org/officeDocument/2006/relationships/ctrlProp" Target="../ctrlProps/ctrlProp17.xml"/><Relationship Id="rId41" Type="http://schemas.openxmlformats.org/officeDocument/2006/relationships/ctrlProp" Target="../ctrlProps/ctrlProp38.xml"/><Relationship Id="rId62" Type="http://schemas.openxmlformats.org/officeDocument/2006/relationships/ctrlProp" Target="../ctrlProps/ctrlProp59.xml"/><Relationship Id="rId83" Type="http://schemas.openxmlformats.org/officeDocument/2006/relationships/ctrlProp" Target="../ctrlProps/ctrlProp80.xml"/><Relationship Id="rId88" Type="http://schemas.openxmlformats.org/officeDocument/2006/relationships/ctrlProp" Target="../ctrlProps/ctrlProp85.xml"/><Relationship Id="rId111" Type="http://schemas.openxmlformats.org/officeDocument/2006/relationships/ctrlProp" Target="../ctrlProps/ctrlProp108.xml"/><Relationship Id="rId132" Type="http://schemas.openxmlformats.org/officeDocument/2006/relationships/ctrlProp" Target="../ctrlProps/ctrlProp129.xml"/><Relationship Id="rId15" Type="http://schemas.openxmlformats.org/officeDocument/2006/relationships/ctrlProp" Target="../ctrlProps/ctrlProp12.xml"/><Relationship Id="rId36" Type="http://schemas.openxmlformats.org/officeDocument/2006/relationships/ctrlProp" Target="../ctrlProps/ctrlProp33.xml"/><Relationship Id="rId57" Type="http://schemas.openxmlformats.org/officeDocument/2006/relationships/ctrlProp" Target="../ctrlProps/ctrlProp54.xml"/><Relationship Id="rId106" Type="http://schemas.openxmlformats.org/officeDocument/2006/relationships/ctrlProp" Target="../ctrlProps/ctrlProp103.xml"/><Relationship Id="rId127" Type="http://schemas.openxmlformats.org/officeDocument/2006/relationships/ctrlProp" Target="../ctrlProps/ctrlProp124.xml"/><Relationship Id="rId10" Type="http://schemas.openxmlformats.org/officeDocument/2006/relationships/ctrlProp" Target="../ctrlProps/ctrlProp7.xml"/><Relationship Id="rId31" Type="http://schemas.openxmlformats.org/officeDocument/2006/relationships/ctrlProp" Target="../ctrlProps/ctrlProp28.xml"/><Relationship Id="rId52" Type="http://schemas.openxmlformats.org/officeDocument/2006/relationships/ctrlProp" Target="../ctrlProps/ctrlProp49.xml"/><Relationship Id="rId73" Type="http://schemas.openxmlformats.org/officeDocument/2006/relationships/ctrlProp" Target="../ctrlProps/ctrlProp70.xml"/><Relationship Id="rId78" Type="http://schemas.openxmlformats.org/officeDocument/2006/relationships/ctrlProp" Target="../ctrlProps/ctrlProp75.xml"/><Relationship Id="rId94" Type="http://schemas.openxmlformats.org/officeDocument/2006/relationships/ctrlProp" Target="../ctrlProps/ctrlProp91.xml"/><Relationship Id="rId99" Type="http://schemas.openxmlformats.org/officeDocument/2006/relationships/ctrlProp" Target="../ctrlProps/ctrlProp96.xml"/><Relationship Id="rId101" Type="http://schemas.openxmlformats.org/officeDocument/2006/relationships/ctrlProp" Target="../ctrlProps/ctrlProp98.xml"/><Relationship Id="rId122" Type="http://schemas.openxmlformats.org/officeDocument/2006/relationships/ctrlProp" Target="../ctrlProps/ctrlProp119.xml"/><Relationship Id="rId4" Type="http://schemas.openxmlformats.org/officeDocument/2006/relationships/ctrlProp" Target="../ctrlProps/ctrlProp1.xml"/><Relationship Id="rId9" Type="http://schemas.openxmlformats.org/officeDocument/2006/relationships/ctrlProp" Target="../ctrlProps/ctrlProp6.xml"/><Relationship Id="rId26" Type="http://schemas.openxmlformats.org/officeDocument/2006/relationships/ctrlProp" Target="../ctrlProps/ctrlProp23.xml"/><Relationship Id="rId47" Type="http://schemas.openxmlformats.org/officeDocument/2006/relationships/ctrlProp" Target="../ctrlProps/ctrlProp44.xml"/><Relationship Id="rId68" Type="http://schemas.openxmlformats.org/officeDocument/2006/relationships/ctrlProp" Target="../ctrlProps/ctrlProp65.xml"/><Relationship Id="rId89" Type="http://schemas.openxmlformats.org/officeDocument/2006/relationships/ctrlProp" Target="../ctrlProps/ctrlProp86.xml"/><Relationship Id="rId112" Type="http://schemas.openxmlformats.org/officeDocument/2006/relationships/ctrlProp" Target="../ctrlProps/ctrlProp109.xml"/><Relationship Id="rId133" Type="http://schemas.openxmlformats.org/officeDocument/2006/relationships/ctrlProp" Target="../ctrlProps/ctrlProp130.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7.bin"/><Relationship Id="rId4" Type="http://schemas.openxmlformats.org/officeDocument/2006/relationships/table" Target="../tables/table4.xml"/></Relationships>
</file>

<file path=xl/worksheets/_rels/sheet16.xml.rels><?xml version="1.0" encoding="UTF-8" standalone="yes"?>
<Relationships xmlns="http://schemas.openxmlformats.org/package/2006/relationships"><Relationship Id="rId8" Type="http://schemas.openxmlformats.org/officeDocument/2006/relationships/table" Target="../tables/table11.xml"/><Relationship Id="rId3" Type="http://schemas.openxmlformats.org/officeDocument/2006/relationships/table" Target="../tables/table6.xml"/><Relationship Id="rId7" Type="http://schemas.openxmlformats.org/officeDocument/2006/relationships/table" Target="../tables/table10.xml"/><Relationship Id="rId2" Type="http://schemas.openxmlformats.org/officeDocument/2006/relationships/table" Target="../tables/table5.xml"/><Relationship Id="rId1" Type="http://schemas.openxmlformats.org/officeDocument/2006/relationships/printerSettings" Target="../printerSettings/printerSettings8.bin"/><Relationship Id="rId6" Type="http://schemas.openxmlformats.org/officeDocument/2006/relationships/table" Target="../tables/table9.xml"/><Relationship Id="rId5" Type="http://schemas.openxmlformats.org/officeDocument/2006/relationships/table" Target="../tables/table8.xml"/><Relationship Id="rId4" Type="http://schemas.openxmlformats.org/officeDocument/2006/relationships/table" Target="../tables/table7.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printerSettings" Target="../printerSettings/printerSettings9.bin"/></Relationships>
</file>

<file path=xl/worksheets/_rels/sheet19.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20.xml.rels><?xml version="1.0" encoding="UTF-8" standalone="yes"?>
<Relationships xmlns="http://schemas.openxmlformats.org/package/2006/relationships"><Relationship Id="rId1" Type="http://schemas.openxmlformats.org/officeDocument/2006/relationships/hyperlink" Target="https://www.oanda.com/currency-converter" TargetMode="Externa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0.bin"/></Relationships>
</file>

<file path=xl/worksheets/_rels/sheet26.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2.vml"/><Relationship Id="rId7" Type="http://schemas.openxmlformats.org/officeDocument/2006/relationships/table" Target="../tables/table18.xml"/><Relationship Id="rId2" Type="http://schemas.openxmlformats.org/officeDocument/2006/relationships/drawing" Target="../drawings/drawing12.xml"/><Relationship Id="rId1" Type="http://schemas.openxmlformats.org/officeDocument/2006/relationships/printerSettings" Target="../printerSettings/printerSettings11.bin"/><Relationship Id="rId6" Type="http://schemas.openxmlformats.org/officeDocument/2006/relationships/table" Target="../tables/table17.xml"/><Relationship Id="rId5" Type="http://schemas.openxmlformats.org/officeDocument/2006/relationships/table" Target="../tables/table16.xml"/><Relationship Id="rId4" Type="http://schemas.openxmlformats.org/officeDocument/2006/relationships/table" Target="../tables/table15.xml"/><Relationship Id="rId9" Type="http://schemas.microsoft.com/office/2017/10/relationships/threadedComment" Target="../threadedComments/threadedComment1.xml"/></Relationships>
</file>

<file path=xl/worksheets/_rels/sheet30.xml.rels><?xml version="1.0" encoding="UTF-8" standalone="yes"?>
<Relationships xmlns="http://schemas.openxmlformats.org/package/2006/relationships"><Relationship Id="rId3" Type="http://schemas.openxmlformats.org/officeDocument/2006/relationships/table" Target="../tables/table19.xml"/><Relationship Id="rId2" Type="http://schemas.openxmlformats.org/officeDocument/2006/relationships/drawing" Target="../drawings/drawing13.xml"/><Relationship Id="rId1" Type="http://schemas.openxmlformats.org/officeDocument/2006/relationships/printerSettings" Target="../printerSettings/printerSettings12.bin"/></Relationships>
</file>

<file path=xl/worksheets/_rels/sheet31.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34.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drawing" Target="../drawings/drawing14.xml"/><Relationship Id="rId1" Type="http://schemas.openxmlformats.org/officeDocument/2006/relationships/printerSettings" Target="../printerSettings/printerSettings15.bin"/></Relationships>
</file>

<file path=xl/worksheets/_rels/sheet35.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6.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41.xml.rels><?xml version="1.0" encoding="UTF-8" standalone="yes"?>
<Relationships xmlns="http://schemas.openxmlformats.org/package/2006/relationships"><Relationship Id="rId2" Type="http://schemas.openxmlformats.org/officeDocument/2006/relationships/table" Target="../tables/table23.xml"/><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C5BBE-01D9-4C59-9447-E34CCC93D0E3}">
  <dimension ref="A1:XFB56"/>
  <sheetViews>
    <sheetView topLeftCell="AP1" zoomScale="130" zoomScaleNormal="130" workbookViewId="0">
      <selection activeCell="AY9" sqref="AY9"/>
    </sheetView>
  </sheetViews>
  <sheetFormatPr defaultColWidth="0" defaultRowHeight="12.75"/>
  <cols>
    <col min="1" max="1" width="7.5703125" style="248" hidden="1" customWidth="1"/>
    <col min="2" max="2" width="18.140625" style="248" bestFit="1" customWidth="1"/>
    <col min="3" max="3" width="18.140625" style="252" bestFit="1" customWidth="1"/>
    <col min="4" max="4" width="38.5703125" style="252" customWidth="1"/>
    <col min="5" max="5" width="59.85546875" style="252" customWidth="1"/>
    <col min="6" max="6" width="78.42578125" style="252" customWidth="1"/>
    <col min="7" max="7" width="18.5703125" style="252" bestFit="1" customWidth="1"/>
    <col min="8" max="8" width="18.140625" style="252" customWidth="1"/>
    <col min="9" max="9" width="10.42578125" style="252" bestFit="1" customWidth="1"/>
    <col min="10" max="10" width="8.42578125" style="252" bestFit="1" customWidth="1"/>
    <col min="11" max="11" width="12.140625" style="252" customWidth="1"/>
    <col min="12" max="12" width="17.85546875" style="252" customWidth="1"/>
    <col min="13" max="13" width="12.85546875" style="252" customWidth="1"/>
    <col min="14" max="25" width="12.85546875" style="303" customWidth="1"/>
    <col min="26" max="26" width="12.85546875" style="257" customWidth="1"/>
    <col min="27" max="27" width="31.5703125" style="248" customWidth="1"/>
    <col min="28" max="39" width="15.42578125" style="303" customWidth="1"/>
    <col min="40" max="40" width="15.42578125" style="257" customWidth="1"/>
    <col min="41" max="41" width="32.85546875" style="248" customWidth="1"/>
    <col min="42" max="53" width="6.42578125" style="303" customWidth="1"/>
    <col min="54" max="54" width="6.42578125" style="257" customWidth="1"/>
    <col min="55" max="55" width="29.5703125" style="248" customWidth="1"/>
    <col min="56" max="60" width="9.140625" style="248" customWidth="1"/>
    <col min="61" max="61" width="38.42578125" style="248" customWidth="1"/>
    <col min="62" max="63" width="19.85546875" style="248" customWidth="1"/>
    <col min="64" max="64" width="9.140625" style="248" customWidth="1"/>
    <col min="65" max="65" width="19.85546875" style="248" customWidth="1"/>
    <col min="66" max="67" width="9.140625" style="248" customWidth="1"/>
    <col min="68" max="16382" width="9.140625" style="248" hidden="1"/>
    <col min="16383" max="16383" width="8.42578125" style="248" customWidth="1"/>
    <col min="16384" max="16384" width="8.5703125" style="248" customWidth="1"/>
  </cols>
  <sheetData>
    <row r="1" spans="1:64" ht="37.5" customHeight="1" thickBot="1">
      <c r="B1" s="1008"/>
      <c r="C1" s="1008"/>
      <c r="D1" s="1008"/>
      <c r="E1" s="1008"/>
      <c r="F1" s="1008"/>
      <c r="G1" s="1008"/>
      <c r="H1" s="1008"/>
      <c r="I1" s="1008"/>
      <c r="J1" s="1008"/>
      <c r="K1" s="1008"/>
      <c r="L1" s="1008"/>
      <c r="M1" s="1008"/>
      <c r="N1" s="1008"/>
      <c r="O1" s="300"/>
      <c r="P1" s="300"/>
      <c r="Q1" s="300"/>
      <c r="R1" s="300"/>
      <c r="S1" s="300"/>
      <c r="T1" s="300"/>
      <c r="U1" s="300"/>
      <c r="V1" s="300"/>
      <c r="W1" s="300"/>
      <c r="X1" s="300"/>
      <c r="Y1" s="300"/>
      <c r="Z1" s="256"/>
      <c r="AA1" s="256"/>
      <c r="AB1" s="256"/>
      <c r="AC1" s="256"/>
      <c r="AD1" s="256"/>
      <c r="AE1" s="300"/>
      <c r="AF1" s="300"/>
      <c r="AG1" s="300"/>
      <c r="AH1" s="300"/>
      <c r="AI1" s="300"/>
      <c r="AJ1" s="300"/>
      <c r="AK1" s="300"/>
      <c r="AL1" s="300"/>
      <c r="AM1" s="300"/>
      <c r="AN1" s="247"/>
      <c r="AO1" s="262"/>
      <c r="AP1" s="256"/>
      <c r="AQ1" s="256"/>
      <c r="AR1" s="256"/>
      <c r="AS1" s="300"/>
      <c r="AT1" s="300"/>
      <c r="AU1" s="300"/>
      <c r="AV1" s="300"/>
      <c r="AW1" s="300"/>
      <c r="AX1" s="300"/>
      <c r="AY1" s="300"/>
      <c r="AZ1" s="300"/>
      <c r="BA1" s="300"/>
      <c r="BB1" s="247"/>
      <c r="BC1" s="262"/>
    </row>
    <row r="2" spans="1:64" ht="15.75" customHeight="1">
      <c r="B2" s="344" t="str">
        <f>'Opportunity Details'!A3</f>
        <v>Salesforce Opportunity Number</v>
      </c>
      <c r="C2" s="1007" t="str">
        <f>IF(ISBLANK('Opportunity Details'!C3), "Populate Sales Force ID on Opportunity Details Sheet", 'Opportunity Details'!C3)</f>
        <v>Populate Sales Force ID on Opportunity Details Sheet</v>
      </c>
      <c r="D2" s="1007"/>
      <c r="E2" s="1007"/>
      <c r="F2" s="249"/>
      <c r="G2" s="249"/>
      <c r="H2" s="249"/>
      <c r="I2" s="249"/>
      <c r="J2" s="249"/>
      <c r="K2" s="249"/>
      <c r="L2" s="249"/>
      <c r="M2" s="249"/>
      <c r="N2" s="301"/>
      <c r="O2" s="301"/>
      <c r="P2" s="301"/>
      <c r="Q2" s="301"/>
      <c r="R2" s="301"/>
      <c r="S2" s="301"/>
      <c r="T2" s="301"/>
      <c r="U2" s="301"/>
      <c r="V2" s="301"/>
      <c r="W2" s="301"/>
      <c r="X2" s="301"/>
      <c r="Y2" s="301"/>
      <c r="Z2" s="254"/>
      <c r="AA2" s="266"/>
      <c r="AB2" s="301"/>
      <c r="AC2" s="301"/>
      <c r="AD2" s="301"/>
      <c r="AE2" s="301"/>
      <c r="AF2" s="301"/>
      <c r="AG2" s="301"/>
      <c r="AH2" s="301"/>
      <c r="AI2" s="301"/>
      <c r="AJ2" s="301"/>
      <c r="AK2" s="301"/>
      <c r="AL2" s="301"/>
      <c r="AM2" s="301"/>
      <c r="AN2" s="254"/>
      <c r="AO2" s="266"/>
      <c r="AP2" s="301"/>
      <c r="AQ2" s="301"/>
      <c r="AR2" s="301"/>
      <c r="AS2" s="301"/>
      <c r="AT2" s="301"/>
      <c r="AU2" s="301"/>
      <c r="AV2" s="301"/>
      <c r="AW2" s="301"/>
      <c r="AX2" s="301"/>
      <c r="AY2" s="301"/>
      <c r="AZ2" s="301"/>
      <c r="BA2" s="301"/>
      <c r="BB2" s="254"/>
      <c r="BC2" s="266"/>
    </row>
    <row r="3" spans="1:64" ht="15.75" customHeight="1">
      <c r="B3" s="344" t="str">
        <f>'Opportunity Details'!A4</f>
        <v>Opportunity Name</v>
      </c>
      <c r="C3" s="1007" t="str">
        <f>IF(ISBLANK('Opportunity Details'!C4),"Populate Engagement Title on Opportunity Details Sheet",'Opportunity Details'!C4)</f>
        <v>Acme Opportunity</v>
      </c>
      <c r="D3" s="1007"/>
      <c r="E3" s="1007"/>
      <c r="F3" s="249"/>
      <c r="G3" s="249"/>
      <c r="H3" s="249"/>
      <c r="I3" s="249"/>
      <c r="J3" s="249"/>
      <c r="K3" s="249"/>
      <c r="L3" s="249"/>
      <c r="M3" s="249"/>
      <c r="N3" s="301"/>
      <c r="O3" s="301"/>
      <c r="P3" s="301"/>
      <c r="Q3" s="301"/>
      <c r="R3" s="301"/>
      <c r="S3" s="301"/>
      <c r="T3" s="301"/>
      <c r="U3" s="301"/>
      <c r="V3" s="301"/>
      <c r="W3" s="301"/>
      <c r="X3" s="301"/>
      <c r="Y3" s="301"/>
      <c r="Z3" s="254"/>
      <c r="AA3" s="266"/>
      <c r="AB3" s="301"/>
      <c r="AC3" s="301"/>
      <c r="AD3" s="301"/>
      <c r="AE3" s="301"/>
      <c r="AF3" s="301"/>
      <c r="AG3" s="301"/>
      <c r="AH3" s="301"/>
      <c r="AI3" s="301"/>
      <c r="AJ3" s="301"/>
      <c r="AK3" s="301"/>
      <c r="AL3" s="301"/>
      <c r="AM3" s="301"/>
      <c r="AN3" s="254"/>
      <c r="AO3" s="266"/>
      <c r="AP3" s="301"/>
      <c r="AQ3" s="301"/>
      <c r="AR3" s="301"/>
      <c r="AS3" s="301"/>
      <c r="AT3" s="301"/>
      <c r="AU3" s="301"/>
      <c r="AV3" s="301"/>
      <c r="AW3" s="301"/>
      <c r="AX3" s="301"/>
      <c r="AY3" s="301"/>
      <c r="AZ3" s="301"/>
      <c r="BA3" s="301"/>
      <c r="BB3" s="254"/>
      <c r="BC3" s="266"/>
    </row>
    <row r="4" spans="1:64" ht="15.75" customHeight="1">
      <c r="B4" s="344" t="str">
        <f>'Opportunity Details'!A7</f>
        <v>Account Name</v>
      </c>
      <c r="C4" s="1007" t="str">
        <f>IF(ISBLANK('Opportunity Details'!C7),"Populate Client on Opportunity Details Sheet",'Opportunity Details'!C7)</f>
        <v>Boeing ITSM Now Assist AI POC</v>
      </c>
      <c r="D4" s="1007"/>
      <c r="E4" s="1007"/>
      <c r="F4" s="249"/>
      <c r="G4" s="249"/>
      <c r="H4" s="249"/>
      <c r="I4" s="249"/>
      <c r="J4" s="249"/>
      <c r="K4" s="249"/>
      <c r="L4" s="249"/>
      <c r="M4" s="249"/>
      <c r="N4" s="301"/>
      <c r="O4" s="301"/>
      <c r="P4" s="301"/>
      <c r="Q4" s="301"/>
      <c r="R4" s="301"/>
      <c r="S4" s="301"/>
      <c r="T4" s="301"/>
      <c r="U4" s="301"/>
      <c r="V4" s="301"/>
      <c r="W4" s="301"/>
      <c r="X4" s="301"/>
      <c r="Y4" s="301"/>
      <c r="Z4" s="254"/>
      <c r="AA4" s="266"/>
      <c r="AB4" s="301"/>
      <c r="AC4" s="301"/>
      <c r="AD4" s="301"/>
      <c r="AE4" s="301"/>
      <c r="AF4" s="301"/>
      <c r="AG4" s="301"/>
      <c r="AH4" s="301"/>
      <c r="AI4" s="301"/>
      <c r="AJ4" s="301"/>
      <c r="AK4" s="301"/>
      <c r="AL4" s="301"/>
      <c r="AM4" s="301"/>
      <c r="AN4" s="254"/>
      <c r="AO4" s="266"/>
      <c r="AP4" s="301"/>
      <c r="AQ4" s="301"/>
      <c r="AR4" s="301"/>
      <c r="AS4" s="301"/>
      <c r="AT4" s="301"/>
      <c r="AU4" s="301"/>
      <c r="AV4" s="301"/>
      <c r="AW4" s="301"/>
      <c r="AX4" s="301"/>
      <c r="AY4" s="301"/>
      <c r="AZ4" s="301"/>
      <c r="BA4" s="301"/>
      <c r="BB4" s="254"/>
      <c r="BC4" s="266"/>
    </row>
    <row r="5" spans="1:64" ht="15.75">
      <c r="B5" s="344" t="s">
        <v>0</v>
      </c>
      <c r="C5" s="1007" t="s">
        <v>1</v>
      </c>
      <c r="D5" s="1007"/>
      <c r="E5" s="1007"/>
      <c r="F5" s="249"/>
      <c r="G5" s="249"/>
      <c r="H5" s="249"/>
      <c r="I5" s="249"/>
      <c r="J5" s="249"/>
      <c r="K5" s="249"/>
      <c r="L5" s="249"/>
      <c r="M5" s="249"/>
      <c r="N5" s="301"/>
      <c r="O5" s="301"/>
      <c r="P5" s="301"/>
      <c r="Q5" s="301"/>
      <c r="R5" s="301"/>
      <c r="S5" s="301"/>
      <c r="T5" s="301"/>
      <c r="U5" s="301"/>
      <c r="V5" s="301"/>
      <c r="W5" s="301"/>
      <c r="X5" s="301"/>
      <c r="Y5" s="301"/>
      <c r="Z5" s="254"/>
      <c r="AA5" s="266"/>
      <c r="AB5" s="301"/>
      <c r="AC5" s="301"/>
      <c r="AD5" s="301"/>
      <c r="AE5" s="301"/>
      <c r="AF5" s="301"/>
      <c r="AG5" s="301"/>
      <c r="AH5" s="301"/>
      <c r="AI5" s="301"/>
      <c r="AJ5" s="301"/>
      <c r="AK5" s="301"/>
      <c r="AL5" s="301"/>
      <c r="AM5" s="301"/>
      <c r="AN5" s="254"/>
      <c r="AO5" s="266"/>
      <c r="AP5" s="301"/>
      <c r="AQ5" s="301"/>
      <c r="AR5" s="301"/>
      <c r="AS5" s="301"/>
      <c r="AT5" s="301"/>
      <c r="AU5" s="301"/>
      <c r="AV5" s="301"/>
      <c r="AW5" s="301"/>
      <c r="AX5" s="301"/>
      <c r="AY5" s="301"/>
      <c r="AZ5" s="301"/>
      <c r="BA5" s="301"/>
      <c r="BB5" s="254"/>
      <c r="BC5" s="266"/>
    </row>
    <row r="6" spans="1:64" ht="15.75">
      <c r="B6" s="344" t="s">
        <v>2</v>
      </c>
      <c r="C6" s="1007" t="s">
        <v>3</v>
      </c>
      <c r="D6" s="1007"/>
      <c r="E6" s="1007"/>
      <c r="F6" s="250"/>
      <c r="G6" s="250"/>
      <c r="H6" s="250"/>
      <c r="I6" s="250"/>
      <c r="J6" s="250"/>
      <c r="K6" s="250"/>
      <c r="L6" s="250"/>
      <c r="M6" s="250"/>
      <c r="N6" s="301"/>
      <c r="O6" s="301"/>
      <c r="P6" s="301"/>
      <c r="Q6" s="301"/>
      <c r="R6" s="301"/>
      <c r="S6" s="301"/>
      <c r="T6" s="301"/>
      <c r="U6" s="301"/>
      <c r="V6" s="301"/>
      <c r="W6" s="301"/>
      <c r="X6" s="301"/>
      <c r="Y6" s="301"/>
      <c r="Z6" s="254"/>
      <c r="AA6" s="266"/>
      <c r="AB6" s="301"/>
      <c r="AC6" s="301"/>
      <c r="AD6" s="301"/>
      <c r="AE6" s="301"/>
      <c r="AF6" s="301"/>
      <c r="AG6" s="301"/>
      <c r="AH6" s="301"/>
      <c r="AI6" s="301"/>
      <c r="AJ6" s="301"/>
      <c r="AK6" s="301"/>
      <c r="AL6" s="301"/>
      <c r="AM6" s="301"/>
      <c r="AN6" s="254"/>
      <c r="AO6" s="266"/>
      <c r="AP6" s="301"/>
      <c r="AQ6" s="301"/>
      <c r="AR6" s="301"/>
      <c r="AS6" s="301"/>
      <c r="AT6" s="301"/>
      <c r="AU6" s="301"/>
      <c r="AV6" s="301"/>
      <c r="AW6" s="301"/>
      <c r="AX6" s="301"/>
      <c r="AY6" s="301"/>
      <c r="AZ6" s="301"/>
      <c r="BA6" s="301"/>
      <c r="BB6" s="254"/>
      <c r="BC6" s="266"/>
    </row>
    <row r="7" spans="1:64">
      <c r="C7" s="250"/>
      <c r="D7" s="250"/>
      <c r="E7" s="250"/>
      <c r="F7" s="250"/>
      <c r="G7" s="250"/>
      <c r="H7" s="299"/>
      <c r="I7" s="299"/>
      <c r="J7" s="299"/>
      <c r="K7" s="299"/>
      <c r="L7" s="299"/>
      <c r="M7" s="299"/>
      <c r="N7" s="301"/>
      <c r="O7" s="1001" t="s">
        <v>3</v>
      </c>
      <c r="P7" s="1002"/>
      <c r="Q7" s="1002"/>
      <c r="R7" s="1002"/>
      <c r="S7" s="1002"/>
      <c r="T7" s="1002"/>
      <c r="U7" s="1002"/>
      <c r="V7" s="1002"/>
      <c r="W7" s="1002"/>
      <c r="X7" s="1002"/>
      <c r="Y7" s="1002"/>
      <c r="Z7" s="1002"/>
      <c r="AA7" s="1003"/>
      <c r="AB7" s="1000" t="s">
        <v>4</v>
      </c>
      <c r="AC7" s="1000"/>
      <c r="AD7" s="1000"/>
      <c r="AE7" s="1000"/>
      <c r="AF7" s="1000"/>
      <c r="AG7" s="1000"/>
      <c r="AH7" s="1000"/>
      <c r="AI7" s="1000"/>
      <c r="AJ7" s="1000"/>
      <c r="AK7" s="1000"/>
      <c r="AL7" s="1000"/>
      <c r="AM7" s="1000"/>
      <c r="AN7" s="1000"/>
      <c r="AO7" s="1000"/>
      <c r="AP7" s="1000" t="s">
        <v>5</v>
      </c>
      <c r="AQ7" s="1000"/>
      <c r="AR7" s="1000"/>
      <c r="AS7" s="1000"/>
      <c r="AT7" s="1000"/>
      <c r="AU7" s="1000"/>
      <c r="AV7" s="1000"/>
      <c r="AW7" s="1000"/>
      <c r="AX7" s="1000"/>
      <c r="AY7" s="1000"/>
      <c r="AZ7" s="1000"/>
      <c r="BA7" s="1000"/>
      <c r="BB7" s="1000"/>
      <c r="BC7" s="1000"/>
    </row>
    <row r="8" spans="1:64">
      <c r="C8" s="250"/>
      <c r="D8" s="250"/>
      <c r="E8" s="250"/>
      <c r="F8" s="250"/>
      <c r="G8" s="250"/>
      <c r="H8" s="250"/>
      <c r="I8" s="250"/>
      <c r="J8" s="250"/>
      <c r="K8" s="250"/>
      <c r="L8" s="250"/>
      <c r="M8" s="250"/>
      <c r="O8" s="1004" t="s">
        <v>6</v>
      </c>
      <c r="P8" s="1005"/>
      <c r="Q8" s="1005"/>
      <c r="R8" s="1005"/>
      <c r="S8" s="1005"/>
      <c r="T8" s="1005"/>
      <c r="U8" s="1005"/>
      <c r="V8" s="1005"/>
      <c r="W8" s="1005"/>
      <c r="X8" s="1005"/>
      <c r="Y8" s="1005"/>
      <c r="Z8" s="1005"/>
      <c r="AA8" s="1006"/>
      <c r="AB8" s="1000" t="s">
        <v>6</v>
      </c>
      <c r="AC8" s="1000"/>
      <c r="AD8" s="1000"/>
      <c r="AE8" s="1000"/>
      <c r="AF8" s="1000"/>
      <c r="AG8" s="1000"/>
      <c r="AH8" s="1000"/>
      <c r="AI8" s="1000"/>
      <c r="AJ8" s="1000"/>
      <c r="AK8" s="1000"/>
      <c r="AL8" s="1000"/>
      <c r="AM8" s="1000"/>
      <c r="AN8" s="1000"/>
      <c r="AO8" s="1000"/>
      <c r="AP8" s="1000" t="s">
        <v>6</v>
      </c>
      <c r="AQ8" s="1000"/>
      <c r="AR8" s="1000"/>
      <c r="AS8" s="1000"/>
      <c r="AT8" s="1000"/>
      <c r="AU8" s="1000"/>
      <c r="AV8" s="1000"/>
      <c r="AW8" s="1000"/>
      <c r="AX8" s="1000"/>
      <c r="AY8" s="1000"/>
      <c r="AZ8" s="1000"/>
      <c r="BA8" s="1000"/>
      <c r="BB8" s="1000"/>
      <c r="BC8" s="1000"/>
    </row>
    <row r="9" spans="1:64">
      <c r="C9" s="250"/>
      <c r="D9" s="250"/>
      <c r="E9" s="250"/>
      <c r="F9" s="250"/>
      <c r="G9" s="250"/>
      <c r="H9" s="299"/>
      <c r="I9" s="299"/>
      <c r="J9" s="299"/>
      <c r="K9" s="299"/>
      <c r="L9" s="299"/>
      <c r="M9" s="299"/>
      <c r="N9" s="301"/>
      <c r="O9" s="302" t="e">
        <f>#REF!</f>
        <v>#REF!</v>
      </c>
      <c r="P9" s="302" t="e">
        <f>#REF!</f>
        <v>#REF!</v>
      </c>
      <c r="Q9" s="302" t="e">
        <f>#REF!</f>
        <v>#REF!</v>
      </c>
      <c r="R9" s="302" t="e">
        <f>#REF!</f>
        <v>#REF!</v>
      </c>
      <c r="S9" s="302" t="e">
        <f>#REF!</f>
        <v>#REF!</v>
      </c>
      <c r="T9" s="302" t="e">
        <f>#REF!</f>
        <v>#REF!</v>
      </c>
      <c r="U9" s="302" t="e">
        <f>#REF!</f>
        <v>#REF!</v>
      </c>
      <c r="V9" s="302" t="e">
        <f>#REF!</f>
        <v>#REF!</v>
      </c>
      <c r="W9" s="302" t="e">
        <f>#REF!</f>
        <v>#REF!</v>
      </c>
      <c r="X9" s="302" t="e">
        <f>#REF!</f>
        <v>#REF!</v>
      </c>
      <c r="Y9" s="302" t="e">
        <f>#REF!</f>
        <v>#REF!</v>
      </c>
      <c r="Z9" s="999"/>
      <c r="AA9" s="999"/>
      <c r="AB9" s="304" t="e">
        <f>#REF!</f>
        <v>#REF!</v>
      </c>
      <c r="AC9" s="304" t="e">
        <f>#REF!</f>
        <v>#REF!</v>
      </c>
      <c r="AD9" s="304" t="e">
        <f>#REF!</f>
        <v>#REF!</v>
      </c>
      <c r="AE9" s="304" t="e">
        <f>#REF!</f>
        <v>#REF!</v>
      </c>
      <c r="AF9" s="304" t="e">
        <f>#REF!</f>
        <v>#REF!</v>
      </c>
      <c r="AG9" s="304" t="e">
        <f>#REF!</f>
        <v>#REF!</v>
      </c>
      <c r="AH9" s="304" t="e">
        <f>#REF!</f>
        <v>#REF!</v>
      </c>
      <c r="AI9" s="304" t="e">
        <f>#REF!</f>
        <v>#REF!</v>
      </c>
      <c r="AJ9" s="304" t="e">
        <f>#REF!</f>
        <v>#REF!</v>
      </c>
      <c r="AK9" s="304" t="e">
        <f>#REF!</f>
        <v>#REF!</v>
      </c>
      <c r="AL9" s="304" t="e">
        <f>#REF!</f>
        <v>#REF!</v>
      </c>
      <c r="AM9" s="304" t="e">
        <f>#REF!</f>
        <v>#REF!</v>
      </c>
      <c r="AN9" s="1000"/>
      <c r="AO9" s="1000"/>
      <c r="AP9" s="304" t="e">
        <f>#REF!</f>
        <v>#REF!</v>
      </c>
      <c r="AQ9" s="304" t="e">
        <f>#REF!</f>
        <v>#REF!</v>
      </c>
      <c r="AR9" s="304" t="e">
        <f>#REF!</f>
        <v>#REF!</v>
      </c>
      <c r="AS9" s="304" t="e">
        <f>#REF!</f>
        <v>#REF!</v>
      </c>
      <c r="AT9" s="304" t="e">
        <f>#REF!</f>
        <v>#REF!</v>
      </c>
      <c r="AU9" s="304" t="e">
        <f>#REF!</f>
        <v>#REF!</v>
      </c>
      <c r="AV9" s="304" t="e">
        <f>#REF!</f>
        <v>#REF!</v>
      </c>
      <c r="AW9" s="304" t="e">
        <f>#REF!</f>
        <v>#REF!</v>
      </c>
      <c r="AX9" s="304" t="e">
        <f>#REF!</f>
        <v>#REF!</v>
      </c>
      <c r="AY9" s="304" t="e">
        <f>#REF!</f>
        <v>#REF!</v>
      </c>
      <c r="AZ9" s="304" t="e">
        <f>#REF!</f>
        <v>#REF!</v>
      </c>
      <c r="BA9" s="304" t="e">
        <f>#REF!</f>
        <v>#REF!</v>
      </c>
      <c r="BB9" s="1000"/>
      <c r="BC9" s="1000"/>
    </row>
    <row r="10" spans="1:64" s="251" customFormat="1" ht="140.25">
      <c r="B10" s="351" t="s">
        <v>7</v>
      </c>
      <c r="C10" s="341" t="s">
        <v>8</v>
      </c>
      <c r="D10" s="341" t="s">
        <v>9</v>
      </c>
      <c r="E10" s="342" t="s">
        <v>10</v>
      </c>
      <c r="F10" s="342" t="s">
        <v>11</v>
      </c>
      <c r="G10" s="342" t="s">
        <v>12</v>
      </c>
      <c r="H10" s="342" t="s">
        <v>13</v>
      </c>
      <c r="I10" s="343" t="s">
        <v>14</v>
      </c>
      <c r="J10" s="343" t="s">
        <v>15</v>
      </c>
      <c r="K10" s="343" t="s">
        <v>16</v>
      </c>
      <c r="L10" s="343" t="s">
        <v>17</v>
      </c>
      <c r="M10" s="343" t="s">
        <v>18</v>
      </c>
      <c r="N10" s="343" t="s">
        <v>19</v>
      </c>
      <c r="O10" s="321" t="s">
        <v>20</v>
      </c>
      <c r="P10" s="321" t="s">
        <v>21</v>
      </c>
      <c r="Q10" s="321" t="s">
        <v>22</v>
      </c>
      <c r="R10" s="321" t="s">
        <v>23</v>
      </c>
      <c r="S10" s="321" t="s">
        <v>24</v>
      </c>
      <c r="T10" s="321" t="s">
        <v>25</v>
      </c>
      <c r="U10" s="321" t="s">
        <v>26</v>
      </c>
      <c r="V10" s="321" t="s">
        <v>27</v>
      </c>
      <c r="W10" s="321" t="s">
        <v>28</v>
      </c>
      <c r="X10" s="321" t="s">
        <v>29</v>
      </c>
      <c r="Y10" s="321" t="s">
        <v>30</v>
      </c>
      <c r="Z10" s="321" t="s">
        <v>31</v>
      </c>
      <c r="AA10" s="322" t="s">
        <v>32</v>
      </c>
      <c r="AB10" s="323" t="s">
        <v>33</v>
      </c>
      <c r="AC10" s="324" t="s">
        <v>34</v>
      </c>
      <c r="AD10" s="324" t="s">
        <v>35</v>
      </c>
      <c r="AE10" s="324" t="s">
        <v>36</v>
      </c>
      <c r="AF10" s="324" t="s">
        <v>37</v>
      </c>
      <c r="AG10" s="324" t="s">
        <v>38</v>
      </c>
      <c r="AH10" s="324" t="s">
        <v>39</v>
      </c>
      <c r="AI10" s="324" t="s">
        <v>40</v>
      </c>
      <c r="AJ10" s="324" t="s">
        <v>41</v>
      </c>
      <c r="AK10" s="324" t="s">
        <v>42</v>
      </c>
      <c r="AL10" s="324" t="s">
        <v>43</v>
      </c>
      <c r="AM10" s="324" t="s">
        <v>44</v>
      </c>
      <c r="AN10" s="324" t="s">
        <v>45</v>
      </c>
      <c r="AO10" s="325" t="s">
        <v>46</v>
      </c>
      <c r="AP10" s="326" t="s">
        <v>47</v>
      </c>
      <c r="AQ10" s="327" t="s">
        <v>48</v>
      </c>
      <c r="AR10" s="327" t="s">
        <v>49</v>
      </c>
      <c r="AS10" s="327" t="s">
        <v>50</v>
      </c>
      <c r="AT10" s="327" t="s">
        <v>51</v>
      </c>
      <c r="AU10" s="327" t="s">
        <v>52</v>
      </c>
      <c r="AV10" s="327" t="s">
        <v>53</v>
      </c>
      <c r="AW10" s="327" t="s">
        <v>54</v>
      </c>
      <c r="AX10" s="327" t="s">
        <v>55</v>
      </c>
      <c r="AY10" s="327" t="s">
        <v>56</v>
      </c>
      <c r="AZ10" s="327" t="s">
        <v>57</v>
      </c>
      <c r="BA10" s="327" t="s">
        <v>58</v>
      </c>
      <c r="BB10" s="327" t="s">
        <v>59</v>
      </c>
      <c r="BC10" s="306" t="s">
        <v>60</v>
      </c>
      <c r="BD10" s="307" t="s">
        <v>47</v>
      </c>
      <c r="BJ10"/>
      <c r="BK10"/>
      <c r="BL10"/>
    </row>
    <row r="11" spans="1:64" s="345" customFormat="1">
      <c r="A11" s="251"/>
      <c r="B11" s="350" t="s">
        <v>61</v>
      </c>
      <c r="C11" s="348"/>
      <c r="D11" s="348"/>
      <c r="E11" s="349"/>
      <c r="F11" s="349"/>
      <c r="G11" s="348"/>
      <c r="H11" s="348"/>
      <c r="J11" s="346"/>
      <c r="K11" s="346"/>
      <c r="AA11" s="345">
        <f>SUM(Table1456[[#This Row],[Program Director 
(IT Workflow - US)]:[Engineer
(IT Workflow - US)]])</f>
        <v>0</v>
      </c>
      <c r="AO11" s="345">
        <f>SUM(Table1456[[#This Row],[Program Director 
(Customer and Employee Workflow - US)]:[Engineer
(Customer and Employee Workflow - US)]])</f>
        <v>0</v>
      </c>
    </row>
    <row r="12" spans="1:64">
      <c r="B12" s="350"/>
      <c r="C12" s="328" t="s">
        <v>62</v>
      </c>
      <c r="D12" s="328" t="s">
        <v>63</v>
      </c>
      <c r="E12" s="328" t="s">
        <v>64</v>
      </c>
      <c r="F12" s="328"/>
      <c r="G12" s="328" t="s">
        <v>65</v>
      </c>
      <c r="H12" s="328" t="s">
        <v>66</v>
      </c>
      <c r="I12" s="329">
        <v>4</v>
      </c>
      <c r="J12" s="330" t="e" cm="1">
        <f t="array" ref="J12">INDEX('Client Rates and Roles'!$F$2:$F$433,MATCH(1,COUNTIFS('Opportunity Details'!$C$14,'Client Rates and Roles'!$D$2:$D$433,G12,'Client Rates and Roles'!$B$2:$B$433,H12,'Client Rates and Roles'!$C$2:$C$433,$C$6,'Client Rates and Roles'!$A$2:$A$433),0))</f>
        <v>#N/A</v>
      </c>
      <c r="K12" s="330" t="e">
        <f>I12*J12</f>
        <v>#N/A</v>
      </c>
      <c r="L12" s="329">
        <v>0</v>
      </c>
      <c r="M12" s="329">
        <v>20</v>
      </c>
      <c r="N12" s="329">
        <v>2</v>
      </c>
      <c r="O12" s="329"/>
      <c r="P12" s="329"/>
      <c r="Q12" s="329"/>
      <c r="R12" s="329"/>
      <c r="S12" s="329"/>
      <c r="T12" s="329"/>
      <c r="U12" s="329"/>
      <c r="V12" s="329"/>
      <c r="W12" s="329"/>
      <c r="X12" s="329"/>
      <c r="Y12" s="329"/>
      <c r="Z12" s="329"/>
      <c r="AA12" s="331">
        <f>SUM(Table1456[[#This Row],[Program Director 
(IT Workflow - US)]:[Engineer
(IT Workflow - US)]])</f>
        <v>0</v>
      </c>
      <c r="AB12" s="332"/>
      <c r="AC12" s="329"/>
      <c r="AD12" s="329"/>
      <c r="AE12" s="329"/>
      <c r="AF12" s="329"/>
      <c r="AG12" s="329"/>
      <c r="AH12" s="329"/>
      <c r="AI12" s="329"/>
      <c r="AJ12" s="329"/>
      <c r="AK12" s="329"/>
      <c r="AL12" s="329"/>
      <c r="AM12" s="329"/>
      <c r="AN12" s="329"/>
      <c r="AO12" s="333">
        <f>SUM(Table1456[[#This Row],[Program Director 
(Customer and Employee Workflow - US)]:[Engineer
(Customer and Employee Workflow - US)]])</f>
        <v>0</v>
      </c>
      <c r="AP12" s="329"/>
      <c r="AQ12" s="329"/>
      <c r="AR12" s="329"/>
      <c r="AS12" s="329"/>
      <c r="AT12" s="329"/>
      <c r="AU12" s="329"/>
      <c r="AV12" s="329"/>
      <c r="AW12" s="329"/>
      <c r="AX12" s="329"/>
      <c r="AY12" s="329"/>
      <c r="AZ12" s="329"/>
      <c r="BA12" s="329"/>
      <c r="BB12" s="329"/>
      <c r="BC12" s="305">
        <f>SUM(Table1456[[#This Row],[Program Director 
(IT Workflow - US)]:[Chief Architect
(IT Workflow - US)]])</f>
        <v>0</v>
      </c>
      <c r="BD12" s="303"/>
      <c r="BJ12"/>
      <c r="BK12"/>
      <c r="BL12"/>
    </row>
    <row r="13" spans="1:64" ht="51">
      <c r="B13" s="347"/>
      <c r="C13" s="328" t="s">
        <v>62</v>
      </c>
      <c r="D13" s="328" t="s">
        <v>67</v>
      </c>
      <c r="E13" s="328" t="s">
        <v>68</v>
      </c>
      <c r="F13" s="328" t="s">
        <v>69</v>
      </c>
      <c r="G13" s="328" t="s">
        <v>70</v>
      </c>
      <c r="H13" s="328" t="s">
        <v>71</v>
      </c>
      <c r="I13" s="329">
        <v>4</v>
      </c>
      <c r="J13" s="330" t="e" cm="1">
        <f t="array" ref="J13">INDEX('Client Rates and Roles'!$F$2:$F$433,MATCH(1,COUNTIFS('Opportunity Details'!$C$14,'Client Rates and Roles'!$D$2:$D$433,G13,'Client Rates and Roles'!$B$2:$B$433,H13,'Client Rates and Roles'!$C$2:$C$433,$C$6,'Client Rates and Roles'!$A$2:$A$433),0))</f>
        <v>#N/A</v>
      </c>
      <c r="K13" s="330" t="e">
        <f>I13*J13</f>
        <v>#N/A</v>
      </c>
      <c r="L13" s="329">
        <v>0</v>
      </c>
      <c r="M13" s="329"/>
      <c r="N13" s="329">
        <v>2</v>
      </c>
      <c r="O13" s="329"/>
      <c r="P13" s="329"/>
      <c r="Q13" s="329"/>
      <c r="R13" s="329"/>
      <c r="S13" s="329"/>
      <c r="T13" s="329"/>
      <c r="U13" s="329"/>
      <c r="V13" s="329"/>
      <c r="W13" s="329"/>
      <c r="X13" s="329"/>
      <c r="Y13" s="329"/>
      <c r="Z13" s="329"/>
      <c r="AA13" s="331">
        <f>SUM(Table1456[[#This Row],[Program Director 
(IT Workflow - US)]:[Engineer
(IT Workflow - US)]])</f>
        <v>0</v>
      </c>
      <c r="AB13" s="332"/>
      <c r="AC13" s="329"/>
      <c r="AD13" s="329"/>
      <c r="AE13" s="329"/>
      <c r="AF13" s="329"/>
      <c r="AG13" s="329"/>
      <c r="AH13" s="329"/>
      <c r="AI13" s="329"/>
      <c r="AJ13" s="329"/>
      <c r="AK13" s="329"/>
      <c r="AL13" s="329"/>
      <c r="AM13" s="329"/>
      <c r="AN13" s="329"/>
      <c r="AO13" s="333">
        <f>SUM(Table1456[[#This Row],[Program Director 
(Customer and Employee Workflow - US)]:[Engineer
(Customer and Employee Workflow - US)]])</f>
        <v>0</v>
      </c>
      <c r="AP13" s="329"/>
      <c r="AQ13" s="329"/>
      <c r="AR13" s="329"/>
      <c r="AS13" s="329"/>
      <c r="AT13" s="329"/>
      <c r="AU13" s="329"/>
      <c r="AV13" s="329"/>
      <c r="AW13" s="329"/>
      <c r="AX13" s="329"/>
      <c r="AY13" s="329"/>
      <c r="AZ13" s="329"/>
      <c r="BA13" s="329"/>
      <c r="BB13" s="329"/>
      <c r="BC13" s="305">
        <f>SUM(Table1456[[#This Row],[Program Director 
(IT Workflow - US)]:[Chief Architect
(IT Workflow - US)]])</f>
        <v>0</v>
      </c>
      <c r="BD13" s="303"/>
      <c r="BJ13"/>
      <c r="BK13"/>
      <c r="BL13"/>
    </row>
    <row r="14" spans="1:64" ht="38.25">
      <c r="B14" s="347"/>
      <c r="C14" s="328" t="s">
        <v>62</v>
      </c>
      <c r="D14" s="328" t="s">
        <v>72</v>
      </c>
      <c r="E14" s="328" t="s">
        <v>73</v>
      </c>
      <c r="F14" s="328" t="s">
        <v>74</v>
      </c>
      <c r="G14" s="328" t="s">
        <v>75</v>
      </c>
      <c r="H14" s="328" t="s">
        <v>71</v>
      </c>
      <c r="I14" s="329">
        <v>4</v>
      </c>
      <c r="J14" s="330" t="e" cm="1">
        <f t="array" ref="J14">INDEX('Client Rates and Roles'!$F$2:$F$433,MATCH(1,COUNTIFS('Opportunity Details'!$C$14,'Client Rates and Roles'!$D$2:$D$433,G14,'Client Rates and Roles'!$B$2:$B$433,H14,'Client Rates and Roles'!$C$2:$C$433,$C$6,'Client Rates and Roles'!$A$2:$A$433),0))</f>
        <v>#N/A</v>
      </c>
      <c r="K14" s="330" t="e">
        <f>I14*J14</f>
        <v>#N/A</v>
      </c>
      <c r="L14" s="329">
        <v>0</v>
      </c>
      <c r="M14" s="329"/>
      <c r="N14" s="329">
        <v>2</v>
      </c>
      <c r="O14" s="329"/>
      <c r="P14" s="329"/>
      <c r="Q14" s="329"/>
      <c r="R14" s="329"/>
      <c r="S14" s="329"/>
      <c r="T14" s="329"/>
      <c r="U14" s="329"/>
      <c r="V14" s="329"/>
      <c r="W14" s="329"/>
      <c r="X14" s="329"/>
      <c r="Y14" s="329"/>
      <c r="Z14" s="329"/>
      <c r="AA14" s="331">
        <f>SUM(Table1456[[#This Row],[Program Director 
(IT Workflow - US)]:[Engineer
(IT Workflow - US)]])</f>
        <v>0</v>
      </c>
      <c r="AB14" s="332"/>
      <c r="AC14" s="329"/>
      <c r="AD14" s="329"/>
      <c r="AE14" s="329"/>
      <c r="AF14" s="329"/>
      <c r="AG14" s="329"/>
      <c r="AH14" s="329"/>
      <c r="AI14" s="329"/>
      <c r="AJ14" s="329"/>
      <c r="AK14" s="329"/>
      <c r="AL14" s="329"/>
      <c r="AM14" s="329"/>
      <c r="AN14" s="329"/>
      <c r="AO14" s="333">
        <f>SUM(Table1456[[#This Row],[Program Director 
(Customer and Employee Workflow - US)]:[Engineer
(Customer and Employee Workflow - US)]])</f>
        <v>0</v>
      </c>
      <c r="AP14" s="329"/>
      <c r="AQ14" s="329"/>
      <c r="AR14" s="329"/>
      <c r="AS14" s="329"/>
      <c r="AT14" s="329"/>
      <c r="AU14" s="329"/>
      <c r="AV14" s="329"/>
      <c r="AW14" s="329"/>
      <c r="AX14" s="329"/>
      <c r="AY14" s="329"/>
      <c r="AZ14" s="329"/>
      <c r="BA14" s="329"/>
      <c r="BB14" s="329"/>
      <c r="BC14" s="305">
        <f>SUM(Table1456[[#This Row],[Program Director 
(IT Workflow - US)]:[Chief Architect
(IT Workflow - US)]])</f>
        <v>0</v>
      </c>
      <c r="BD14" s="303"/>
      <c r="BJ14"/>
      <c r="BK14"/>
      <c r="BL14"/>
    </row>
    <row r="15" spans="1:64" ht="38.25">
      <c r="B15" s="347"/>
      <c r="C15" s="328" t="s">
        <v>62</v>
      </c>
      <c r="D15" s="328" t="s">
        <v>76</v>
      </c>
      <c r="E15" s="328" t="s">
        <v>77</v>
      </c>
      <c r="F15" s="328"/>
      <c r="G15" s="328" t="s">
        <v>75</v>
      </c>
      <c r="H15" s="328" t="s">
        <v>71</v>
      </c>
      <c r="I15" s="329">
        <v>4</v>
      </c>
      <c r="J15" s="330" t="e" cm="1">
        <f t="array" ref="J15">INDEX('Client Rates and Roles'!$F$2:$F$433,MATCH(1,COUNTIFS('Opportunity Details'!$C$14,'Client Rates and Roles'!$D$2:$D$433,G15,'Client Rates and Roles'!$B$2:$B$433,H15,'Client Rates and Roles'!$C$2:$C$433,$C$6,'Client Rates and Roles'!$A$2:$A$433),0))</f>
        <v>#N/A</v>
      </c>
      <c r="K15" s="330" t="e">
        <f>I15*J15</f>
        <v>#N/A</v>
      </c>
      <c r="L15" s="329">
        <v>0</v>
      </c>
      <c r="M15" s="329"/>
      <c r="N15" s="329">
        <v>2</v>
      </c>
      <c r="O15" s="329"/>
      <c r="P15" s="329"/>
      <c r="Q15" s="329"/>
      <c r="R15" s="329"/>
      <c r="S15" s="329"/>
      <c r="T15" s="329"/>
      <c r="U15" s="329"/>
      <c r="V15" s="329"/>
      <c r="W15" s="329"/>
      <c r="X15" s="329"/>
      <c r="Y15" s="329"/>
      <c r="Z15" s="329"/>
      <c r="AA15" s="331">
        <f>SUM(Table1456[[#This Row],[Program Director 
(IT Workflow - US)]:[Engineer
(IT Workflow - US)]])</f>
        <v>0</v>
      </c>
      <c r="AB15" s="332"/>
      <c r="AC15" s="329"/>
      <c r="AD15" s="329"/>
      <c r="AE15" s="329"/>
      <c r="AF15" s="329"/>
      <c r="AG15" s="329"/>
      <c r="AH15" s="329"/>
      <c r="AI15" s="329"/>
      <c r="AJ15" s="329"/>
      <c r="AK15" s="329"/>
      <c r="AL15" s="329"/>
      <c r="AM15" s="329"/>
      <c r="AN15" s="329"/>
      <c r="AO15" s="333">
        <f>SUM(Table1456[[#This Row],[Program Director 
(Customer and Employee Workflow - US)]:[Engineer
(Customer and Employee Workflow - US)]])</f>
        <v>0</v>
      </c>
      <c r="AP15" s="329"/>
      <c r="AQ15" s="329"/>
      <c r="AR15" s="329"/>
      <c r="AS15" s="329"/>
      <c r="AT15" s="329"/>
      <c r="AU15" s="329"/>
      <c r="AV15" s="329"/>
      <c r="AW15" s="329"/>
      <c r="AX15" s="329"/>
      <c r="AY15" s="329"/>
      <c r="AZ15" s="329"/>
      <c r="BA15" s="329"/>
      <c r="BB15" s="329"/>
      <c r="BC15" s="305">
        <f>SUM(Table1456[[#This Row],[Program Director 
(IT Workflow - US)]:[Chief Architect
(IT Workflow - US)]])</f>
        <v>0</v>
      </c>
      <c r="BD15" s="303"/>
      <c r="BJ15"/>
      <c r="BK15"/>
      <c r="BL15"/>
    </row>
    <row r="16" spans="1:64" ht="25.5">
      <c r="B16" s="347"/>
      <c r="C16" s="328" t="s">
        <v>62</v>
      </c>
      <c r="D16" s="328" t="s">
        <v>78</v>
      </c>
      <c r="E16" s="328" t="s">
        <v>79</v>
      </c>
      <c r="F16" s="328"/>
      <c r="G16" s="328" t="s">
        <v>75</v>
      </c>
      <c r="H16" s="328" t="s">
        <v>71</v>
      </c>
      <c r="I16" s="329">
        <v>4</v>
      </c>
      <c r="J16" s="330" t="e" cm="1">
        <f t="array" ref="J16">INDEX('Client Rates and Roles'!$F$2:$F$433,MATCH(1,COUNTIFS('Opportunity Details'!$C$14,'Client Rates and Roles'!$D$2:$D$433,G16,'Client Rates and Roles'!$B$2:$B$433,H16,'Client Rates and Roles'!$C$2:$C$433,$C$6,'Client Rates and Roles'!$A$2:$A$433),0))</f>
        <v>#N/A</v>
      </c>
      <c r="K16" s="330" t="e">
        <f>I16*J16</f>
        <v>#N/A</v>
      </c>
      <c r="L16" s="329">
        <v>0</v>
      </c>
      <c r="M16" s="329"/>
      <c r="N16" s="329">
        <v>2</v>
      </c>
      <c r="O16" s="329"/>
      <c r="P16" s="329"/>
      <c r="Q16" s="329"/>
      <c r="R16" s="329"/>
      <c r="S16" s="329"/>
      <c r="T16" s="329"/>
      <c r="U16" s="329"/>
      <c r="V16" s="329"/>
      <c r="W16" s="329"/>
      <c r="X16" s="329"/>
      <c r="Y16" s="329"/>
      <c r="Z16" s="329"/>
      <c r="AA16" s="331">
        <f>SUM(Table1456[[#This Row],[Program Director 
(IT Workflow - US)]:[Engineer
(IT Workflow - US)]])</f>
        <v>0</v>
      </c>
      <c r="AB16" s="332"/>
      <c r="AC16" s="329"/>
      <c r="AD16" s="329"/>
      <c r="AE16" s="329"/>
      <c r="AF16" s="329"/>
      <c r="AG16" s="329"/>
      <c r="AH16" s="329"/>
      <c r="AI16" s="329"/>
      <c r="AJ16" s="329"/>
      <c r="AK16" s="329"/>
      <c r="AL16" s="329"/>
      <c r="AM16" s="329"/>
      <c r="AN16" s="329"/>
      <c r="AO16" s="333">
        <f>SUM(Table1456[[#This Row],[Program Director 
(Customer and Employee Workflow - US)]:[Engineer
(Customer and Employee Workflow - US)]])</f>
        <v>0</v>
      </c>
      <c r="AP16" s="329"/>
      <c r="AQ16" s="329"/>
      <c r="AR16" s="329"/>
      <c r="AS16" s="329"/>
      <c r="AT16" s="329"/>
      <c r="AU16" s="329"/>
      <c r="AV16" s="329"/>
      <c r="AW16" s="329"/>
      <c r="AX16" s="329"/>
      <c r="AY16" s="329"/>
      <c r="AZ16" s="329"/>
      <c r="BA16" s="329"/>
      <c r="BB16" s="329"/>
      <c r="BC16" s="305">
        <f>SUM(Table1456[[#This Row],[Program Director 
(IT Workflow - US)]:[Chief Architect
(IT Workflow - US)]])</f>
        <v>0</v>
      </c>
      <c r="BD16" s="303"/>
      <c r="BJ16"/>
      <c r="BK16"/>
      <c r="BL16"/>
    </row>
    <row r="17" spans="2:64">
      <c r="B17" s="356" t="s">
        <v>80</v>
      </c>
      <c r="C17" s="352"/>
      <c r="D17" s="352"/>
      <c r="E17" s="352"/>
      <c r="F17" s="352"/>
      <c r="G17" s="352"/>
      <c r="H17" s="352"/>
      <c r="I17" s="353"/>
      <c r="J17" s="354"/>
      <c r="K17" s="354"/>
      <c r="L17" s="353"/>
      <c r="M17" s="353"/>
      <c r="N17" s="353"/>
      <c r="O17" s="329"/>
      <c r="P17" s="329"/>
      <c r="Q17" s="329"/>
      <c r="R17" s="329"/>
      <c r="S17" s="329"/>
      <c r="T17" s="329"/>
      <c r="U17" s="329"/>
      <c r="V17" s="329"/>
      <c r="W17" s="329"/>
      <c r="X17" s="329"/>
      <c r="Y17" s="329"/>
      <c r="Z17" s="329"/>
      <c r="AA17" s="331">
        <f>SUM(Table1456[[#This Row],[Program Director 
(IT Workflow - US)]:[Engineer
(IT Workflow - US)]])</f>
        <v>0</v>
      </c>
      <c r="AB17" s="332"/>
      <c r="AC17" s="329"/>
      <c r="AD17" s="329"/>
      <c r="AE17" s="329"/>
      <c r="AF17" s="329"/>
      <c r="AG17" s="329"/>
      <c r="AH17" s="329"/>
      <c r="AI17" s="329"/>
      <c r="AJ17" s="329"/>
      <c r="AK17" s="329"/>
      <c r="AL17" s="329"/>
      <c r="AM17" s="329"/>
      <c r="AN17" s="329"/>
      <c r="AO17" s="333">
        <f>SUM(Table1456[[#This Row],[Program Director 
(Customer and Employee Workflow - US)]:[Engineer
(Customer and Employee Workflow - US)]])</f>
        <v>0</v>
      </c>
      <c r="AP17" s="329"/>
      <c r="AQ17" s="329"/>
      <c r="AR17" s="329"/>
      <c r="AS17" s="329"/>
      <c r="AT17" s="329"/>
      <c r="AU17" s="329"/>
      <c r="AV17" s="329"/>
      <c r="AW17" s="329"/>
      <c r="AX17" s="329"/>
      <c r="AY17" s="329"/>
      <c r="AZ17" s="329"/>
      <c r="BA17" s="329"/>
      <c r="BB17" s="329"/>
      <c r="BC17" s="305"/>
      <c r="BD17" s="303"/>
      <c r="BJ17"/>
      <c r="BK17"/>
      <c r="BL17"/>
    </row>
    <row r="18" spans="2:64" ht="25.5">
      <c r="B18" s="355"/>
      <c r="C18" s="328" t="s">
        <v>81</v>
      </c>
      <c r="D18" s="328" t="s">
        <v>82</v>
      </c>
      <c r="E18" s="328" t="s">
        <v>83</v>
      </c>
      <c r="F18" s="328"/>
      <c r="G18" s="328" t="s">
        <v>84</v>
      </c>
      <c r="H18" s="328" t="s">
        <v>71</v>
      </c>
      <c r="I18" s="329">
        <v>40</v>
      </c>
      <c r="J18" s="330" t="e" cm="1">
        <f t="array" ref="J18">INDEX('Client Rates and Roles'!$F$2:$F$433,MATCH(1,COUNTIFS('Opportunity Details'!$C$14,'Client Rates and Roles'!$D$2:$D$433,G18,'Client Rates and Roles'!$B$2:$B$433,H18,'Client Rates and Roles'!$C$2:$C$433,$C$6,'Client Rates and Roles'!$A$2:$A$433),0))</f>
        <v>#N/A</v>
      </c>
      <c r="K18" s="330" t="e">
        <f t="shared" ref="K18:K22" si="0">I18*J18</f>
        <v>#N/A</v>
      </c>
      <c r="L18" s="329">
        <v>0</v>
      </c>
      <c r="M18" s="329"/>
      <c r="N18" s="329">
        <v>40</v>
      </c>
      <c r="O18" s="329"/>
      <c r="P18" s="329"/>
      <c r="Q18" s="329"/>
      <c r="R18" s="329"/>
      <c r="S18" s="329"/>
      <c r="T18" s="329"/>
      <c r="U18" s="329"/>
      <c r="V18" s="329"/>
      <c r="W18" s="329"/>
      <c r="X18" s="329"/>
      <c r="Y18" s="329"/>
      <c r="Z18" s="329"/>
      <c r="AA18" s="331">
        <f>SUM(Table1456[[#This Row],[Program Director 
(IT Workflow - US)]:[Engineer
(IT Workflow - US)]])</f>
        <v>0</v>
      </c>
      <c r="AB18" s="332"/>
      <c r="AC18" s="329"/>
      <c r="AD18" s="329"/>
      <c r="AE18" s="329"/>
      <c r="AF18" s="329"/>
      <c r="AG18" s="329"/>
      <c r="AH18" s="329"/>
      <c r="AI18" s="329"/>
      <c r="AJ18" s="329"/>
      <c r="AK18" s="329"/>
      <c r="AL18" s="329"/>
      <c r="AM18" s="329"/>
      <c r="AN18" s="329"/>
      <c r="AO18" s="333">
        <f>SUM(Table1456[[#This Row],[Program Director 
(Customer and Employee Workflow - US)]:[Engineer
(Customer and Employee Workflow - US)]])</f>
        <v>0</v>
      </c>
      <c r="AP18" s="329"/>
      <c r="AQ18" s="329"/>
      <c r="AR18" s="329"/>
      <c r="AS18" s="329"/>
      <c r="AT18" s="329"/>
      <c r="AU18" s="329"/>
      <c r="AV18" s="329"/>
      <c r="AW18" s="329"/>
      <c r="AX18" s="329"/>
      <c r="AY18" s="329"/>
      <c r="AZ18" s="329"/>
      <c r="BA18" s="329"/>
      <c r="BB18" s="329"/>
      <c r="BC18" s="305">
        <f>SUM(Table1456[[#This Row],[Program Director 
(IT Workflow - US)]:[Chief Architect
(IT Workflow - US)]])</f>
        <v>0</v>
      </c>
      <c r="BD18" s="303"/>
      <c r="BJ18"/>
      <c r="BK18"/>
      <c r="BL18"/>
    </row>
    <row r="19" spans="2:64" ht="38.25">
      <c r="B19" s="355"/>
      <c r="C19" s="328" t="s">
        <v>81</v>
      </c>
      <c r="D19" s="328" t="s">
        <v>85</v>
      </c>
      <c r="E19" s="328" t="s">
        <v>86</v>
      </c>
      <c r="F19" s="328"/>
      <c r="G19" s="328" t="s">
        <v>87</v>
      </c>
      <c r="H19" s="328" t="s">
        <v>66</v>
      </c>
      <c r="I19" s="329">
        <v>4</v>
      </c>
      <c r="J19" s="330" t="e" cm="1">
        <f t="array" ref="J19">INDEX('Client Rates and Roles'!$F$2:$F$433,MATCH(1,COUNTIFS('Opportunity Details'!$C$14,'Client Rates and Roles'!$D$2:$D$433,G19,'Client Rates and Roles'!$B$2:$B$433,H19,'Client Rates and Roles'!$C$2:$C$433,$C$6,'Client Rates and Roles'!$A$2:$A$433),0))</f>
        <v>#N/A</v>
      </c>
      <c r="K19" s="330" t="e">
        <f t="shared" si="0"/>
        <v>#N/A</v>
      </c>
      <c r="L19" s="329">
        <v>0</v>
      </c>
      <c r="M19" s="329"/>
      <c r="N19" s="329">
        <v>2</v>
      </c>
      <c r="O19" s="329"/>
      <c r="P19" s="329"/>
      <c r="Q19" s="329"/>
      <c r="R19" s="329"/>
      <c r="S19" s="329"/>
      <c r="T19" s="329"/>
      <c r="U19" s="329"/>
      <c r="V19" s="329"/>
      <c r="W19" s="329"/>
      <c r="X19" s="329"/>
      <c r="Y19" s="329"/>
      <c r="Z19" s="329"/>
      <c r="AA19" s="331">
        <f>SUM(Table1456[[#This Row],[Program Director 
(IT Workflow - US)]:[Engineer
(IT Workflow - US)]])</f>
        <v>0</v>
      </c>
      <c r="AB19" s="332"/>
      <c r="AC19" s="329"/>
      <c r="AD19" s="329"/>
      <c r="AE19" s="329"/>
      <c r="AF19" s="329"/>
      <c r="AG19" s="329"/>
      <c r="AH19" s="329"/>
      <c r="AI19" s="329"/>
      <c r="AJ19" s="329"/>
      <c r="AK19" s="329"/>
      <c r="AL19" s="329"/>
      <c r="AM19" s="329"/>
      <c r="AN19" s="329"/>
      <c r="AO19" s="333">
        <f>SUM(Table1456[[#This Row],[Program Director 
(Customer and Employee Workflow - US)]:[Engineer
(Customer and Employee Workflow - US)]])</f>
        <v>0</v>
      </c>
      <c r="AP19" s="329"/>
      <c r="AQ19" s="329"/>
      <c r="AR19" s="329"/>
      <c r="AS19" s="329"/>
      <c r="AT19" s="329"/>
      <c r="AU19" s="329"/>
      <c r="AV19" s="329"/>
      <c r="AW19" s="329"/>
      <c r="AX19" s="329"/>
      <c r="AY19" s="329"/>
      <c r="AZ19" s="329"/>
      <c r="BA19" s="329"/>
      <c r="BB19" s="329"/>
      <c r="BC19" s="305">
        <f>SUM(Table1456[[#This Row],[Program Director 
(IT Workflow - US)]:[Chief Architect
(IT Workflow - US)]])</f>
        <v>0</v>
      </c>
      <c r="BD19" s="303"/>
      <c r="BJ19"/>
      <c r="BK19"/>
      <c r="BL19"/>
    </row>
    <row r="20" spans="2:64" ht="63.75">
      <c r="B20" s="355"/>
      <c r="C20" s="328" t="s">
        <v>81</v>
      </c>
      <c r="D20" s="328" t="s">
        <v>88</v>
      </c>
      <c r="E20" s="328" t="s">
        <v>89</v>
      </c>
      <c r="F20" s="328"/>
      <c r="G20" s="328" t="s">
        <v>90</v>
      </c>
      <c r="H20" s="328" t="s">
        <v>66</v>
      </c>
      <c r="I20" s="329">
        <v>4</v>
      </c>
      <c r="J20" s="330" t="e" cm="1">
        <f t="array" ref="J20">INDEX('Client Rates and Roles'!$F$2:$F$433,MATCH(1,COUNTIFS('Opportunity Details'!$C$14,'Client Rates and Roles'!$D$2:$D$433,G20,'Client Rates and Roles'!$B$2:$B$433,H20,'Client Rates and Roles'!$C$2:$C$433,$C$6,'Client Rates and Roles'!$A$2:$A$433),0))</f>
        <v>#N/A</v>
      </c>
      <c r="K20" s="330" t="e">
        <f t="shared" si="0"/>
        <v>#N/A</v>
      </c>
      <c r="L20" s="329">
        <v>0</v>
      </c>
      <c r="M20" s="329"/>
      <c r="N20" s="329">
        <v>2</v>
      </c>
      <c r="O20" s="329"/>
      <c r="P20" s="329"/>
      <c r="Q20" s="329"/>
      <c r="R20" s="329"/>
      <c r="S20" s="329"/>
      <c r="T20" s="329"/>
      <c r="U20" s="329"/>
      <c r="V20" s="329"/>
      <c r="W20" s="329"/>
      <c r="X20" s="329"/>
      <c r="Y20" s="329"/>
      <c r="Z20" s="329"/>
      <c r="AA20" s="331">
        <f>SUM(Table1456[[#This Row],[Program Director 
(IT Workflow - US)]:[Engineer
(IT Workflow - US)]])</f>
        <v>0</v>
      </c>
      <c r="AB20" s="332"/>
      <c r="AC20" s="329"/>
      <c r="AD20" s="329"/>
      <c r="AE20" s="329"/>
      <c r="AF20" s="329"/>
      <c r="AG20" s="329"/>
      <c r="AH20" s="329"/>
      <c r="AI20" s="329"/>
      <c r="AJ20" s="329"/>
      <c r="AK20" s="329"/>
      <c r="AL20" s="329"/>
      <c r="AM20" s="329"/>
      <c r="AN20" s="329"/>
      <c r="AO20" s="333">
        <f>SUM(Table1456[[#This Row],[Program Director 
(Customer and Employee Workflow - US)]:[Engineer
(Customer and Employee Workflow - US)]])</f>
        <v>0</v>
      </c>
      <c r="AP20" s="329"/>
      <c r="AQ20" s="329"/>
      <c r="AR20" s="329"/>
      <c r="AS20" s="329"/>
      <c r="AT20" s="329"/>
      <c r="AU20" s="329"/>
      <c r="AV20" s="329"/>
      <c r="AW20" s="329"/>
      <c r="AX20" s="329"/>
      <c r="AY20" s="329"/>
      <c r="AZ20" s="329"/>
      <c r="BA20" s="329"/>
      <c r="BB20" s="329"/>
      <c r="BC20" s="305">
        <f>SUM(Table1456[[#This Row],[Program Director 
(IT Workflow - US)]:[Chief Architect
(IT Workflow - US)]])</f>
        <v>0</v>
      </c>
      <c r="BD20" s="303"/>
      <c r="BJ20"/>
      <c r="BK20"/>
      <c r="BL20"/>
    </row>
    <row r="21" spans="2:64" ht="25.5">
      <c r="B21" s="355"/>
      <c r="C21" s="328" t="s">
        <v>81</v>
      </c>
      <c r="D21" s="328" t="s">
        <v>91</v>
      </c>
      <c r="E21" s="328" t="s">
        <v>92</v>
      </c>
      <c r="F21" s="328"/>
      <c r="G21" s="328" t="s">
        <v>90</v>
      </c>
      <c r="H21" s="328" t="s">
        <v>71</v>
      </c>
      <c r="I21" s="329">
        <v>4</v>
      </c>
      <c r="J21" s="330" t="e" cm="1">
        <f t="array" ref="J21">INDEX('Client Rates and Roles'!$F$2:$F$433,MATCH(1,COUNTIFS('Opportunity Details'!$C$14,'Client Rates and Roles'!$D$2:$D$433,G21,'Client Rates and Roles'!$B$2:$B$433,H21,'Client Rates and Roles'!$C$2:$C$433,$C$6,'Client Rates and Roles'!$A$2:$A$433),0))</f>
        <v>#N/A</v>
      </c>
      <c r="K21" s="330" t="e">
        <f t="shared" si="0"/>
        <v>#N/A</v>
      </c>
      <c r="L21" s="329">
        <v>0</v>
      </c>
      <c r="M21" s="329"/>
      <c r="N21" s="329">
        <v>2</v>
      </c>
      <c r="O21" s="329"/>
      <c r="P21" s="329"/>
      <c r="Q21" s="329"/>
      <c r="R21" s="329"/>
      <c r="S21" s="329"/>
      <c r="T21" s="329"/>
      <c r="U21" s="329"/>
      <c r="V21" s="329"/>
      <c r="W21" s="329"/>
      <c r="X21" s="329"/>
      <c r="Y21" s="329"/>
      <c r="Z21" s="329"/>
      <c r="AA21" s="331">
        <f>SUM(Table1456[[#This Row],[Program Director 
(IT Workflow - US)]:[Engineer
(IT Workflow - US)]])</f>
        <v>0</v>
      </c>
      <c r="AB21" s="332"/>
      <c r="AC21" s="329"/>
      <c r="AD21" s="329"/>
      <c r="AE21" s="329"/>
      <c r="AF21" s="329"/>
      <c r="AG21" s="329"/>
      <c r="AH21" s="329"/>
      <c r="AI21" s="329"/>
      <c r="AJ21" s="329"/>
      <c r="AK21" s="329"/>
      <c r="AL21" s="329"/>
      <c r="AM21" s="329"/>
      <c r="AN21" s="329"/>
      <c r="AO21" s="333">
        <f>SUM(Table1456[[#This Row],[Program Director 
(Customer and Employee Workflow - US)]:[Engineer
(Customer and Employee Workflow - US)]])</f>
        <v>0</v>
      </c>
      <c r="AP21" s="329"/>
      <c r="AQ21" s="329"/>
      <c r="AR21" s="329"/>
      <c r="AS21" s="329"/>
      <c r="AT21" s="329"/>
      <c r="AU21" s="329"/>
      <c r="AV21" s="329"/>
      <c r="AW21" s="329"/>
      <c r="AX21" s="329"/>
      <c r="AY21" s="329"/>
      <c r="AZ21" s="329"/>
      <c r="BA21" s="329"/>
      <c r="BB21" s="329"/>
      <c r="BC21" s="305">
        <f>SUM(Table1456[[#This Row],[Program Director 
(IT Workflow - US)]:[Chief Architect
(IT Workflow - US)]])</f>
        <v>0</v>
      </c>
      <c r="BD21" s="303"/>
      <c r="BJ21"/>
      <c r="BK21"/>
      <c r="BL21"/>
    </row>
    <row r="22" spans="2:64" ht="63.75">
      <c r="B22" s="355"/>
      <c r="C22" s="328" t="s">
        <v>81</v>
      </c>
      <c r="D22" s="328" t="s">
        <v>93</v>
      </c>
      <c r="E22" s="328" t="s">
        <v>94</v>
      </c>
      <c r="F22" s="328" t="s">
        <v>95</v>
      </c>
      <c r="G22" s="328" t="s">
        <v>90</v>
      </c>
      <c r="H22" s="328" t="s">
        <v>71</v>
      </c>
      <c r="I22" s="329">
        <v>4</v>
      </c>
      <c r="J22" s="330" t="e" cm="1">
        <f t="array" ref="J22">INDEX('Client Rates and Roles'!$F$2:$F$433,MATCH(1,COUNTIFS('Opportunity Details'!$C$14,'Client Rates and Roles'!$D$2:$D$433,G22,'Client Rates and Roles'!$B$2:$B$433,H22,'Client Rates and Roles'!$C$2:$C$433,$C$6,'Client Rates and Roles'!$A$2:$A$433),0))</f>
        <v>#N/A</v>
      </c>
      <c r="K22" s="330" t="e">
        <f t="shared" si="0"/>
        <v>#N/A</v>
      </c>
      <c r="L22" s="329">
        <v>0</v>
      </c>
      <c r="M22" s="329"/>
      <c r="N22" s="329">
        <v>2</v>
      </c>
      <c r="O22" s="329"/>
      <c r="P22" s="329"/>
      <c r="Q22" s="329"/>
      <c r="R22" s="329"/>
      <c r="S22" s="329"/>
      <c r="T22" s="329"/>
      <c r="U22" s="329"/>
      <c r="V22" s="329"/>
      <c r="W22" s="329"/>
      <c r="X22" s="329"/>
      <c r="Y22" s="329"/>
      <c r="Z22" s="329"/>
      <c r="AA22" s="331">
        <f>SUM(Table1456[[#This Row],[Program Director 
(IT Workflow - US)]:[Engineer
(IT Workflow - US)]])</f>
        <v>0</v>
      </c>
      <c r="AB22" s="332"/>
      <c r="AC22" s="329"/>
      <c r="AD22" s="329"/>
      <c r="AE22" s="329"/>
      <c r="AF22" s="329"/>
      <c r="AG22" s="329"/>
      <c r="AH22" s="329"/>
      <c r="AI22" s="329"/>
      <c r="AJ22" s="329"/>
      <c r="AK22" s="329"/>
      <c r="AL22" s="329"/>
      <c r="AM22" s="329"/>
      <c r="AN22" s="329"/>
      <c r="AO22" s="333">
        <f>SUM(Table1456[[#This Row],[Program Director 
(Customer and Employee Workflow - US)]:[Engineer
(Customer and Employee Workflow - US)]])</f>
        <v>0</v>
      </c>
      <c r="AP22" s="329"/>
      <c r="AQ22" s="329"/>
      <c r="AR22" s="329"/>
      <c r="AS22" s="329"/>
      <c r="AT22" s="329"/>
      <c r="AU22" s="329"/>
      <c r="AV22" s="329"/>
      <c r="AW22" s="329"/>
      <c r="AX22" s="329"/>
      <c r="AY22" s="329"/>
      <c r="AZ22" s="329"/>
      <c r="BA22" s="329"/>
      <c r="BB22" s="329"/>
      <c r="BC22" s="305">
        <f>SUM(Table1456[[#This Row],[Program Director 
(IT Workflow - US)]:[Chief Architect
(IT Workflow - US)]])</f>
        <v>0</v>
      </c>
      <c r="BD22" s="303"/>
      <c r="BJ22"/>
      <c r="BK22"/>
      <c r="BL22"/>
    </row>
    <row r="23" spans="2:64">
      <c r="B23" s="360" t="s">
        <v>96</v>
      </c>
      <c r="C23" s="357"/>
      <c r="D23" s="357"/>
      <c r="E23" s="357"/>
      <c r="F23" s="357"/>
      <c r="G23" s="357"/>
      <c r="H23" s="357"/>
      <c r="I23" s="358"/>
      <c r="J23" s="359"/>
      <c r="K23" s="359"/>
      <c r="L23" s="358"/>
      <c r="M23" s="358"/>
      <c r="N23" s="358"/>
      <c r="O23" s="329"/>
      <c r="P23" s="329"/>
      <c r="Q23" s="329"/>
      <c r="R23" s="329"/>
      <c r="S23" s="329"/>
      <c r="T23" s="329"/>
      <c r="U23" s="329"/>
      <c r="V23" s="329"/>
      <c r="W23" s="329"/>
      <c r="X23" s="329"/>
      <c r="Y23" s="329"/>
      <c r="Z23" s="329"/>
      <c r="AA23" s="331">
        <f>SUM(Table1456[[#This Row],[Program Director 
(IT Workflow - US)]:[Engineer
(IT Workflow - US)]])</f>
        <v>0</v>
      </c>
      <c r="AB23" s="332"/>
      <c r="AC23" s="329"/>
      <c r="AD23" s="329"/>
      <c r="AE23" s="329"/>
      <c r="AF23" s="329"/>
      <c r="AG23" s="329"/>
      <c r="AH23" s="329"/>
      <c r="AI23" s="329"/>
      <c r="AJ23" s="329"/>
      <c r="AK23" s="329"/>
      <c r="AL23" s="329"/>
      <c r="AM23" s="329"/>
      <c r="AN23" s="329"/>
      <c r="AO23" s="333">
        <f>SUM(Table1456[[#This Row],[Program Director 
(Customer and Employee Workflow - US)]:[Engineer
(Customer and Employee Workflow - US)]])</f>
        <v>0</v>
      </c>
      <c r="AP23" s="329"/>
      <c r="AQ23" s="329"/>
      <c r="AR23" s="329"/>
      <c r="AS23" s="329"/>
      <c r="AT23" s="329"/>
      <c r="AU23" s="329"/>
      <c r="AV23" s="329"/>
      <c r="AW23" s="329"/>
      <c r="AX23" s="329"/>
      <c r="AY23" s="329"/>
      <c r="AZ23" s="329"/>
      <c r="BA23" s="329"/>
      <c r="BB23" s="329"/>
      <c r="BC23" s="305"/>
      <c r="BD23" s="303"/>
      <c r="BJ23"/>
      <c r="BK23"/>
      <c r="BL23"/>
    </row>
    <row r="24" spans="2:64" ht="63.75">
      <c r="B24" s="361"/>
      <c r="C24" s="328" t="s">
        <v>97</v>
      </c>
      <c r="D24" s="328" t="s">
        <v>98</v>
      </c>
      <c r="E24" s="328" t="s">
        <v>99</v>
      </c>
      <c r="F24" s="328" t="s">
        <v>100</v>
      </c>
      <c r="G24" s="328" t="s">
        <v>90</v>
      </c>
      <c r="H24" s="328" t="s">
        <v>66</v>
      </c>
      <c r="I24" s="329">
        <v>4</v>
      </c>
      <c r="J24" s="330" t="e" cm="1">
        <f t="array" ref="J24">INDEX('Client Rates and Roles'!$F$2:$F$433,MATCH(1,COUNTIFS('Opportunity Details'!$C$14,'Client Rates and Roles'!$D$2:$D$433,G24,'Client Rates and Roles'!$B$2:$B$433,H24,'Client Rates and Roles'!$C$2:$C$433,$C$6,'Client Rates and Roles'!$A$2:$A$433),0))</f>
        <v>#N/A</v>
      </c>
      <c r="K24" s="330" t="e">
        <f t="shared" ref="K24:K36" si="1">I24*J24</f>
        <v>#N/A</v>
      </c>
      <c r="L24" s="329">
        <v>0</v>
      </c>
      <c r="M24" s="329"/>
      <c r="N24" s="329">
        <v>2</v>
      </c>
      <c r="O24" s="329"/>
      <c r="P24" s="329"/>
      <c r="Q24" s="329"/>
      <c r="R24" s="329"/>
      <c r="S24" s="329"/>
      <c r="T24" s="329"/>
      <c r="U24" s="329"/>
      <c r="V24" s="329"/>
      <c r="W24" s="329"/>
      <c r="X24" s="329"/>
      <c r="Y24" s="329"/>
      <c r="Z24" s="329"/>
      <c r="AA24" s="331">
        <f>SUM(Table1456[[#This Row],[Program Director 
(IT Workflow - US)]:[Engineer
(IT Workflow - US)]])</f>
        <v>0</v>
      </c>
      <c r="AB24" s="332"/>
      <c r="AC24" s="329"/>
      <c r="AD24" s="329"/>
      <c r="AE24" s="329"/>
      <c r="AF24" s="329"/>
      <c r="AG24" s="329"/>
      <c r="AH24" s="329"/>
      <c r="AI24" s="329"/>
      <c r="AJ24" s="329"/>
      <c r="AK24" s="329"/>
      <c r="AL24" s="329"/>
      <c r="AM24" s="329"/>
      <c r="AN24" s="329"/>
      <c r="AO24" s="333">
        <f>SUM(Table1456[[#This Row],[Program Director 
(Customer and Employee Workflow - US)]:[Engineer
(Customer and Employee Workflow - US)]])</f>
        <v>0</v>
      </c>
      <c r="AP24" s="329"/>
      <c r="AQ24" s="329"/>
      <c r="AR24" s="329"/>
      <c r="AS24" s="329"/>
      <c r="AT24" s="329"/>
      <c r="AU24" s="329"/>
      <c r="AV24" s="329"/>
      <c r="AW24" s="329"/>
      <c r="AX24" s="329"/>
      <c r="AY24" s="329"/>
      <c r="AZ24" s="329"/>
      <c r="BA24" s="329"/>
      <c r="BB24" s="329"/>
      <c r="BC24" s="305">
        <f>SUM(Table1456[[#This Row],[Program Director 
(IT Workflow - US)]:[Chief Architect
(IT Workflow - US)]])</f>
        <v>0</v>
      </c>
      <c r="BD24" s="303"/>
      <c r="BJ24"/>
      <c r="BK24"/>
      <c r="BL24"/>
    </row>
    <row r="25" spans="2:64" ht="114.75">
      <c r="B25" s="361"/>
      <c r="C25" s="328" t="s">
        <v>97</v>
      </c>
      <c r="D25" s="328" t="s">
        <v>101</v>
      </c>
      <c r="E25" s="328" t="s">
        <v>102</v>
      </c>
      <c r="F25" s="328" t="s">
        <v>103</v>
      </c>
      <c r="G25" s="328" t="s">
        <v>90</v>
      </c>
      <c r="H25" s="328" t="s">
        <v>71</v>
      </c>
      <c r="I25" s="329">
        <v>4</v>
      </c>
      <c r="J25" s="330" t="e" cm="1">
        <f t="array" ref="J25">INDEX('Client Rates and Roles'!$F$2:$F$433,MATCH(1,COUNTIFS('Opportunity Details'!$C$14,'Client Rates and Roles'!$D$2:$D$433,G25,'Client Rates and Roles'!$B$2:$B$433,H25,'Client Rates and Roles'!$C$2:$C$433,$C$6,'Client Rates and Roles'!$A$2:$A$433),0))</f>
        <v>#N/A</v>
      </c>
      <c r="K25" s="330" t="e">
        <f t="shared" si="1"/>
        <v>#N/A</v>
      </c>
      <c r="L25" s="329">
        <v>0</v>
      </c>
      <c r="M25" s="329"/>
      <c r="N25" s="329">
        <v>2</v>
      </c>
      <c r="O25" s="329"/>
      <c r="P25" s="329"/>
      <c r="Q25" s="329"/>
      <c r="R25" s="329"/>
      <c r="S25" s="329"/>
      <c r="T25" s="329"/>
      <c r="U25" s="329"/>
      <c r="V25" s="329"/>
      <c r="W25" s="329"/>
      <c r="X25" s="329"/>
      <c r="Y25" s="329"/>
      <c r="Z25" s="329"/>
      <c r="AA25" s="331">
        <f>SUM(Table1456[[#This Row],[Program Director 
(IT Workflow - US)]:[Engineer
(IT Workflow - US)]])</f>
        <v>0</v>
      </c>
      <c r="AB25" s="332"/>
      <c r="AC25" s="329"/>
      <c r="AD25" s="329"/>
      <c r="AE25" s="329"/>
      <c r="AF25" s="329"/>
      <c r="AG25" s="329"/>
      <c r="AH25" s="329"/>
      <c r="AI25" s="329"/>
      <c r="AJ25" s="329"/>
      <c r="AK25" s="329"/>
      <c r="AL25" s="329"/>
      <c r="AM25" s="329"/>
      <c r="AN25" s="329"/>
      <c r="AO25" s="333">
        <f>SUM(Table1456[[#This Row],[Program Director 
(Customer and Employee Workflow - US)]:[Engineer
(Customer and Employee Workflow - US)]])</f>
        <v>0</v>
      </c>
      <c r="AP25" s="329"/>
      <c r="AQ25" s="329"/>
      <c r="AR25" s="329"/>
      <c r="AS25" s="329"/>
      <c r="AT25" s="329"/>
      <c r="AU25" s="329"/>
      <c r="AV25" s="329"/>
      <c r="AW25" s="329"/>
      <c r="AX25" s="329"/>
      <c r="AY25" s="329"/>
      <c r="AZ25" s="329"/>
      <c r="BA25" s="329"/>
      <c r="BB25" s="329"/>
      <c r="BC25" s="305">
        <f>SUM(Table1456[[#This Row],[Program Director 
(IT Workflow - US)]:[Chief Architect
(IT Workflow - US)]])</f>
        <v>0</v>
      </c>
      <c r="BD25" s="303"/>
      <c r="BJ25"/>
      <c r="BK25"/>
      <c r="BL25"/>
    </row>
    <row r="26" spans="2:64" ht="127.5">
      <c r="B26" s="361"/>
      <c r="C26" s="328" t="s">
        <v>97</v>
      </c>
      <c r="D26" s="328" t="s">
        <v>104</v>
      </c>
      <c r="E26" s="328" t="s">
        <v>105</v>
      </c>
      <c r="F26" s="328" t="s">
        <v>106</v>
      </c>
      <c r="G26" s="328" t="s">
        <v>70</v>
      </c>
      <c r="H26" s="328" t="s">
        <v>71</v>
      </c>
      <c r="I26" s="329">
        <v>4</v>
      </c>
      <c r="J26" s="330" t="e" cm="1">
        <f t="array" ref="J26">INDEX('Client Rates and Roles'!$F$2:$F$433,MATCH(1,COUNTIFS('Opportunity Details'!$C$14,'Client Rates and Roles'!$D$2:$D$433,G26,'Client Rates and Roles'!$B$2:$B$433,H26,'Client Rates and Roles'!$C$2:$C$433,$C$6,'Client Rates and Roles'!$A$2:$A$433),0))</f>
        <v>#N/A</v>
      </c>
      <c r="K26" s="330" t="e">
        <f t="shared" si="1"/>
        <v>#N/A</v>
      </c>
      <c r="L26" s="329">
        <v>0</v>
      </c>
      <c r="M26" s="329"/>
      <c r="N26" s="329">
        <v>2</v>
      </c>
      <c r="O26" s="329"/>
      <c r="P26" s="329"/>
      <c r="Q26" s="329"/>
      <c r="R26" s="329"/>
      <c r="S26" s="329"/>
      <c r="T26" s="329"/>
      <c r="U26" s="329"/>
      <c r="V26" s="329"/>
      <c r="W26" s="329"/>
      <c r="X26" s="329"/>
      <c r="Y26" s="329"/>
      <c r="Z26" s="329"/>
      <c r="AA26" s="331">
        <f>SUM(Table1456[[#This Row],[Program Director 
(IT Workflow - US)]:[Engineer
(IT Workflow - US)]])</f>
        <v>0</v>
      </c>
      <c r="AB26" s="332"/>
      <c r="AC26" s="329"/>
      <c r="AD26" s="329"/>
      <c r="AE26" s="329"/>
      <c r="AF26" s="329"/>
      <c r="AG26" s="329"/>
      <c r="AH26" s="329"/>
      <c r="AI26" s="329"/>
      <c r="AJ26" s="329"/>
      <c r="AK26" s="329"/>
      <c r="AL26" s="329"/>
      <c r="AM26" s="329"/>
      <c r="AN26" s="329"/>
      <c r="AO26" s="333">
        <f>SUM(Table1456[[#This Row],[Program Director 
(Customer and Employee Workflow - US)]:[Engineer
(Customer and Employee Workflow - US)]])</f>
        <v>0</v>
      </c>
      <c r="AP26" s="329"/>
      <c r="AQ26" s="329"/>
      <c r="AR26" s="329"/>
      <c r="AS26" s="329"/>
      <c r="AT26" s="329"/>
      <c r="AU26" s="329"/>
      <c r="AV26" s="329"/>
      <c r="AW26" s="329"/>
      <c r="AX26" s="329"/>
      <c r="AY26" s="329"/>
      <c r="AZ26" s="329"/>
      <c r="BA26" s="329"/>
      <c r="BB26" s="329"/>
      <c r="BC26" s="305">
        <f>SUM(Table1456[[#This Row],[Program Director 
(IT Workflow - US)]:[Chief Architect
(IT Workflow - US)]])</f>
        <v>0</v>
      </c>
      <c r="BD26" s="303"/>
      <c r="BJ26"/>
      <c r="BK26"/>
      <c r="BL26"/>
    </row>
    <row r="27" spans="2:64" ht="25.5">
      <c r="B27" s="361"/>
      <c r="C27" s="328" t="s">
        <v>97</v>
      </c>
      <c r="D27" s="328" t="s">
        <v>107</v>
      </c>
      <c r="E27" s="328" t="s">
        <v>108</v>
      </c>
      <c r="F27" s="328" t="s">
        <v>109</v>
      </c>
      <c r="G27" s="328" t="s">
        <v>90</v>
      </c>
      <c r="H27" s="328" t="s">
        <v>71</v>
      </c>
      <c r="I27" s="329">
        <v>4</v>
      </c>
      <c r="J27" s="330" t="e" cm="1">
        <f t="array" ref="J27">INDEX('Client Rates and Roles'!$F$2:$F$433,MATCH(1,COUNTIFS('Opportunity Details'!$C$14,'Client Rates and Roles'!$D$2:$D$433,G27,'Client Rates and Roles'!$B$2:$B$433,H27,'Client Rates and Roles'!$C$2:$C$433,$C$6,'Client Rates and Roles'!$A$2:$A$433),0))</f>
        <v>#N/A</v>
      </c>
      <c r="K27" s="330" t="e">
        <f t="shared" si="1"/>
        <v>#N/A</v>
      </c>
      <c r="L27" s="329">
        <v>0</v>
      </c>
      <c r="M27" s="329"/>
      <c r="N27" s="329">
        <v>2</v>
      </c>
      <c r="O27" s="329"/>
      <c r="P27" s="329"/>
      <c r="Q27" s="329"/>
      <c r="R27" s="329"/>
      <c r="S27" s="329"/>
      <c r="T27" s="329"/>
      <c r="U27" s="329"/>
      <c r="V27" s="329"/>
      <c r="W27" s="329"/>
      <c r="X27" s="329"/>
      <c r="Y27" s="329"/>
      <c r="Z27" s="329"/>
      <c r="AA27" s="331">
        <f>SUM(Table1456[[#This Row],[Program Director 
(IT Workflow - US)]:[Engineer
(IT Workflow - US)]])</f>
        <v>0</v>
      </c>
      <c r="AB27" s="332"/>
      <c r="AC27" s="329"/>
      <c r="AD27" s="329"/>
      <c r="AE27" s="329"/>
      <c r="AF27" s="329"/>
      <c r="AG27" s="329"/>
      <c r="AH27" s="329"/>
      <c r="AI27" s="329"/>
      <c r="AJ27" s="329"/>
      <c r="AK27" s="329"/>
      <c r="AL27" s="329"/>
      <c r="AM27" s="329"/>
      <c r="AN27" s="329"/>
      <c r="AO27" s="333">
        <f>SUM(Table1456[[#This Row],[Program Director 
(Customer and Employee Workflow - US)]:[Engineer
(Customer and Employee Workflow - US)]])</f>
        <v>0</v>
      </c>
      <c r="AP27" s="329"/>
      <c r="AQ27" s="329"/>
      <c r="AR27" s="329"/>
      <c r="AS27" s="329"/>
      <c r="AT27" s="329"/>
      <c r="AU27" s="329"/>
      <c r="AV27" s="329"/>
      <c r="AW27" s="329"/>
      <c r="AX27" s="329"/>
      <c r="AY27" s="329"/>
      <c r="AZ27" s="329"/>
      <c r="BA27" s="329"/>
      <c r="BB27" s="329"/>
      <c r="BC27" s="305">
        <f>SUM(Table1456[[#This Row],[Program Director 
(IT Workflow - US)]:[Chief Architect
(IT Workflow - US)]])</f>
        <v>0</v>
      </c>
      <c r="BD27" s="303"/>
      <c r="BJ27"/>
      <c r="BK27"/>
      <c r="BL27"/>
    </row>
    <row r="28" spans="2:64" ht="38.25">
      <c r="B28" s="361"/>
      <c r="C28" s="328" t="s">
        <v>97</v>
      </c>
      <c r="D28" s="328" t="s">
        <v>110</v>
      </c>
      <c r="E28" s="328" t="s">
        <v>111</v>
      </c>
      <c r="F28" s="328" t="s">
        <v>112</v>
      </c>
      <c r="G28" s="328" t="s">
        <v>90</v>
      </c>
      <c r="H28" s="328" t="s">
        <v>71</v>
      </c>
      <c r="I28" s="329">
        <v>4</v>
      </c>
      <c r="J28" s="330" t="e" cm="1">
        <f t="array" ref="J28">INDEX('Client Rates and Roles'!$F$2:$F$433,MATCH(1,COUNTIFS('Opportunity Details'!$C$14,'Client Rates and Roles'!$D$2:$D$433,G28,'Client Rates and Roles'!$B$2:$B$433,H28,'Client Rates and Roles'!$C$2:$C$433,$C$6,'Client Rates and Roles'!$A$2:$A$433),0))</f>
        <v>#N/A</v>
      </c>
      <c r="K28" s="330" t="e">
        <f t="shared" si="1"/>
        <v>#N/A</v>
      </c>
      <c r="L28" s="329">
        <v>0</v>
      </c>
      <c r="M28" s="329"/>
      <c r="N28" s="329">
        <v>2</v>
      </c>
      <c r="O28" s="329"/>
      <c r="P28" s="329"/>
      <c r="Q28" s="329"/>
      <c r="R28" s="329"/>
      <c r="S28" s="329"/>
      <c r="T28" s="329"/>
      <c r="U28" s="329"/>
      <c r="V28" s="329"/>
      <c r="W28" s="329"/>
      <c r="X28" s="329"/>
      <c r="Y28" s="329"/>
      <c r="Z28" s="329"/>
      <c r="AA28" s="331">
        <f>SUM(Table1456[[#This Row],[Program Director 
(IT Workflow - US)]:[Engineer
(IT Workflow - US)]])</f>
        <v>0</v>
      </c>
      <c r="AB28" s="332"/>
      <c r="AC28" s="329"/>
      <c r="AD28" s="329"/>
      <c r="AE28" s="329"/>
      <c r="AF28" s="329"/>
      <c r="AG28" s="329"/>
      <c r="AH28" s="329"/>
      <c r="AI28" s="329"/>
      <c r="AJ28" s="329"/>
      <c r="AK28" s="329"/>
      <c r="AL28" s="329"/>
      <c r="AM28" s="329"/>
      <c r="AN28" s="329"/>
      <c r="AO28" s="333">
        <f>SUM(Table1456[[#This Row],[Program Director 
(Customer and Employee Workflow - US)]:[Engineer
(Customer and Employee Workflow - US)]])</f>
        <v>0</v>
      </c>
      <c r="AP28" s="329"/>
      <c r="AQ28" s="329"/>
      <c r="AR28" s="329"/>
      <c r="AS28" s="329"/>
      <c r="AT28" s="329"/>
      <c r="AU28" s="329"/>
      <c r="AV28" s="329"/>
      <c r="AW28" s="329"/>
      <c r="AX28" s="329"/>
      <c r="AY28" s="329"/>
      <c r="AZ28" s="329"/>
      <c r="BA28" s="329"/>
      <c r="BB28" s="329"/>
      <c r="BC28" s="305">
        <f>SUM(Table1456[[#This Row],[Program Director 
(IT Workflow - US)]:[Chief Architect
(IT Workflow - US)]])</f>
        <v>0</v>
      </c>
      <c r="BD28" s="303"/>
      <c r="BJ28"/>
      <c r="BK28"/>
      <c r="BL28"/>
    </row>
    <row r="29" spans="2:64">
      <c r="B29" s="361"/>
      <c r="C29" s="328" t="s">
        <v>97</v>
      </c>
      <c r="D29" s="328" t="s">
        <v>113</v>
      </c>
      <c r="E29" s="328" t="s">
        <v>114</v>
      </c>
      <c r="F29" s="328" t="s">
        <v>115</v>
      </c>
      <c r="G29" s="328" t="s">
        <v>90</v>
      </c>
      <c r="H29" s="328" t="s">
        <v>71</v>
      </c>
      <c r="I29" s="329">
        <v>4</v>
      </c>
      <c r="J29" s="330" t="e" cm="1">
        <f t="array" ref="J29">INDEX('Client Rates and Roles'!$F$2:$F$433,MATCH(1,COUNTIFS('Opportunity Details'!$C$14,'Client Rates and Roles'!$D$2:$D$433,G29,'Client Rates and Roles'!$B$2:$B$433,H29,'Client Rates and Roles'!$C$2:$C$433,$C$6,'Client Rates and Roles'!$A$2:$A$433),0))</f>
        <v>#N/A</v>
      </c>
      <c r="K29" s="330" t="e">
        <f t="shared" si="1"/>
        <v>#N/A</v>
      </c>
      <c r="L29" s="329">
        <v>0</v>
      </c>
      <c r="M29" s="329"/>
      <c r="N29" s="329">
        <v>2</v>
      </c>
      <c r="O29" s="329"/>
      <c r="P29" s="329"/>
      <c r="Q29" s="329"/>
      <c r="R29" s="329"/>
      <c r="S29" s="329"/>
      <c r="T29" s="329"/>
      <c r="U29" s="329"/>
      <c r="V29" s="329"/>
      <c r="W29" s="329"/>
      <c r="X29" s="329"/>
      <c r="Y29" s="329"/>
      <c r="Z29" s="329"/>
      <c r="AA29" s="331">
        <f>SUM(Table1456[[#This Row],[Program Director 
(IT Workflow - US)]:[Engineer
(IT Workflow - US)]])</f>
        <v>0</v>
      </c>
      <c r="AB29" s="332"/>
      <c r="AC29" s="329"/>
      <c r="AD29" s="329"/>
      <c r="AE29" s="329"/>
      <c r="AF29" s="329"/>
      <c r="AG29" s="329"/>
      <c r="AH29" s="329"/>
      <c r="AI29" s="329"/>
      <c r="AJ29" s="329"/>
      <c r="AK29" s="329"/>
      <c r="AL29" s="329"/>
      <c r="AM29" s="329"/>
      <c r="AN29" s="329"/>
      <c r="AO29" s="333">
        <f>SUM(Table1456[[#This Row],[Program Director 
(Customer and Employee Workflow - US)]:[Engineer
(Customer and Employee Workflow - US)]])</f>
        <v>0</v>
      </c>
      <c r="AP29" s="329"/>
      <c r="AQ29" s="329"/>
      <c r="AR29" s="329"/>
      <c r="AS29" s="329"/>
      <c r="AT29" s="329"/>
      <c r="AU29" s="329"/>
      <c r="AV29" s="329"/>
      <c r="AW29" s="329"/>
      <c r="AX29" s="329"/>
      <c r="AY29" s="329"/>
      <c r="AZ29" s="329"/>
      <c r="BA29" s="329"/>
      <c r="BB29" s="329"/>
      <c r="BC29" s="305">
        <f>SUM(Table1456[[#This Row],[Program Director 
(IT Workflow - US)]:[Chief Architect
(IT Workflow - US)]])</f>
        <v>0</v>
      </c>
      <c r="BD29" s="303"/>
      <c r="BJ29"/>
      <c r="BK29"/>
      <c r="BL29"/>
    </row>
    <row r="30" spans="2:64" ht="63.75">
      <c r="B30" s="361"/>
      <c r="C30" s="328" t="s">
        <v>97</v>
      </c>
      <c r="D30" s="328" t="s">
        <v>116</v>
      </c>
      <c r="E30" s="328" t="s">
        <v>117</v>
      </c>
      <c r="F30" s="328" t="s">
        <v>118</v>
      </c>
      <c r="G30" s="328" t="s">
        <v>90</v>
      </c>
      <c r="H30" s="328" t="s">
        <v>71</v>
      </c>
      <c r="I30" s="329">
        <v>4</v>
      </c>
      <c r="J30" s="330" t="e" cm="1">
        <f t="array" ref="J30">INDEX('Client Rates and Roles'!$F$2:$F$433,MATCH(1,COUNTIFS('Opportunity Details'!$C$14,'Client Rates and Roles'!$D$2:$D$433,G30,'Client Rates and Roles'!$B$2:$B$433,H30,'Client Rates and Roles'!$C$2:$C$433,$C$6,'Client Rates and Roles'!$A$2:$A$433),0))</f>
        <v>#N/A</v>
      </c>
      <c r="K30" s="330" t="e">
        <f t="shared" si="1"/>
        <v>#N/A</v>
      </c>
      <c r="L30" s="329">
        <v>0</v>
      </c>
      <c r="M30" s="329"/>
      <c r="N30" s="329">
        <v>2</v>
      </c>
      <c r="O30" s="329"/>
      <c r="P30" s="329"/>
      <c r="Q30" s="329"/>
      <c r="R30" s="329"/>
      <c r="S30" s="329"/>
      <c r="T30" s="329"/>
      <c r="U30" s="329"/>
      <c r="V30" s="329"/>
      <c r="W30" s="329"/>
      <c r="X30" s="329"/>
      <c r="Y30" s="329"/>
      <c r="Z30" s="329"/>
      <c r="AA30" s="331">
        <f>SUM(Table1456[[#This Row],[Program Director 
(IT Workflow - US)]:[Engineer
(IT Workflow - US)]])</f>
        <v>0</v>
      </c>
      <c r="AB30" s="332"/>
      <c r="AC30" s="329"/>
      <c r="AD30" s="329"/>
      <c r="AE30" s="329"/>
      <c r="AF30" s="329"/>
      <c r="AG30" s="329"/>
      <c r="AH30" s="329"/>
      <c r="AI30" s="329"/>
      <c r="AJ30" s="329"/>
      <c r="AK30" s="329"/>
      <c r="AL30" s="329"/>
      <c r="AM30" s="329"/>
      <c r="AN30" s="329"/>
      <c r="AO30" s="333">
        <f>SUM(Table1456[[#This Row],[Program Director 
(Customer and Employee Workflow - US)]:[Engineer
(Customer and Employee Workflow - US)]])</f>
        <v>0</v>
      </c>
      <c r="AP30" s="329"/>
      <c r="AQ30" s="329"/>
      <c r="AR30" s="329"/>
      <c r="AS30" s="329"/>
      <c r="AT30" s="329"/>
      <c r="AU30" s="329"/>
      <c r="AV30" s="329"/>
      <c r="AW30" s="329"/>
      <c r="AX30" s="329"/>
      <c r="AY30" s="329"/>
      <c r="AZ30" s="329"/>
      <c r="BA30" s="329"/>
      <c r="BB30" s="329"/>
      <c r="BC30" s="305">
        <f>SUM(Table1456[[#This Row],[Program Director 
(IT Workflow - US)]:[Chief Architect
(IT Workflow - US)]])</f>
        <v>0</v>
      </c>
      <c r="BD30" s="303"/>
      <c r="BJ30"/>
      <c r="BK30"/>
      <c r="BL30"/>
    </row>
    <row r="31" spans="2:64" ht="38.25">
      <c r="B31" s="361"/>
      <c r="C31" s="328" t="s">
        <v>97</v>
      </c>
      <c r="D31" s="328" t="s">
        <v>119</v>
      </c>
      <c r="E31" s="328" t="s">
        <v>120</v>
      </c>
      <c r="F31" s="328" t="s">
        <v>121</v>
      </c>
      <c r="G31" s="328" t="s">
        <v>90</v>
      </c>
      <c r="H31" s="328" t="s">
        <v>71</v>
      </c>
      <c r="I31" s="329">
        <v>4</v>
      </c>
      <c r="J31" s="330" t="e" cm="1">
        <f t="array" ref="J31">INDEX('Client Rates and Roles'!$F$2:$F$433,MATCH(1,COUNTIFS('Opportunity Details'!$C$14,'Client Rates and Roles'!$D$2:$D$433,G31,'Client Rates and Roles'!$B$2:$B$433,H31,'Client Rates and Roles'!$C$2:$C$433,$C$6,'Client Rates and Roles'!$A$2:$A$433),0))</f>
        <v>#N/A</v>
      </c>
      <c r="K31" s="330" t="e">
        <f t="shared" si="1"/>
        <v>#N/A</v>
      </c>
      <c r="L31" s="329">
        <v>0</v>
      </c>
      <c r="M31" s="329"/>
      <c r="N31" s="329">
        <v>2</v>
      </c>
      <c r="O31" s="329"/>
      <c r="P31" s="329"/>
      <c r="Q31" s="329"/>
      <c r="R31" s="329"/>
      <c r="S31" s="329"/>
      <c r="T31" s="329"/>
      <c r="U31" s="329"/>
      <c r="V31" s="329"/>
      <c r="W31" s="329"/>
      <c r="X31" s="329"/>
      <c r="Y31" s="329"/>
      <c r="Z31" s="329"/>
      <c r="AA31" s="331">
        <f>SUM(Table1456[[#This Row],[Program Director 
(IT Workflow - US)]:[Engineer
(IT Workflow - US)]])</f>
        <v>0</v>
      </c>
      <c r="AB31" s="332"/>
      <c r="AC31" s="329"/>
      <c r="AD31" s="329"/>
      <c r="AE31" s="329"/>
      <c r="AF31" s="329"/>
      <c r="AG31" s="329"/>
      <c r="AH31" s="329"/>
      <c r="AI31" s="329"/>
      <c r="AJ31" s="329"/>
      <c r="AK31" s="329"/>
      <c r="AL31" s="329"/>
      <c r="AM31" s="329"/>
      <c r="AN31" s="329"/>
      <c r="AO31" s="333">
        <f>SUM(Table1456[[#This Row],[Program Director 
(Customer and Employee Workflow - US)]:[Engineer
(Customer and Employee Workflow - US)]])</f>
        <v>0</v>
      </c>
      <c r="AP31" s="329"/>
      <c r="AQ31" s="329"/>
      <c r="AR31" s="329"/>
      <c r="AS31" s="329"/>
      <c r="AT31" s="329"/>
      <c r="AU31" s="329"/>
      <c r="AV31" s="329"/>
      <c r="AW31" s="329"/>
      <c r="AX31" s="329"/>
      <c r="AY31" s="329"/>
      <c r="AZ31" s="329"/>
      <c r="BA31" s="329"/>
      <c r="BB31" s="329"/>
      <c r="BC31" s="305">
        <f>SUM(Table1456[[#This Row],[Program Director 
(IT Workflow - US)]:[Chief Architect
(IT Workflow - US)]])</f>
        <v>0</v>
      </c>
      <c r="BD31" s="303"/>
      <c r="BJ31"/>
      <c r="BK31"/>
      <c r="BL31"/>
    </row>
    <row r="32" spans="2:64" ht="51">
      <c r="B32" s="361"/>
      <c r="C32" s="328" t="s">
        <v>97</v>
      </c>
      <c r="D32" s="328" t="s">
        <v>122</v>
      </c>
      <c r="E32" s="328" t="s">
        <v>123</v>
      </c>
      <c r="F32" s="328" t="s">
        <v>124</v>
      </c>
      <c r="G32" s="328" t="s">
        <v>90</v>
      </c>
      <c r="H32" s="328" t="s">
        <v>71</v>
      </c>
      <c r="I32" s="329">
        <v>4</v>
      </c>
      <c r="J32" s="330" t="e" cm="1">
        <f t="array" ref="J32">INDEX('Client Rates and Roles'!$F$2:$F$433,MATCH(1,COUNTIFS('Opportunity Details'!$C$14,'Client Rates and Roles'!$D$2:$D$433,G32,'Client Rates and Roles'!$B$2:$B$433,H32,'Client Rates and Roles'!$C$2:$C$433,$C$6,'Client Rates and Roles'!$A$2:$A$433),0))</f>
        <v>#N/A</v>
      </c>
      <c r="K32" s="330" t="e">
        <f t="shared" si="1"/>
        <v>#N/A</v>
      </c>
      <c r="L32" s="329">
        <v>0</v>
      </c>
      <c r="M32" s="329"/>
      <c r="N32" s="329">
        <v>2</v>
      </c>
      <c r="O32" s="329"/>
      <c r="P32" s="329"/>
      <c r="Q32" s="329"/>
      <c r="R32" s="329"/>
      <c r="S32" s="329"/>
      <c r="T32" s="329"/>
      <c r="U32" s="329"/>
      <c r="V32" s="329"/>
      <c r="W32" s="329"/>
      <c r="X32" s="329"/>
      <c r="Y32" s="329"/>
      <c r="Z32" s="329"/>
      <c r="AA32" s="331">
        <f>SUM(Table1456[[#This Row],[Program Director 
(IT Workflow - US)]:[Engineer
(IT Workflow - US)]])</f>
        <v>0</v>
      </c>
      <c r="AB32" s="332"/>
      <c r="AC32" s="329"/>
      <c r="AD32" s="329"/>
      <c r="AE32" s="329"/>
      <c r="AF32" s="329"/>
      <c r="AG32" s="329"/>
      <c r="AH32" s="329"/>
      <c r="AI32" s="329"/>
      <c r="AJ32" s="329"/>
      <c r="AK32" s="329"/>
      <c r="AL32" s="329"/>
      <c r="AM32" s="329"/>
      <c r="AN32" s="329"/>
      <c r="AO32" s="333">
        <f>SUM(Table1456[[#This Row],[Program Director 
(Customer and Employee Workflow - US)]:[Engineer
(Customer and Employee Workflow - US)]])</f>
        <v>0</v>
      </c>
      <c r="AP32" s="329"/>
      <c r="AQ32" s="329"/>
      <c r="AR32" s="329"/>
      <c r="AS32" s="329"/>
      <c r="AT32" s="329"/>
      <c r="AU32" s="329"/>
      <c r="AV32" s="329"/>
      <c r="AW32" s="329"/>
      <c r="AX32" s="329"/>
      <c r="AY32" s="329"/>
      <c r="AZ32" s="329"/>
      <c r="BA32" s="329"/>
      <c r="BB32" s="329"/>
      <c r="BC32" s="305">
        <f>SUM(Table1456[[#This Row],[Program Director 
(IT Workflow - US)]:[Chief Architect
(IT Workflow - US)]])</f>
        <v>0</v>
      </c>
      <c r="BD32" s="303"/>
    </row>
    <row r="33" spans="2:56" ht="38.25">
      <c r="B33" s="361"/>
      <c r="C33" s="328" t="s">
        <v>97</v>
      </c>
      <c r="D33" s="328" t="s">
        <v>125</v>
      </c>
      <c r="E33" s="328" t="s">
        <v>126</v>
      </c>
      <c r="F33" s="328" t="s">
        <v>127</v>
      </c>
      <c r="G33" s="328" t="s">
        <v>90</v>
      </c>
      <c r="H33" s="328" t="s">
        <v>66</v>
      </c>
      <c r="I33" s="329">
        <v>800</v>
      </c>
      <c r="J33" s="330" t="e" cm="1">
        <f t="array" ref="J33">INDEX('Client Rates and Roles'!$F$2:$F$433,MATCH(1,COUNTIFS('Opportunity Details'!$C$14,'Client Rates and Roles'!$D$2:$D$433,G33,'Client Rates and Roles'!$B$2:$B$433,H33,'Client Rates and Roles'!$C$2:$C$433,$C$6,'Client Rates and Roles'!$A$2:$A$433),0))</f>
        <v>#N/A</v>
      </c>
      <c r="K33" s="330" t="e">
        <f t="shared" si="1"/>
        <v>#N/A</v>
      </c>
      <c r="L33" s="329">
        <v>0</v>
      </c>
      <c r="M33" s="329"/>
      <c r="N33" s="329">
        <v>2</v>
      </c>
      <c r="O33" s="329"/>
      <c r="P33" s="329"/>
      <c r="Q33" s="329"/>
      <c r="R33" s="329"/>
      <c r="S33" s="329"/>
      <c r="T33" s="329"/>
      <c r="U33" s="329"/>
      <c r="V33" s="329"/>
      <c r="W33" s="329"/>
      <c r="X33" s="329"/>
      <c r="Y33" s="329"/>
      <c r="Z33" s="329"/>
      <c r="AA33" s="331">
        <f>SUM(Table1456[[#This Row],[Program Director 
(IT Workflow - US)]:[Engineer
(IT Workflow - US)]])</f>
        <v>0</v>
      </c>
      <c r="AB33" s="332"/>
      <c r="AC33" s="329"/>
      <c r="AD33" s="329"/>
      <c r="AE33" s="329"/>
      <c r="AF33" s="329"/>
      <c r="AG33" s="329"/>
      <c r="AH33" s="329"/>
      <c r="AI33" s="329"/>
      <c r="AJ33" s="329"/>
      <c r="AK33" s="329"/>
      <c r="AL33" s="329"/>
      <c r="AM33" s="329"/>
      <c r="AN33" s="329"/>
      <c r="AO33" s="333">
        <f>SUM(Table1456[[#This Row],[Program Director 
(Customer and Employee Workflow - US)]:[Engineer
(Customer and Employee Workflow - US)]])</f>
        <v>0</v>
      </c>
      <c r="AP33" s="329"/>
      <c r="AQ33" s="329"/>
      <c r="AR33" s="329"/>
      <c r="AS33" s="329"/>
      <c r="AT33" s="329"/>
      <c r="AU33" s="329"/>
      <c r="AV33" s="329"/>
      <c r="AW33" s="329"/>
      <c r="AX33" s="329"/>
      <c r="AY33" s="329"/>
      <c r="AZ33" s="329"/>
      <c r="BA33" s="329"/>
      <c r="BB33" s="329"/>
      <c r="BC33" s="305">
        <f>SUM(Table1456[[#This Row],[Program Director 
(IT Workflow - US)]:[Chief Architect
(IT Workflow - US)]])</f>
        <v>0</v>
      </c>
      <c r="BD33" s="303"/>
    </row>
    <row r="34" spans="2:56" ht="38.25">
      <c r="B34" s="361"/>
      <c r="C34" s="328" t="s">
        <v>97</v>
      </c>
      <c r="D34" s="328" t="s">
        <v>128</v>
      </c>
      <c r="E34" s="328" t="s">
        <v>129</v>
      </c>
      <c r="F34" s="328" t="s">
        <v>130</v>
      </c>
      <c r="G34" s="328" t="s">
        <v>90</v>
      </c>
      <c r="H34" s="328" t="s">
        <v>71</v>
      </c>
      <c r="I34" s="329">
        <v>400</v>
      </c>
      <c r="J34" s="330" t="e" cm="1">
        <f t="array" ref="J34">INDEX('Client Rates and Roles'!$F$2:$F$433,MATCH(1,COUNTIFS('Opportunity Details'!$C$14,'Client Rates and Roles'!$D$2:$D$433,G34,'Client Rates and Roles'!$B$2:$B$433,H34,'Client Rates and Roles'!$C$2:$C$433,$C$6,'Client Rates and Roles'!$A$2:$A$433),0))</f>
        <v>#N/A</v>
      </c>
      <c r="K34" s="330" t="e">
        <f t="shared" si="1"/>
        <v>#N/A</v>
      </c>
      <c r="L34" s="329">
        <v>0</v>
      </c>
      <c r="M34" s="329"/>
      <c r="N34" s="329">
        <v>2</v>
      </c>
      <c r="O34" s="329"/>
      <c r="P34" s="329"/>
      <c r="Q34" s="329"/>
      <c r="R34" s="329"/>
      <c r="S34" s="329"/>
      <c r="T34" s="329"/>
      <c r="U34" s="329"/>
      <c r="V34" s="329"/>
      <c r="W34" s="329"/>
      <c r="X34" s="329"/>
      <c r="Y34" s="329"/>
      <c r="Z34" s="329"/>
      <c r="AA34" s="331">
        <f>SUM(Table1456[[#This Row],[Program Director 
(IT Workflow - US)]:[Engineer
(IT Workflow - US)]])</f>
        <v>0</v>
      </c>
      <c r="AB34" s="332"/>
      <c r="AC34" s="329"/>
      <c r="AD34" s="329"/>
      <c r="AE34" s="329"/>
      <c r="AF34" s="329"/>
      <c r="AG34" s="329"/>
      <c r="AH34" s="329"/>
      <c r="AI34" s="329"/>
      <c r="AJ34" s="329"/>
      <c r="AK34" s="329"/>
      <c r="AL34" s="329"/>
      <c r="AM34" s="329"/>
      <c r="AN34" s="329"/>
      <c r="AO34" s="333">
        <f>SUM(Table1456[[#This Row],[Program Director 
(Customer and Employee Workflow - US)]:[Engineer
(Customer and Employee Workflow - US)]])</f>
        <v>0</v>
      </c>
      <c r="AP34" s="329"/>
      <c r="AQ34" s="329"/>
      <c r="AR34" s="329"/>
      <c r="AS34" s="329"/>
      <c r="AT34" s="329"/>
      <c r="AU34" s="329"/>
      <c r="AV34" s="329"/>
      <c r="AW34" s="329"/>
      <c r="AX34" s="329"/>
      <c r="AY34" s="329"/>
      <c r="AZ34" s="329"/>
      <c r="BA34" s="329"/>
      <c r="BB34" s="329"/>
      <c r="BC34" s="305">
        <f>SUM(Table1456[[#This Row],[Program Director 
(IT Workflow - US)]:[Chief Architect
(IT Workflow - US)]])</f>
        <v>0</v>
      </c>
      <c r="BD34" s="303"/>
    </row>
    <row r="35" spans="2:56">
      <c r="B35" s="361"/>
      <c r="C35" s="328" t="s">
        <v>97</v>
      </c>
      <c r="D35" s="328" t="s">
        <v>131</v>
      </c>
      <c r="E35" s="328" t="s">
        <v>132</v>
      </c>
      <c r="F35" s="328" t="s">
        <v>133</v>
      </c>
      <c r="G35" s="328" t="s">
        <v>90</v>
      </c>
      <c r="H35" s="328" t="s">
        <v>71</v>
      </c>
      <c r="I35" s="329">
        <v>4</v>
      </c>
      <c r="J35" s="330" t="e" cm="1">
        <f t="array" ref="J35">INDEX('Client Rates and Roles'!$F$2:$F$433,MATCH(1,COUNTIFS('Opportunity Details'!$C$14,'Client Rates and Roles'!$D$2:$D$433,G35,'Client Rates and Roles'!$B$2:$B$433,H35,'Client Rates and Roles'!$C$2:$C$433,$C$6,'Client Rates and Roles'!$A$2:$A$433),0))</f>
        <v>#N/A</v>
      </c>
      <c r="K35" s="330" t="e">
        <f t="shared" si="1"/>
        <v>#N/A</v>
      </c>
      <c r="L35" s="329">
        <v>0</v>
      </c>
      <c r="M35" s="329"/>
      <c r="N35" s="329">
        <v>2</v>
      </c>
      <c r="O35" s="329"/>
      <c r="P35" s="329"/>
      <c r="Q35" s="329"/>
      <c r="R35" s="329"/>
      <c r="S35" s="329"/>
      <c r="T35" s="329"/>
      <c r="U35" s="329"/>
      <c r="V35" s="329"/>
      <c r="W35" s="329"/>
      <c r="X35" s="329"/>
      <c r="Y35" s="329"/>
      <c r="Z35" s="329"/>
      <c r="AA35" s="331">
        <f>SUM(Table1456[[#This Row],[Program Director 
(IT Workflow - US)]:[Engineer
(IT Workflow - US)]])</f>
        <v>0</v>
      </c>
      <c r="AB35" s="332"/>
      <c r="AC35" s="329"/>
      <c r="AD35" s="329"/>
      <c r="AE35" s="329"/>
      <c r="AF35" s="329"/>
      <c r="AG35" s="329"/>
      <c r="AH35" s="329"/>
      <c r="AI35" s="329"/>
      <c r="AJ35" s="329"/>
      <c r="AK35" s="329"/>
      <c r="AL35" s="329"/>
      <c r="AM35" s="329"/>
      <c r="AN35" s="329"/>
      <c r="AO35" s="333">
        <f>SUM(Table1456[[#This Row],[Program Director 
(Customer and Employee Workflow - US)]:[Engineer
(Customer and Employee Workflow - US)]])</f>
        <v>0</v>
      </c>
      <c r="AP35" s="329"/>
      <c r="AQ35" s="329"/>
      <c r="AR35" s="329"/>
      <c r="AS35" s="329"/>
      <c r="AT35" s="329"/>
      <c r="AU35" s="329"/>
      <c r="AV35" s="329"/>
      <c r="AW35" s="329"/>
      <c r="AX35" s="329"/>
      <c r="AY35" s="329"/>
      <c r="AZ35" s="329"/>
      <c r="BA35" s="329"/>
      <c r="BB35" s="329"/>
      <c r="BC35" s="305">
        <f>SUM(Table1456[[#This Row],[Program Director 
(IT Workflow - US)]:[Chief Architect
(IT Workflow - US)]])</f>
        <v>0</v>
      </c>
      <c r="BD35" s="303"/>
    </row>
    <row r="36" spans="2:56">
      <c r="B36" s="361"/>
      <c r="C36" s="328" t="s">
        <v>97</v>
      </c>
      <c r="D36" s="328" t="s">
        <v>134</v>
      </c>
      <c r="E36" s="328" t="s">
        <v>135</v>
      </c>
      <c r="F36" s="328"/>
      <c r="G36" s="328" t="s">
        <v>90</v>
      </c>
      <c r="H36" s="328" t="s">
        <v>71</v>
      </c>
      <c r="I36" s="329">
        <v>4</v>
      </c>
      <c r="J36" s="330" t="e" cm="1">
        <f t="array" ref="J36">INDEX('Client Rates and Roles'!$F$2:$F$433,MATCH(1,COUNTIFS('Opportunity Details'!$C$14,'Client Rates and Roles'!$D$2:$D$433,G36,'Client Rates and Roles'!$B$2:$B$433,H36,'Client Rates and Roles'!$C$2:$C$433,$C$6,'Client Rates and Roles'!$A$2:$A$433),0))</f>
        <v>#N/A</v>
      </c>
      <c r="K36" s="330" t="e">
        <f t="shared" si="1"/>
        <v>#N/A</v>
      </c>
      <c r="L36" s="329">
        <v>0</v>
      </c>
      <c r="M36" s="329"/>
      <c r="N36" s="329">
        <v>2</v>
      </c>
      <c r="O36" s="329"/>
      <c r="P36" s="329"/>
      <c r="Q36" s="329"/>
      <c r="R36" s="329"/>
      <c r="S36" s="329"/>
      <c r="T36" s="329"/>
      <c r="U36" s="329"/>
      <c r="V36" s="329"/>
      <c r="W36" s="329"/>
      <c r="X36" s="329"/>
      <c r="Y36" s="329"/>
      <c r="Z36" s="329"/>
      <c r="AA36" s="331">
        <f>SUM(Table1456[[#This Row],[Program Director 
(IT Workflow - US)]:[Engineer
(IT Workflow - US)]])</f>
        <v>0</v>
      </c>
      <c r="AB36" s="332"/>
      <c r="AC36" s="329"/>
      <c r="AD36" s="329"/>
      <c r="AE36" s="329"/>
      <c r="AF36" s="329"/>
      <c r="AG36" s="329"/>
      <c r="AH36" s="329"/>
      <c r="AI36" s="329"/>
      <c r="AJ36" s="329"/>
      <c r="AK36" s="329"/>
      <c r="AL36" s="329"/>
      <c r="AM36" s="329"/>
      <c r="AN36" s="329"/>
      <c r="AO36" s="333">
        <f>SUM(Table1456[[#This Row],[Program Director 
(Customer and Employee Workflow - US)]:[Engineer
(Customer and Employee Workflow - US)]])</f>
        <v>0</v>
      </c>
      <c r="AP36" s="329"/>
      <c r="AQ36" s="329"/>
      <c r="AR36" s="329"/>
      <c r="AS36" s="329"/>
      <c r="AT36" s="329"/>
      <c r="AU36" s="329"/>
      <c r="AV36" s="329"/>
      <c r="AW36" s="329"/>
      <c r="AX36" s="329"/>
      <c r="AY36" s="329"/>
      <c r="AZ36" s="329"/>
      <c r="BA36" s="329"/>
      <c r="BB36" s="329"/>
      <c r="BC36" s="305">
        <f>SUM(Table1456[[#This Row],[Program Director 
(IT Workflow - US)]:[Chief Architect
(IT Workflow - US)]])</f>
        <v>0</v>
      </c>
      <c r="BD36" s="303"/>
    </row>
    <row r="37" spans="2:56">
      <c r="B37" s="362" t="s">
        <v>136</v>
      </c>
      <c r="C37" s="363"/>
      <c r="D37" s="363"/>
      <c r="E37" s="363"/>
      <c r="F37" s="363"/>
      <c r="G37" s="363"/>
      <c r="H37" s="363"/>
      <c r="I37" s="364"/>
      <c r="J37" s="365"/>
      <c r="K37" s="365"/>
      <c r="L37" s="364"/>
      <c r="M37" s="364"/>
      <c r="N37" s="364"/>
      <c r="O37" s="329"/>
      <c r="P37" s="329"/>
      <c r="Q37" s="329"/>
      <c r="R37" s="329"/>
      <c r="S37" s="329"/>
      <c r="T37" s="329"/>
      <c r="U37" s="329"/>
      <c r="V37" s="329"/>
      <c r="W37" s="329"/>
      <c r="X37" s="329"/>
      <c r="Y37" s="329"/>
      <c r="Z37" s="329"/>
      <c r="AA37" s="331">
        <f>SUM(Table1456[[#This Row],[Program Director 
(IT Workflow - US)]:[Engineer
(IT Workflow - US)]])</f>
        <v>0</v>
      </c>
      <c r="AB37" s="332"/>
      <c r="AC37" s="329"/>
      <c r="AD37" s="329"/>
      <c r="AE37" s="329"/>
      <c r="AF37" s="329"/>
      <c r="AG37" s="329"/>
      <c r="AH37" s="329"/>
      <c r="AI37" s="329"/>
      <c r="AJ37" s="329"/>
      <c r="AK37" s="329"/>
      <c r="AL37" s="329"/>
      <c r="AM37" s="329"/>
      <c r="AN37" s="329"/>
      <c r="AO37" s="333">
        <f>SUM(Table1456[[#This Row],[Program Director 
(Customer and Employee Workflow - US)]:[Engineer
(Customer and Employee Workflow - US)]])</f>
        <v>0</v>
      </c>
      <c r="AP37" s="329"/>
      <c r="AQ37" s="329"/>
      <c r="AR37" s="329"/>
      <c r="AS37" s="329"/>
      <c r="AT37" s="329"/>
      <c r="AU37" s="329"/>
      <c r="AV37" s="329"/>
      <c r="AW37" s="329"/>
      <c r="AX37" s="329"/>
      <c r="AY37" s="329"/>
      <c r="AZ37" s="329"/>
      <c r="BA37" s="329"/>
      <c r="BB37" s="329"/>
      <c r="BC37" s="305"/>
      <c r="BD37" s="303"/>
    </row>
    <row r="38" spans="2:56" ht="76.5">
      <c r="B38" s="366"/>
      <c r="C38" s="328" t="s">
        <v>137</v>
      </c>
      <c r="D38" s="328" t="s">
        <v>138</v>
      </c>
      <c r="E38" s="328" t="s">
        <v>139</v>
      </c>
      <c r="F38" s="328" t="s">
        <v>140</v>
      </c>
      <c r="G38" s="328" t="s">
        <v>90</v>
      </c>
      <c r="H38" s="328" t="s">
        <v>71</v>
      </c>
      <c r="I38" s="329">
        <v>4</v>
      </c>
      <c r="J38" s="330" t="e" cm="1">
        <f t="array" ref="J38">INDEX('Client Rates and Roles'!$F$2:$F$433,MATCH(1,COUNTIFS('Opportunity Details'!$C$14,'Client Rates and Roles'!$D$2:$D$433,G38,'Client Rates and Roles'!$B$2:$B$433,H38,'Client Rates and Roles'!$C$2:$C$433,$C$6,'Client Rates and Roles'!$A$2:$A$433),0))</f>
        <v>#N/A</v>
      </c>
      <c r="K38" s="330" t="e">
        <f>I38*J38</f>
        <v>#N/A</v>
      </c>
      <c r="L38" s="329">
        <v>0</v>
      </c>
      <c r="M38" s="329"/>
      <c r="N38" s="329">
        <v>2</v>
      </c>
      <c r="O38" s="329"/>
      <c r="P38" s="329"/>
      <c r="Q38" s="329"/>
      <c r="R38" s="329"/>
      <c r="S38" s="329"/>
      <c r="T38" s="329"/>
      <c r="U38" s="329"/>
      <c r="V38" s="329"/>
      <c r="W38" s="329"/>
      <c r="X38" s="329"/>
      <c r="Y38" s="329"/>
      <c r="Z38" s="329"/>
      <c r="AA38" s="331">
        <f>SUM(Table1456[[#This Row],[Program Director 
(IT Workflow - US)]:[Engineer
(IT Workflow - US)]])</f>
        <v>0</v>
      </c>
      <c r="AB38" s="332"/>
      <c r="AC38" s="329"/>
      <c r="AD38" s="329"/>
      <c r="AE38" s="329"/>
      <c r="AF38" s="329"/>
      <c r="AG38" s="329"/>
      <c r="AH38" s="329"/>
      <c r="AI38" s="329"/>
      <c r="AJ38" s="329"/>
      <c r="AK38" s="329"/>
      <c r="AL38" s="329"/>
      <c r="AM38" s="329"/>
      <c r="AN38" s="329"/>
      <c r="AO38" s="333">
        <f>SUM(Table1456[[#This Row],[Program Director 
(Customer and Employee Workflow - US)]:[Engineer
(Customer and Employee Workflow - US)]])</f>
        <v>0</v>
      </c>
      <c r="AP38" s="329"/>
      <c r="AQ38" s="329"/>
      <c r="AR38" s="329"/>
      <c r="AS38" s="329"/>
      <c r="AT38" s="329"/>
      <c r="AU38" s="329"/>
      <c r="AV38" s="329"/>
      <c r="AW38" s="329"/>
      <c r="AX38" s="329"/>
      <c r="AY38" s="329"/>
      <c r="AZ38" s="329"/>
      <c r="BA38" s="329"/>
      <c r="BB38" s="329"/>
      <c r="BC38" s="305">
        <f>SUM(Table1456[[#This Row],[Program Director 
(IT Workflow - US)]:[Chief Architect
(IT Workflow - US)]])</f>
        <v>0</v>
      </c>
      <c r="BD38" s="303"/>
    </row>
    <row r="39" spans="2:56" ht="38.25">
      <c r="B39" s="366"/>
      <c r="C39" s="328" t="s">
        <v>137</v>
      </c>
      <c r="D39" s="328" t="s">
        <v>141</v>
      </c>
      <c r="E39" s="328" t="s">
        <v>142</v>
      </c>
      <c r="F39" s="328" t="s">
        <v>143</v>
      </c>
      <c r="G39" s="328" t="s">
        <v>144</v>
      </c>
      <c r="H39" s="328" t="s">
        <v>71</v>
      </c>
      <c r="I39" s="329">
        <f>MROUND(SUMIFS(Table1456[Hours],Table1456[Project Role],"Consultant",Table1456[Billable/ Non-Billable],"Billable - Onshore",Table1456[Task],"&lt;&gt;UAT Support - Onshore")*0.2,4)</f>
        <v>108</v>
      </c>
      <c r="J39" s="330" t="e" cm="1">
        <f t="array" ref="J39">INDEX('Client Rates and Roles'!$F$2:$F$433,MATCH(1,COUNTIFS('Opportunity Details'!$C$14,'Client Rates and Roles'!$D$2:$D$433,G39,'Client Rates and Roles'!$B$2:$B$433,H39,'Client Rates and Roles'!$C$2:$C$433,$C$6,'Client Rates and Roles'!$A$2:$A$433),0))</f>
        <v>#N/A</v>
      </c>
      <c r="K39" s="330" t="e">
        <f>I39*J39</f>
        <v>#N/A</v>
      </c>
      <c r="L39" s="329"/>
      <c r="M39" s="336">
        <v>40</v>
      </c>
      <c r="N39" s="329"/>
      <c r="O39" s="329"/>
      <c r="P39" s="329"/>
      <c r="Q39" s="329"/>
      <c r="R39" s="329"/>
      <c r="S39" s="329"/>
      <c r="T39" s="329"/>
      <c r="U39" s="329"/>
      <c r="V39" s="329"/>
      <c r="W39" s="329"/>
      <c r="X39" s="329"/>
      <c r="Y39" s="329"/>
      <c r="Z39" s="329"/>
      <c r="AA39" s="331">
        <f>SUM(Table1456[[#This Row],[Program Director 
(IT Workflow - US)]:[Engineer
(IT Workflow - US)]])</f>
        <v>0</v>
      </c>
      <c r="AB39" s="332"/>
      <c r="AC39" s="329"/>
      <c r="AD39" s="329"/>
      <c r="AE39" s="329"/>
      <c r="AF39" s="329"/>
      <c r="AG39" s="329"/>
      <c r="AH39" s="329"/>
      <c r="AI39" s="329"/>
      <c r="AJ39" s="329"/>
      <c r="AK39" s="329"/>
      <c r="AL39" s="329"/>
      <c r="AM39" s="329"/>
      <c r="AN39" s="329"/>
      <c r="AO39" s="333">
        <f>SUM(Table1456[[#This Row],[Program Director 
(Customer and Employee Workflow - US)]:[Engineer
(Customer and Employee Workflow - US)]])</f>
        <v>0</v>
      </c>
      <c r="AP39" s="329"/>
      <c r="AQ39" s="329"/>
      <c r="AR39" s="329"/>
      <c r="AS39" s="329"/>
      <c r="AT39" s="329"/>
      <c r="AU39" s="329"/>
      <c r="AV39" s="329"/>
      <c r="AW39" s="329"/>
      <c r="AX39" s="329"/>
      <c r="AY39" s="329"/>
      <c r="AZ39" s="329"/>
      <c r="BA39" s="329"/>
      <c r="BB39" s="329"/>
      <c r="BC39" s="305"/>
      <c r="BD39" s="303"/>
    </row>
    <row r="40" spans="2:56" ht="38.25">
      <c r="B40" s="366"/>
      <c r="C40" s="328" t="s">
        <v>137</v>
      </c>
      <c r="D40" s="328" t="s">
        <v>145</v>
      </c>
      <c r="E40" s="328" t="s">
        <v>142</v>
      </c>
      <c r="F40" s="328" t="s">
        <v>143</v>
      </c>
      <c r="G40" s="328" t="s">
        <v>144</v>
      </c>
      <c r="H40" s="328" t="s">
        <v>66</v>
      </c>
      <c r="I40" s="329">
        <f>MROUND(SUMIFS(Table1456[Hours],Table1456[Project Role],"Consultant",Table1456[Billable/ Non-Billable],"Billable - Offshore",Table1456[Task],"&lt;&gt;UAT Support - Onshore")*0.2,4)</f>
        <v>164</v>
      </c>
      <c r="J40" s="330" t="e" cm="1">
        <f t="array" ref="J40">INDEX('Client Rates and Roles'!$F$2:$F$433,MATCH(1,COUNTIFS('Opportunity Details'!$C$14,'Client Rates and Roles'!$D$2:$D$433,G40,'Client Rates and Roles'!$B$2:$B$433,H40,'Client Rates and Roles'!$C$2:$C$433,$C$6,'Client Rates and Roles'!$A$2:$A$433),0))</f>
        <v>#N/A</v>
      </c>
      <c r="K40" s="330" t="e">
        <f>I40*J40</f>
        <v>#N/A</v>
      </c>
      <c r="L40" s="329">
        <v>2</v>
      </c>
      <c r="M40" s="329">
        <v>3</v>
      </c>
      <c r="N40" s="329">
        <v>2</v>
      </c>
      <c r="O40" s="329"/>
      <c r="P40" s="329"/>
      <c r="Q40" s="329"/>
      <c r="R40" s="329"/>
      <c r="S40" s="329"/>
      <c r="T40" s="329"/>
      <c r="U40" s="329"/>
      <c r="V40" s="329"/>
      <c r="W40" s="329"/>
      <c r="X40" s="329"/>
      <c r="Y40" s="329"/>
      <c r="Z40" s="329"/>
      <c r="AA40" s="331">
        <f>SUM(Table1456[[#This Row],[Program Director 
(IT Workflow - US)]:[Engineer
(IT Workflow - US)]])</f>
        <v>0</v>
      </c>
      <c r="AB40" s="332"/>
      <c r="AC40" s="329"/>
      <c r="AD40" s="329"/>
      <c r="AE40" s="329"/>
      <c r="AF40" s="329"/>
      <c r="AG40" s="329"/>
      <c r="AH40" s="329"/>
      <c r="AI40" s="329"/>
      <c r="AJ40" s="329"/>
      <c r="AK40" s="329"/>
      <c r="AL40" s="329"/>
      <c r="AM40" s="329"/>
      <c r="AN40" s="329"/>
      <c r="AO40" s="333">
        <f>SUM(Table1456[[#This Row],[Program Director 
(Customer and Employee Workflow - US)]:[Engineer
(Customer and Employee Workflow - US)]])</f>
        <v>0</v>
      </c>
      <c r="AP40" s="329"/>
      <c r="AQ40" s="329"/>
      <c r="AR40" s="329"/>
      <c r="AS40" s="329"/>
      <c r="AT40" s="329"/>
      <c r="AU40" s="329"/>
      <c r="AV40" s="329"/>
      <c r="AW40" s="329"/>
      <c r="AX40" s="329"/>
      <c r="AY40" s="329"/>
      <c r="AZ40" s="329"/>
      <c r="BA40" s="329"/>
      <c r="BB40" s="329"/>
      <c r="BC40" s="305">
        <f>SUM(Table1456[[#This Row],[Program Director 
(IT Workflow - US)]:[Chief Architect
(IT Workflow - US)]])</f>
        <v>0</v>
      </c>
      <c r="BD40" s="303"/>
    </row>
    <row r="41" spans="2:56" ht="25.5">
      <c r="B41" s="366"/>
      <c r="C41" s="328" t="s">
        <v>137</v>
      </c>
      <c r="D41" s="328" t="s">
        <v>146</v>
      </c>
      <c r="E41" s="328" t="s">
        <v>147</v>
      </c>
      <c r="F41" s="328"/>
      <c r="G41" s="328" t="s">
        <v>90</v>
      </c>
      <c r="H41" s="328" t="s">
        <v>71</v>
      </c>
      <c r="I41" s="329">
        <v>4</v>
      </c>
      <c r="J41" s="330" t="e" cm="1">
        <f t="array" ref="J41">INDEX('Client Rates and Roles'!$F$2:$F$433,MATCH(1,COUNTIFS('Opportunity Details'!$C$14,'Client Rates and Roles'!$D$2:$D$433,G41,'Client Rates and Roles'!$B$2:$B$433,H41,'Client Rates and Roles'!$C$2:$C$433,$C$6,'Client Rates and Roles'!$A$2:$A$433),0))</f>
        <v>#N/A</v>
      </c>
      <c r="K41" s="330" t="e">
        <f>I41*J41</f>
        <v>#N/A</v>
      </c>
      <c r="L41" s="329">
        <v>0</v>
      </c>
      <c r="M41" s="329"/>
      <c r="N41" s="329"/>
      <c r="O41" s="329"/>
      <c r="P41" s="329"/>
      <c r="Q41" s="329"/>
      <c r="R41" s="329"/>
      <c r="S41" s="329"/>
      <c r="T41" s="329"/>
      <c r="U41" s="329"/>
      <c r="V41" s="329"/>
      <c r="W41" s="329"/>
      <c r="X41" s="329"/>
      <c r="Y41" s="329"/>
      <c r="Z41" s="329"/>
      <c r="AA41" s="331">
        <f>SUM(Table1456[[#This Row],[Program Director 
(IT Workflow - US)]:[Engineer
(IT Workflow - US)]])</f>
        <v>0</v>
      </c>
      <c r="AB41" s="332"/>
      <c r="AC41" s="329"/>
      <c r="AD41" s="329"/>
      <c r="AE41" s="329"/>
      <c r="AF41" s="329"/>
      <c r="AG41" s="329"/>
      <c r="AH41" s="329"/>
      <c r="AI41" s="329"/>
      <c r="AJ41" s="329"/>
      <c r="AK41" s="329"/>
      <c r="AL41" s="329"/>
      <c r="AM41" s="329"/>
      <c r="AN41" s="329"/>
      <c r="AO41" s="333">
        <f>SUM(Table1456[[#This Row],[Program Director 
(Customer and Employee Workflow - US)]:[Engineer
(Customer and Employee Workflow - US)]])</f>
        <v>0</v>
      </c>
      <c r="AP41" s="329"/>
      <c r="AQ41" s="329"/>
      <c r="AR41" s="329"/>
      <c r="AS41" s="329"/>
      <c r="AT41" s="329"/>
      <c r="AU41" s="329"/>
      <c r="AV41" s="329"/>
      <c r="AW41" s="329"/>
      <c r="AX41" s="329"/>
      <c r="AY41" s="329"/>
      <c r="AZ41" s="329"/>
      <c r="BA41" s="329"/>
      <c r="BB41" s="329"/>
      <c r="BC41" s="305">
        <f>SUM(Table1456[[#This Row],[Program Director 
(IT Workflow - US)]:[Chief Architect
(IT Workflow - US)]])</f>
        <v>0</v>
      </c>
      <c r="BD41" s="303"/>
    </row>
    <row r="42" spans="2:56" ht="25.5">
      <c r="B42" s="366"/>
      <c r="C42" s="328" t="s">
        <v>137</v>
      </c>
      <c r="D42" s="328" t="s">
        <v>148</v>
      </c>
      <c r="E42" s="328" t="s">
        <v>149</v>
      </c>
      <c r="F42" s="328"/>
      <c r="G42" s="328" t="s">
        <v>90</v>
      </c>
      <c r="H42" s="328" t="s">
        <v>66</v>
      </c>
      <c r="I42" s="329">
        <v>4</v>
      </c>
      <c r="J42" s="330" t="e" cm="1">
        <f t="array" ref="J42">INDEX('Client Rates and Roles'!$F$2:$F$433,MATCH(1,COUNTIFS('Opportunity Details'!$C$14,'Client Rates and Roles'!$D$2:$D$433,G42,'Client Rates and Roles'!$B$2:$B$433,H42,'Client Rates and Roles'!$C$2:$C$433,$C$6,'Client Rates and Roles'!$A$2:$A$433),0))</f>
        <v>#N/A</v>
      </c>
      <c r="K42" s="330" t="e">
        <f>I42*J42</f>
        <v>#N/A</v>
      </c>
      <c r="L42" s="329">
        <v>0</v>
      </c>
      <c r="M42" s="329"/>
      <c r="N42" s="329">
        <v>2</v>
      </c>
      <c r="O42" s="329"/>
      <c r="P42" s="329"/>
      <c r="Q42" s="329"/>
      <c r="R42" s="329"/>
      <c r="S42" s="329"/>
      <c r="T42" s="329"/>
      <c r="U42" s="329"/>
      <c r="V42" s="329"/>
      <c r="W42" s="329"/>
      <c r="X42" s="329"/>
      <c r="Y42" s="329"/>
      <c r="Z42" s="329"/>
      <c r="AA42" s="331">
        <f>SUM(Table1456[[#This Row],[Program Director 
(IT Workflow - US)]:[Engineer
(IT Workflow - US)]])</f>
        <v>0</v>
      </c>
      <c r="AB42" s="332"/>
      <c r="AC42" s="329"/>
      <c r="AD42" s="329"/>
      <c r="AE42" s="329"/>
      <c r="AF42" s="329"/>
      <c r="AG42" s="329"/>
      <c r="AH42" s="329"/>
      <c r="AI42" s="329"/>
      <c r="AJ42" s="329"/>
      <c r="AK42" s="329"/>
      <c r="AL42" s="329"/>
      <c r="AM42" s="329"/>
      <c r="AN42" s="329"/>
      <c r="AO42" s="333">
        <f>SUM(Table1456[[#This Row],[Program Director 
(Customer and Employee Workflow - US)]:[Engineer
(Customer and Employee Workflow - US)]])</f>
        <v>0</v>
      </c>
      <c r="AP42" s="329"/>
      <c r="AQ42" s="329"/>
      <c r="AR42" s="329"/>
      <c r="AS42" s="329"/>
      <c r="AT42" s="329"/>
      <c r="AU42" s="329"/>
      <c r="AV42" s="329"/>
      <c r="AW42" s="329"/>
      <c r="AX42" s="329"/>
      <c r="AY42" s="329"/>
      <c r="AZ42" s="329"/>
      <c r="BA42" s="329"/>
      <c r="BB42" s="329"/>
      <c r="BC42" s="305">
        <f>SUM(Table1456[[#This Row],[Program Director 
(IT Workflow - US)]:[Chief Architect
(IT Workflow - US)]])</f>
        <v>0</v>
      </c>
      <c r="BD42" s="303"/>
    </row>
    <row r="43" spans="2:56">
      <c r="B43" s="367" t="s">
        <v>150</v>
      </c>
      <c r="C43" s="368"/>
      <c r="D43" s="368"/>
      <c r="E43" s="368"/>
      <c r="F43" s="368"/>
      <c r="G43" s="368"/>
      <c r="H43" s="368"/>
      <c r="I43" s="369"/>
      <c r="J43" s="370"/>
      <c r="K43" s="370"/>
      <c r="L43" s="369"/>
      <c r="M43" s="369"/>
      <c r="N43" s="369"/>
      <c r="O43" s="329"/>
      <c r="P43" s="329"/>
      <c r="Q43" s="329"/>
      <c r="R43" s="329"/>
      <c r="S43" s="329"/>
      <c r="T43" s="329"/>
      <c r="U43" s="329"/>
      <c r="V43" s="329"/>
      <c r="W43" s="329"/>
      <c r="X43" s="329"/>
      <c r="Y43" s="329"/>
      <c r="Z43" s="329"/>
      <c r="AA43" s="331">
        <f>SUM(Table1456[[#This Row],[Program Director 
(IT Workflow - US)]:[Engineer
(IT Workflow - US)]])</f>
        <v>0</v>
      </c>
      <c r="AB43" s="332"/>
      <c r="AC43" s="329"/>
      <c r="AD43" s="329"/>
      <c r="AE43" s="329"/>
      <c r="AF43" s="329"/>
      <c r="AG43" s="329"/>
      <c r="AH43" s="329"/>
      <c r="AI43" s="329"/>
      <c r="AJ43" s="329"/>
      <c r="AK43" s="329"/>
      <c r="AL43" s="329"/>
      <c r="AM43" s="329"/>
      <c r="AN43" s="329"/>
      <c r="AO43" s="333">
        <f>SUM(Table1456[[#This Row],[Program Director 
(Customer and Employee Workflow - US)]:[Engineer
(Customer and Employee Workflow - US)]])</f>
        <v>0</v>
      </c>
      <c r="AP43" s="329"/>
      <c r="AQ43" s="329"/>
      <c r="AR43" s="329"/>
      <c r="AS43" s="329"/>
      <c r="AT43" s="329"/>
      <c r="AU43" s="329"/>
      <c r="AV43" s="329"/>
      <c r="AW43" s="329"/>
      <c r="AX43" s="329"/>
      <c r="AY43" s="329"/>
      <c r="AZ43" s="329"/>
      <c r="BA43" s="329"/>
      <c r="BB43" s="329"/>
      <c r="BC43" s="305"/>
      <c r="BD43" s="303"/>
    </row>
    <row r="44" spans="2:56" ht="51">
      <c r="B44" s="371"/>
      <c r="C44" s="328" t="s">
        <v>151</v>
      </c>
      <c r="D44" s="328" t="s">
        <v>152</v>
      </c>
      <c r="E44" s="328" t="s">
        <v>153</v>
      </c>
      <c r="F44" s="328"/>
      <c r="G44" s="328" t="s">
        <v>90</v>
      </c>
      <c r="H44" s="328" t="s">
        <v>71</v>
      </c>
      <c r="I44" s="329">
        <v>4</v>
      </c>
      <c r="J44" s="330" t="e" cm="1">
        <f t="array" ref="J44">INDEX('Client Rates and Roles'!$F$2:$F$433,MATCH(1,COUNTIFS('Opportunity Details'!$C$14,'Client Rates and Roles'!$D$2:$D$433,G44,'Client Rates and Roles'!$B$2:$B$433,H44,'Client Rates and Roles'!$C$2:$C$433,$C$6,'Client Rates and Roles'!$A$2:$A$433),0))</f>
        <v>#N/A</v>
      </c>
      <c r="K44" s="330" t="e">
        <f t="shared" ref="K44:K51" si="2">I44*J44</f>
        <v>#N/A</v>
      </c>
      <c r="L44" s="329">
        <v>0</v>
      </c>
      <c r="M44" s="329"/>
      <c r="N44" s="329">
        <v>2</v>
      </c>
      <c r="O44" s="329"/>
      <c r="P44" s="329"/>
      <c r="Q44" s="329"/>
      <c r="R44" s="329"/>
      <c r="S44" s="329"/>
      <c r="T44" s="329"/>
      <c r="U44" s="329"/>
      <c r="V44" s="329"/>
      <c r="W44" s="329"/>
      <c r="X44" s="329"/>
      <c r="Y44" s="329"/>
      <c r="Z44" s="329"/>
      <c r="AA44" s="331">
        <f>SUM(Table1456[[#This Row],[Program Director 
(IT Workflow - US)]:[Engineer
(IT Workflow - US)]])</f>
        <v>0</v>
      </c>
      <c r="AB44" s="332"/>
      <c r="AC44" s="329"/>
      <c r="AD44" s="329"/>
      <c r="AE44" s="329"/>
      <c r="AF44" s="329"/>
      <c r="AG44" s="329"/>
      <c r="AH44" s="329"/>
      <c r="AI44" s="329"/>
      <c r="AJ44" s="329"/>
      <c r="AK44" s="329"/>
      <c r="AL44" s="329"/>
      <c r="AM44" s="329"/>
      <c r="AN44" s="329"/>
      <c r="AO44" s="333">
        <f>SUM(Table1456[[#This Row],[Program Director 
(Customer and Employee Workflow - US)]:[Engineer
(Customer and Employee Workflow - US)]])</f>
        <v>0</v>
      </c>
      <c r="AP44" s="329"/>
      <c r="AQ44" s="329"/>
      <c r="AR44" s="329"/>
      <c r="AS44" s="329"/>
      <c r="AT44" s="329"/>
      <c r="AU44" s="329"/>
      <c r="AV44" s="329"/>
      <c r="AW44" s="329"/>
      <c r="AX44" s="329"/>
      <c r="AY44" s="329"/>
      <c r="AZ44" s="329"/>
      <c r="BA44" s="329"/>
      <c r="BB44" s="329"/>
      <c r="BC44" s="305">
        <f>SUM(Table1456[[#This Row],[Program Director 
(IT Workflow - US)]:[Chief Architect
(IT Workflow - US)]])</f>
        <v>0</v>
      </c>
      <c r="BD44" s="303"/>
    </row>
    <row r="45" spans="2:56" ht="25.5">
      <c r="B45" s="371"/>
      <c r="C45" s="328" t="s">
        <v>151</v>
      </c>
      <c r="D45" s="328" t="s">
        <v>154</v>
      </c>
      <c r="E45" s="328" t="s">
        <v>155</v>
      </c>
      <c r="F45" s="328"/>
      <c r="G45" s="328" t="s">
        <v>90</v>
      </c>
      <c r="H45" s="328" t="s">
        <v>71</v>
      </c>
      <c r="I45" s="329">
        <v>80</v>
      </c>
      <c r="J45" s="330" t="e" cm="1">
        <f t="array" ref="J45">INDEX('Client Rates and Roles'!$F$2:$F$433,MATCH(1,COUNTIFS('Opportunity Details'!$C$14,'Client Rates and Roles'!$D$2:$D$433,G45,'Client Rates and Roles'!$B$2:$B$433,H45,'Client Rates and Roles'!$C$2:$C$433,$C$6,'Client Rates and Roles'!$A$2:$A$433),0))</f>
        <v>#N/A</v>
      </c>
      <c r="K45" s="330" t="e">
        <f t="shared" si="2"/>
        <v>#N/A</v>
      </c>
      <c r="L45" s="329"/>
      <c r="M45" s="329"/>
      <c r="N45" s="329">
        <v>2</v>
      </c>
      <c r="O45" s="329"/>
      <c r="P45" s="329"/>
      <c r="Q45" s="329"/>
      <c r="R45" s="329"/>
      <c r="S45" s="329"/>
      <c r="T45" s="329"/>
      <c r="U45" s="329"/>
      <c r="V45" s="329"/>
      <c r="W45" s="329"/>
      <c r="X45" s="329"/>
      <c r="Y45" s="329"/>
      <c r="Z45" s="329"/>
      <c r="AA45" s="331">
        <f>SUM(Table1456[[#This Row],[Program Director 
(IT Workflow - US)]:[Engineer
(IT Workflow - US)]])</f>
        <v>0</v>
      </c>
      <c r="AB45" s="332"/>
      <c r="AC45" s="329"/>
      <c r="AD45" s="329"/>
      <c r="AE45" s="329"/>
      <c r="AF45" s="329"/>
      <c r="AG45" s="329"/>
      <c r="AH45" s="329"/>
      <c r="AI45" s="329"/>
      <c r="AJ45" s="329"/>
      <c r="AK45" s="329"/>
      <c r="AL45" s="329"/>
      <c r="AM45" s="329"/>
      <c r="AN45" s="329"/>
      <c r="AO45" s="333">
        <f>SUM(Table1456[[#This Row],[Program Director 
(Customer and Employee Workflow - US)]:[Engineer
(Customer and Employee Workflow - US)]])</f>
        <v>0</v>
      </c>
      <c r="AP45" s="329"/>
      <c r="AQ45" s="329"/>
      <c r="AR45" s="329"/>
      <c r="AS45" s="329"/>
      <c r="AT45" s="329"/>
      <c r="AU45" s="329"/>
      <c r="AV45" s="329"/>
      <c r="AW45" s="329"/>
      <c r="AX45" s="329"/>
      <c r="AY45" s="329"/>
      <c r="AZ45" s="329"/>
      <c r="BA45" s="329"/>
      <c r="BB45" s="329"/>
      <c r="BC45" s="305">
        <f>SUM(Table1456[[#This Row],[Program Director 
(IT Workflow - US)]:[Chief Architect
(IT Workflow - US)]])</f>
        <v>0</v>
      </c>
      <c r="BD45" s="303"/>
    </row>
    <row r="46" spans="2:56">
      <c r="B46" s="371"/>
      <c r="C46" s="328" t="s">
        <v>151</v>
      </c>
      <c r="D46" s="328" t="s">
        <v>156</v>
      </c>
      <c r="E46" s="328" t="s">
        <v>157</v>
      </c>
      <c r="F46" s="328"/>
      <c r="G46" s="328" t="s">
        <v>158</v>
      </c>
      <c r="H46" s="328" t="s">
        <v>71</v>
      </c>
      <c r="I46" s="329">
        <v>8</v>
      </c>
      <c r="J46" s="330" t="e" cm="1">
        <f t="array" ref="J46">INDEX('Client Rates and Roles'!$F$2:$F$433,MATCH(1,COUNTIFS('Opportunity Details'!$C$14,'Client Rates and Roles'!$D$2:$D$433,G46,'Client Rates and Roles'!$B$2:$B$433,H46,'Client Rates and Roles'!$C$2:$C$433,$C$6,'Client Rates and Roles'!$A$2:$A$433),0))</f>
        <v>#N/A</v>
      </c>
      <c r="K46" s="330" t="e">
        <f t="shared" si="2"/>
        <v>#N/A</v>
      </c>
      <c r="L46" s="329">
        <v>0</v>
      </c>
      <c r="M46" s="329"/>
      <c r="N46" s="329">
        <v>2</v>
      </c>
      <c r="O46" s="329"/>
      <c r="P46" s="329"/>
      <c r="Q46" s="329"/>
      <c r="R46" s="329"/>
      <c r="S46" s="329"/>
      <c r="T46" s="329"/>
      <c r="U46" s="329"/>
      <c r="V46" s="329"/>
      <c r="W46" s="329"/>
      <c r="X46" s="329"/>
      <c r="Y46" s="329"/>
      <c r="Z46" s="329"/>
      <c r="AA46" s="331">
        <f>SUM(Table1456[[#This Row],[Program Director 
(IT Workflow - US)]:[Engineer
(IT Workflow - US)]])</f>
        <v>0</v>
      </c>
      <c r="AB46" s="332"/>
      <c r="AC46" s="329"/>
      <c r="AD46" s="329"/>
      <c r="AE46" s="329"/>
      <c r="AF46" s="329"/>
      <c r="AG46" s="329"/>
      <c r="AH46" s="329"/>
      <c r="AI46" s="329"/>
      <c r="AJ46" s="329"/>
      <c r="AK46" s="329"/>
      <c r="AL46" s="329"/>
      <c r="AM46" s="329"/>
      <c r="AN46" s="329"/>
      <c r="AO46" s="333">
        <f>SUM(Table1456[[#This Row],[Program Director 
(Customer and Employee Workflow - US)]:[Engineer
(Customer and Employee Workflow - US)]])</f>
        <v>0</v>
      </c>
      <c r="AP46" s="329"/>
      <c r="AQ46" s="329"/>
      <c r="AR46" s="329"/>
      <c r="AS46" s="329"/>
      <c r="AT46" s="329"/>
      <c r="AU46" s="329"/>
      <c r="AV46" s="329"/>
      <c r="AW46" s="329"/>
      <c r="AX46" s="329"/>
      <c r="AY46" s="329"/>
      <c r="AZ46" s="329"/>
      <c r="BA46" s="329"/>
      <c r="BB46" s="329"/>
      <c r="BC46" s="305">
        <f>SUM(Table1456[[#This Row],[Program Director 
(IT Workflow - US)]:[Chief Architect
(IT Workflow - US)]])</f>
        <v>0</v>
      </c>
      <c r="BD46" s="303"/>
    </row>
    <row r="47" spans="2:56">
      <c r="B47" s="371"/>
      <c r="C47" s="328" t="s">
        <v>151</v>
      </c>
      <c r="D47" s="328" t="s">
        <v>159</v>
      </c>
      <c r="E47" s="328" t="s">
        <v>160</v>
      </c>
      <c r="F47" s="328"/>
      <c r="G47" s="328" t="s">
        <v>158</v>
      </c>
      <c r="H47" s="328" t="s">
        <v>71</v>
      </c>
      <c r="I47" s="329">
        <v>4</v>
      </c>
      <c r="J47" s="330" t="e" cm="1">
        <f t="array" ref="J47">INDEX('Client Rates and Roles'!$F$2:$F$433,MATCH(1,COUNTIFS('Opportunity Details'!$C$14,'Client Rates and Roles'!$D$2:$D$433,G47,'Client Rates and Roles'!$B$2:$B$433,H47,'Client Rates and Roles'!$C$2:$C$433,$C$6,'Client Rates and Roles'!$A$2:$A$433),0))</f>
        <v>#N/A</v>
      </c>
      <c r="K47" s="330" t="e">
        <f t="shared" si="2"/>
        <v>#N/A</v>
      </c>
      <c r="L47" s="329">
        <v>4</v>
      </c>
      <c r="M47" s="329"/>
      <c r="N47" s="329">
        <v>2</v>
      </c>
      <c r="O47" s="329"/>
      <c r="P47" s="329"/>
      <c r="Q47" s="329"/>
      <c r="R47" s="329"/>
      <c r="S47" s="329"/>
      <c r="T47" s="329"/>
      <c r="U47" s="329"/>
      <c r="V47" s="329"/>
      <c r="W47" s="329"/>
      <c r="X47" s="329"/>
      <c r="Y47" s="329"/>
      <c r="Z47" s="329"/>
      <c r="AA47" s="331">
        <f>SUM(Table1456[[#This Row],[Program Director 
(IT Workflow - US)]:[Engineer
(IT Workflow - US)]])</f>
        <v>0</v>
      </c>
      <c r="AB47" s="332"/>
      <c r="AC47" s="329"/>
      <c r="AD47" s="329"/>
      <c r="AE47" s="329"/>
      <c r="AF47" s="329"/>
      <c r="AG47" s="329"/>
      <c r="AH47" s="329"/>
      <c r="AI47" s="329"/>
      <c r="AJ47" s="329"/>
      <c r="AK47" s="329"/>
      <c r="AL47" s="329"/>
      <c r="AM47" s="329"/>
      <c r="AN47" s="329"/>
      <c r="AO47" s="333">
        <f>SUM(Table1456[[#This Row],[Program Director 
(Customer and Employee Workflow - US)]:[Engineer
(Customer and Employee Workflow - US)]])</f>
        <v>0</v>
      </c>
      <c r="AP47" s="329"/>
      <c r="AQ47" s="329"/>
      <c r="AR47" s="329"/>
      <c r="AS47" s="329"/>
      <c r="AT47" s="329"/>
      <c r="AU47" s="329"/>
      <c r="AV47" s="329"/>
      <c r="AW47" s="329"/>
      <c r="AX47" s="329"/>
      <c r="AY47" s="329"/>
      <c r="AZ47" s="329"/>
      <c r="BA47" s="329"/>
      <c r="BB47" s="329"/>
      <c r="BC47" s="305">
        <f>SUM(Table1456[[#This Row],[Program Director 
(IT Workflow - US)]:[Chief Architect
(IT Workflow - US)]])</f>
        <v>0</v>
      </c>
      <c r="BD47" s="303"/>
    </row>
    <row r="48" spans="2:56" ht="25.5">
      <c r="B48" s="372"/>
      <c r="C48" s="373" t="s">
        <v>161</v>
      </c>
      <c r="D48" s="373" t="s">
        <v>162</v>
      </c>
      <c r="E48" s="373" t="s">
        <v>163</v>
      </c>
      <c r="F48" s="373"/>
      <c r="G48" s="373" t="s">
        <v>75</v>
      </c>
      <c r="H48" s="373" t="s">
        <v>71</v>
      </c>
      <c r="I48" s="374">
        <v>4</v>
      </c>
      <c r="J48" s="374" t="e" cm="1">
        <f t="array" ref="J48">INDEX('Client Rates and Roles'!$F$2:$F$433,MATCH(1,COUNTIFS('Opportunity Details'!$C$14,'Client Rates and Roles'!$D$2:$D$433,G48,'Client Rates and Roles'!$B$2:$B$433,H48,'Client Rates and Roles'!$C$2:$C$433,$C$6,'Client Rates and Roles'!$A$2:$A$433),0))</f>
        <v>#N/A</v>
      </c>
      <c r="K48" s="374" t="e">
        <f t="shared" si="2"/>
        <v>#N/A</v>
      </c>
      <c r="L48" s="374"/>
      <c r="M48" s="374"/>
      <c r="N48" s="374"/>
      <c r="O48" s="329"/>
      <c r="P48" s="329"/>
      <c r="Q48" s="329"/>
      <c r="R48" s="329"/>
      <c r="S48" s="329"/>
      <c r="T48" s="329"/>
      <c r="U48" s="329"/>
      <c r="V48" s="329"/>
      <c r="W48" s="329"/>
      <c r="X48" s="329"/>
      <c r="Y48" s="329"/>
      <c r="Z48" s="329"/>
      <c r="AA48" s="331">
        <f>SUM(Table1456[[#This Row],[Program Director 
(IT Workflow - US)]:[Engineer
(IT Workflow - US)]])</f>
        <v>0</v>
      </c>
      <c r="AB48" s="332"/>
      <c r="AC48" s="329"/>
      <c r="AD48" s="329"/>
      <c r="AE48" s="329"/>
      <c r="AF48" s="329"/>
      <c r="AG48" s="329"/>
      <c r="AH48" s="329"/>
      <c r="AI48" s="329"/>
      <c r="AJ48" s="329"/>
      <c r="AK48" s="329"/>
      <c r="AL48" s="329"/>
      <c r="AM48" s="329"/>
      <c r="AN48" s="329"/>
      <c r="AO48" s="333">
        <f>SUM(Table1456[[#This Row],[Program Director 
(Customer and Employee Workflow - US)]:[Engineer
(Customer and Employee Workflow - US)]])</f>
        <v>0</v>
      </c>
      <c r="AP48" s="329"/>
      <c r="AQ48" s="329"/>
      <c r="AR48" s="329"/>
      <c r="AS48" s="329"/>
      <c r="AT48" s="329"/>
      <c r="AU48" s="329"/>
      <c r="AV48" s="329"/>
      <c r="AW48" s="329"/>
      <c r="AX48" s="329"/>
      <c r="AY48" s="329"/>
      <c r="AZ48" s="329"/>
      <c r="BA48" s="329"/>
      <c r="BB48" s="329"/>
      <c r="BC48" s="305">
        <f>SUM(Table1456[[#This Row],[Program Director 
(IT Workflow - US)]:[Chief Architect
(IT Workflow - US)]])</f>
        <v>0</v>
      </c>
      <c r="BD48" s="303"/>
    </row>
    <row r="49" spans="2:56">
      <c r="B49" s="372"/>
      <c r="C49" s="373" t="s">
        <v>161</v>
      </c>
      <c r="D49" s="373" t="s">
        <v>164</v>
      </c>
      <c r="E49" s="373" t="s">
        <v>165</v>
      </c>
      <c r="F49" s="373"/>
      <c r="G49" s="373" t="s">
        <v>158</v>
      </c>
      <c r="H49" s="373" t="s">
        <v>71</v>
      </c>
      <c r="I49" s="374" cm="1">
        <f t="array" ref="I49">MROUND(SUM((SUMIFS(Table1456[Hours],Table1456[Phase],{"Execute","Deliver","Close"}))*List!$B$25,Table1456[Additional PM Oversight]),4)</f>
        <v>412</v>
      </c>
      <c r="J49" s="374" t="e" cm="1">
        <f t="array" ref="J49">INDEX('Client Rates and Roles'!$F$2:$F$433,MATCH(1,COUNTIFS('Opportunity Details'!$C$14,'Client Rates and Roles'!$D$2:$D$433,G49,'Client Rates and Roles'!$B$2:$B$433,H49,'Client Rates and Roles'!$C$2:$C$433,$C$6,'Client Rates and Roles'!$A$2:$A$433),0))</f>
        <v>#N/A</v>
      </c>
      <c r="K49" s="374" t="e">
        <f t="shared" si="2"/>
        <v>#N/A</v>
      </c>
      <c r="L49" s="374"/>
      <c r="M49" s="374"/>
      <c r="N49" s="374"/>
      <c r="O49" s="336"/>
      <c r="P49" s="336"/>
      <c r="Q49" s="336"/>
      <c r="R49" s="336"/>
      <c r="S49" s="336"/>
      <c r="T49" s="336"/>
      <c r="U49" s="336"/>
      <c r="V49" s="336"/>
      <c r="W49" s="336"/>
      <c r="X49" s="336"/>
      <c r="Y49" s="336"/>
      <c r="Z49" s="336"/>
      <c r="AA49" s="337">
        <f>SUM(Table1456[[#This Row],[Program Director 
(IT Workflow - US)]:[Engineer
(IT Workflow - US)]])</f>
        <v>0</v>
      </c>
      <c r="AB49" s="338"/>
      <c r="AC49" s="336"/>
      <c r="AD49" s="336"/>
      <c r="AE49" s="336"/>
      <c r="AF49" s="336"/>
      <c r="AG49" s="336"/>
      <c r="AH49" s="336"/>
      <c r="AI49" s="336"/>
      <c r="AJ49" s="336"/>
      <c r="AK49" s="336"/>
      <c r="AL49" s="336"/>
      <c r="AM49" s="336"/>
      <c r="AN49" s="336"/>
      <c r="AO49" s="339">
        <f>SUM(Table1456[[#This Row],[Program Director 
(Customer and Employee Workflow - US)]:[Engineer
(Customer and Employee Workflow - US)]])</f>
        <v>0</v>
      </c>
      <c r="AP49" s="336"/>
      <c r="AQ49" s="336"/>
      <c r="AR49" s="336"/>
      <c r="AS49" s="336"/>
      <c r="AT49" s="336"/>
      <c r="AU49" s="336"/>
      <c r="AV49" s="336"/>
      <c r="AW49" s="336"/>
      <c r="AX49" s="336"/>
      <c r="AY49" s="336"/>
      <c r="AZ49" s="336"/>
      <c r="BA49" s="336"/>
      <c r="BB49" s="336"/>
      <c r="BC49" s="305"/>
      <c r="BD49" s="303"/>
    </row>
    <row r="50" spans="2:56">
      <c r="B50" s="372"/>
      <c r="C50" s="373" t="s">
        <v>161</v>
      </c>
      <c r="D50" s="373" t="s">
        <v>84</v>
      </c>
      <c r="E50" s="373" t="s">
        <v>166</v>
      </c>
      <c r="F50" s="373"/>
      <c r="G50" s="373" t="s">
        <v>84</v>
      </c>
      <c r="H50" s="373" t="s">
        <v>71</v>
      </c>
      <c r="I50" s="374" cm="1">
        <f t="array" ref="I50">MROUND(SUM((SUMIFS(Table1456[Hours],Table1456[Phase],{"Execute","Deliver","Close"}))*List!$B$25,Table1456[Additional BA Oversight]),4)</f>
        <v>468</v>
      </c>
      <c r="J50" s="374" t="e" cm="1">
        <f t="array" ref="J50">INDEX('Client Rates and Roles'!$F$2:$F$433,MATCH(1,COUNTIFS('Opportunity Details'!$C$14,'Client Rates and Roles'!$D$2:$D$433,G50,'Client Rates and Roles'!$B$2:$B$433,H50,'Client Rates and Roles'!$C$2:$C$433,$C$6,'Client Rates and Roles'!$A$2:$A$433),0))</f>
        <v>#N/A</v>
      </c>
      <c r="K50" s="374" t="e">
        <f t="shared" si="2"/>
        <v>#N/A</v>
      </c>
      <c r="L50" s="374"/>
      <c r="M50" s="374"/>
      <c r="N50" s="374"/>
      <c r="O50" s="336"/>
      <c r="P50" s="336"/>
      <c r="Q50" s="336"/>
      <c r="R50" s="336"/>
      <c r="S50" s="336"/>
      <c r="T50" s="336"/>
      <c r="U50" s="336"/>
      <c r="V50" s="336"/>
      <c r="W50" s="336"/>
      <c r="X50" s="336"/>
      <c r="Y50" s="336"/>
      <c r="Z50" s="336"/>
      <c r="AA50" s="337">
        <f>SUM(Table1456[[#This Row],[Program Director 
(IT Workflow - US)]:[Engineer
(IT Workflow - US)]])</f>
        <v>0</v>
      </c>
      <c r="AB50" s="338"/>
      <c r="AC50" s="336"/>
      <c r="AD50" s="336"/>
      <c r="AE50" s="336"/>
      <c r="AF50" s="336"/>
      <c r="AG50" s="336"/>
      <c r="AH50" s="336"/>
      <c r="AI50" s="336"/>
      <c r="AJ50" s="336"/>
      <c r="AK50" s="336"/>
      <c r="AL50" s="336"/>
      <c r="AM50" s="336"/>
      <c r="AN50" s="336"/>
      <c r="AO50" s="339">
        <f>SUM(Table1456[[#This Row],[Program Director 
(Customer and Employee Workflow - US)]:[Engineer
(Customer and Employee Workflow - US)]])</f>
        <v>0</v>
      </c>
      <c r="AP50" s="336"/>
      <c r="AQ50" s="336"/>
      <c r="AR50" s="336"/>
      <c r="AS50" s="336"/>
      <c r="AT50" s="336"/>
      <c r="AU50" s="336"/>
      <c r="AV50" s="336"/>
      <c r="AW50" s="336"/>
      <c r="AX50" s="336"/>
      <c r="AY50" s="336"/>
      <c r="AZ50" s="336"/>
      <c r="BA50" s="336"/>
      <c r="BB50" s="336"/>
      <c r="BC50" s="305"/>
      <c r="BD50" s="303"/>
    </row>
    <row r="51" spans="2:56">
      <c r="B51" s="372"/>
      <c r="C51" s="373" t="s">
        <v>161</v>
      </c>
      <c r="D51" s="373" t="s">
        <v>167</v>
      </c>
      <c r="E51" s="373" t="s">
        <v>168</v>
      </c>
      <c r="F51" s="373"/>
      <c r="G51" s="373" t="s">
        <v>70</v>
      </c>
      <c r="H51" s="373" t="s">
        <v>71</v>
      </c>
      <c r="I51" s="374" cm="1">
        <f t="array" ref="I51">SUM((SUMIFS(Table1456[Hours],Table1456[Phase],{"Execute","Deliver","Close"}))*List!$B$27,Table1456[Additional SA Oversight])</f>
        <v>260.39999999999998</v>
      </c>
      <c r="J51" s="374" t="e" cm="1">
        <f t="array" ref="J51">INDEX('Client Rates and Roles'!$F$2:$F$433,MATCH(1,COUNTIFS('Opportunity Details'!$C$14,'Client Rates and Roles'!$D$2:$D$433,G51,'Client Rates and Roles'!$B$2:$B$433,H51,'Client Rates and Roles'!$C$2:$C$433,$C$6,'Client Rates and Roles'!$A$2:$A$433),0))</f>
        <v>#N/A</v>
      </c>
      <c r="K51" s="374" t="e">
        <f t="shared" si="2"/>
        <v>#N/A</v>
      </c>
      <c r="L51" s="374"/>
      <c r="M51" s="374"/>
      <c r="N51" s="374"/>
      <c r="O51" s="336"/>
      <c r="P51" s="336"/>
      <c r="Q51" s="336"/>
      <c r="R51" s="336"/>
      <c r="S51" s="336"/>
      <c r="T51" s="336"/>
      <c r="U51" s="336"/>
      <c r="V51" s="336"/>
      <c r="W51" s="336"/>
      <c r="X51" s="336"/>
      <c r="Y51" s="336"/>
      <c r="Z51" s="336"/>
      <c r="AA51" s="337">
        <f>SUM(Table1456[[#This Row],[Program Director 
(IT Workflow - US)]:[Engineer
(IT Workflow - US)]])</f>
        <v>0</v>
      </c>
      <c r="AB51" s="338"/>
      <c r="AC51" s="336"/>
      <c r="AD51" s="336"/>
      <c r="AE51" s="336"/>
      <c r="AF51" s="336"/>
      <c r="AG51" s="336"/>
      <c r="AH51" s="336"/>
      <c r="AI51" s="336"/>
      <c r="AJ51" s="336"/>
      <c r="AK51" s="336"/>
      <c r="AL51" s="336"/>
      <c r="AM51" s="336"/>
      <c r="AN51" s="336"/>
      <c r="AO51" s="339">
        <f>SUM(Table1456[[#This Row],[Program Director 
(Customer and Employee Workflow - US)]:[Engineer
(Customer and Employee Workflow - US)]])</f>
        <v>0</v>
      </c>
      <c r="AP51" s="336"/>
      <c r="AQ51" s="336"/>
      <c r="AR51" s="336"/>
      <c r="AS51" s="336"/>
      <c r="AT51" s="336"/>
      <c r="AU51" s="336"/>
      <c r="AV51" s="336"/>
      <c r="AW51" s="336"/>
      <c r="AX51" s="336"/>
      <c r="AY51" s="336"/>
      <c r="AZ51" s="336"/>
      <c r="BA51" s="336"/>
      <c r="BB51" s="336"/>
      <c r="BC51" s="305">
        <f>SUM(Table1456[[#This Row],[Program Director 
(IT Workflow - US)]:[Chief Architect
(IT Workflow - US)]])</f>
        <v>0</v>
      </c>
      <c r="BD51" s="303"/>
    </row>
    <row r="52" spans="2:56">
      <c r="B52" s="375"/>
      <c r="C52" s="376"/>
      <c r="D52" s="376"/>
      <c r="E52" s="376"/>
      <c r="F52" s="376"/>
      <c r="G52" s="376"/>
      <c r="H52" s="376"/>
      <c r="I52" s="376"/>
      <c r="J52" s="376"/>
      <c r="K52" s="376"/>
    </row>
    <row r="53" spans="2:56">
      <c r="B53" s="378"/>
      <c r="C53" s="381" t="s">
        <v>169</v>
      </c>
      <c r="D53" s="376"/>
      <c r="E53" s="376"/>
      <c r="F53" s="376"/>
      <c r="G53" s="376"/>
      <c r="H53" s="376"/>
      <c r="I53" s="377">
        <f>SUM(Table1456[[#All],[Hours]])</f>
        <v>2844.4</v>
      </c>
      <c r="J53" s="376"/>
      <c r="K53" s="376"/>
    </row>
    <row r="54" spans="2:56">
      <c r="B54" s="375"/>
      <c r="C54" s="381" t="s">
        <v>170</v>
      </c>
      <c r="D54" s="376"/>
      <c r="E54" s="376"/>
      <c r="F54" s="376"/>
      <c r="G54" s="376"/>
      <c r="H54" s="376"/>
      <c r="I54" s="376"/>
      <c r="J54" s="379"/>
      <c r="K54" s="380" t="e">
        <f>SUM(Table1456[[#All],[Estimated Cost]])</f>
        <v>#N/A</v>
      </c>
    </row>
    <row r="55" spans="2:56">
      <c r="B55" s="375"/>
      <c r="C55" s="382" t="s">
        <v>171</v>
      </c>
      <c r="D55" s="384"/>
      <c r="E55" s="384"/>
      <c r="F55" s="384"/>
      <c r="G55" s="384"/>
      <c r="H55" s="384"/>
      <c r="I55" s="384"/>
      <c r="J55" s="384"/>
      <c r="K55" s="383">
        <v>50</v>
      </c>
    </row>
    <row r="56" spans="2:56">
      <c r="B56" s="375"/>
      <c r="C56" s="381" t="s">
        <v>172</v>
      </c>
      <c r="D56" s="376"/>
      <c r="E56" s="376"/>
      <c r="F56" s="376"/>
      <c r="G56" s="376"/>
      <c r="H56" s="376"/>
      <c r="I56" s="376"/>
      <c r="J56" s="376"/>
      <c r="K56" s="380" t="e">
        <f>SUM(K54-K55)</f>
        <v>#N/A</v>
      </c>
    </row>
  </sheetData>
  <mergeCells count="15">
    <mergeCell ref="C6:E6"/>
    <mergeCell ref="B1:N1"/>
    <mergeCell ref="C2:E2"/>
    <mergeCell ref="C3:E3"/>
    <mergeCell ref="C4:E4"/>
    <mergeCell ref="C5:E5"/>
    <mergeCell ref="Z9:AA9"/>
    <mergeCell ref="AN9:AO9"/>
    <mergeCell ref="BB9:BC9"/>
    <mergeCell ref="O7:AA7"/>
    <mergeCell ref="AB7:AO7"/>
    <mergeCell ref="AP7:BC7"/>
    <mergeCell ref="O8:AA8"/>
    <mergeCell ref="AB8:AO8"/>
    <mergeCell ref="AP8:BC8"/>
  </mergeCells>
  <conditionalFormatting sqref="B10">
    <cfRule type="cellIs" dxfId="926" priority="1" operator="equal">
      <formula>"Initiate"</formula>
    </cfRule>
  </conditionalFormatting>
  <conditionalFormatting sqref="C2">
    <cfRule type="cellIs" dxfId="925" priority="6" operator="equal">
      <formula>"Populate Sales Force ID on Opportunity Details Sheet"</formula>
    </cfRule>
  </conditionalFormatting>
  <conditionalFormatting sqref="C3">
    <cfRule type="cellIs" dxfId="924" priority="5" operator="equal">
      <formula>"Populate Engagement Title on Opportunity Details Sheet"</formula>
    </cfRule>
  </conditionalFormatting>
  <conditionalFormatting sqref="C4:C6">
    <cfRule type="cellIs" dxfId="923" priority="3" operator="equal">
      <formula>"Populate Client on Opportunity Details Sheet"</formula>
    </cfRule>
  </conditionalFormatting>
  <conditionalFormatting sqref="C10:C51">
    <cfRule type="cellIs" dxfId="922" priority="2" operator="equal">
      <formula>"Initiate"</formula>
    </cfRule>
  </conditionalFormatting>
  <pageMargins left="0.7" right="0.7" top="0.75" bottom="0.75" header="0.3" footer="0.3"/>
  <pageSetup orientation="portrait" r:id="rId1"/>
  <drawing r:id="rId2"/>
  <tableParts count="1">
    <tablePart r:id="rId3"/>
  </tableParts>
  <extLst>
    <ext xmlns:x14="http://schemas.microsoft.com/office/spreadsheetml/2009/9/main" uri="{CCE6A557-97BC-4b89-ADB6-D9C93CAAB3DF}">
      <x14:dataValidations xmlns:xm="http://schemas.microsoft.com/office/excel/2006/main" count="4">
        <x14:dataValidation type="list" allowBlank="1" showInputMessage="1" showErrorMessage="1" xr:uid="{BE06F465-6586-4322-8B1C-E0A002828BAF}">
          <x14:formula1>
            <xm:f>List!$F$2:$F$5</xm:f>
          </x14:formula1>
          <xm:sqref>H11:H51</xm:sqref>
        </x14:dataValidation>
        <x14:dataValidation type="list" allowBlank="1" showInputMessage="1" showErrorMessage="1" xr:uid="{ED13F8C8-7822-4B77-9254-294BCFE385CD}">
          <x14:formula1>
            <xm:f>List!$E$2:$E$7</xm:f>
          </x14:formula1>
          <xm:sqref>C11:C51</xm:sqref>
        </x14:dataValidation>
        <x14:dataValidation type="list" allowBlank="1" showInputMessage="1" showErrorMessage="1" xr:uid="{63C1CB4B-2DC4-4DA9-B81C-5F0C08F2AE9C}">
          <x14:formula1>
            <xm:f>List!$H$2:$H$5</xm:f>
          </x14:formula1>
          <xm:sqref>C6</xm:sqref>
        </x14:dataValidation>
        <x14:dataValidation type="list" allowBlank="1" showInputMessage="1" showErrorMessage="1" xr:uid="{D04FF920-6243-4A4E-B885-3FC8AC20D903}">
          <x14:formula1>
            <xm:f>List!$J$2:$J$9</xm:f>
          </x14:formula1>
          <xm:sqref>G11:G51</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DEC80-248D-4A59-90B7-816FE55A501D}">
  <dimension ref="A1:B12"/>
  <sheetViews>
    <sheetView workbookViewId="0">
      <selection activeCell="AY9" sqref="AY9"/>
    </sheetView>
  </sheetViews>
  <sheetFormatPr defaultRowHeight="12.75"/>
  <cols>
    <col min="1" max="1" width="5.42578125" customWidth="1"/>
    <col min="2" max="2" width="137.42578125" style="230" customWidth="1"/>
  </cols>
  <sheetData>
    <row r="1" spans="1:2">
      <c r="A1" s="1009" t="s">
        <v>173</v>
      </c>
      <c r="B1" s="1009"/>
    </row>
    <row r="2" spans="1:2">
      <c r="B2" s="230" t="s">
        <v>174</v>
      </c>
    </row>
    <row r="3" spans="1:2">
      <c r="B3" s="230" t="s">
        <v>175</v>
      </c>
    </row>
    <row r="4" spans="1:2">
      <c r="B4" s="230" t="s">
        <v>176</v>
      </c>
    </row>
    <row r="5" spans="1:2">
      <c r="B5" s="230" t="s">
        <v>177</v>
      </c>
    </row>
    <row r="6" spans="1:2">
      <c r="B6" s="230" t="s">
        <v>178</v>
      </c>
    </row>
    <row r="7" spans="1:2">
      <c r="B7" s="230" t="s">
        <v>179</v>
      </c>
    </row>
    <row r="8" spans="1:2">
      <c r="B8" s="230" t="s">
        <v>180</v>
      </c>
    </row>
    <row r="9" spans="1:2">
      <c r="B9" s="230" t="s">
        <v>181</v>
      </c>
    </row>
    <row r="10" spans="1:2">
      <c r="B10" s="230" t="s">
        <v>182</v>
      </c>
    </row>
    <row r="11" spans="1:2">
      <c r="B11" s="230" t="s">
        <v>183</v>
      </c>
    </row>
    <row r="12" spans="1:2">
      <c r="B12" s="230" t="s">
        <v>184</v>
      </c>
    </row>
  </sheetData>
  <mergeCells count="1">
    <mergeCell ref="A1:B1"/>
  </mergeCell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Check Box 1">
              <controlPr defaultSize="0" autoFill="0" autoLine="0" autoPict="0" altText="ITOM">
                <anchor moveWithCells="1">
                  <from>
                    <xdr:col>0</xdr:col>
                    <xdr:colOff>66675</xdr:colOff>
                    <xdr:row>0</xdr:row>
                    <xdr:rowOff>114300</xdr:rowOff>
                  </from>
                  <to>
                    <xdr:col>1</xdr:col>
                    <xdr:colOff>85725</xdr:colOff>
                    <xdr:row>2</xdr:row>
                    <xdr:rowOff>66675</xdr:rowOff>
                  </to>
                </anchor>
              </controlPr>
            </control>
          </mc:Choice>
        </mc:AlternateContent>
        <mc:AlternateContent xmlns:mc="http://schemas.openxmlformats.org/markup-compatibility/2006">
          <mc:Choice Requires="x14">
            <control shapeId="1026" r:id="rId5" name="Check Box 2">
              <controlPr defaultSize="0" autoFill="0" autoLine="0" autoPict="0" altText="ITOM">
                <anchor moveWithCells="1">
                  <from>
                    <xdr:col>0</xdr:col>
                    <xdr:colOff>66675</xdr:colOff>
                    <xdr:row>1</xdr:row>
                    <xdr:rowOff>114300</xdr:rowOff>
                  </from>
                  <to>
                    <xdr:col>1</xdr:col>
                    <xdr:colOff>85725</xdr:colOff>
                    <xdr:row>3</xdr:row>
                    <xdr:rowOff>66675</xdr:rowOff>
                  </to>
                </anchor>
              </controlPr>
            </control>
          </mc:Choice>
        </mc:AlternateContent>
        <mc:AlternateContent xmlns:mc="http://schemas.openxmlformats.org/markup-compatibility/2006">
          <mc:Choice Requires="x14">
            <control shapeId="1027" r:id="rId6" name="Check Box 3">
              <controlPr defaultSize="0" autoFill="0" autoLine="0" autoPict="0" altText="ITOM">
                <anchor moveWithCells="1">
                  <from>
                    <xdr:col>0</xdr:col>
                    <xdr:colOff>66675</xdr:colOff>
                    <xdr:row>2</xdr:row>
                    <xdr:rowOff>114300</xdr:rowOff>
                  </from>
                  <to>
                    <xdr:col>1</xdr:col>
                    <xdr:colOff>85725</xdr:colOff>
                    <xdr:row>4</xdr:row>
                    <xdr:rowOff>66675</xdr:rowOff>
                  </to>
                </anchor>
              </controlPr>
            </control>
          </mc:Choice>
        </mc:AlternateContent>
        <mc:AlternateContent xmlns:mc="http://schemas.openxmlformats.org/markup-compatibility/2006">
          <mc:Choice Requires="x14">
            <control shapeId="1028" r:id="rId7" name="Check Box 4">
              <controlPr defaultSize="0" autoFill="0" autoLine="0" autoPict="0" altText="ITOM">
                <anchor moveWithCells="1">
                  <from>
                    <xdr:col>0</xdr:col>
                    <xdr:colOff>66675</xdr:colOff>
                    <xdr:row>3</xdr:row>
                    <xdr:rowOff>114300</xdr:rowOff>
                  </from>
                  <to>
                    <xdr:col>1</xdr:col>
                    <xdr:colOff>85725</xdr:colOff>
                    <xdr:row>5</xdr:row>
                    <xdr:rowOff>66675</xdr:rowOff>
                  </to>
                </anchor>
              </controlPr>
            </control>
          </mc:Choice>
        </mc:AlternateContent>
        <mc:AlternateContent xmlns:mc="http://schemas.openxmlformats.org/markup-compatibility/2006">
          <mc:Choice Requires="x14">
            <control shapeId="1029" r:id="rId8" name="Check Box 5">
              <controlPr defaultSize="0" autoFill="0" autoLine="0" autoPict="0" altText="ITOM">
                <anchor moveWithCells="1">
                  <from>
                    <xdr:col>0</xdr:col>
                    <xdr:colOff>66675</xdr:colOff>
                    <xdr:row>4</xdr:row>
                    <xdr:rowOff>114300</xdr:rowOff>
                  </from>
                  <to>
                    <xdr:col>1</xdr:col>
                    <xdr:colOff>85725</xdr:colOff>
                    <xdr:row>6</xdr:row>
                    <xdr:rowOff>66675</xdr:rowOff>
                  </to>
                </anchor>
              </controlPr>
            </control>
          </mc:Choice>
        </mc:AlternateContent>
        <mc:AlternateContent xmlns:mc="http://schemas.openxmlformats.org/markup-compatibility/2006">
          <mc:Choice Requires="x14">
            <control shapeId="1032" r:id="rId9" name="Check Box 8">
              <controlPr defaultSize="0" autoFill="0" autoLine="0" autoPict="0" altText="ITOM">
                <anchor moveWithCells="1">
                  <from>
                    <xdr:col>0</xdr:col>
                    <xdr:colOff>66675</xdr:colOff>
                    <xdr:row>5</xdr:row>
                    <xdr:rowOff>104775</xdr:rowOff>
                  </from>
                  <to>
                    <xdr:col>1</xdr:col>
                    <xdr:colOff>85725</xdr:colOff>
                    <xdr:row>7</xdr:row>
                    <xdr:rowOff>47625</xdr:rowOff>
                  </to>
                </anchor>
              </controlPr>
            </control>
          </mc:Choice>
        </mc:AlternateContent>
        <mc:AlternateContent xmlns:mc="http://schemas.openxmlformats.org/markup-compatibility/2006">
          <mc:Choice Requires="x14">
            <control shapeId="1033" r:id="rId10" name="Check Box 9">
              <controlPr defaultSize="0" autoFill="0" autoLine="0" autoPict="0" altText="ITOM">
                <anchor moveWithCells="1">
                  <from>
                    <xdr:col>0</xdr:col>
                    <xdr:colOff>66675</xdr:colOff>
                    <xdr:row>6</xdr:row>
                    <xdr:rowOff>114300</xdr:rowOff>
                  </from>
                  <to>
                    <xdr:col>1</xdr:col>
                    <xdr:colOff>85725</xdr:colOff>
                    <xdr:row>8</xdr:row>
                    <xdr:rowOff>66675</xdr:rowOff>
                  </to>
                </anchor>
              </controlPr>
            </control>
          </mc:Choice>
        </mc:AlternateContent>
        <mc:AlternateContent xmlns:mc="http://schemas.openxmlformats.org/markup-compatibility/2006">
          <mc:Choice Requires="x14">
            <control shapeId="1034" r:id="rId11" name="Check Box 10">
              <controlPr defaultSize="0" autoFill="0" autoLine="0" autoPict="0" altText="ITOM">
                <anchor moveWithCells="1">
                  <from>
                    <xdr:col>0</xdr:col>
                    <xdr:colOff>66675</xdr:colOff>
                    <xdr:row>7</xdr:row>
                    <xdr:rowOff>114300</xdr:rowOff>
                  </from>
                  <to>
                    <xdr:col>1</xdr:col>
                    <xdr:colOff>85725</xdr:colOff>
                    <xdr:row>9</xdr:row>
                    <xdr:rowOff>66675</xdr:rowOff>
                  </to>
                </anchor>
              </controlPr>
            </control>
          </mc:Choice>
        </mc:AlternateContent>
        <mc:AlternateContent xmlns:mc="http://schemas.openxmlformats.org/markup-compatibility/2006">
          <mc:Choice Requires="x14">
            <control shapeId="1035" r:id="rId12" name="Check Box 11">
              <controlPr defaultSize="0" autoFill="0" autoLine="0" autoPict="0" altText="ITOM">
                <anchor moveWithCells="1">
                  <from>
                    <xdr:col>0</xdr:col>
                    <xdr:colOff>66675</xdr:colOff>
                    <xdr:row>8</xdr:row>
                    <xdr:rowOff>114300</xdr:rowOff>
                  </from>
                  <to>
                    <xdr:col>1</xdr:col>
                    <xdr:colOff>85725</xdr:colOff>
                    <xdr:row>10</xdr:row>
                    <xdr:rowOff>66675</xdr:rowOff>
                  </to>
                </anchor>
              </controlPr>
            </control>
          </mc:Choice>
        </mc:AlternateContent>
        <mc:AlternateContent xmlns:mc="http://schemas.openxmlformats.org/markup-compatibility/2006">
          <mc:Choice Requires="x14">
            <control shapeId="1036" r:id="rId13" name="Check Box 12">
              <controlPr defaultSize="0" autoFill="0" autoLine="0" autoPict="0" altText="ITOM">
                <anchor moveWithCells="1">
                  <from>
                    <xdr:col>0</xdr:col>
                    <xdr:colOff>66675</xdr:colOff>
                    <xdr:row>9</xdr:row>
                    <xdr:rowOff>114300</xdr:rowOff>
                  </from>
                  <to>
                    <xdr:col>1</xdr:col>
                    <xdr:colOff>85725</xdr:colOff>
                    <xdr:row>11</xdr:row>
                    <xdr:rowOff>66675</xdr:rowOff>
                  </to>
                </anchor>
              </controlPr>
            </control>
          </mc:Choice>
        </mc:AlternateContent>
        <mc:AlternateContent xmlns:mc="http://schemas.openxmlformats.org/markup-compatibility/2006">
          <mc:Choice Requires="x14">
            <control shapeId="1037" r:id="rId14" name="Check Box 13">
              <controlPr defaultSize="0" autoFill="0" autoLine="0" autoPict="0" altText="ITOM">
                <anchor moveWithCells="1">
                  <from>
                    <xdr:col>0</xdr:col>
                    <xdr:colOff>66675</xdr:colOff>
                    <xdr:row>11</xdr:row>
                    <xdr:rowOff>114300</xdr:rowOff>
                  </from>
                  <to>
                    <xdr:col>1</xdr:col>
                    <xdr:colOff>85725</xdr:colOff>
                    <xdr:row>13</xdr:row>
                    <xdr:rowOff>66675</xdr:rowOff>
                  </to>
                </anchor>
              </controlPr>
            </control>
          </mc:Choice>
        </mc:AlternateContent>
        <mc:AlternateContent xmlns:mc="http://schemas.openxmlformats.org/markup-compatibility/2006">
          <mc:Choice Requires="x14">
            <control shapeId="1038" r:id="rId15" name="Check Box 14">
              <controlPr defaultSize="0" autoFill="0" autoLine="0" autoPict="0" altText="ITOM">
                <anchor moveWithCells="1">
                  <from>
                    <xdr:col>0</xdr:col>
                    <xdr:colOff>66675</xdr:colOff>
                    <xdr:row>12</xdr:row>
                    <xdr:rowOff>114300</xdr:rowOff>
                  </from>
                  <to>
                    <xdr:col>1</xdr:col>
                    <xdr:colOff>85725</xdr:colOff>
                    <xdr:row>14</xdr:row>
                    <xdr:rowOff>66675</xdr:rowOff>
                  </to>
                </anchor>
              </controlPr>
            </control>
          </mc:Choice>
        </mc:AlternateContent>
        <mc:AlternateContent xmlns:mc="http://schemas.openxmlformats.org/markup-compatibility/2006">
          <mc:Choice Requires="x14">
            <control shapeId="1039" r:id="rId16" name="Check Box 15">
              <controlPr defaultSize="0" autoFill="0" autoLine="0" autoPict="0" altText="ITOM">
                <anchor moveWithCells="1">
                  <from>
                    <xdr:col>0</xdr:col>
                    <xdr:colOff>66675</xdr:colOff>
                    <xdr:row>13</xdr:row>
                    <xdr:rowOff>114300</xdr:rowOff>
                  </from>
                  <to>
                    <xdr:col>1</xdr:col>
                    <xdr:colOff>85725</xdr:colOff>
                    <xdr:row>15</xdr:row>
                    <xdr:rowOff>66675</xdr:rowOff>
                  </to>
                </anchor>
              </controlPr>
            </control>
          </mc:Choice>
        </mc:AlternateContent>
        <mc:AlternateContent xmlns:mc="http://schemas.openxmlformats.org/markup-compatibility/2006">
          <mc:Choice Requires="x14">
            <control shapeId="1040" r:id="rId17" name="Check Box 16">
              <controlPr defaultSize="0" autoFill="0" autoLine="0" autoPict="0" altText="ITOM">
                <anchor moveWithCells="1">
                  <from>
                    <xdr:col>0</xdr:col>
                    <xdr:colOff>66675</xdr:colOff>
                    <xdr:row>14</xdr:row>
                    <xdr:rowOff>114300</xdr:rowOff>
                  </from>
                  <to>
                    <xdr:col>1</xdr:col>
                    <xdr:colOff>85725</xdr:colOff>
                    <xdr:row>16</xdr:row>
                    <xdr:rowOff>66675</xdr:rowOff>
                  </to>
                </anchor>
              </controlPr>
            </control>
          </mc:Choice>
        </mc:AlternateContent>
        <mc:AlternateContent xmlns:mc="http://schemas.openxmlformats.org/markup-compatibility/2006">
          <mc:Choice Requires="x14">
            <control shapeId="1041" r:id="rId18" name="Check Box 17">
              <controlPr defaultSize="0" autoFill="0" autoLine="0" autoPict="0" altText="ITOM">
                <anchor moveWithCells="1">
                  <from>
                    <xdr:col>0</xdr:col>
                    <xdr:colOff>66675</xdr:colOff>
                    <xdr:row>15</xdr:row>
                    <xdr:rowOff>114300</xdr:rowOff>
                  </from>
                  <to>
                    <xdr:col>1</xdr:col>
                    <xdr:colOff>85725</xdr:colOff>
                    <xdr:row>17</xdr:row>
                    <xdr:rowOff>66675</xdr:rowOff>
                  </to>
                </anchor>
              </controlPr>
            </control>
          </mc:Choice>
        </mc:AlternateContent>
        <mc:AlternateContent xmlns:mc="http://schemas.openxmlformats.org/markup-compatibility/2006">
          <mc:Choice Requires="x14">
            <control shapeId="1042" r:id="rId19" name="Check Box 18">
              <controlPr defaultSize="0" autoFill="0" autoLine="0" autoPict="0" altText="ITOM">
                <anchor moveWithCells="1">
                  <from>
                    <xdr:col>0</xdr:col>
                    <xdr:colOff>66675</xdr:colOff>
                    <xdr:row>16</xdr:row>
                    <xdr:rowOff>114300</xdr:rowOff>
                  </from>
                  <to>
                    <xdr:col>1</xdr:col>
                    <xdr:colOff>85725</xdr:colOff>
                    <xdr:row>18</xdr:row>
                    <xdr:rowOff>66675</xdr:rowOff>
                  </to>
                </anchor>
              </controlPr>
            </control>
          </mc:Choice>
        </mc:AlternateContent>
        <mc:AlternateContent xmlns:mc="http://schemas.openxmlformats.org/markup-compatibility/2006">
          <mc:Choice Requires="x14">
            <control shapeId="1043" r:id="rId20" name="Check Box 19">
              <controlPr defaultSize="0" autoFill="0" autoLine="0" autoPict="0" altText="ITOM">
                <anchor moveWithCells="1">
                  <from>
                    <xdr:col>0</xdr:col>
                    <xdr:colOff>66675</xdr:colOff>
                    <xdr:row>17</xdr:row>
                    <xdr:rowOff>114300</xdr:rowOff>
                  </from>
                  <to>
                    <xdr:col>1</xdr:col>
                    <xdr:colOff>85725</xdr:colOff>
                    <xdr:row>19</xdr:row>
                    <xdr:rowOff>66675</xdr:rowOff>
                  </to>
                </anchor>
              </controlPr>
            </control>
          </mc:Choice>
        </mc:AlternateContent>
        <mc:AlternateContent xmlns:mc="http://schemas.openxmlformats.org/markup-compatibility/2006">
          <mc:Choice Requires="x14">
            <control shapeId="1044" r:id="rId21" name="Check Box 20">
              <controlPr defaultSize="0" autoFill="0" autoLine="0" autoPict="0" altText="ITOM">
                <anchor moveWithCells="1">
                  <from>
                    <xdr:col>0</xdr:col>
                    <xdr:colOff>66675</xdr:colOff>
                    <xdr:row>18</xdr:row>
                    <xdr:rowOff>114300</xdr:rowOff>
                  </from>
                  <to>
                    <xdr:col>1</xdr:col>
                    <xdr:colOff>85725</xdr:colOff>
                    <xdr:row>20</xdr:row>
                    <xdr:rowOff>66675</xdr:rowOff>
                  </to>
                </anchor>
              </controlPr>
            </control>
          </mc:Choice>
        </mc:AlternateContent>
        <mc:AlternateContent xmlns:mc="http://schemas.openxmlformats.org/markup-compatibility/2006">
          <mc:Choice Requires="x14">
            <control shapeId="1045" r:id="rId22" name="Check Box 21">
              <controlPr defaultSize="0" autoFill="0" autoLine="0" autoPict="0" altText="ITOM">
                <anchor moveWithCells="1">
                  <from>
                    <xdr:col>0</xdr:col>
                    <xdr:colOff>66675</xdr:colOff>
                    <xdr:row>19</xdr:row>
                    <xdr:rowOff>114300</xdr:rowOff>
                  </from>
                  <to>
                    <xdr:col>1</xdr:col>
                    <xdr:colOff>85725</xdr:colOff>
                    <xdr:row>21</xdr:row>
                    <xdr:rowOff>66675</xdr:rowOff>
                  </to>
                </anchor>
              </controlPr>
            </control>
          </mc:Choice>
        </mc:AlternateContent>
        <mc:AlternateContent xmlns:mc="http://schemas.openxmlformats.org/markup-compatibility/2006">
          <mc:Choice Requires="x14">
            <control shapeId="1046" r:id="rId23" name="Check Box 22">
              <controlPr defaultSize="0" autoFill="0" autoLine="0" autoPict="0" altText="ITOM">
                <anchor moveWithCells="1">
                  <from>
                    <xdr:col>0</xdr:col>
                    <xdr:colOff>66675</xdr:colOff>
                    <xdr:row>20</xdr:row>
                    <xdr:rowOff>114300</xdr:rowOff>
                  </from>
                  <to>
                    <xdr:col>1</xdr:col>
                    <xdr:colOff>85725</xdr:colOff>
                    <xdr:row>22</xdr:row>
                    <xdr:rowOff>66675</xdr:rowOff>
                  </to>
                </anchor>
              </controlPr>
            </control>
          </mc:Choice>
        </mc:AlternateContent>
        <mc:AlternateContent xmlns:mc="http://schemas.openxmlformats.org/markup-compatibility/2006">
          <mc:Choice Requires="x14">
            <control shapeId="1047" r:id="rId24" name="Check Box 23">
              <controlPr defaultSize="0" autoFill="0" autoLine="0" autoPict="0" altText="ITOM">
                <anchor moveWithCells="1">
                  <from>
                    <xdr:col>0</xdr:col>
                    <xdr:colOff>66675</xdr:colOff>
                    <xdr:row>21</xdr:row>
                    <xdr:rowOff>114300</xdr:rowOff>
                  </from>
                  <to>
                    <xdr:col>1</xdr:col>
                    <xdr:colOff>85725</xdr:colOff>
                    <xdr:row>23</xdr:row>
                    <xdr:rowOff>66675</xdr:rowOff>
                  </to>
                </anchor>
              </controlPr>
            </control>
          </mc:Choice>
        </mc:AlternateContent>
        <mc:AlternateContent xmlns:mc="http://schemas.openxmlformats.org/markup-compatibility/2006">
          <mc:Choice Requires="x14">
            <control shapeId="1048" r:id="rId25" name="Check Box 24">
              <controlPr defaultSize="0" autoFill="0" autoLine="0" autoPict="0" altText="ITOM">
                <anchor moveWithCells="1">
                  <from>
                    <xdr:col>0</xdr:col>
                    <xdr:colOff>66675</xdr:colOff>
                    <xdr:row>22</xdr:row>
                    <xdr:rowOff>114300</xdr:rowOff>
                  </from>
                  <to>
                    <xdr:col>1</xdr:col>
                    <xdr:colOff>85725</xdr:colOff>
                    <xdr:row>24</xdr:row>
                    <xdr:rowOff>66675</xdr:rowOff>
                  </to>
                </anchor>
              </controlPr>
            </control>
          </mc:Choice>
        </mc:AlternateContent>
        <mc:AlternateContent xmlns:mc="http://schemas.openxmlformats.org/markup-compatibility/2006">
          <mc:Choice Requires="x14">
            <control shapeId="1049" r:id="rId26" name="Check Box 25">
              <controlPr defaultSize="0" autoFill="0" autoLine="0" autoPict="0" altText="ITOM">
                <anchor moveWithCells="1">
                  <from>
                    <xdr:col>0</xdr:col>
                    <xdr:colOff>66675</xdr:colOff>
                    <xdr:row>23</xdr:row>
                    <xdr:rowOff>114300</xdr:rowOff>
                  </from>
                  <to>
                    <xdr:col>1</xdr:col>
                    <xdr:colOff>85725</xdr:colOff>
                    <xdr:row>25</xdr:row>
                    <xdr:rowOff>66675</xdr:rowOff>
                  </to>
                </anchor>
              </controlPr>
            </control>
          </mc:Choice>
        </mc:AlternateContent>
        <mc:AlternateContent xmlns:mc="http://schemas.openxmlformats.org/markup-compatibility/2006">
          <mc:Choice Requires="x14">
            <control shapeId="1050" r:id="rId27" name="Check Box 26">
              <controlPr defaultSize="0" autoFill="0" autoLine="0" autoPict="0" altText="ITOM">
                <anchor moveWithCells="1">
                  <from>
                    <xdr:col>0</xdr:col>
                    <xdr:colOff>66675</xdr:colOff>
                    <xdr:row>24</xdr:row>
                    <xdr:rowOff>114300</xdr:rowOff>
                  </from>
                  <to>
                    <xdr:col>1</xdr:col>
                    <xdr:colOff>85725</xdr:colOff>
                    <xdr:row>26</xdr:row>
                    <xdr:rowOff>66675</xdr:rowOff>
                  </to>
                </anchor>
              </controlPr>
            </control>
          </mc:Choice>
        </mc:AlternateContent>
        <mc:AlternateContent xmlns:mc="http://schemas.openxmlformats.org/markup-compatibility/2006">
          <mc:Choice Requires="x14">
            <control shapeId="1051" r:id="rId28" name="Check Box 27">
              <controlPr defaultSize="0" autoFill="0" autoLine="0" autoPict="0" altText="ITOM">
                <anchor moveWithCells="1">
                  <from>
                    <xdr:col>0</xdr:col>
                    <xdr:colOff>66675</xdr:colOff>
                    <xdr:row>25</xdr:row>
                    <xdr:rowOff>114300</xdr:rowOff>
                  </from>
                  <to>
                    <xdr:col>1</xdr:col>
                    <xdr:colOff>85725</xdr:colOff>
                    <xdr:row>27</xdr:row>
                    <xdr:rowOff>66675</xdr:rowOff>
                  </to>
                </anchor>
              </controlPr>
            </control>
          </mc:Choice>
        </mc:AlternateContent>
        <mc:AlternateContent xmlns:mc="http://schemas.openxmlformats.org/markup-compatibility/2006">
          <mc:Choice Requires="x14">
            <control shapeId="1052" r:id="rId29" name="Check Box 28">
              <controlPr defaultSize="0" autoFill="0" autoLine="0" autoPict="0" altText="ITOM">
                <anchor moveWithCells="1">
                  <from>
                    <xdr:col>0</xdr:col>
                    <xdr:colOff>66675</xdr:colOff>
                    <xdr:row>26</xdr:row>
                    <xdr:rowOff>114300</xdr:rowOff>
                  </from>
                  <to>
                    <xdr:col>1</xdr:col>
                    <xdr:colOff>85725</xdr:colOff>
                    <xdr:row>28</xdr:row>
                    <xdr:rowOff>66675</xdr:rowOff>
                  </to>
                </anchor>
              </controlPr>
            </control>
          </mc:Choice>
        </mc:AlternateContent>
        <mc:AlternateContent xmlns:mc="http://schemas.openxmlformats.org/markup-compatibility/2006">
          <mc:Choice Requires="x14">
            <control shapeId="1053" r:id="rId30" name="Check Box 29">
              <controlPr defaultSize="0" autoFill="0" autoLine="0" autoPict="0" altText="ITOM">
                <anchor moveWithCells="1">
                  <from>
                    <xdr:col>0</xdr:col>
                    <xdr:colOff>66675</xdr:colOff>
                    <xdr:row>27</xdr:row>
                    <xdr:rowOff>114300</xdr:rowOff>
                  </from>
                  <to>
                    <xdr:col>1</xdr:col>
                    <xdr:colOff>85725</xdr:colOff>
                    <xdr:row>29</xdr:row>
                    <xdr:rowOff>66675</xdr:rowOff>
                  </to>
                </anchor>
              </controlPr>
            </control>
          </mc:Choice>
        </mc:AlternateContent>
        <mc:AlternateContent xmlns:mc="http://schemas.openxmlformats.org/markup-compatibility/2006">
          <mc:Choice Requires="x14">
            <control shapeId="1054" r:id="rId31" name="Check Box 30">
              <controlPr defaultSize="0" autoFill="0" autoLine="0" autoPict="0" altText="ITOM">
                <anchor moveWithCells="1">
                  <from>
                    <xdr:col>0</xdr:col>
                    <xdr:colOff>66675</xdr:colOff>
                    <xdr:row>28</xdr:row>
                    <xdr:rowOff>114300</xdr:rowOff>
                  </from>
                  <to>
                    <xdr:col>1</xdr:col>
                    <xdr:colOff>85725</xdr:colOff>
                    <xdr:row>30</xdr:row>
                    <xdr:rowOff>66675</xdr:rowOff>
                  </to>
                </anchor>
              </controlPr>
            </control>
          </mc:Choice>
        </mc:AlternateContent>
        <mc:AlternateContent xmlns:mc="http://schemas.openxmlformats.org/markup-compatibility/2006">
          <mc:Choice Requires="x14">
            <control shapeId="1055" r:id="rId32" name="Check Box 31">
              <controlPr defaultSize="0" autoFill="0" autoLine="0" autoPict="0" altText="ITOM">
                <anchor moveWithCells="1">
                  <from>
                    <xdr:col>0</xdr:col>
                    <xdr:colOff>66675</xdr:colOff>
                    <xdr:row>29</xdr:row>
                    <xdr:rowOff>114300</xdr:rowOff>
                  </from>
                  <to>
                    <xdr:col>1</xdr:col>
                    <xdr:colOff>85725</xdr:colOff>
                    <xdr:row>31</xdr:row>
                    <xdr:rowOff>66675</xdr:rowOff>
                  </to>
                </anchor>
              </controlPr>
            </control>
          </mc:Choice>
        </mc:AlternateContent>
        <mc:AlternateContent xmlns:mc="http://schemas.openxmlformats.org/markup-compatibility/2006">
          <mc:Choice Requires="x14">
            <control shapeId="1056" r:id="rId33" name="Check Box 32">
              <controlPr defaultSize="0" autoFill="0" autoLine="0" autoPict="0" altText="ITOM">
                <anchor moveWithCells="1">
                  <from>
                    <xdr:col>0</xdr:col>
                    <xdr:colOff>66675</xdr:colOff>
                    <xdr:row>30</xdr:row>
                    <xdr:rowOff>114300</xdr:rowOff>
                  </from>
                  <to>
                    <xdr:col>1</xdr:col>
                    <xdr:colOff>85725</xdr:colOff>
                    <xdr:row>32</xdr:row>
                    <xdr:rowOff>66675</xdr:rowOff>
                  </to>
                </anchor>
              </controlPr>
            </control>
          </mc:Choice>
        </mc:AlternateContent>
        <mc:AlternateContent xmlns:mc="http://schemas.openxmlformats.org/markup-compatibility/2006">
          <mc:Choice Requires="x14">
            <control shapeId="1057" r:id="rId34" name="Check Box 33">
              <controlPr defaultSize="0" autoFill="0" autoLine="0" autoPict="0" altText="ITOM">
                <anchor moveWithCells="1">
                  <from>
                    <xdr:col>0</xdr:col>
                    <xdr:colOff>66675</xdr:colOff>
                    <xdr:row>31</xdr:row>
                    <xdr:rowOff>114300</xdr:rowOff>
                  </from>
                  <to>
                    <xdr:col>1</xdr:col>
                    <xdr:colOff>85725</xdr:colOff>
                    <xdr:row>33</xdr:row>
                    <xdr:rowOff>66675</xdr:rowOff>
                  </to>
                </anchor>
              </controlPr>
            </control>
          </mc:Choice>
        </mc:AlternateContent>
        <mc:AlternateContent xmlns:mc="http://schemas.openxmlformats.org/markup-compatibility/2006">
          <mc:Choice Requires="x14">
            <control shapeId="1058" r:id="rId35" name="Check Box 34">
              <controlPr defaultSize="0" autoFill="0" autoLine="0" autoPict="0" altText="ITOM">
                <anchor moveWithCells="1">
                  <from>
                    <xdr:col>0</xdr:col>
                    <xdr:colOff>66675</xdr:colOff>
                    <xdr:row>32</xdr:row>
                    <xdr:rowOff>114300</xdr:rowOff>
                  </from>
                  <to>
                    <xdr:col>1</xdr:col>
                    <xdr:colOff>85725</xdr:colOff>
                    <xdr:row>34</xdr:row>
                    <xdr:rowOff>66675</xdr:rowOff>
                  </to>
                </anchor>
              </controlPr>
            </control>
          </mc:Choice>
        </mc:AlternateContent>
        <mc:AlternateContent xmlns:mc="http://schemas.openxmlformats.org/markup-compatibility/2006">
          <mc:Choice Requires="x14">
            <control shapeId="1059" r:id="rId36" name="Check Box 35">
              <controlPr defaultSize="0" autoFill="0" autoLine="0" autoPict="0" altText="ITOM">
                <anchor moveWithCells="1">
                  <from>
                    <xdr:col>0</xdr:col>
                    <xdr:colOff>66675</xdr:colOff>
                    <xdr:row>33</xdr:row>
                    <xdr:rowOff>114300</xdr:rowOff>
                  </from>
                  <to>
                    <xdr:col>1</xdr:col>
                    <xdr:colOff>85725</xdr:colOff>
                    <xdr:row>35</xdr:row>
                    <xdr:rowOff>66675</xdr:rowOff>
                  </to>
                </anchor>
              </controlPr>
            </control>
          </mc:Choice>
        </mc:AlternateContent>
        <mc:AlternateContent xmlns:mc="http://schemas.openxmlformats.org/markup-compatibility/2006">
          <mc:Choice Requires="x14">
            <control shapeId="1060" r:id="rId37" name="Check Box 36">
              <controlPr defaultSize="0" autoFill="0" autoLine="0" autoPict="0" altText="ITOM">
                <anchor moveWithCells="1">
                  <from>
                    <xdr:col>0</xdr:col>
                    <xdr:colOff>66675</xdr:colOff>
                    <xdr:row>34</xdr:row>
                    <xdr:rowOff>114300</xdr:rowOff>
                  </from>
                  <to>
                    <xdr:col>1</xdr:col>
                    <xdr:colOff>85725</xdr:colOff>
                    <xdr:row>36</xdr:row>
                    <xdr:rowOff>66675</xdr:rowOff>
                  </to>
                </anchor>
              </controlPr>
            </control>
          </mc:Choice>
        </mc:AlternateContent>
        <mc:AlternateContent xmlns:mc="http://schemas.openxmlformats.org/markup-compatibility/2006">
          <mc:Choice Requires="x14">
            <control shapeId="1061" r:id="rId38" name="Check Box 37">
              <controlPr defaultSize="0" autoFill="0" autoLine="0" autoPict="0" altText="ITOM">
                <anchor moveWithCells="1">
                  <from>
                    <xdr:col>0</xdr:col>
                    <xdr:colOff>66675</xdr:colOff>
                    <xdr:row>35</xdr:row>
                    <xdr:rowOff>114300</xdr:rowOff>
                  </from>
                  <to>
                    <xdr:col>1</xdr:col>
                    <xdr:colOff>85725</xdr:colOff>
                    <xdr:row>37</xdr:row>
                    <xdr:rowOff>66675</xdr:rowOff>
                  </to>
                </anchor>
              </controlPr>
            </control>
          </mc:Choice>
        </mc:AlternateContent>
        <mc:AlternateContent xmlns:mc="http://schemas.openxmlformats.org/markup-compatibility/2006">
          <mc:Choice Requires="x14">
            <control shapeId="1062" r:id="rId39" name="Check Box 38">
              <controlPr defaultSize="0" autoFill="0" autoLine="0" autoPict="0" altText="ITOM">
                <anchor moveWithCells="1">
                  <from>
                    <xdr:col>0</xdr:col>
                    <xdr:colOff>66675</xdr:colOff>
                    <xdr:row>36</xdr:row>
                    <xdr:rowOff>114300</xdr:rowOff>
                  </from>
                  <to>
                    <xdr:col>1</xdr:col>
                    <xdr:colOff>85725</xdr:colOff>
                    <xdr:row>38</xdr:row>
                    <xdr:rowOff>66675</xdr:rowOff>
                  </to>
                </anchor>
              </controlPr>
            </control>
          </mc:Choice>
        </mc:AlternateContent>
        <mc:AlternateContent xmlns:mc="http://schemas.openxmlformats.org/markup-compatibility/2006">
          <mc:Choice Requires="x14">
            <control shapeId="1063" r:id="rId40" name="Check Box 39">
              <controlPr defaultSize="0" autoFill="0" autoLine="0" autoPict="0" altText="ITOM">
                <anchor moveWithCells="1">
                  <from>
                    <xdr:col>0</xdr:col>
                    <xdr:colOff>66675</xdr:colOff>
                    <xdr:row>37</xdr:row>
                    <xdr:rowOff>114300</xdr:rowOff>
                  </from>
                  <to>
                    <xdr:col>1</xdr:col>
                    <xdr:colOff>85725</xdr:colOff>
                    <xdr:row>39</xdr:row>
                    <xdr:rowOff>66675</xdr:rowOff>
                  </to>
                </anchor>
              </controlPr>
            </control>
          </mc:Choice>
        </mc:AlternateContent>
        <mc:AlternateContent xmlns:mc="http://schemas.openxmlformats.org/markup-compatibility/2006">
          <mc:Choice Requires="x14">
            <control shapeId="1064" r:id="rId41" name="Check Box 40">
              <controlPr defaultSize="0" autoFill="0" autoLine="0" autoPict="0" altText="ITOM">
                <anchor moveWithCells="1">
                  <from>
                    <xdr:col>0</xdr:col>
                    <xdr:colOff>66675</xdr:colOff>
                    <xdr:row>38</xdr:row>
                    <xdr:rowOff>114300</xdr:rowOff>
                  </from>
                  <to>
                    <xdr:col>1</xdr:col>
                    <xdr:colOff>85725</xdr:colOff>
                    <xdr:row>40</xdr:row>
                    <xdr:rowOff>66675</xdr:rowOff>
                  </to>
                </anchor>
              </controlPr>
            </control>
          </mc:Choice>
        </mc:AlternateContent>
        <mc:AlternateContent xmlns:mc="http://schemas.openxmlformats.org/markup-compatibility/2006">
          <mc:Choice Requires="x14">
            <control shapeId="1065" r:id="rId42" name="Check Box 41">
              <controlPr defaultSize="0" autoFill="0" autoLine="0" autoPict="0" altText="ITOM">
                <anchor moveWithCells="1">
                  <from>
                    <xdr:col>0</xdr:col>
                    <xdr:colOff>66675</xdr:colOff>
                    <xdr:row>39</xdr:row>
                    <xdr:rowOff>114300</xdr:rowOff>
                  </from>
                  <to>
                    <xdr:col>1</xdr:col>
                    <xdr:colOff>85725</xdr:colOff>
                    <xdr:row>41</xdr:row>
                    <xdr:rowOff>66675</xdr:rowOff>
                  </to>
                </anchor>
              </controlPr>
            </control>
          </mc:Choice>
        </mc:AlternateContent>
        <mc:AlternateContent xmlns:mc="http://schemas.openxmlformats.org/markup-compatibility/2006">
          <mc:Choice Requires="x14">
            <control shapeId="1066" r:id="rId43" name="Check Box 42">
              <controlPr defaultSize="0" autoFill="0" autoLine="0" autoPict="0" altText="ITOM">
                <anchor moveWithCells="1">
                  <from>
                    <xdr:col>0</xdr:col>
                    <xdr:colOff>66675</xdr:colOff>
                    <xdr:row>40</xdr:row>
                    <xdr:rowOff>114300</xdr:rowOff>
                  </from>
                  <to>
                    <xdr:col>1</xdr:col>
                    <xdr:colOff>85725</xdr:colOff>
                    <xdr:row>42</xdr:row>
                    <xdr:rowOff>66675</xdr:rowOff>
                  </to>
                </anchor>
              </controlPr>
            </control>
          </mc:Choice>
        </mc:AlternateContent>
        <mc:AlternateContent xmlns:mc="http://schemas.openxmlformats.org/markup-compatibility/2006">
          <mc:Choice Requires="x14">
            <control shapeId="1067" r:id="rId44" name="Check Box 43">
              <controlPr defaultSize="0" autoFill="0" autoLine="0" autoPict="0" altText="ITOM">
                <anchor moveWithCells="1">
                  <from>
                    <xdr:col>0</xdr:col>
                    <xdr:colOff>66675</xdr:colOff>
                    <xdr:row>41</xdr:row>
                    <xdr:rowOff>114300</xdr:rowOff>
                  </from>
                  <to>
                    <xdr:col>1</xdr:col>
                    <xdr:colOff>85725</xdr:colOff>
                    <xdr:row>43</xdr:row>
                    <xdr:rowOff>66675</xdr:rowOff>
                  </to>
                </anchor>
              </controlPr>
            </control>
          </mc:Choice>
        </mc:AlternateContent>
        <mc:AlternateContent xmlns:mc="http://schemas.openxmlformats.org/markup-compatibility/2006">
          <mc:Choice Requires="x14">
            <control shapeId="1068" r:id="rId45" name="Check Box 44">
              <controlPr defaultSize="0" autoFill="0" autoLine="0" autoPict="0" altText="ITOM">
                <anchor moveWithCells="1">
                  <from>
                    <xdr:col>0</xdr:col>
                    <xdr:colOff>66675</xdr:colOff>
                    <xdr:row>42</xdr:row>
                    <xdr:rowOff>114300</xdr:rowOff>
                  </from>
                  <to>
                    <xdr:col>1</xdr:col>
                    <xdr:colOff>85725</xdr:colOff>
                    <xdr:row>44</xdr:row>
                    <xdr:rowOff>66675</xdr:rowOff>
                  </to>
                </anchor>
              </controlPr>
            </control>
          </mc:Choice>
        </mc:AlternateContent>
        <mc:AlternateContent xmlns:mc="http://schemas.openxmlformats.org/markup-compatibility/2006">
          <mc:Choice Requires="x14">
            <control shapeId="1069" r:id="rId46" name="Check Box 45">
              <controlPr defaultSize="0" autoFill="0" autoLine="0" autoPict="0" altText="ITOM">
                <anchor moveWithCells="1">
                  <from>
                    <xdr:col>0</xdr:col>
                    <xdr:colOff>66675</xdr:colOff>
                    <xdr:row>43</xdr:row>
                    <xdr:rowOff>114300</xdr:rowOff>
                  </from>
                  <to>
                    <xdr:col>1</xdr:col>
                    <xdr:colOff>85725</xdr:colOff>
                    <xdr:row>45</xdr:row>
                    <xdr:rowOff>66675</xdr:rowOff>
                  </to>
                </anchor>
              </controlPr>
            </control>
          </mc:Choice>
        </mc:AlternateContent>
        <mc:AlternateContent xmlns:mc="http://schemas.openxmlformats.org/markup-compatibility/2006">
          <mc:Choice Requires="x14">
            <control shapeId="1070" r:id="rId47" name="Check Box 46">
              <controlPr defaultSize="0" autoFill="0" autoLine="0" autoPict="0" altText="ITOM">
                <anchor moveWithCells="1">
                  <from>
                    <xdr:col>0</xdr:col>
                    <xdr:colOff>66675</xdr:colOff>
                    <xdr:row>44</xdr:row>
                    <xdr:rowOff>114300</xdr:rowOff>
                  </from>
                  <to>
                    <xdr:col>1</xdr:col>
                    <xdr:colOff>85725</xdr:colOff>
                    <xdr:row>46</xdr:row>
                    <xdr:rowOff>66675</xdr:rowOff>
                  </to>
                </anchor>
              </controlPr>
            </control>
          </mc:Choice>
        </mc:AlternateContent>
        <mc:AlternateContent xmlns:mc="http://schemas.openxmlformats.org/markup-compatibility/2006">
          <mc:Choice Requires="x14">
            <control shapeId="1071" r:id="rId48" name="Check Box 47">
              <controlPr defaultSize="0" autoFill="0" autoLine="0" autoPict="0" altText="ITOM">
                <anchor moveWithCells="1">
                  <from>
                    <xdr:col>0</xdr:col>
                    <xdr:colOff>66675</xdr:colOff>
                    <xdr:row>45</xdr:row>
                    <xdr:rowOff>114300</xdr:rowOff>
                  </from>
                  <to>
                    <xdr:col>1</xdr:col>
                    <xdr:colOff>85725</xdr:colOff>
                    <xdr:row>47</xdr:row>
                    <xdr:rowOff>66675</xdr:rowOff>
                  </to>
                </anchor>
              </controlPr>
            </control>
          </mc:Choice>
        </mc:AlternateContent>
        <mc:AlternateContent xmlns:mc="http://schemas.openxmlformats.org/markup-compatibility/2006">
          <mc:Choice Requires="x14">
            <control shapeId="1072" r:id="rId49" name="Check Box 48">
              <controlPr defaultSize="0" autoFill="0" autoLine="0" autoPict="0" altText="ITOM">
                <anchor moveWithCells="1">
                  <from>
                    <xdr:col>0</xdr:col>
                    <xdr:colOff>66675</xdr:colOff>
                    <xdr:row>46</xdr:row>
                    <xdr:rowOff>114300</xdr:rowOff>
                  </from>
                  <to>
                    <xdr:col>1</xdr:col>
                    <xdr:colOff>85725</xdr:colOff>
                    <xdr:row>48</xdr:row>
                    <xdr:rowOff>66675</xdr:rowOff>
                  </to>
                </anchor>
              </controlPr>
            </control>
          </mc:Choice>
        </mc:AlternateContent>
        <mc:AlternateContent xmlns:mc="http://schemas.openxmlformats.org/markup-compatibility/2006">
          <mc:Choice Requires="x14">
            <control shapeId="1073" r:id="rId50" name="Check Box 49">
              <controlPr defaultSize="0" autoFill="0" autoLine="0" autoPict="0" altText="ITOM">
                <anchor moveWithCells="1">
                  <from>
                    <xdr:col>0</xdr:col>
                    <xdr:colOff>66675</xdr:colOff>
                    <xdr:row>47</xdr:row>
                    <xdr:rowOff>114300</xdr:rowOff>
                  </from>
                  <to>
                    <xdr:col>1</xdr:col>
                    <xdr:colOff>85725</xdr:colOff>
                    <xdr:row>49</xdr:row>
                    <xdr:rowOff>66675</xdr:rowOff>
                  </to>
                </anchor>
              </controlPr>
            </control>
          </mc:Choice>
        </mc:AlternateContent>
        <mc:AlternateContent xmlns:mc="http://schemas.openxmlformats.org/markup-compatibility/2006">
          <mc:Choice Requires="x14">
            <control shapeId="1074" r:id="rId51" name="Check Box 50">
              <controlPr defaultSize="0" autoFill="0" autoLine="0" autoPict="0" altText="ITOM">
                <anchor moveWithCells="1">
                  <from>
                    <xdr:col>0</xdr:col>
                    <xdr:colOff>66675</xdr:colOff>
                    <xdr:row>48</xdr:row>
                    <xdr:rowOff>114300</xdr:rowOff>
                  </from>
                  <to>
                    <xdr:col>1</xdr:col>
                    <xdr:colOff>85725</xdr:colOff>
                    <xdr:row>50</xdr:row>
                    <xdr:rowOff>66675</xdr:rowOff>
                  </to>
                </anchor>
              </controlPr>
            </control>
          </mc:Choice>
        </mc:AlternateContent>
        <mc:AlternateContent xmlns:mc="http://schemas.openxmlformats.org/markup-compatibility/2006">
          <mc:Choice Requires="x14">
            <control shapeId="1075" r:id="rId52" name="Check Box 51">
              <controlPr defaultSize="0" autoFill="0" autoLine="0" autoPict="0" altText="ITOM">
                <anchor moveWithCells="1">
                  <from>
                    <xdr:col>0</xdr:col>
                    <xdr:colOff>66675</xdr:colOff>
                    <xdr:row>49</xdr:row>
                    <xdr:rowOff>114300</xdr:rowOff>
                  </from>
                  <to>
                    <xdr:col>1</xdr:col>
                    <xdr:colOff>85725</xdr:colOff>
                    <xdr:row>51</xdr:row>
                    <xdr:rowOff>66675</xdr:rowOff>
                  </to>
                </anchor>
              </controlPr>
            </control>
          </mc:Choice>
        </mc:AlternateContent>
        <mc:AlternateContent xmlns:mc="http://schemas.openxmlformats.org/markup-compatibility/2006">
          <mc:Choice Requires="x14">
            <control shapeId="1076" r:id="rId53" name="Check Box 52">
              <controlPr defaultSize="0" autoFill="0" autoLine="0" autoPict="0" altText="ITOM">
                <anchor moveWithCells="1">
                  <from>
                    <xdr:col>0</xdr:col>
                    <xdr:colOff>66675</xdr:colOff>
                    <xdr:row>50</xdr:row>
                    <xdr:rowOff>114300</xdr:rowOff>
                  </from>
                  <to>
                    <xdr:col>1</xdr:col>
                    <xdr:colOff>85725</xdr:colOff>
                    <xdr:row>52</xdr:row>
                    <xdr:rowOff>66675</xdr:rowOff>
                  </to>
                </anchor>
              </controlPr>
            </control>
          </mc:Choice>
        </mc:AlternateContent>
        <mc:AlternateContent xmlns:mc="http://schemas.openxmlformats.org/markup-compatibility/2006">
          <mc:Choice Requires="x14">
            <control shapeId="1077" r:id="rId54" name="Check Box 53">
              <controlPr defaultSize="0" autoFill="0" autoLine="0" autoPict="0" altText="ITOM">
                <anchor moveWithCells="1">
                  <from>
                    <xdr:col>0</xdr:col>
                    <xdr:colOff>66675</xdr:colOff>
                    <xdr:row>51</xdr:row>
                    <xdr:rowOff>114300</xdr:rowOff>
                  </from>
                  <to>
                    <xdr:col>1</xdr:col>
                    <xdr:colOff>85725</xdr:colOff>
                    <xdr:row>53</xdr:row>
                    <xdr:rowOff>66675</xdr:rowOff>
                  </to>
                </anchor>
              </controlPr>
            </control>
          </mc:Choice>
        </mc:AlternateContent>
        <mc:AlternateContent xmlns:mc="http://schemas.openxmlformats.org/markup-compatibility/2006">
          <mc:Choice Requires="x14">
            <control shapeId="1078" r:id="rId55" name="Check Box 54">
              <controlPr defaultSize="0" autoFill="0" autoLine="0" autoPict="0" altText="ITOM">
                <anchor moveWithCells="1">
                  <from>
                    <xdr:col>0</xdr:col>
                    <xdr:colOff>66675</xdr:colOff>
                    <xdr:row>52</xdr:row>
                    <xdr:rowOff>114300</xdr:rowOff>
                  </from>
                  <to>
                    <xdr:col>1</xdr:col>
                    <xdr:colOff>85725</xdr:colOff>
                    <xdr:row>54</xdr:row>
                    <xdr:rowOff>66675</xdr:rowOff>
                  </to>
                </anchor>
              </controlPr>
            </control>
          </mc:Choice>
        </mc:AlternateContent>
        <mc:AlternateContent xmlns:mc="http://schemas.openxmlformats.org/markup-compatibility/2006">
          <mc:Choice Requires="x14">
            <control shapeId="1079" r:id="rId56" name="Check Box 55">
              <controlPr defaultSize="0" autoFill="0" autoLine="0" autoPict="0" altText="ITOM">
                <anchor moveWithCells="1">
                  <from>
                    <xdr:col>0</xdr:col>
                    <xdr:colOff>66675</xdr:colOff>
                    <xdr:row>53</xdr:row>
                    <xdr:rowOff>114300</xdr:rowOff>
                  </from>
                  <to>
                    <xdr:col>1</xdr:col>
                    <xdr:colOff>85725</xdr:colOff>
                    <xdr:row>55</xdr:row>
                    <xdr:rowOff>66675</xdr:rowOff>
                  </to>
                </anchor>
              </controlPr>
            </control>
          </mc:Choice>
        </mc:AlternateContent>
        <mc:AlternateContent xmlns:mc="http://schemas.openxmlformats.org/markup-compatibility/2006">
          <mc:Choice Requires="x14">
            <control shapeId="1080" r:id="rId57" name="Check Box 56">
              <controlPr defaultSize="0" autoFill="0" autoLine="0" autoPict="0" altText="ITOM">
                <anchor moveWithCells="1">
                  <from>
                    <xdr:col>0</xdr:col>
                    <xdr:colOff>66675</xdr:colOff>
                    <xdr:row>54</xdr:row>
                    <xdr:rowOff>114300</xdr:rowOff>
                  </from>
                  <to>
                    <xdr:col>1</xdr:col>
                    <xdr:colOff>85725</xdr:colOff>
                    <xdr:row>56</xdr:row>
                    <xdr:rowOff>66675</xdr:rowOff>
                  </to>
                </anchor>
              </controlPr>
            </control>
          </mc:Choice>
        </mc:AlternateContent>
        <mc:AlternateContent xmlns:mc="http://schemas.openxmlformats.org/markup-compatibility/2006">
          <mc:Choice Requires="x14">
            <control shapeId="1081" r:id="rId58" name="Check Box 57">
              <controlPr defaultSize="0" autoFill="0" autoLine="0" autoPict="0" altText="ITOM">
                <anchor moveWithCells="1">
                  <from>
                    <xdr:col>0</xdr:col>
                    <xdr:colOff>66675</xdr:colOff>
                    <xdr:row>55</xdr:row>
                    <xdr:rowOff>114300</xdr:rowOff>
                  </from>
                  <to>
                    <xdr:col>1</xdr:col>
                    <xdr:colOff>85725</xdr:colOff>
                    <xdr:row>57</xdr:row>
                    <xdr:rowOff>66675</xdr:rowOff>
                  </to>
                </anchor>
              </controlPr>
            </control>
          </mc:Choice>
        </mc:AlternateContent>
        <mc:AlternateContent xmlns:mc="http://schemas.openxmlformats.org/markup-compatibility/2006">
          <mc:Choice Requires="x14">
            <control shapeId="1082" r:id="rId59" name="Check Box 58">
              <controlPr defaultSize="0" autoFill="0" autoLine="0" autoPict="0" altText="ITOM">
                <anchor moveWithCells="1">
                  <from>
                    <xdr:col>0</xdr:col>
                    <xdr:colOff>66675</xdr:colOff>
                    <xdr:row>56</xdr:row>
                    <xdr:rowOff>114300</xdr:rowOff>
                  </from>
                  <to>
                    <xdr:col>1</xdr:col>
                    <xdr:colOff>85725</xdr:colOff>
                    <xdr:row>58</xdr:row>
                    <xdr:rowOff>66675</xdr:rowOff>
                  </to>
                </anchor>
              </controlPr>
            </control>
          </mc:Choice>
        </mc:AlternateContent>
        <mc:AlternateContent xmlns:mc="http://schemas.openxmlformats.org/markup-compatibility/2006">
          <mc:Choice Requires="x14">
            <control shapeId="1083" r:id="rId60" name="Check Box 59">
              <controlPr defaultSize="0" autoFill="0" autoLine="0" autoPict="0" altText="ITOM">
                <anchor moveWithCells="1">
                  <from>
                    <xdr:col>0</xdr:col>
                    <xdr:colOff>66675</xdr:colOff>
                    <xdr:row>57</xdr:row>
                    <xdr:rowOff>114300</xdr:rowOff>
                  </from>
                  <to>
                    <xdr:col>1</xdr:col>
                    <xdr:colOff>85725</xdr:colOff>
                    <xdr:row>59</xdr:row>
                    <xdr:rowOff>66675</xdr:rowOff>
                  </to>
                </anchor>
              </controlPr>
            </control>
          </mc:Choice>
        </mc:AlternateContent>
        <mc:AlternateContent xmlns:mc="http://schemas.openxmlformats.org/markup-compatibility/2006">
          <mc:Choice Requires="x14">
            <control shapeId="1084" r:id="rId61" name="Check Box 60">
              <controlPr defaultSize="0" autoFill="0" autoLine="0" autoPict="0" altText="ITOM">
                <anchor moveWithCells="1">
                  <from>
                    <xdr:col>0</xdr:col>
                    <xdr:colOff>66675</xdr:colOff>
                    <xdr:row>58</xdr:row>
                    <xdr:rowOff>114300</xdr:rowOff>
                  </from>
                  <to>
                    <xdr:col>1</xdr:col>
                    <xdr:colOff>85725</xdr:colOff>
                    <xdr:row>60</xdr:row>
                    <xdr:rowOff>66675</xdr:rowOff>
                  </to>
                </anchor>
              </controlPr>
            </control>
          </mc:Choice>
        </mc:AlternateContent>
        <mc:AlternateContent xmlns:mc="http://schemas.openxmlformats.org/markup-compatibility/2006">
          <mc:Choice Requires="x14">
            <control shapeId="1085" r:id="rId62" name="Check Box 61">
              <controlPr defaultSize="0" autoFill="0" autoLine="0" autoPict="0" altText="ITOM">
                <anchor moveWithCells="1">
                  <from>
                    <xdr:col>0</xdr:col>
                    <xdr:colOff>66675</xdr:colOff>
                    <xdr:row>59</xdr:row>
                    <xdr:rowOff>114300</xdr:rowOff>
                  </from>
                  <to>
                    <xdr:col>1</xdr:col>
                    <xdr:colOff>85725</xdr:colOff>
                    <xdr:row>61</xdr:row>
                    <xdr:rowOff>66675</xdr:rowOff>
                  </to>
                </anchor>
              </controlPr>
            </control>
          </mc:Choice>
        </mc:AlternateContent>
        <mc:AlternateContent xmlns:mc="http://schemas.openxmlformats.org/markup-compatibility/2006">
          <mc:Choice Requires="x14">
            <control shapeId="1086" r:id="rId63" name="Check Box 62">
              <controlPr defaultSize="0" autoFill="0" autoLine="0" autoPict="0" altText="ITOM">
                <anchor moveWithCells="1">
                  <from>
                    <xdr:col>0</xdr:col>
                    <xdr:colOff>66675</xdr:colOff>
                    <xdr:row>60</xdr:row>
                    <xdr:rowOff>114300</xdr:rowOff>
                  </from>
                  <to>
                    <xdr:col>1</xdr:col>
                    <xdr:colOff>85725</xdr:colOff>
                    <xdr:row>62</xdr:row>
                    <xdr:rowOff>66675</xdr:rowOff>
                  </to>
                </anchor>
              </controlPr>
            </control>
          </mc:Choice>
        </mc:AlternateContent>
        <mc:AlternateContent xmlns:mc="http://schemas.openxmlformats.org/markup-compatibility/2006">
          <mc:Choice Requires="x14">
            <control shapeId="1087" r:id="rId64" name="Check Box 63">
              <controlPr defaultSize="0" autoFill="0" autoLine="0" autoPict="0" altText="ITOM">
                <anchor moveWithCells="1">
                  <from>
                    <xdr:col>0</xdr:col>
                    <xdr:colOff>66675</xdr:colOff>
                    <xdr:row>61</xdr:row>
                    <xdr:rowOff>114300</xdr:rowOff>
                  </from>
                  <to>
                    <xdr:col>1</xdr:col>
                    <xdr:colOff>85725</xdr:colOff>
                    <xdr:row>63</xdr:row>
                    <xdr:rowOff>66675</xdr:rowOff>
                  </to>
                </anchor>
              </controlPr>
            </control>
          </mc:Choice>
        </mc:AlternateContent>
        <mc:AlternateContent xmlns:mc="http://schemas.openxmlformats.org/markup-compatibility/2006">
          <mc:Choice Requires="x14">
            <control shapeId="1088" r:id="rId65" name="Check Box 64">
              <controlPr defaultSize="0" autoFill="0" autoLine="0" autoPict="0" altText="ITOM">
                <anchor moveWithCells="1">
                  <from>
                    <xdr:col>0</xdr:col>
                    <xdr:colOff>66675</xdr:colOff>
                    <xdr:row>62</xdr:row>
                    <xdr:rowOff>114300</xdr:rowOff>
                  </from>
                  <to>
                    <xdr:col>1</xdr:col>
                    <xdr:colOff>85725</xdr:colOff>
                    <xdr:row>64</xdr:row>
                    <xdr:rowOff>66675</xdr:rowOff>
                  </to>
                </anchor>
              </controlPr>
            </control>
          </mc:Choice>
        </mc:AlternateContent>
        <mc:AlternateContent xmlns:mc="http://schemas.openxmlformats.org/markup-compatibility/2006">
          <mc:Choice Requires="x14">
            <control shapeId="1089" r:id="rId66" name="Check Box 65">
              <controlPr defaultSize="0" autoFill="0" autoLine="0" autoPict="0" altText="ITOM">
                <anchor moveWithCells="1">
                  <from>
                    <xdr:col>0</xdr:col>
                    <xdr:colOff>66675</xdr:colOff>
                    <xdr:row>63</xdr:row>
                    <xdr:rowOff>114300</xdr:rowOff>
                  </from>
                  <to>
                    <xdr:col>1</xdr:col>
                    <xdr:colOff>85725</xdr:colOff>
                    <xdr:row>65</xdr:row>
                    <xdr:rowOff>66675</xdr:rowOff>
                  </to>
                </anchor>
              </controlPr>
            </control>
          </mc:Choice>
        </mc:AlternateContent>
        <mc:AlternateContent xmlns:mc="http://schemas.openxmlformats.org/markup-compatibility/2006">
          <mc:Choice Requires="x14">
            <control shapeId="1090" r:id="rId67" name="Check Box 66">
              <controlPr defaultSize="0" autoFill="0" autoLine="0" autoPict="0" altText="ITOM">
                <anchor moveWithCells="1">
                  <from>
                    <xdr:col>0</xdr:col>
                    <xdr:colOff>66675</xdr:colOff>
                    <xdr:row>64</xdr:row>
                    <xdr:rowOff>114300</xdr:rowOff>
                  </from>
                  <to>
                    <xdr:col>1</xdr:col>
                    <xdr:colOff>85725</xdr:colOff>
                    <xdr:row>66</xdr:row>
                    <xdr:rowOff>66675</xdr:rowOff>
                  </to>
                </anchor>
              </controlPr>
            </control>
          </mc:Choice>
        </mc:AlternateContent>
        <mc:AlternateContent xmlns:mc="http://schemas.openxmlformats.org/markup-compatibility/2006">
          <mc:Choice Requires="x14">
            <control shapeId="1091" r:id="rId68" name="Check Box 67">
              <controlPr defaultSize="0" autoFill="0" autoLine="0" autoPict="0" altText="ITOM">
                <anchor moveWithCells="1">
                  <from>
                    <xdr:col>0</xdr:col>
                    <xdr:colOff>66675</xdr:colOff>
                    <xdr:row>65</xdr:row>
                    <xdr:rowOff>114300</xdr:rowOff>
                  </from>
                  <to>
                    <xdr:col>1</xdr:col>
                    <xdr:colOff>85725</xdr:colOff>
                    <xdr:row>67</xdr:row>
                    <xdr:rowOff>66675</xdr:rowOff>
                  </to>
                </anchor>
              </controlPr>
            </control>
          </mc:Choice>
        </mc:AlternateContent>
        <mc:AlternateContent xmlns:mc="http://schemas.openxmlformats.org/markup-compatibility/2006">
          <mc:Choice Requires="x14">
            <control shapeId="1092" r:id="rId69" name="Check Box 68">
              <controlPr defaultSize="0" autoFill="0" autoLine="0" autoPict="0" altText="ITOM">
                <anchor moveWithCells="1">
                  <from>
                    <xdr:col>0</xdr:col>
                    <xdr:colOff>66675</xdr:colOff>
                    <xdr:row>66</xdr:row>
                    <xdr:rowOff>114300</xdr:rowOff>
                  </from>
                  <to>
                    <xdr:col>1</xdr:col>
                    <xdr:colOff>85725</xdr:colOff>
                    <xdr:row>68</xdr:row>
                    <xdr:rowOff>66675</xdr:rowOff>
                  </to>
                </anchor>
              </controlPr>
            </control>
          </mc:Choice>
        </mc:AlternateContent>
        <mc:AlternateContent xmlns:mc="http://schemas.openxmlformats.org/markup-compatibility/2006">
          <mc:Choice Requires="x14">
            <control shapeId="1093" r:id="rId70" name="Check Box 69">
              <controlPr defaultSize="0" autoFill="0" autoLine="0" autoPict="0" altText="ITOM">
                <anchor moveWithCells="1">
                  <from>
                    <xdr:col>0</xdr:col>
                    <xdr:colOff>66675</xdr:colOff>
                    <xdr:row>67</xdr:row>
                    <xdr:rowOff>114300</xdr:rowOff>
                  </from>
                  <to>
                    <xdr:col>1</xdr:col>
                    <xdr:colOff>85725</xdr:colOff>
                    <xdr:row>69</xdr:row>
                    <xdr:rowOff>66675</xdr:rowOff>
                  </to>
                </anchor>
              </controlPr>
            </control>
          </mc:Choice>
        </mc:AlternateContent>
        <mc:AlternateContent xmlns:mc="http://schemas.openxmlformats.org/markup-compatibility/2006">
          <mc:Choice Requires="x14">
            <control shapeId="1094" r:id="rId71" name="Check Box 70">
              <controlPr defaultSize="0" autoFill="0" autoLine="0" autoPict="0" altText="ITOM">
                <anchor moveWithCells="1">
                  <from>
                    <xdr:col>0</xdr:col>
                    <xdr:colOff>66675</xdr:colOff>
                    <xdr:row>68</xdr:row>
                    <xdr:rowOff>114300</xdr:rowOff>
                  </from>
                  <to>
                    <xdr:col>1</xdr:col>
                    <xdr:colOff>85725</xdr:colOff>
                    <xdr:row>70</xdr:row>
                    <xdr:rowOff>66675</xdr:rowOff>
                  </to>
                </anchor>
              </controlPr>
            </control>
          </mc:Choice>
        </mc:AlternateContent>
        <mc:AlternateContent xmlns:mc="http://schemas.openxmlformats.org/markup-compatibility/2006">
          <mc:Choice Requires="x14">
            <control shapeId="1095" r:id="rId72" name="Check Box 71">
              <controlPr defaultSize="0" autoFill="0" autoLine="0" autoPict="0" altText="ITOM">
                <anchor moveWithCells="1">
                  <from>
                    <xdr:col>0</xdr:col>
                    <xdr:colOff>66675</xdr:colOff>
                    <xdr:row>69</xdr:row>
                    <xdr:rowOff>114300</xdr:rowOff>
                  </from>
                  <to>
                    <xdr:col>1</xdr:col>
                    <xdr:colOff>85725</xdr:colOff>
                    <xdr:row>71</xdr:row>
                    <xdr:rowOff>66675</xdr:rowOff>
                  </to>
                </anchor>
              </controlPr>
            </control>
          </mc:Choice>
        </mc:AlternateContent>
        <mc:AlternateContent xmlns:mc="http://schemas.openxmlformats.org/markup-compatibility/2006">
          <mc:Choice Requires="x14">
            <control shapeId="1096" r:id="rId73" name="Check Box 72">
              <controlPr defaultSize="0" autoFill="0" autoLine="0" autoPict="0" altText="ITOM">
                <anchor moveWithCells="1">
                  <from>
                    <xdr:col>0</xdr:col>
                    <xdr:colOff>66675</xdr:colOff>
                    <xdr:row>70</xdr:row>
                    <xdr:rowOff>114300</xdr:rowOff>
                  </from>
                  <to>
                    <xdr:col>1</xdr:col>
                    <xdr:colOff>85725</xdr:colOff>
                    <xdr:row>72</xdr:row>
                    <xdr:rowOff>66675</xdr:rowOff>
                  </to>
                </anchor>
              </controlPr>
            </control>
          </mc:Choice>
        </mc:AlternateContent>
        <mc:AlternateContent xmlns:mc="http://schemas.openxmlformats.org/markup-compatibility/2006">
          <mc:Choice Requires="x14">
            <control shapeId="1097" r:id="rId74" name="Check Box 73">
              <controlPr defaultSize="0" autoFill="0" autoLine="0" autoPict="0" altText="ITOM">
                <anchor moveWithCells="1">
                  <from>
                    <xdr:col>0</xdr:col>
                    <xdr:colOff>66675</xdr:colOff>
                    <xdr:row>71</xdr:row>
                    <xdr:rowOff>114300</xdr:rowOff>
                  </from>
                  <to>
                    <xdr:col>1</xdr:col>
                    <xdr:colOff>85725</xdr:colOff>
                    <xdr:row>73</xdr:row>
                    <xdr:rowOff>66675</xdr:rowOff>
                  </to>
                </anchor>
              </controlPr>
            </control>
          </mc:Choice>
        </mc:AlternateContent>
        <mc:AlternateContent xmlns:mc="http://schemas.openxmlformats.org/markup-compatibility/2006">
          <mc:Choice Requires="x14">
            <control shapeId="1098" r:id="rId75" name="Check Box 74">
              <controlPr defaultSize="0" autoFill="0" autoLine="0" autoPict="0" altText="ITOM">
                <anchor moveWithCells="1">
                  <from>
                    <xdr:col>0</xdr:col>
                    <xdr:colOff>66675</xdr:colOff>
                    <xdr:row>72</xdr:row>
                    <xdr:rowOff>114300</xdr:rowOff>
                  </from>
                  <to>
                    <xdr:col>1</xdr:col>
                    <xdr:colOff>85725</xdr:colOff>
                    <xdr:row>74</xdr:row>
                    <xdr:rowOff>66675</xdr:rowOff>
                  </to>
                </anchor>
              </controlPr>
            </control>
          </mc:Choice>
        </mc:AlternateContent>
        <mc:AlternateContent xmlns:mc="http://schemas.openxmlformats.org/markup-compatibility/2006">
          <mc:Choice Requires="x14">
            <control shapeId="1099" r:id="rId76" name="Check Box 75">
              <controlPr defaultSize="0" autoFill="0" autoLine="0" autoPict="0" altText="ITOM">
                <anchor moveWithCells="1">
                  <from>
                    <xdr:col>0</xdr:col>
                    <xdr:colOff>66675</xdr:colOff>
                    <xdr:row>73</xdr:row>
                    <xdr:rowOff>114300</xdr:rowOff>
                  </from>
                  <to>
                    <xdr:col>1</xdr:col>
                    <xdr:colOff>85725</xdr:colOff>
                    <xdr:row>75</xdr:row>
                    <xdr:rowOff>66675</xdr:rowOff>
                  </to>
                </anchor>
              </controlPr>
            </control>
          </mc:Choice>
        </mc:AlternateContent>
        <mc:AlternateContent xmlns:mc="http://schemas.openxmlformats.org/markup-compatibility/2006">
          <mc:Choice Requires="x14">
            <control shapeId="1100" r:id="rId77" name="Check Box 76">
              <controlPr defaultSize="0" autoFill="0" autoLine="0" autoPict="0" altText="ITOM">
                <anchor moveWithCells="1">
                  <from>
                    <xdr:col>0</xdr:col>
                    <xdr:colOff>66675</xdr:colOff>
                    <xdr:row>74</xdr:row>
                    <xdr:rowOff>114300</xdr:rowOff>
                  </from>
                  <to>
                    <xdr:col>1</xdr:col>
                    <xdr:colOff>85725</xdr:colOff>
                    <xdr:row>76</xdr:row>
                    <xdr:rowOff>66675</xdr:rowOff>
                  </to>
                </anchor>
              </controlPr>
            </control>
          </mc:Choice>
        </mc:AlternateContent>
        <mc:AlternateContent xmlns:mc="http://schemas.openxmlformats.org/markup-compatibility/2006">
          <mc:Choice Requires="x14">
            <control shapeId="1101" r:id="rId78" name="Check Box 77">
              <controlPr defaultSize="0" autoFill="0" autoLine="0" autoPict="0" altText="ITOM">
                <anchor moveWithCells="1">
                  <from>
                    <xdr:col>0</xdr:col>
                    <xdr:colOff>66675</xdr:colOff>
                    <xdr:row>75</xdr:row>
                    <xdr:rowOff>114300</xdr:rowOff>
                  </from>
                  <to>
                    <xdr:col>1</xdr:col>
                    <xdr:colOff>85725</xdr:colOff>
                    <xdr:row>77</xdr:row>
                    <xdr:rowOff>66675</xdr:rowOff>
                  </to>
                </anchor>
              </controlPr>
            </control>
          </mc:Choice>
        </mc:AlternateContent>
        <mc:AlternateContent xmlns:mc="http://schemas.openxmlformats.org/markup-compatibility/2006">
          <mc:Choice Requires="x14">
            <control shapeId="1102" r:id="rId79" name="Check Box 78">
              <controlPr defaultSize="0" autoFill="0" autoLine="0" autoPict="0" altText="ITOM">
                <anchor moveWithCells="1">
                  <from>
                    <xdr:col>0</xdr:col>
                    <xdr:colOff>66675</xdr:colOff>
                    <xdr:row>76</xdr:row>
                    <xdr:rowOff>114300</xdr:rowOff>
                  </from>
                  <to>
                    <xdr:col>1</xdr:col>
                    <xdr:colOff>85725</xdr:colOff>
                    <xdr:row>78</xdr:row>
                    <xdr:rowOff>66675</xdr:rowOff>
                  </to>
                </anchor>
              </controlPr>
            </control>
          </mc:Choice>
        </mc:AlternateContent>
        <mc:AlternateContent xmlns:mc="http://schemas.openxmlformats.org/markup-compatibility/2006">
          <mc:Choice Requires="x14">
            <control shapeId="1103" r:id="rId80" name="Check Box 79">
              <controlPr defaultSize="0" autoFill="0" autoLine="0" autoPict="0" altText="ITOM">
                <anchor moveWithCells="1">
                  <from>
                    <xdr:col>0</xdr:col>
                    <xdr:colOff>66675</xdr:colOff>
                    <xdr:row>77</xdr:row>
                    <xdr:rowOff>114300</xdr:rowOff>
                  </from>
                  <to>
                    <xdr:col>1</xdr:col>
                    <xdr:colOff>85725</xdr:colOff>
                    <xdr:row>79</xdr:row>
                    <xdr:rowOff>66675</xdr:rowOff>
                  </to>
                </anchor>
              </controlPr>
            </control>
          </mc:Choice>
        </mc:AlternateContent>
        <mc:AlternateContent xmlns:mc="http://schemas.openxmlformats.org/markup-compatibility/2006">
          <mc:Choice Requires="x14">
            <control shapeId="1104" r:id="rId81" name="Check Box 80">
              <controlPr defaultSize="0" autoFill="0" autoLine="0" autoPict="0" altText="ITOM">
                <anchor moveWithCells="1">
                  <from>
                    <xdr:col>0</xdr:col>
                    <xdr:colOff>66675</xdr:colOff>
                    <xdr:row>78</xdr:row>
                    <xdr:rowOff>114300</xdr:rowOff>
                  </from>
                  <to>
                    <xdr:col>1</xdr:col>
                    <xdr:colOff>85725</xdr:colOff>
                    <xdr:row>80</xdr:row>
                    <xdr:rowOff>66675</xdr:rowOff>
                  </to>
                </anchor>
              </controlPr>
            </control>
          </mc:Choice>
        </mc:AlternateContent>
        <mc:AlternateContent xmlns:mc="http://schemas.openxmlformats.org/markup-compatibility/2006">
          <mc:Choice Requires="x14">
            <control shapeId="1105" r:id="rId82" name="Check Box 81">
              <controlPr defaultSize="0" autoFill="0" autoLine="0" autoPict="0" altText="ITOM">
                <anchor moveWithCells="1">
                  <from>
                    <xdr:col>0</xdr:col>
                    <xdr:colOff>66675</xdr:colOff>
                    <xdr:row>79</xdr:row>
                    <xdr:rowOff>114300</xdr:rowOff>
                  </from>
                  <to>
                    <xdr:col>1</xdr:col>
                    <xdr:colOff>85725</xdr:colOff>
                    <xdr:row>81</xdr:row>
                    <xdr:rowOff>66675</xdr:rowOff>
                  </to>
                </anchor>
              </controlPr>
            </control>
          </mc:Choice>
        </mc:AlternateContent>
        <mc:AlternateContent xmlns:mc="http://schemas.openxmlformats.org/markup-compatibility/2006">
          <mc:Choice Requires="x14">
            <control shapeId="1106" r:id="rId83" name="Check Box 82">
              <controlPr defaultSize="0" autoFill="0" autoLine="0" autoPict="0" altText="ITOM">
                <anchor moveWithCells="1">
                  <from>
                    <xdr:col>0</xdr:col>
                    <xdr:colOff>66675</xdr:colOff>
                    <xdr:row>80</xdr:row>
                    <xdr:rowOff>114300</xdr:rowOff>
                  </from>
                  <to>
                    <xdr:col>1</xdr:col>
                    <xdr:colOff>85725</xdr:colOff>
                    <xdr:row>82</xdr:row>
                    <xdr:rowOff>66675</xdr:rowOff>
                  </to>
                </anchor>
              </controlPr>
            </control>
          </mc:Choice>
        </mc:AlternateContent>
        <mc:AlternateContent xmlns:mc="http://schemas.openxmlformats.org/markup-compatibility/2006">
          <mc:Choice Requires="x14">
            <control shapeId="1107" r:id="rId84" name="Check Box 83">
              <controlPr defaultSize="0" autoFill="0" autoLine="0" autoPict="0" altText="ITOM">
                <anchor moveWithCells="1">
                  <from>
                    <xdr:col>0</xdr:col>
                    <xdr:colOff>66675</xdr:colOff>
                    <xdr:row>81</xdr:row>
                    <xdr:rowOff>114300</xdr:rowOff>
                  </from>
                  <to>
                    <xdr:col>1</xdr:col>
                    <xdr:colOff>85725</xdr:colOff>
                    <xdr:row>83</xdr:row>
                    <xdr:rowOff>66675</xdr:rowOff>
                  </to>
                </anchor>
              </controlPr>
            </control>
          </mc:Choice>
        </mc:AlternateContent>
        <mc:AlternateContent xmlns:mc="http://schemas.openxmlformats.org/markup-compatibility/2006">
          <mc:Choice Requires="x14">
            <control shapeId="1108" r:id="rId85" name="Check Box 84">
              <controlPr defaultSize="0" autoFill="0" autoLine="0" autoPict="0" altText="ITOM">
                <anchor moveWithCells="1">
                  <from>
                    <xdr:col>0</xdr:col>
                    <xdr:colOff>66675</xdr:colOff>
                    <xdr:row>82</xdr:row>
                    <xdr:rowOff>114300</xdr:rowOff>
                  </from>
                  <to>
                    <xdr:col>1</xdr:col>
                    <xdr:colOff>85725</xdr:colOff>
                    <xdr:row>84</xdr:row>
                    <xdr:rowOff>66675</xdr:rowOff>
                  </to>
                </anchor>
              </controlPr>
            </control>
          </mc:Choice>
        </mc:AlternateContent>
        <mc:AlternateContent xmlns:mc="http://schemas.openxmlformats.org/markup-compatibility/2006">
          <mc:Choice Requires="x14">
            <control shapeId="1109" r:id="rId86" name="Check Box 85">
              <controlPr defaultSize="0" autoFill="0" autoLine="0" autoPict="0" altText="ITOM">
                <anchor moveWithCells="1">
                  <from>
                    <xdr:col>0</xdr:col>
                    <xdr:colOff>66675</xdr:colOff>
                    <xdr:row>83</xdr:row>
                    <xdr:rowOff>114300</xdr:rowOff>
                  </from>
                  <to>
                    <xdr:col>1</xdr:col>
                    <xdr:colOff>85725</xdr:colOff>
                    <xdr:row>85</xdr:row>
                    <xdr:rowOff>66675</xdr:rowOff>
                  </to>
                </anchor>
              </controlPr>
            </control>
          </mc:Choice>
        </mc:AlternateContent>
        <mc:AlternateContent xmlns:mc="http://schemas.openxmlformats.org/markup-compatibility/2006">
          <mc:Choice Requires="x14">
            <control shapeId="1110" r:id="rId87" name="Check Box 86">
              <controlPr defaultSize="0" autoFill="0" autoLine="0" autoPict="0" altText="ITOM">
                <anchor moveWithCells="1">
                  <from>
                    <xdr:col>0</xdr:col>
                    <xdr:colOff>66675</xdr:colOff>
                    <xdr:row>84</xdr:row>
                    <xdr:rowOff>114300</xdr:rowOff>
                  </from>
                  <to>
                    <xdr:col>1</xdr:col>
                    <xdr:colOff>85725</xdr:colOff>
                    <xdr:row>86</xdr:row>
                    <xdr:rowOff>66675</xdr:rowOff>
                  </to>
                </anchor>
              </controlPr>
            </control>
          </mc:Choice>
        </mc:AlternateContent>
        <mc:AlternateContent xmlns:mc="http://schemas.openxmlformats.org/markup-compatibility/2006">
          <mc:Choice Requires="x14">
            <control shapeId="1111" r:id="rId88" name="Check Box 87">
              <controlPr defaultSize="0" autoFill="0" autoLine="0" autoPict="0" altText="ITOM">
                <anchor moveWithCells="1">
                  <from>
                    <xdr:col>0</xdr:col>
                    <xdr:colOff>66675</xdr:colOff>
                    <xdr:row>85</xdr:row>
                    <xdr:rowOff>114300</xdr:rowOff>
                  </from>
                  <to>
                    <xdr:col>1</xdr:col>
                    <xdr:colOff>85725</xdr:colOff>
                    <xdr:row>87</xdr:row>
                    <xdr:rowOff>66675</xdr:rowOff>
                  </to>
                </anchor>
              </controlPr>
            </control>
          </mc:Choice>
        </mc:AlternateContent>
        <mc:AlternateContent xmlns:mc="http://schemas.openxmlformats.org/markup-compatibility/2006">
          <mc:Choice Requires="x14">
            <control shapeId="1112" r:id="rId89" name="Check Box 88">
              <controlPr defaultSize="0" autoFill="0" autoLine="0" autoPict="0" altText="ITOM">
                <anchor moveWithCells="1">
                  <from>
                    <xdr:col>0</xdr:col>
                    <xdr:colOff>66675</xdr:colOff>
                    <xdr:row>86</xdr:row>
                    <xdr:rowOff>114300</xdr:rowOff>
                  </from>
                  <to>
                    <xdr:col>1</xdr:col>
                    <xdr:colOff>85725</xdr:colOff>
                    <xdr:row>88</xdr:row>
                    <xdr:rowOff>66675</xdr:rowOff>
                  </to>
                </anchor>
              </controlPr>
            </control>
          </mc:Choice>
        </mc:AlternateContent>
        <mc:AlternateContent xmlns:mc="http://schemas.openxmlformats.org/markup-compatibility/2006">
          <mc:Choice Requires="x14">
            <control shapeId="1113" r:id="rId90" name="Check Box 89">
              <controlPr defaultSize="0" autoFill="0" autoLine="0" autoPict="0" altText="ITOM">
                <anchor moveWithCells="1">
                  <from>
                    <xdr:col>0</xdr:col>
                    <xdr:colOff>66675</xdr:colOff>
                    <xdr:row>87</xdr:row>
                    <xdr:rowOff>114300</xdr:rowOff>
                  </from>
                  <to>
                    <xdr:col>1</xdr:col>
                    <xdr:colOff>85725</xdr:colOff>
                    <xdr:row>89</xdr:row>
                    <xdr:rowOff>66675</xdr:rowOff>
                  </to>
                </anchor>
              </controlPr>
            </control>
          </mc:Choice>
        </mc:AlternateContent>
        <mc:AlternateContent xmlns:mc="http://schemas.openxmlformats.org/markup-compatibility/2006">
          <mc:Choice Requires="x14">
            <control shapeId="1114" r:id="rId91" name="Check Box 90">
              <controlPr defaultSize="0" autoFill="0" autoLine="0" autoPict="0" altText="ITOM">
                <anchor moveWithCells="1">
                  <from>
                    <xdr:col>0</xdr:col>
                    <xdr:colOff>66675</xdr:colOff>
                    <xdr:row>88</xdr:row>
                    <xdr:rowOff>114300</xdr:rowOff>
                  </from>
                  <to>
                    <xdr:col>1</xdr:col>
                    <xdr:colOff>85725</xdr:colOff>
                    <xdr:row>90</xdr:row>
                    <xdr:rowOff>66675</xdr:rowOff>
                  </to>
                </anchor>
              </controlPr>
            </control>
          </mc:Choice>
        </mc:AlternateContent>
        <mc:AlternateContent xmlns:mc="http://schemas.openxmlformats.org/markup-compatibility/2006">
          <mc:Choice Requires="x14">
            <control shapeId="1115" r:id="rId92" name="Check Box 91">
              <controlPr defaultSize="0" autoFill="0" autoLine="0" autoPict="0" altText="ITOM">
                <anchor moveWithCells="1">
                  <from>
                    <xdr:col>0</xdr:col>
                    <xdr:colOff>66675</xdr:colOff>
                    <xdr:row>89</xdr:row>
                    <xdr:rowOff>114300</xdr:rowOff>
                  </from>
                  <to>
                    <xdr:col>1</xdr:col>
                    <xdr:colOff>85725</xdr:colOff>
                    <xdr:row>91</xdr:row>
                    <xdr:rowOff>66675</xdr:rowOff>
                  </to>
                </anchor>
              </controlPr>
            </control>
          </mc:Choice>
        </mc:AlternateContent>
        <mc:AlternateContent xmlns:mc="http://schemas.openxmlformats.org/markup-compatibility/2006">
          <mc:Choice Requires="x14">
            <control shapeId="1116" r:id="rId93" name="Check Box 92">
              <controlPr defaultSize="0" autoFill="0" autoLine="0" autoPict="0" altText="ITOM">
                <anchor moveWithCells="1">
                  <from>
                    <xdr:col>0</xdr:col>
                    <xdr:colOff>66675</xdr:colOff>
                    <xdr:row>90</xdr:row>
                    <xdr:rowOff>114300</xdr:rowOff>
                  </from>
                  <to>
                    <xdr:col>1</xdr:col>
                    <xdr:colOff>85725</xdr:colOff>
                    <xdr:row>92</xdr:row>
                    <xdr:rowOff>66675</xdr:rowOff>
                  </to>
                </anchor>
              </controlPr>
            </control>
          </mc:Choice>
        </mc:AlternateContent>
        <mc:AlternateContent xmlns:mc="http://schemas.openxmlformats.org/markup-compatibility/2006">
          <mc:Choice Requires="x14">
            <control shapeId="1117" r:id="rId94" name="Check Box 93">
              <controlPr defaultSize="0" autoFill="0" autoLine="0" autoPict="0" altText="ITOM">
                <anchor moveWithCells="1">
                  <from>
                    <xdr:col>0</xdr:col>
                    <xdr:colOff>66675</xdr:colOff>
                    <xdr:row>91</xdr:row>
                    <xdr:rowOff>114300</xdr:rowOff>
                  </from>
                  <to>
                    <xdr:col>1</xdr:col>
                    <xdr:colOff>85725</xdr:colOff>
                    <xdr:row>93</xdr:row>
                    <xdr:rowOff>66675</xdr:rowOff>
                  </to>
                </anchor>
              </controlPr>
            </control>
          </mc:Choice>
        </mc:AlternateContent>
        <mc:AlternateContent xmlns:mc="http://schemas.openxmlformats.org/markup-compatibility/2006">
          <mc:Choice Requires="x14">
            <control shapeId="1118" r:id="rId95" name="Check Box 94">
              <controlPr defaultSize="0" autoFill="0" autoLine="0" autoPict="0" altText="ITOM">
                <anchor moveWithCells="1">
                  <from>
                    <xdr:col>0</xdr:col>
                    <xdr:colOff>66675</xdr:colOff>
                    <xdr:row>92</xdr:row>
                    <xdr:rowOff>114300</xdr:rowOff>
                  </from>
                  <to>
                    <xdr:col>1</xdr:col>
                    <xdr:colOff>85725</xdr:colOff>
                    <xdr:row>94</xdr:row>
                    <xdr:rowOff>66675</xdr:rowOff>
                  </to>
                </anchor>
              </controlPr>
            </control>
          </mc:Choice>
        </mc:AlternateContent>
        <mc:AlternateContent xmlns:mc="http://schemas.openxmlformats.org/markup-compatibility/2006">
          <mc:Choice Requires="x14">
            <control shapeId="1119" r:id="rId96" name="Check Box 95">
              <controlPr defaultSize="0" autoFill="0" autoLine="0" autoPict="0" altText="ITOM">
                <anchor moveWithCells="1">
                  <from>
                    <xdr:col>0</xdr:col>
                    <xdr:colOff>66675</xdr:colOff>
                    <xdr:row>93</xdr:row>
                    <xdr:rowOff>114300</xdr:rowOff>
                  </from>
                  <to>
                    <xdr:col>1</xdr:col>
                    <xdr:colOff>85725</xdr:colOff>
                    <xdr:row>95</xdr:row>
                    <xdr:rowOff>66675</xdr:rowOff>
                  </to>
                </anchor>
              </controlPr>
            </control>
          </mc:Choice>
        </mc:AlternateContent>
        <mc:AlternateContent xmlns:mc="http://schemas.openxmlformats.org/markup-compatibility/2006">
          <mc:Choice Requires="x14">
            <control shapeId="1120" r:id="rId97" name="Check Box 96">
              <controlPr defaultSize="0" autoFill="0" autoLine="0" autoPict="0" altText="ITOM">
                <anchor moveWithCells="1">
                  <from>
                    <xdr:col>0</xdr:col>
                    <xdr:colOff>66675</xdr:colOff>
                    <xdr:row>94</xdr:row>
                    <xdr:rowOff>114300</xdr:rowOff>
                  </from>
                  <to>
                    <xdr:col>1</xdr:col>
                    <xdr:colOff>85725</xdr:colOff>
                    <xdr:row>96</xdr:row>
                    <xdr:rowOff>66675</xdr:rowOff>
                  </to>
                </anchor>
              </controlPr>
            </control>
          </mc:Choice>
        </mc:AlternateContent>
        <mc:AlternateContent xmlns:mc="http://schemas.openxmlformats.org/markup-compatibility/2006">
          <mc:Choice Requires="x14">
            <control shapeId="1121" r:id="rId98" name="Check Box 97">
              <controlPr defaultSize="0" autoFill="0" autoLine="0" autoPict="0" altText="ITOM">
                <anchor moveWithCells="1">
                  <from>
                    <xdr:col>0</xdr:col>
                    <xdr:colOff>66675</xdr:colOff>
                    <xdr:row>95</xdr:row>
                    <xdr:rowOff>114300</xdr:rowOff>
                  </from>
                  <to>
                    <xdr:col>1</xdr:col>
                    <xdr:colOff>85725</xdr:colOff>
                    <xdr:row>97</xdr:row>
                    <xdr:rowOff>66675</xdr:rowOff>
                  </to>
                </anchor>
              </controlPr>
            </control>
          </mc:Choice>
        </mc:AlternateContent>
        <mc:AlternateContent xmlns:mc="http://schemas.openxmlformats.org/markup-compatibility/2006">
          <mc:Choice Requires="x14">
            <control shapeId="1122" r:id="rId99" name="Check Box 98">
              <controlPr defaultSize="0" autoFill="0" autoLine="0" autoPict="0" altText="ITOM">
                <anchor moveWithCells="1">
                  <from>
                    <xdr:col>0</xdr:col>
                    <xdr:colOff>66675</xdr:colOff>
                    <xdr:row>96</xdr:row>
                    <xdr:rowOff>114300</xdr:rowOff>
                  </from>
                  <to>
                    <xdr:col>1</xdr:col>
                    <xdr:colOff>85725</xdr:colOff>
                    <xdr:row>98</xdr:row>
                    <xdr:rowOff>66675</xdr:rowOff>
                  </to>
                </anchor>
              </controlPr>
            </control>
          </mc:Choice>
        </mc:AlternateContent>
        <mc:AlternateContent xmlns:mc="http://schemas.openxmlformats.org/markup-compatibility/2006">
          <mc:Choice Requires="x14">
            <control shapeId="1123" r:id="rId100" name="Check Box 99">
              <controlPr defaultSize="0" autoFill="0" autoLine="0" autoPict="0" altText="ITOM">
                <anchor moveWithCells="1">
                  <from>
                    <xdr:col>0</xdr:col>
                    <xdr:colOff>66675</xdr:colOff>
                    <xdr:row>97</xdr:row>
                    <xdr:rowOff>114300</xdr:rowOff>
                  </from>
                  <to>
                    <xdr:col>1</xdr:col>
                    <xdr:colOff>85725</xdr:colOff>
                    <xdr:row>99</xdr:row>
                    <xdr:rowOff>66675</xdr:rowOff>
                  </to>
                </anchor>
              </controlPr>
            </control>
          </mc:Choice>
        </mc:AlternateContent>
        <mc:AlternateContent xmlns:mc="http://schemas.openxmlformats.org/markup-compatibility/2006">
          <mc:Choice Requires="x14">
            <control shapeId="1124" r:id="rId101" name="Check Box 100">
              <controlPr defaultSize="0" autoFill="0" autoLine="0" autoPict="0" altText="ITOM">
                <anchor moveWithCells="1">
                  <from>
                    <xdr:col>0</xdr:col>
                    <xdr:colOff>66675</xdr:colOff>
                    <xdr:row>98</xdr:row>
                    <xdr:rowOff>114300</xdr:rowOff>
                  </from>
                  <to>
                    <xdr:col>1</xdr:col>
                    <xdr:colOff>85725</xdr:colOff>
                    <xdr:row>100</xdr:row>
                    <xdr:rowOff>66675</xdr:rowOff>
                  </to>
                </anchor>
              </controlPr>
            </control>
          </mc:Choice>
        </mc:AlternateContent>
        <mc:AlternateContent xmlns:mc="http://schemas.openxmlformats.org/markup-compatibility/2006">
          <mc:Choice Requires="x14">
            <control shapeId="1125" r:id="rId102" name="Check Box 101">
              <controlPr defaultSize="0" autoFill="0" autoLine="0" autoPict="0" altText="ITOM">
                <anchor moveWithCells="1">
                  <from>
                    <xdr:col>0</xdr:col>
                    <xdr:colOff>66675</xdr:colOff>
                    <xdr:row>99</xdr:row>
                    <xdr:rowOff>114300</xdr:rowOff>
                  </from>
                  <to>
                    <xdr:col>1</xdr:col>
                    <xdr:colOff>85725</xdr:colOff>
                    <xdr:row>101</xdr:row>
                    <xdr:rowOff>66675</xdr:rowOff>
                  </to>
                </anchor>
              </controlPr>
            </control>
          </mc:Choice>
        </mc:AlternateContent>
        <mc:AlternateContent xmlns:mc="http://schemas.openxmlformats.org/markup-compatibility/2006">
          <mc:Choice Requires="x14">
            <control shapeId="1126" r:id="rId103" name="Check Box 102">
              <controlPr defaultSize="0" autoFill="0" autoLine="0" autoPict="0" altText="ITOM">
                <anchor moveWithCells="1">
                  <from>
                    <xdr:col>0</xdr:col>
                    <xdr:colOff>66675</xdr:colOff>
                    <xdr:row>100</xdr:row>
                    <xdr:rowOff>114300</xdr:rowOff>
                  </from>
                  <to>
                    <xdr:col>1</xdr:col>
                    <xdr:colOff>85725</xdr:colOff>
                    <xdr:row>102</xdr:row>
                    <xdr:rowOff>66675</xdr:rowOff>
                  </to>
                </anchor>
              </controlPr>
            </control>
          </mc:Choice>
        </mc:AlternateContent>
        <mc:AlternateContent xmlns:mc="http://schemas.openxmlformats.org/markup-compatibility/2006">
          <mc:Choice Requires="x14">
            <control shapeId="1127" r:id="rId104" name="Check Box 103">
              <controlPr defaultSize="0" autoFill="0" autoLine="0" autoPict="0" altText="ITOM">
                <anchor moveWithCells="1">
                  <from>
                    <xdr:col>0</xdr:col>
                    <xdr:colOff>66675</xdr:colOff>
                    <xdr:row>101</xdr:row>
                    <xdr:rowOff>114300</xdr:rowOff>
                  </from>
                  <to>
                    <xdr:col>1</xdr:col>
                    <xdr:colOff>85725</xdr:colOff>
                    <xdr:row>103</xdr:row>
                    <xdr:rowOff>66675</xdr:rowOff>
                  </to>
                </anchor>
              </controlPr>
            </control>
          </mc:Choice>
        </mc:AlternateContent>
        <mc:AlternateContent xmlns:mc="http://schemas.openxmlformats.org/markup-compatibility/2006">
          <mc:Choice Requires="x14">
            <control shapeId="1128" r:id="rId105" name="Check Box 104">
              <controlPr defaultSize="0" autoFill="0" autoLine="0" autoPict="0" altText="ITOM">
                <anchor moveWithCells="1">
                  <from>
                    <xdr:col>0</xdr:col>
                    <xdr:colOff>66675</xdr:colOff>
                    <xdr:row>102</xdr:row>
                    <xdr:rowOff>114300</xdr:rowOff>
                  </from>
                  <to>
                    <xdr:col>1</xdr:col>
                    <xdr:colOff>85725</xdr:colOff>
                    <xdr:row>104</xdr:row>
                    <xdr:rowOff>66675</xdr:rowOff>
                  </to>
                </anchor>
              </controlPr>
            </control>
          </mc:Choice>
        </mc:AlternateContent>
        <mc:AlternateContent xmlns:mc="http://schemas.openxmlformats.org/markup-compatibility/2006">
          <mc:Choice Requires="x14">
            <control shapeId="1129" r:id="rId106" name="Check Box 105">
              <controlPr defaultSize="0" autoFill="0" autoLine="0" autoPict="0" altText="ITOM">
                <anchor moveWithCells="1">
                  <from>
                    <xdr:col>0</xdr:col>
                    <xdr:colOff>66675</xdr:colOff>
                    <xdr:row>103</xdr:row>
                    <xdr:rowOff>114300</xdr:rowOff>
                  </from>
                  <to>
                    <xdr:col>1</xdr:col>
                    <xdr:colOff>85725</xdr:colOff>
                    <xdr:row>105</xdr:row>
                    <xdr:rowOff>66675</xdr:rowOff>
                  </to>
                </anchor>
              </controlPr>
            </control>
          </mc:Choice>
        </mc:AlternateContent>
        <mc:AlternateContent xmlns:mc="http://schemas.openxmlformats.org/markup-compatibility/2006">
          <mc:Choice Requires="x14">
            <control shapeId="1130" r:id="rId107" name="Check Box 106">
              <controlPr defaultSize="0" autoFill="0" autoLine="0" autoPict="0" altText="ITOM">
                <anchor moveWithCells="1">
                  <from>
                    <xdr:col>0</xdr:col>
                    <xdr:colOff>66675</xdr:colOff>
                    <xdr:row>104</xdr:row>
                    <xdr:rowOff>114300</xdr:rowOff>
                  </from>
                  <to>
                    <xdr:col>1</xdr:col>
                    <xdr:colOff>85725</xdr:colOff>
                    <xdr:row>106</xdr:row>
                    <xdr:rowOff>66675</xdr:rowOff>
                  </to>
                </anchor>
              </controlPr>
            </control>
          </mc:Choice>
        </mc:AlternateContent>
        <mc:AlternateContent xmlns:mc="http://schemas.openxmlformats.org/markup-compatibility/2006">
          <mc:Choice Requires="x14">
            <control shapeId="1131" r:id="rId108" name="Check Box 107">
              <controlPr defaultSize="0" autoFill="0" autoLine="0" autoPict="0" altText="ITOM">
                <anchor moveWithCells="1">
                  <from>
                    <xdr:col>0</xdr:col>
                    <xdr:colOff>66675</xdr:colOff>
                    <xdr:row>105</xdr:row>
                    <xdr:rowOff>114300</xdr:rowOff>
                  </from>
                  <to>
                    <xdr:col>1</xdr:col>
                    <xdr:colOff>85725</xdr:colOff>
                    <xdr:row>107</xdr:row>
                    <xdr:rowOff>66675</xdr:rowOff>
                  </to>
                </anchor>
              </controlPr>
            </control>
          </mc:Choice>
        </mc:AlternateContent>
        <mc:AlternateContent xmlns:mc="http://schemas.openxmlformats.org/markup-compatibility/2006">
          <mc:Choice Requires="x14">
            <control shapeId="1132" r:id="rId109" name="Check Box 108">
              <controlPr defaultSize="0" autoFill="0" autoLine="0" autoPict="0" altText="ITOM">
                <anchor moveWithCells="1">
                  <from>
                    <xdr:col>0</xdr:col>
                    <xdr:colOff>66675</xdr:colOff>
                    <xdr:row>106</xdr:row>
                    <xdr:rowOff>114300</xdr:rowOff>
                  </from>
                  <to>
                    <xdr:col>1</xdr:col>
                    <xdr:colOff>85725</xdr:colOff>
                    <xdr:row>108</xdr:row>
                    <xdr:rowOff>66675</xdr:rowOff>
                  </to>
                </anchor>
              </controlPr>
            </control>
          </mc:Choice>
        </mc:AlternateContent>
        <mc:AlternateContent xmlns:mc="http://schemas.openxmlformats.org/markup-compatibility/2006">
          <mc:Choice Requires="x14">
            <control shapeId="1133" r:id="rId110" name="Check Box 109">
              <controlPr defaultSize="0" autoFill="0" autoLine="0" autoPict="0" altText="ITOM">
                <anchor moveWithCells="1">
                  <from>
                    <xdr:col>0</xdr:col>
                    <xdr:colOff>66675</xdr:colOff>
                    <xdr:row>107</xdr:row>
                    <xdr:rowOff>114300</xdr:rowOff>
                  </from>
                  <to>
                    <xdr:col>1</xdr:col>
                    <xdr:colOff>85725</xdr:colOff>
                    <xdr:row>109</xdr:row>
                    <xdr:rowOff>66675</xdr:rowOff>
                  </to>
                </anchor>
              </controlPr>
            </control>
          </mc:Choice>
        </mc:AlternateContent>
        <mc:AlternateContent xmlns:mc="http://schemas.openxmlformats.org/markup-compatibility/2006">
          <mc:Choice Requires="x14">
            <control shapeId="1134" r:id="rId111" name="Check Box 110">
              <controlPr defaultSize="0" autoFill="0" autoLine="0" autoPict="0" altText="ITOM">
                <anchor moveWithCells="1">
                  <from>
                    <xdr:col>0</xdr:col>
                    <xdr:colOff>66675</xdr:colOff>
                    <xdr:row>108</xdr:row>
                    <xdr:rowOff>114300</xdr:rowOff>
                  </from>
                  <to>
                    <xdr:col>1</xdr:col>
                    <xdr:colOff>85725</xdr:colOff>
                    <xdr:row>110</xdr:row>
                    <xdr:rowOff>66675</xdr:rowOff>
                  </to>
                </anchor>
              </controlPr>
            </control>
          </mc:Choice>
        </mc:AlternateContent>
        <mc:AlternateContent xmlns:mc="http://schemas.openxmlformats.org/markup-compatibility/2006">
          <mc:Choice Requires="x14">
            <control shapeId="1135" r:id="rId112" name="Check Box 111">
              <controlPr defaultSize="0" autoFill="0" autoLine="0" autoPict="0" altText="ITOM">
                <anchor moveWithCells="1">
                  <from>
                    <xdr:col>0</xdr:col>
                    <xdr:colOff>66675</xdr:colOff>
                    <xdr:row>109</xdr:row>
                    <xdr:rowOff>114300</xdr:rowOff>
                  </from>
                  <to>
                    <xdr:col>1</xdr:col>
                    <xdr:colOff>85725</xdr:colOff>
                    <xdr:row>111</xdr:row>
                    <xdr:rowOff>66675</xdr:rowOff>
                  </to>
                </anchor>
              </controlPr>
            </control>
          </mc:Choice>
        </mc:AlternateContent>
        <mc:AlternateContent xmlns:mc="http://schemas.openxmlformats.org/markup-compatibility/2006">
          <mc:Choice Requires="x14">
            <control shapeId="1136" r:id="rId113" name="Check Box 112">
              <controlPr defaultSize="0" autoFill="0" autoLine="0" autoPict="0" altText="ITOM">
                <anchor moveWithCells="1">
                  <from>
                    <xdr:col>0</xdr:col>
                    <xdr:colOff>66675</xdr:colOff>
                    <xdr:row>110</xdr:row>
                    <xdr:rowOff>114300</xdr:rowOff>
                  </from>
                  <to>
                    <xdr:col>1</xdr:col>
                    <xdr:colOff>85725</xdr:colOff>
                    <xdr:row>112</xdr:row>
                    <xdr:rowOff>66675</xdr:rowOff>
                  </to>
                </anchor>
              </controlPr>
            </control>
          </mc:Choice>
        </mc:AlternateContent>
        <mc:AlternateContent xmlns:mc="http://schemas.openxmlformats.org/markup-compatibility/2006">
          <mc:Choice Requires="x14">
            <control shapeId="1137" r:id="rId114" name="Check Box 113">
              <controlPr defaultSize="0" autoFill="0" autoLine="0" autoPict="0" altText="ITOM">
                <anchor moveWithCells="1">
                  <from>
                    <xdr:col>0</xdr:col>
                    <xdr:colOff>66675</xdr:colOff>
                    <xdr:row>111</xdr:row>
                    <xdr:rowOff>114300</xdr:rowOff>
                  </from>
                  <to>
                    <xdr:col>1</xdr:col>
                    <xdr:colOff>85725</xdr:colOff>
                    <xdr:row>113</xdr:row>
                    <xdr:rowOff>66675</xdr:rowOff>
                  </to>
                </anchor>
              </controlPr>
            </control>
          </mc:Choice>
        </mc:AlternateContent>
        <mc:AlternateContent xmlns:mc="http://schemas.openxmlformats.org/markup-compatibility/2006">
          <mc:Choice Requires="x14">
            <control shapeId="1138" r:id="rId115" name="Check Box 114">
              <controlPr defaultSize="0" autoFill="0" autoLine="0" autoPict="0" altText="ITOM">
                <anchor moveWithCells="1">
                  <from>
                    <xdr:col>0</xdr:col>
                    <xdr:colOff>66675</xdr:colOff>
                    <xdr:row>112</xdr:row>
                    <xdr:rowOff>114300</xdr:rowOff>
                  </from>
                  <to>
                    <xdr:col>1</xdr:col>
                    <xdr:colOff>85725</xdr:colOff>
                    <xdr:row>114</xdr:row>
                    <xdr:rowOff>66675</xdr:rowOff>
                  </to>
                </anchor>
              </controlPr>
            </control>
          </mc:Choice>
        </mc:AlternateContent>
        <mc:AlternateContent xmlns:mc="http://schemas.openxmlformats.org/markup-compatibility/2006">
          <mc:Choice Requires="x14">
            <control shapeId="1139" r:id="rId116" name="Check Box 115">
              <controlPr defaultSize="0" autoFill="0" autoLine="0" autoPict="0" altText="ITOM">
                <anchor moveWithCells="1">
                  <from>
                    <xdr:col>0</xdr:col>
                    <xdr:colOff>66675</xdr:colOff>
                    <xdr:row>113</xdr:row>
                    <xdr:rowOff>114300</xdr:rowOff>
                  </from>
                  <to>
                    <xdr:col>1</xdr:col>
                    <xdr:colOff>85725</xdr:colOff>
                    <xdr:row>115</xdr:row>
                    <xdr:rowOff>66675</xdr:rowOff>
                  </to>
                </anchor>
              </controlPr>
            </control>
          </mc:Choice>
        </mc:AlternateContent>
        <mc:AlternateContent xmlns:mc="http://schemas.openxmlformats.org/markup-compatibility/2006">
          <mc:Choice Requires="x14">
            <control shapeId="1140" r:id="rId117" name="Check Box 116">
              <controlPr defaultSize="0" autoFill="0" autoLine="0" autoPict="0" altText="ITOM">
                <anchor moveWithCells="1">
                  <from>
                    <xdr:col>0</xdr:col>
                    <xdr:colOff>66675</xdr:colOff>
                    <xdr:row>114</xdr:row>
                    <xdr:rowOff>114300</xdr:rowOff>
                  </from>
                  <to>
                    <xdr:col>1</xdr:col>
                    <xdr:colOff>85725</xdr:colOff>
                    <xdr:row>116</xdr:row>
                    <xdr:rowOff>66675</xdr:rowOff>
                  </to>
                </anchor>
              </controlPr>
            </control>
          </mc:Choice>
        </mc:AlternateContent>
        <mc:AlternateContent xmlns:mc="http://schemas.openxmlformats.org/markup-compatibility/2006">
          <mc:Choice Requires="x14">
            <control shapeId="1141" r:id="rId118" name="Check Box 117">
              <controlPr defaultSize="0" autoFill="0" autoLine="0" autoPict="0" altText="ITOM">
                <anchor moveWithCells="1">
                  <from>
                    <xdr:col>0</xdr:col>
                    <xdr:colOff>66675</xdr:colOff>
                    <xdr:row>115</xdr:row>
                    <xdr:rowOff>114300</xdr:rowOff>
                  </from>
                  <to>
                    <xdr:col>1</xdr:col>
                    <xdr:colOff>85725</xdr:colOff>
                    <xdr:row>117</xdr:row>
                    <xdr:rowOff>66675</xdr:rowOff>
                  </to>
                </anchor>
              </controlPr>
            </control>
          </mc:Choice>
        </mc:AlternateContent>
        <mc:AlternateContent xmlns:mc="http://schemas.openxmlformats.org/markup-compatibility/2006">
          <mc:Choice Requires="x14">
            <control shapeId="1142" r:id="rId119" name="Check Box 118">
              <controlPr defaultSize="0" autoFill="0" autoLine="0" autoPict="0" altText="ITOM">
                <anchor moveWithCells="1">
                  <from>
                    <xdr:col>0</xdr:col>
                    <xdr:colOff>66675</xdr:colOff>
                    <xdr:row>116</xdr:row>
                    <xdr:rowOff>114300</xdr:rowOff>
                  </from>
                  <to>
                    <xdr:col>1</xdr:col>
                    <xdr:colOff>85725</xdr:colOff>
                    <xdr:row>118</xdr:row>
                    <xdr:rowOff>66675</xdr:rowOff>
                  </to>
                </anchor>
              </controlPr>
            </control>
          </mc:Choice>
        </mc:AlternateContent>
        <mc:AlternateContent xmlns:mc="http://schemas.openxmlformats.org/markup-compatibility/2006">
          <mc:Choice Requires="x14">
            <control shapeId="1143" r:id="rId120" name="Check Box 119">
              <controlPr defaultSize="0" autoFill="0" autoLine="0" autoPict="0" altText="ITOM">
                <anchor moveWithCells="1">
                  <from>
                    <xdr:col>0</xdr:col>
                    <xdr:colOff>66675</xdr:colOff>
                    <xdr:row>117</xdr:row>
                    <xdr:rowOff>114300</xdr:rowOff>
                  </from>
                  <to>
                    <xdr:col>1</xdr:col>
                    <xdr:colOff>85725</xdr:colOff>
                    <xdr:row>119</xdr:row>
                    <xdr:rowOff>66675</xdr:rowOff>
                  </to>
                </anchor>
              </controlPr>
            </control>
          </mc:Choice>
        </mc:AlternateContent>
        <mc:AlternateContent xmlns:mc="http://schemas.openxmlformats.org/markup-compatibility/2006">
          <mc:Choice Requires="x14">
            <control shapeId="1144" r:id="rId121" name="Check Box 120">
              <controlPr defaultSize="0" autoFill="0" autoLine="0" autoPict="0" altText="ITOM">
                <anchor moveWithCells="1">
                  <from>
                    <xdr:col>0</xdr:col>
                    <xdr:colOff>66675</xdr:colOff>
                    <xdr:row>118</xdr:row>
                    <xdr:rowOff>114300</xdr:rowOff>
                  </from>
                  <to>
                    <xdr:col>1</xdr:col>
                    <xdr:colOff>85725</xdr:colOff>
                    <xdr:row>120</xdr:row>
                    <xdr:rowOff>66675</xdr:rowOff>
                  </to>
                </anchor>
              </controlPr>
            </control>
          </mc:Choice>
        </mc:AlternateContent>
        <mc:AlternateContent xmlns:mc="http://schemas.openxmlformats.org/markup-compatibility/2006">
          <mc:Choice Requires="x14">
            <control shapeId="1145" r:id="rId122" name="Check Box 121">
              <controlPr defaultSize="0" autoFill="0" autoLine="0" autoPict="0" altText="ITOM">
                <anchor moveWithCells="1">
                  <from>
                    <xdr:col>0</xdr:col>
                    <xdr:colOff>66675</xdr:colOff>
                    <xdr:row>119</xdr:row>
                    <xdr:rowOff>114300</xdr:rowOff>
                  </from>
                  <to>
                    <xdr:col>1</xdr:col>
                    <xdr:colOff>85725</xdr:colOff>
                    <xdr:row>121</xdr:row>
                    <xdr:rowOff>66675</xdr:rowOff>
                  </to>
                </anchor>
              </controlPr>
            </control>
          </mc:Choice>
        </mc:AlternateContent>
        <mc:AlternateContent xmlns:mc="http://schemas.openxmlformats.org/markup-compatibility/2006">
          <mc:Choice Requires="x14">
            <control shapeId="1146" r:id="rId123" name="Check Box 122">
              <controlPr defaultSize="0" autoFill="0" autoLine="0" autoPict="0" altText="ITOM">
                <anchor moveWithCells="1">
                  <from>
                    <xdr:col>0</xdr:col>
                    <xdr:colOff>66675</xdr:colOff>
                    <xdr:row>120</xdr:row>
                    <xdr:rowOff>114300</xdr:rowOff>
                  </from>
                  <to>
                    <xdr:col>1</xdr:col>
                    <xdr:colOff>85725</xdr:colOff>
                    <xdr:row>122</xdr:row>
                    <xdr:rowOff>66675</xdr:rowOff>
                  </to>
                </anchor>
              </controlPr>
            </control>
          </mc:Choice>
        </mc:AlternateContent>
        <mc:AlternateContent xmlns:mc="http://schemas.openxmlformats.org/markup-compatibility/2006">
          <mc:Choice Requires="x14">
            <control shapeId="1147" r:id="rId124" name="Check Box 123">
              <controlPr defaultSize="0" autoFill="0" autoLine="0" autoPict="0" altText="ITOM">
                <anchor moveWithCells="1">
                  <from>
                    <xdr:col>0</xdr:col>
                    <xdr:colOff>66675</xdr:colOff>
                    <xdr:row>121</xdr:row>
                    <xdr:rowOff>114300</xdr:rowOff>
                  </from>
                  <to>
                    <xdr:col>1</xdr:col>
                    <xdr:colOff>85725</xdr:colOff>
                    <xdr:row>123</xdr:row>
                    <xdr:rowOff>66675</xdr:rowOff>
                  </to>
                </anchor>
              </controlPr>
            </control>
          </mc:Choice>
        </mc:AlternateContent>
        <mc:AlternateContent xmlns:mc="http://schemas.openxmlformats.org/markup-compatibility/2006">
          <mc:Choice Requires="x14">
            <control shapeId="1148" r:id="rId125" name="Check Box 124">
              <controlPr defaultSize="0" autoFill="0" autoLine="0" autoPict="0" altText="ITOM">
                <anchor moveWithCells="1">
                  <from>
                    <xdr:col>0</xdr:col>
                    <xdr:colOff>66675</xdr:colOff>
                    <xdr:row>122</xdr:row>
                    <xdr:rowOff>114300</xdr:rowOff>
                  </from>
                  <to>
                    <xdr:col>1</xdr:col>
                    <xdr:colOff>85725</xdr:colOff>
                    <xdr:row>124</xdr:row>
                    <xdr:rowOff>66675</xdr:rowOff>
                  </to>
                </anchor>
              </controlPr>
            </control>
          </mc:Choice>
        </mc:AlternateContent>
        <mc:AlternateContent xmlns:mc="http://schemas.openxmlformats.org/markup-compatibility/2006">
          <mc:Choice Requires="x14">
            <control shapeId="1149" r:id="rId126" name="Check Box 125">
              <controlPr defaultSize="0" autoFill="0" autoLine="0" autoPict="0" altText="ITOM">
                <anchor moveWithCells="1">
                  <from>
                    <xdr:col>0</xdr:col>
                    <xdr:colOff>66675</xdr:colOff>
                    <xdr:row>123</xdr:row>
                    <xdr:rowOff>114300</xdr:rowOff>
                  </from>
                  <to>
                    <xdr:col>1</xdr:col>
                    <xdr:colOff>85725</xdr:colOff>
                    <xdr:row>125</xdr:row>
                    <xdr:rowOff>66675</xdr:rowOff>
                  </to>
                </anchor>
              </controlPr>
            </control>
          </mc:Choice>
        </mc:AlternateContent>
        <mc:AlternateContent xmlns:mc="http://schemas.openxmlformats.org/markup-compatibility/2006">
          <mc:Choice Requires="x14">
            <control shapeId="1150" r:id="rId127" name="Check Box 126">
              <controlPr defaultSize="0" autoFill="0" autoLine="0" autoPict="0" altText="ITOM">
                <anchor moveWithCells="1">
                  <from>
                    <xdr:col>0</xdr:col>
                    <xdr:colOff>66675</xdr:colOff>
                    <xdr:row>124</xdr:row>
                    <xdr:rowOff>114300</xdr:rowOff>
                  </from>
                  <to>
                    <xdr:col>1</xdr:col>
                    <xdr:colOff>85725</xdr:colOff>
                    <xdr:row>126</xdr:row>
                    <xdr:rowOff>66675</xdr:rowOff>
                  </to>
                </anchor>
              </controlPr>
            </control>
          </mc:Choice>
        </mc:AlternateContent>
        <mc:AlternateContent xmlns:mc="http://schemas.openxmlformats.org/markup-compatibility/2006">
          <mc:Choice Requires="x14">
            <control shapeId="1151" r:id="rId128" name="Check Box 127">
              <controlPr defaultSize="0" autoFill="0" autoLine="0" autoPict="0" altText="ITOM">
                <anchor moveWithCells="1">
                  <from>
                    <xdr:col>0</xdr:col>
                    <xdr:colOff>66675</xdr:colOff>
                    <xdr:row>125</xdr:row>
                    <xdr:rowOff>114300</xdr:rowOff>
                  </from>
                  <to>
                    <xdr:col>1</xdr:col>
                    <xdr:colOff>85725</xdr:colOff>
                    <xdr:row>127</xdr:row>
                    <xdr:rowOff>66675</xdr:rowOff>
                  </to>
                </anchor>
              </controlPr>
            </control>
          </mc:Choice>
        </mc:AlternateContent>
        <mc:AlternateContent xmlns:mc="http://schemas.openxmlformats.org/markup-compatibility/2006">
          <mc:Choice Requires="x14">
            <control shapeId="1152" r:id="rId129" name="Check Box 128">
              <controlPr defaultSize="0" autoFill="0" autoLine="0" autoPict="0" altText="ITOM">
                <anchor moveWithCells="1">
                  <from>
                    <xdr:col>0</xdr:col>
                    <xdr:colOff>66675</xdr:colOff>
                    <xdr:row>126</xdr:row>
                    <xdr:rowOff>114300</xdr:rowOff>
                  </from>
                  <to>
                    <xdr:col>1</xdr:col>
                    <xdr:colOff>85725</xdr:colOff>
                    <xdr:row>128</xdr:row>
                    <xdr:rowOff>66675</xdr:rowOff>
                  </to>
                </anchor>
              </controlPr>
            </control>
          </mc:Choice>
        </mc:AlternateContent>
        <mc:AlternateContent xmlns:mc="http://schemas.openxmlformats.org/markup-compatibility/2006">
          <mc:Choice Requires="x14">
            <control shapeId="1153" r:id="rId130" name="Check Box 129">
              <controlPr defaultSize="0" autoFill="0" autoLine="0" autoPict="0" altText="ITOM">
                <anchor moveWithCells="1">
                  <from>
                    <xdr:col>0</xdr:col>
                    <xdr:colOff>66675</xdr:colOff>
                    <xdr:row>127</xdr:row>
                    <xdr:rowOff>114300</xdr:rowOff>
                  </from>
                  <to>
                    <xdr:col>1</xdr:col>
                    <xdr:colOff>85725</xdr:colOff>
                    <xdr:row>129</xdr:row>
                    <xdr:rowOff>66675</xdr:rowOff>
                  </to>
                </anchor>
              </controlPr>
            </control>
          </mc:Choice>
        </mc:AlternateContent>
        <mc:AlternateContent xmlns:mc="http://schemas.openxmlformats.org/markup-compatibility/2006">
          <mc:Choice Requires="x14">
            <control shapeId="1154" r:id="rId131" name="Check Box 130">
              <controlPr defaultSize="0" autoFill="0" autoLine="0" autoPict="0" altText="ITOM">
                <anchor moveWithCells="1">
                  <from>
                    <xdr:col>0</xdr:col>
                    <xdr:colOff>66675</xdr:colOff>
                    <xdr:row>128</xdr:row>
                    <xdr:rowOff>114300</xdr:rowOff>
                  </from>
                  <to>
                    <xdr:col>1</xdr:col>
                    <xdr:colOff>85725</xdr:colOff>
                    <xdr:row>130</xdr:row>
                    <xdr:rowOff>66675</xdr:rowOff>
                  </to>
                </anchor>
              </controlPr>
            </control>
          </mc:Choice>
        </mc:AlternateContent>
        <mc:AlternateContent xmlns:mc="http://schemas.openxmlformats.org/markup-compatibility/2006">
          <mc:Choice Requires="x14">
            <control shapeId="1155" r:id="rId132" name="Check Box 131">
              <controlPr defaultSize="0" autoFill="0" autoLine="0" autoPict="0" altText="ITOM">
                <anchor moveWithCells="1">
                  <from>
                    <xdr:col>0</xdr:col>
                    <xdr:colOff>66675</xdr:colOff>
                    <xdr:row>129</xdr:row>
                    <xdr:rowOff>114300</xdr:rowOff>
                  </from>
                  <to>
                    <xdr:col>1</xdr:col>
                    <xdr:colOff>85725</xdr:colOff>
                    <xdr:row>131</xdr:row>
                    <xdr:rowOff>66675</xdr:rowOff>
                  </to>
                </anchor>
              </controlPr>
            </control>
          </mc:Choice>
        </mc:AlternateContent>
        <mc:AlternateContent xmlns:mc="http://schemas.openxmlformats.org/markup-compatibility/2006">
          <mc:Choice Requires="x14">
            <control shapeId="1156" r:id="rId133" name="Check Box 132">
              <controlPr defaultSize="0" autoFill="0" autoLine="0" autoPict="0" altText="ITOM">
                <anchor moveWithCells="1">
                  <from>
                    <xdr:col>0</xdr:col>
                    <xdr:colOff>66675</xdr:colOff>
                    <xdr:row>130</xdr:row>
                    <xdr:rowOff>114300</xdr:rowOff>
                  </from>
                  <to>
                    <xdr:col>1</xdr:col>
                    <xdr:colOff>85725</xdr:colOff>
                    <xdr:row>132</xdr:row>
                    <xdr:rowOff>66675</xdr:rowOff>
                  </to>
                </anchor>
              </controlPr>
            </control>
          </mc:Choice>
        </mc:AlternateContent>
        <mc:AlternateContent xmlns:mc="http://schemas.openxmlformats.org/markup-compatibility/2006">
          <mc:Choice Requires="x14">
            <control shapeId="1157" r:id="rId134" name="Check Box 133">
              <controlPr defaultSize="0" autoFill="0" autoLine="0" autoPict="0" altText="ITOM">
                <anchor moveWithCells="1">
                  <from>
                    <xdr:col>0</xdr:col>
                    <xdr:colOff>66675</xdr:colOff>
                    <xdr:row>131</xdr:row>
                    <xdr:rowOff>114300</xdr:rowOff>
                  </from>
                  <to>
                    <xdr:col>1</xdr:col>
                    <xdr:colOff>85725</xdr:colOff>
                    <xdr:row>133</xdr:row>
                    <xdr:rowOff>66675</xdr:rowOff>
                  </to>
                </anchor>
              </controlPr>
            </control>
          </mc:Choice>
        </mc:AlternateContent>
        <mc:AlternateContent xmlns:mc="http://schemas.openxmlformats.org/markup-compatibility/2006">
          <mc:Choice Requires="x14">
            <control shapeId="1158" r:id="rId135" name="Check Box 134">
              <controlPr defaultSize="0" autoFill="0" autoLine="0" autoPict="0" altText="ITOM">
                <anchor moveWithCells="1">
                  <from>
                    <xdr:col>0</xdr:col>
                    <xdr:colOff>66675</xdr:colOff>
                    <xdr:row>132</xdr:row>
                    <xdr:rowOff>114300</xdr:rowOff>
                  </from>
                  <to>
                    <xdr:col>1</xdr:col>
                    <xdr:colOff>85725</xdr:colOff>
                    <xdr:row>134</xdr:row>
                    <xdr:rowOff>66675</xdr:rowOff>
                  </to>
                </anchor>
              </controlPr>
            </control>
          </mc:Choice>
        </mc:AlternateContent>
        <mc:AlternateContent xmlns:mc="http://schemas.openxmlformats.org/markup-compatibility/2006">
          <mc:Choice Requires="x14">
            <control shapeId="1159" r:id="rId136" name="Check Box 135">
              <controlPr defaultSize="0" autoFill="0" autoLine="0" autoPict="0" altText="ITOM">
                <anchor moveWithCells="1">
                  <from>
                    <xdr:col>0</xdr:col>
                    <xdr:colOff>66675</xdr:colOff>
                    <xdr:row>133</xdr:row>
                    <xdr:rowOff>114300</xdr:rowOff>
                  </from>
                  <to>
                    <xdr:col>1</xdr:col>
                    <xdr:colOff>85725</xdr:colOff>
                    <xdr:row>135</xdr:row>
                    <xdr:rowOff>66675</xdr:rowOff>
                  </to>
                </anchor>
              </controlPr>
            </control>
          </mc:Choice>
        </mc:AlternateContent>
        <mc:AlternateContent xmlns:mc="http://schemas.openxmlformats.org/markup-compatibility/2006">
          <mc:Choice Requires="x14">
            <control shapeId="1160" r:id="rId137" name="Check Box 136">
              <controlPr defaultSize="0" autoFill="0" autoLine="0" autoPict="0" altText="ITOM">
                <anchor moveWithCells="1">
                  <from>
                    <xdr:col>0</xdr:col>
                    <xdr:colOff>66675</xdr:colOff>
                    <xdr:row>134</xdr:row>
                    <xdr:rowOff>114300</xdr:rowOff>
                  </from>
                  <to>
                    <xdr:col>1</xdr:col>
                    <xdr:colOff>85725</xdr:colOff>
                    <xdr:row>136</xdr:row>
                    <xdr:rowOff>66675</xdr:rowOff>
                  </to>
                </anchor>
              </controlPr>
            </control>
          </mc:Choice>
        </mc:AlternateContent>
        <mc:AlternateContent xmlns:mc="http://schemas.openxmlformats.org/markup-compatibility/2006">
          <mc:Choice Requires="x14">
            <control shapeId="1161" r:id="rId138" name="Check Box 137">
              <controlPr defaultSize="0" autoFill="0" autoLine="0" autoPict="0" altText="ITOM">
                <anchor moveWithCells="1">
                  <from>
                    <xdr:col>0</xdr:col>
                    <xdr:colOff>66675</xdr:colOff>
                    <xdr:row>135</xdr:row>
                    <xdr:rowOff>114300</xdr:rowOff>
                  </from>
                  <to>
                    <xdr:col>1</xdr:col>
                    <xdr:colOff>85725</xdr:colOff>
                    <xdr:row>137</xdr:row>
                    <xdr:rowOff>66675</xdr:rowOff>
                  </to>
                </anchor>
              </controlPr>
            </control>
          </mc:Choice>
        </mc:AlternateContent>
        <mc:AlternateContent xmlns:mc="http://schemas.openxmlformats.org/markup-compatibility/2006">
          <mc:Choice Requires="x14">
            <control shapeId="1162" r:id="rId139" name="Check Box 138">
              <controlPr defaultSize="0" autoFill="0" autoLine="0" autoPict="0" altText="ITOM">
                <anchor moveWithCells="1">
                  <from>
                    <xdr:col>0</xdr:col>
                    <xdr:colOff>66675</xdr:colOff>
                    <xdr:row>136</xdr:row>
                    <xdr:rowOff>114300</xdr:rowOff>
                  </from>
                  <to>
                    <xdr:col>1</xdr:col>
                    <xdr:colOff>85725</xdr:colOff>
                    <xdr:row>138</xdr:row>
                    <xdr:rowOff>66675</xdr:rowOff>
                  </to>
                </anchor>
              </controlPr>
            </control>
          </mc:Choice>
        </mc:AlternateContent>
        <mc:AlternateContent xmlns:mc="http://schemas.openxmlformats.org/markup-compatibility/2006">
          <mc:Choice Requires="x14">
            <control shapeId="1164" r:id="rId140" name="Check Box 140">
              <controlPr defaultSize="0" autoFill="0" autoLine="0" autoPict="0" altText="ITOM">
                <anchor moveWithCells="1">
                  <from>
                    <xdr:col>0</xdr:col>
                    <xdr:colOff>66675</xdr:colOff>
                    <xdr:row>10</xdr:row>
                    <xdr:rowOff>114300</xdr:rowOff>
                  </from>
                  <to>
                    <xdr:col>1</xdr:col>
                    <xdr:colOff>85725</xdr:colOff>
                    <xdr:row>12</xdr:row>
                    <xdr:rowOff>66675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341DFE-566A-432F-83C9-526CDCBA329C}">
  <sheetPr>
    <tabColor theme="9"/>
  </sheetPr>
  <dimension ref="A1:E36"/>
  <sheetViews>
    <sheetView workbookViewId="0">
      <selection activeCell="G10" sqref="G10"/>
    </sheetView>
  </sheetViews>
  <sheetFormatPr defaultColWidth="9.140625" defaultRowHeight="12.75"/>
  <cols>
    <col min="1" max="1" width="70.85546875" customWidth="1"/>
  </cols>
  <sheetData>
    <row r="1" spans="1:5" s="560" customFormat="1" ht="50.1" customHeight="1">
      <c r="A1" s="1010" t="s">
        <v>185</v>
      </c>
      <c r="B1" s="1010"/>
      <c r="C1" s="1010"/>
      <c r="D1" s="1010"/>
      <c r="E1" s="1010"/>
    </row>
    <row r="2" spans="1:5" s="560" customFormat="1">
      <c r="A2" s="560" t="s">
        <v>186</v>
      </c>
    </row>
    <row r="3" spans="1:5" s="560" customFormat="1">
      <c r="A3" s="560" t="s">
        <v>187</v>
      </c>
    </row>
    <row r="4" spans="1:5" s="560" customFormat="1"/>
    <row r="5" spans="1:5" s="560" customFormat="1" ht="33" customHeight="1">
      <c r="A5" s="1011" t="s">
        <v>188</v>
      </c>
      <c r="B5" s="1011"/>
      <c r="C5" s="1011"/>
      <c r="D5" s="1011"/>
      <c r="E5" s="1011"/>
    </row>
    <row r="6" spans="1:5" s="560" customFormat="1" ht="31.5" customHeight="1">
      <c r="A6" s="1011" t="s">
        <v>189</v>
      </c>
      <c r="B6" s="1011"/>
      <c r="C6" s="1011"/>
      <c r="D6" s="1011"/>
      <c r="E6" s="1011"/>
    </row>
    <row r="7" spans="1:5" s="560" customFormat="1">
      <c r="A7" s="1011" t="s">
        <v>190</v>
      </c>
      <c r="B7" s="1011"/>
      <c r="C7" s="1011"/>
      <c r="D7" s="1011"/>
      <c r="E7" s="1011"/>
    </row>
    <row r="8" spans="1:5" s="560" customFormat="1" ht="27" customHeight="1">
      <c r="A8" s="600" t="s">
        <v>191</v>
      </c>
    </row>
    <row r="9" spans="1:5" s="560" customFormat="1">
      <c r="A9" s="600" t="s">
        <v>192</v>
      </c>
    </row>
    <row r="10" spans="1:5" s="560" customFormat="1">
      <c r="A10" s="600" t="s">
        <v>193</v>
      </c>
    </row>
    <row r="11" spans="1:5" s="560" customFormat="1">
      <c r="A11" s="601"/>
    </row>
    <row r="12" spans="1:5" s="560" customFormat="1">
      <c r="A12" s="601"/>
    </row>
    <row r="13" spans="1:5" s="560" customFormat="1">
      <c r="A13" s="602"/>
    </row>
    <row r="14" spans="1:5" s="560" customFormat="1">
      <c r="A14" s="600"/>
    </row>
    <row r="15" spans="1:5">
      <c r="A15" s="228"/>
    </row>
    <row r="16" spans="1:5">
      <c r="A16" s="228"/>
    </row>
    <row r="17" spans="1:1">
      <c r="A17" s="228"/>
    </row>
    <row r="18" spans="1:1">
      <c r="A18" s="228"/>
    </row>
    <row r="21" spans="1:1">
      <c r="A21" s="228"/>
    </row>
    <row r="22" spans="1:1">
      <c r="A22" s="228"/>
    </row>
    <row r="23" spans="1:1">
      <c r="A23" s="228"/>
    </row>
    <row r="24" spans="1:1">
      <c r="A24" s="228"/>
    </row>
    <row r="25" spans="1:1">
      <c r="A25" s="228"/>
    </row>
    <row r="26" spans="1:1">
      <c r="A26" s="228"/>
    </row>
    <row r="27" spans="1:1">
      <c r="A27" s="228"/>
    </row>
    <row r="28" spans="1:1">
      <c r="A28" s="229"/>
    </row>
    <row r="30" spans="1:1">
      <c r="A30" s="230"/>
    </row>
    <row r="33" spans="1:1">
      <c r="A33" s="228"/>
    </row>
    <row r="34" spans="1:1">
      <c r="A34" s="229"/>
    </row>
    <row r="35" spans="1:1">
      <c r="A35" s="229"/>
    </row>
    <row r="36" spans="1:1">
      <c r="A36" s="228"/>
    </row>
  </sheetData>
  <mergeCells count="4">
    <mergeCell ref="A1:E1"/>
    <mergeCell ref="A5:E5"/>
    <mergeCell ref="A6:E6"/>
    <mergeCell ref="A7:E7"/>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C7BA5-D525-4231-A7DB-619F9975C6B3}">
  <sheetPr>
    <tabColor theme="5"/>
  </sheetPr>
  <dimension ref="A1:E36"/>
  <sheetViews>
    <sheetView workbookViewId="0">
      <selection activeCell="B23" sqref="B23"/>
    </sheetView>
  </sheetViews>
  <sheetFormatPr defaultColWidth="9.140625" defaultRowHeight="12.75"/>
  <cols>
    <col min="1" max="1" width="70.85546875" customWidth="1"/>
  </cols>
  <sheetData>
    <row r="1" spans="1:5" s="560" customFormat="1" ht="50.1" customHeight="1">
      <c r="A1" s="1010" t="s">
        <v>185</v>
      </c>
      <c r="B1" s="1010"/>
      <c r="C1" s="1010"/>
      <c r="D1" s="1010"/>
      <c r="E1" s="1010"/>
    </row>
    <row r="2" spans="1:5" s="560" customFormat="1">
      <c r="A2" s="560" t="s">
        <v>194</v>
      </c>
    </row>
    <row r="3" spans="1:5" s="560" customFormat="1">
      <c r="A3" s="560" t="s">
        <v>195</v>
      </c>
    </row>
    <row r="4" spans="1:5" s="560" customFormat="1"/>
    <row r="5" spans="1:5" s="560" customFormat="1">
      <c r="A5" s="1012" t="s">
        <v>196</v>
      </c>
      <c r="B5" s="1012"/>
      <c r="C5" s="1012"/>
      <c r="D5" s="1012"/>
      <c r="E5" s="1012"/>
    </row>
    <row r="6" spans="1:5" s="560" customFormat="1" ht="25.5" customHeight="1">
      <c r="A6" s="1011" t="s">
        <v>197</v>
      </c>
      <c r="B6" s="1011"/>
      <c r="C6" s="1011"/>
      <c r="D6" s="1011"/>
      <c r="E6" s="1011"/>
    </row>
    <row r="7" spans="1:5" s="560" customFormat="1">
      <c r="A7" s="1011" t="s">
        <v>198</v>
      </c>
      <c r="B7" s="1011"/>
      <c r="C7" s="1011"/>
      <c r="D7" s="1011"/>
      <c r="E7" s="1011"/>
    </row>
    <row r="8" spans="1:5" s="560" customFormat="1">
      <c r="A8" s="601"/>
    </row>
    <row r="9" spans="1:5" s="560" customFormat="1">
      <c r="A9" s="600"/>
    </row>
    <row r="10" spans="1:5" s="560" customFormat="1">
      <c r="A10" s="601"/>
    </row>
    <row r="11" spans="1:5" s="560" customFormat="1">
      <c r="A11" s="601"/>
    </row>
    <row r="12" spans="1:5" s="560" customFormat="1">
      <c r="A12" s="601"/>
    </row>
    <row r="13" spans="1:5" s="560" customFormat="1">
      <c r="A13" s="602"/>
    </row>
    <row r="14" spans="1:5" s="560" customFormat="1">
      <c r="A14" s="600"/>
    </row>
    <row r="15" spans="1:5">
      <c r="A15" s="228"/>
    </row>
    <row r="16" spans="1:5">
      <c r="A16" s="228"/>
    </row>
    <row r="17" spans="1:1">
      <c r="A17" s="228"/>
    </row>
    <row r="18" spans="1:1">
      <c r="A18" s="228"/>
    </row>
    <row r="21" spans="1:1">
      <c r="A21" s="228"/>
    </row>
    <row r="22" spans="1:1">
      <c r="A22" s="228"/>
    </row>
    <row r="23" spans="1:1">
      <c r="A23" s="228"/>
    </row>
    <row r="24" spans="1:1">
      <c r="A24" s="228"/>
    </row>
    <row r="25" spans="1:1">
      <c r="A25" s="228"/>
    </row>
    <row r="26" spans="1:1">
      <c r="A26" s="228"/>
    </row>
    <row r="27" spans="1:1">
      <c r="A27" s="228"/>
    </row>
    <row r="28" spans="1:1">
      <c r="A28" s="229"/>
    </row>
    <row r="30" spans="1:1">
      <c r="A30" s="230"/>
    </row>
    <row r="33" spans="1:1">
      <c r="A33" s="228"/>
    </row>
    <row r="34" spans="1:1">
      <c r="A34" s="229"/>
    </row>
    <row r="35" spans="1:1">
      <c r="A35" s="229"/>
    </row>
    <row r="36" spans="1:1">
      <c r="A36" s="228"/>
    </row>
  </sheetData>
  <sheetProtection algorithmName="SHA-512" hashValue="jmaKSa8vCR2dgawUdQOxnzdkpkQ/C83DVUmtsqxnJRmQWLNzzdfrRBKUG1gineWm8vqUgSan8lKME04UTMw79Q==" saltValue="cLVLfLNrNgPVmZR93Tz8LQ==" spinCount="100000" sheet="1" objects="1" scenarios="1"/>
  <mergeCells count="4">
    <mergeCell ref="A1:E1"/>
    <mergeCell ref="A5:E5"/>
    <mergeCell ref="A6:E6"/>
    <mergeCell ref="A7:E7"/>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8E836-9B42-42ED-B22B-EDEC62D2D077}">
  <sheetPr>
    <tabColor theme="5"/>
  </sheetPr>
  <dimension ref="B6:B30"/>
  <sheetViews>
    <sheetView workbookViewId="0">
      <selection activeCell="B2" sqref="B2"/>
    </sheetView>
  </sheetViews>
  <sheetFormatPr defaultRowHeight="12.75"/>
  <cols>
    <col min="2" max="2" width="157" customWidth="1"/>
  </cols>
  <sheetData>
    <row r="6" spans="2:2" ht="15">
      <c r="B6" s="873" t="s">
        <v>199</v>
      </c>
    </row>
    <row r="7" spans="2:2" ht="15">
      <c r="B7" s="874" t="s">
        <v>200</v>
      </c>
    </row>
    <row r="8" spans="2:2" ht="15">
      <c r="B8" s="874" t="s">
        <v>201</v>
      </c>
    </row>
    <row r="9" spans="2:2" ht="15">
      <c r="B9" s="874" t="s">
        <v>202</v>
      </c>
    </row>
    <row r="10" spans="2:2" ht="15">
      <c r="B10" s="874" t="s">
        <v>203</v>
      </c>
    </row>
    <row r="11" spans="2:2" ht="15">
      <c r="B11" s="874" t="s">
        <v>204</v>
      </c>
    </row>
    <row r="12" spans="2:2" ht="15">
      <c r="B12" s="874" t="s">
        <v>205</v>
      </c>
    </row>
    <row r="13" spans="2:2" ht="15">
      <c r="B13" s="874" t="s">
        <v>206</v>
      </c>
    </row>
    <row r="14" spans="2:2" ht="15">
      <c r="B14" s="875" t="s">
        <v>207</v>
      </c>
    </row>
    <row r="15" spans="2:2" ht="15">
      <c r="B15" s="873" t="s">
        <v>208</v>
      </c>
    </row>
    <row r="16" spans="2:2" ht="15">
      <c r="B16" s="874" t="s">
        <v>209</v>
      </c>
    </row>
    <row r="17" spans="2:2" ht="15">
      <c r="B17" s="874" t="s">
        <v>210</v>
      </c>
    </row>
    <row r="18" spans="2:2" ht="15">
      <c r="B18" s="875" t="s">
        <v>207</v>
      </c>
    </row>
    <row r="19" spans="2:2" ht="15">
      <c r="B19" s="873" t="s">
        <v>211</v>
      </c>
    </row>
    <row r="20" spans="2:2" ht="15">
      <c r="B20" s="874" t="s">
        <v>212</v>
      </c>
    </row>
    <row r="21" spans="2:2" ht="15">
      <c r="B21" s="874" t="s">
        <v>213</v>
      </c>
    </row>
    <row r="22" spans="2:2" ht="15">
      <c r="B22" s="874" t="s">
        <v>214</v>
      </c>
    </row>
    <row r="23" spans="2:2" ht="15">
      <c r="B23" s="875" t="s">
        <v>207</v>
      </c>
    </row>
    <row r="24" spans="2:2" ht="15">
      <c r="B24" s="873" t="s">
        <v>215</v>
      </c>
    </row>
    <row r="25" spans="2:2" ht="15">
      <c r="B25" s="874" t="s">
        <v>216</v>
      </c>
    </row>
    <row r="26" spans="2:2" ht="15">
      <c r="B26" s="874" t="s">
        <v>217</v>
      </c>
    </row>
    <row r="27" spans="2:2" ht="15">
      <c r="B27" s="874" t="s">
        <v>218</v>
      </c>
    </row>
    <row r="28" spans="2:2" ht="15">
      <c r="B28" s="874" t="s">
        <v>219</v>
      </c>
    </row>
    <row r="29" spans="2:2" ht="18.75">
      <c r="B29" s="870" t="s">
        <v>207</v>
      </c>
    </row>
    <row r="30" spans="2:2" ht="18.75">
      <c r="B30" s="870" t="s">
        <v>207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6F95E-AFFA-4A64-8C83-F64FC66D81AB}">
  <sheetPr>
    <tabColor theme="5"/>
    <pageSetUpPr fitToPage="1"/>
  </sheetPr>
  <dimension ref="B1:AV91"/>
  <sheetViews>
    <sheetView topLeftCell="A30" zoomScaleNormal="100" workbookViewId="0">
      <selection activeCell="M27" sqref="M27"/>
    </sheetView>
  </sheetViews>
  <sheetFormatPr defaultColWidth="9.140625" defaultRowHeight="15"/>
  <cols>
    <col min="1" max="1" width="3.5703125" style="669" customWidth="1"/>
    <col min="2" max="2" width="13.42578125" style="669" customWidth="1"/>
    <col min="3" max="3" width="9.140625" style="669" customWidth="1"/>
    <col min="4" max="4" width="19.85546875" style="669" customWidth="1"/>
    <col min="5" max="5" width="9.140625" style="669" customWidth="1"/>
    <col min="6" max="6" width="11" style="669" customWidth="1"/>
    <col min="7" max="8" width="12.140625" style="669" customWidth="1"/>
    <col min="9" max="9" width="10.85546875" style="669" customWidth="1"/>
    <col min="10" max="10" width="9" style="669" customWidth="1"/>
    <col min="11" max="11" width="8.42578125" style="669" customWidth="1"/>
    <col min="12" max="14" width="10.42578125" style="669" bestFit="1" customWidth="1"/>
    <col min="15" max="15" width="12.85546875" style="669" bestFit="1" customWidth="1"/>
    <col min="16" max="17" width="19.140625" style="669" customWidth="1"/>
    <col min="18" max="18" width="22.140625" style="669" customWidth="1"/>
    <col min="19" max="22" width="31.42578125" style="669" customWidth="1"/>
    <col min="23" max="23" width="30.140625" style="669" customWidth="1"/>
    <col min="24" max="24" width="30.140625" style="669" hidden="1" customWidth="1"/>
    <col min="25" max="26" width="32.5703125" style="669" customWidth="1"/>
    <col min="27" max="27" width="26.42578125" style="669" hidden="1" customWidth="1"/>
    <col min="28" max="28" width="29.85546875" style="669" hidden="1" customWidth="1"/>
    <col min="29" max="29" width="36.140625" style="669" hidden="1" customWidth="1"/>
    <col min="30" max="30" width="25.85546875" style="669" hidden="1" customWidth="1"/>
    <col min="31" max="31" width="25.140625" style="669" hidden="1" customWidth="1"/>
    <col min="32" max="33" width="11.42578125" style="669" hidden="1" customWidth="1"/>
    <col min="34" max="34" width="14" style="669" hidden="1" customWidth="1"/>
    <col min="35" max="35" width="13.5703125" style="669" hidden="1" customWidth="1"/>
    <col min="36" max="36" width="12" style="669" hidden="1" customWidth="1"/>
    <col min="37" max="45" width="9.140625" style="669" hidden="1" customWidth="1"/>
    <col min="46" max="46" width="7.85546875" style="669" hidden="1" customWidth="1"/>
    <col min="47" max="47" width="7" style="669" hidden="1" customWidth="1"/>
    <col min="48" max="48" width="9.140625" style="669" hidden="1" customWidth="1"/>
    <col min="49" max="16384" width="9.140625" style="669"/>
  </cols>
  <sheetData>
    <row r="1" spans="2:36" s="640" customFormat="1" ht="12.75" customHeight="1" thickBot="1">
      <c r="B1" s="639"/>
      <c r="C1" s="639"/>
      <c r="D1" s="639"/>
      <c r="E1" s="639"/>
      <c r="F1" s="639"/>
      <c r="G1" s="639"/>
      <c r="H1" s="639"/>
      <c r="I1" s="639"/>
      <c r="J1" s="639"/>
      <c r="K1" s="639"/>
      <c r="L1" s="639"/>
      <c r="M1" s="639"/>
      <c r="N1" s="639"/>
      <c r="O1" s="1082"/>
      <c r="P1" s="1082"/>
      <c r="Q1" s="1082"/>
      <c r="R1" s="1082"/>
      <c r="S1" s="1082"/>
      <c r="T1" s="1082"/>
      <c r="U1" s="1082"/>
      <c r="V1" s="1082"/>
      <c r="W1" s="1082"/>
      <c r="X1" s="786"/>
    </row>
    <row r="2" spans="2:36" s="640" customFormat="1" ht="23.25">
      <c r="B2" s="1088" t="s">
        <v>220</v>
      </c>
      <c r="C2" s="1089"/>
      <c r="D2" s="1089"/>
      <c r="E2" s="1089"/>
      <c r="F2" s="1089"/>
      <c r="G2" s="1089"/>
      <c r="H2" s="1089"/>
      <c r="I2" s="1089"/>
      <c r="J2" s="1089"/>
      <c r="K2" s="1089"/>
      <c r="L2" s="1089"/>
      <c r="M2" s="1089"/>
      <c r="N2" s="1089"/>
      <c r="O2" s="1089"/>
      <c r="P2" s="1089"/>
      <c r="Q2" s="1089"/>
      <c r="R2" s="1089"/>
      <c r="S2" s="1089"/>
      <c r="T2" s="1089"/>
      <c r="U2" s="1089"/>
      <c r="V2" s="1089"/>
      <c r="W2" s="1089"/>
      <c r="X2" s="1089"/>
      <c r="Y2" s="1090"/>
    </row>
    <row r="3" spans="2:36" s="640" customFormat="1" ht="15.75" thickBot="1">
      <c r="B3" s="1091" t="s">
        <v>221</v>
      </c>
      <c r="C3" s="1092"/>
      <c r="D3" s="1092"/>
      <c r="E3" s="1092"/>
      <c r="F3" s="1092"/>
      <c r="G3" s="1092"/>
      <c r="H3" s="1092"/>
      <c r="I3" s="1092"/>
      <c r="J3" s="1092"/>
      <c r="K3" s="1092"/>
      <c r="L3" s="1092"/>
      <c r="M3" s="1092"/>
      <c r="N3" s="1092"/>
      <c r="O3" s="1092"/>
      <c r="P3" s="1092"/>
      <c r="Q3" s="1092"/>
      <c r="R3" s="1092"/>
      <c r="S3" s="1092"/>
      <c r="T3" s="1092"/>
      <c r="U3" s="1092"/>
      <c r="V3" s="1092"/>
      <c r="W3" s="1092"/>
      <c r="X3" s="1092"/>
      <c r="Y3" s="1093"/>
    </row>
    <row r="4" spans="2:36">
      <c r="B4" s="478" t="s">
        <v>222</v>
      </c>
      <c r="C4" s="478" t="s">
        <v>222</v>
      </c>
      <c r="D4" s="478" t="s">
        <v>222</v>
      </c>
      <c r="E4" s="478"/>
      <c r="F4" s="478" t="s">
        <v>222</v>
      </c>
      <c r="G4" s="478" t="s">
        <v>222</v>
      </c>
      <c r="H4" s="478" t="s">
        <v>222</v>
      </c>
      <c r="I4" s="478" t="s">
        <v>222</v>
      </c>
      <c r="J4" s="478"/>
      <c r="K4" s="478" t="s">
        <v>222</v>
      </c>
      <c r="L4" s="478" t="s">
        <v>222</v>
      </c>
      <c r="M4" s="478" t="s">
        <v>222</v>
      </c>
      <c r="N4" s="478" t="s">
        <v>222</v>
      </c>
      <c r="O4" s="478" t="s">
        <v>222</v>
      </c>
      <c r="P4" s="478" t="s">
        <v>222</v>
      </c>
      <c r="Q4" s="478" t="s">
        <v>222</v>
      </c>
      <c r="R4" s="478" t="s">
        <v>222</v>
      </c>
      <c r="S4" s="478"/>
      <c r="T4" s="478"/>
      <c r="U4" s="478"/>
      <c r="V4" s="478"/>
      <c r="W4" s="478"/>
      <c r="X4" s="478"/>
      <c r="Y4" s="637"/>
      <c r="Z4" s="947"/>
      <c r="AA4" s="947"/>
      <c r="AB4" s="947"/>
      <c r="AC4" s="947"/>
      <c r="AD4" s="947"/>
      <c r="AE4" s="947"/>
      <c r="AF4" s="947"/>
      <c r="AG4" s="947"/>
      <c r="AH4" s="947"/>
      <c r="AI4" s="947"/>
      <c r="AJ4" s="947"/>
    </row>
    <row r="5" spans="2:36" ht="15.75" thickBot="1">
      <c r="B5" s="478" t="s">
        <v>222</v>
      </c>
      <c r="C5" s="478" t="s">
        <v>222</v>
      </c>
      <c r="D5" s="478" t="s">
        <v>222</v>
      </c>
      <c r="E5" s="478"/>
      <c r="F5" s="478" t="s">
        <v>222</v>
      </c>
      <c r="G5" s="478" t="s">
        <v>222</v>
      </c>
      <c r="H5" s="478" t="s">
        <v>222</v>
      </c>
      <c r="I5" s="478" t="s">
        <v>222</v>
      </c>
      <c r="J5" s="478"/>
      <c r="K5" s="478" t="s">
        <v>222</v>
      </c>
      <c r="L5" s="478" t="s">
        <v>222</v>
      </c>
      <c r="M5" s="478" t="s">
        <v>222</v>
      </c>
      <c r="N5" s="478" t="s">
        <v>222</v>
      </c>
      <c r="O5" s="478" t="s">
        <v>222</v>
      </c>
      <c r="P5" s="478" t="s">
        <v>222</v>
      </c>
      <c r="Q5" s="478" t="s">
        <v>222</v>
      </c>
      <c r="R5" s="478" t="s">
        <v>222</v>
      </c>
      <c r="S5" s="478"/>
      <c r="T5" s="478"/>
      <c r="U5" s="478"/>
      <c r="V5" s="478"/>
      <c r="W5" s="478"/>
      <c r="X5" s="478"/>
      <c r="Y5" s="637"/>
      <c r="Z5" s="947"/>
      <c r="AA5" s="947"/>
      <c r="AB5" s="947"/>
      <c r="AC5" s="947"/>
      <c r="AD5" s="947"/>
      <c r="AE5" s="947"/>
      <c r="AF5" s="947"/>
      <c r="AG5" s="947"/>
      <c r="AH5" s="947"/>
      <c r="AI5" s="947"/>
      <c r="AJ5" s="947"/>
    </row>
    <row r="6" spans="2:36" ht="18.75">
      <c r="B6" s="1085" t="s">
        <v>223</v>
      </c>
      <c r="C6" s="1086"/>
      <c r="D6" s="1086"/>
      <c r="E6" s="1086"/>
      <c r="F6" s="1086"/>
      <c r="G6" s="1086"/>
      <c r="H6" s="1086"/>
      <c r="I6" s="1086"/>
      <c r="J6" s="1086"/>
      <c r="K6" s="1086"/>
      <c r="L6" s="1087"/>
      <c r="M6" s="478" t="s">
        <v>222</v>
      </c>
      <c r="N6" s="478" t="s">
        <v>222</v>
      </c>
      <c r="O6" s="1030" t="str">
        <f>"Financial Dashboard (" &amp;G17&amp; ")"</f>
        <v>Financial Dashboard (GBP)</v>
      </c>
      <c r="P6" s="1031"/>
      <c r="Q6" s="1031"/>
      <c r="R6" s="1032"/>
      <c r="S6" s="637"/>
      <c r="T6" s="637"/>
      <c r="U6" s="637"/>
      <c r="V6" s="637"/>
      <c r="W6" s="637"/>
      <c r="X6" s="637"/>
      <c r="Y6" s="637"/>
      <c r="Z6" s="947"/>
      <c r="AA6" s="947"/>
      <c r="AB6" s="947"/>
      <c r="AC6" s="947"/>
      <c r="AD6" s="947"/>
      <c r="AE6" s="947"/>
      <c r="AF6" s="947"/>
      <c r="AG6" s="947"/>
      <c r="AH6" s="947"/>
      <c r="AI6" s="947"/>
      <c r="AJ6" s="947"/>
    </row>
    <row r="7" spans="2:36">
      <c r="B7" s="1349" t="s">
        <v>224</v>
      </c>
      <c r="C7" s="1350"/>
      <c r="D7" s="1350"/>
      <c r="E7" s="1350"/>
      <c r="F7" s="1350"/>
      <c r="G7" s="1083"/>
      <c r="H7" s="1083"/>
      <c r="I7" s="1083"/>
      <c r="J7" s="1083"/>
      <c r="K7" s="1083"/>
      <c r="L7" s="1084"/>
      <c r="M7" s="478" t="s">
        <v>222</v>
      </c>
      <c r="N7" s="478" t="s">
        <v>222</v>
      </c>
      <c r="O7" s="948"/>
      <c r="P7" s="488" t="s">
        <v>225</v>
      </c>
      <c r="Q7" s="488" t="s">
        <v>226</v>
      </c>
      <c r="R7" s="487" t="s">
        <v>227</v>
      </c>
      <c r="S7" s="637"/>
      <c r="T7" s="637"/>
      <c r="U7" s="637"/>
      <c r="V7" s="637"/>
      <c r="W7" s="637"/>
      <c r="X7" s="637"/>
      <c r="Y7" s="637"/>
      <c r="Z7" s="947"/>
      <c r="AA7" s="947"/>
      <c r="AB7" s="947"/>
      <c r="AC7" s="947"/>
      <c r="AD7" s="947"/>
      <c r="AE7" s="481"/>
      <c r="AF7" s="481"/>
      <c r="AG7" s="481"/>
      <c r="AH7" s="481"/>
      <c r="AI7" s="481"/>
      <c r="AJ7" s="481"/>
    </row>
    <row r="8" spans="2:36">
      <c r="B8" s="1349" t="s">
        <v>228</v>
      </c>
      <c r="C8" s="1350"/>
      <c r="D8" s="1350"/>
      <c r="E8" s="1350"/>
      <c r="F8" s="1350"/>
      <c r="G8" s="1028"/>
      <c r="H8" s="1028"/>
      <c r="I8" s="1028"/>
      <c r="J8" s="1028"/>
      <c r="K8" s="1028"/>
      <c r="L8" s="1029"/>
      <c r="M8" s="478" t="s">
        <v>222</v>
      </c>
      <c r="N8" s="478" t="s">
        <v>222</v>
      </c>
      <c r="O8" s="485" t="s">
        <v>229</v>
      </c>
      <c r="P8" s="674">
        <f>AL58</f>
        <v>238800</v>
      </c>
      <c r="Q8" s="674">
        <f>AM58</f>
        <v>124176</v>
      </c>
      <c r="R8" s="675">
        <f>AN58</f>
        <v>114624</v>
      </c>
      <c r="S8" s="637"/>
      <c r="T8" s="637"/>
      <c r="U8" s="637"/>
      <c r="V8" s="637"/>
      <c r="W8" s="637"/>
      <c r="X8" s="637"/>
      <c r="Y8" s="637"/>
      <c r="Z8" s="947"/>
      <c r="AA8" s="947"/>
      <c r="AB8" s="641"/>
      <c r="AC8" s="641"/>
      <c r="AD8" s="486"/>
      <c r="AE8" s="950"/>
      <c r="AF8" s="950"/>
      <c r="AG8" s="950"/>
      <c r="AH8" s="950"/>
      <c r="AI8" s="641"/>
      <c r="AJ8" s="950"/>
    </row>
    <row r="9" spans="2:36">
      <c r="B9" s="1349" t="s">
        <v>230</v>
      </c>
      <c r="C9" s="1350"/>
      <c r="D9" s="1350"/>
      <c r="E9" s="1350"/>
      <c r="F9" s="1350"/>
      <c r="G9" s="1028" t="s">
        <v>231</v>
      </c>
      <c r="H9" s="1028"/>
      <c r="I9" s="1028"/>
      <c r="J9" s="1028"/>
      <c r="K9" s="1028"/>
      <c r="L9" s="1029"/>
      <c r="M9" s="478" t="s">
        <v>222</v>
      </c>
      <c r="N9" s="478" t="s">
        <v>222</v>
      </c>
      <c r="O9" s="485" t="s">
        <v>232</v>
      </c>
      <c r="P9" s="674">
        <f>AO58</f>
        <v>78088.670160000009</v>
      </c>
      <c r="Q9" s="674">
        <f>AP58</f>
        <v>68499.729600000006</v>
      </c>
      <c r="R9" s="675">
        <f>AQ58</f>
        <v>9588.9405599999991</v>
      </c>
      <c r="S9" s="637"/>
      <c r="T9" s="637"/>
      <c r="U9" s="637"/>
      <c r="V9" s="637"/>
      <c r="W9" s="637"/>
      <c r="X9" s="637"/>
      <c r="Y9" s="637"/>
      <c r="Z9" s="947"/>
      <c r="AA9" s="947"/>
      <c r="AB9" s="641"/>
      <c r="AC9" s="641"/>
      <c r="AD9" s="641"/>
      <c r="AE9" s="947"/>
      <c r="AF9" s="947"/>
      <c r="AG9" s="947"/>
      <c r="AH9" s="947"/>
      <c r="AI9" s="947"/>
      <c r="AJ9" s="947"/>
    </row>
    <row r="10" spans="2:36">
      <c r="B10" s="1349" t="s">
        <v>233</v>
      </c>
      <c r="C10" s="1350"/>
      <c r="D10" s="1350"/>
      <c r="E10" s="1350"/>
      <c r="F10" s="1350"/>
      <c r="G10" s="1028" t="s">
        <v>234</v>
      </c>
      <c r="H10" s="1028"/>
      <c r="I10" s="1028"/>
      <c r="J10" s="1028"/>
      <c r="K10" s="1028"/>
      <c r="L10" s="1029"/>
      <c r="M10" s="478" t="s">
        <v>222</v>
      </c>
      <c r="N10" s="478" t="s">
        <v>222</v>
      </c>
      <c r="O10" s="485" t="s">
        <v>235</v>
      </c>
      <c r="P10" s="674">
        <f>P8-P9</f>
        <v>160711.32983999999</v>
      </c>
      <c r="Q10" s="674">
        <f>Q8-Q9</f>
        <v>55676.270399999994</v>
      </c>
      <c r="R10" s="675">
        <f>R8-R9</f>
        <v>105035.05944</v>
      </c>
      <c r="S10" s="637"/>
      <c r="T10" s="637"/>
      <c r="U10" s="637"/>
      <c r="V10" s="637"/>
      <c r="W10" s="637"/>
      <c r="X10" s="637"/>
      <c r="Y10" s="637"/>
      <c r="Z10" s="947"/>
      <c r="AA10" s="477" t="s">
        <v>236</v>
      </c>
      <c r="AB10" s="641"/>
      <c r="AC10" s="641"/>
      <c r="AD10" s="641"/>
      <c r="AE10" s="950"/>
      <c r="AF10" s="950"/>
      <c r="AG10" s="950"/>
      <c r="AH10" s="947"/>
      <c r="AI10" s="947"/>
      <c r="AJ10" s="947"/>
    </row>
    <row r="11" spans="2:36">
      <c r="B11" s="1349" t="s">
        <v>237</v>
      </c>
      <c r="C11" s="1350"/>
      <c r="D11" s="1350"/>
      <c r="E11" s="1350"/>
      <c r="F11" s="1350"/>
      <c r="G11" s="1028"/>
      <c r="H11" s="1028"/>
      <c r="I11" s="1028"/>
      <c r="J11" s="1028"/>
      <c r="K11" s="1028"/>
      <c r="L11" s="1029"/>
      <c r="M11" s="478" t="s">
        <v>222</v>
      </c>
      <c r="N11" s="478" t="s">
        <v>222</v>
      </c>
      <c r="O11" s="485" t="s">
        <v>238</v>
      </c>
      <c r="P11" s="676">
        <f>IFERROR(P10/P8,"")</f>
        <v>0.6729955185929648</v>
      </c>
      <c r="Q11" s="676">
        <f>IFERROR(Q10/Q8,"")</f>
        <v>0.44836579049091607</v>
      </c>
      <c r="R11" s="677">
        <f>IFERROR(R10/R8,"")</f>
        <v>0.91634439070351759</v>
      </c>
      <c r="S11" s="637"/>
      <c r="T11" s="637"/>
      <c r="U11" s="637"/>
      <c r="V11" s="637"/>
      <c r="W11" s="637"/>
      <c r="X11" s="637"/>
      <c r="Y11" s="637"/>
      <c r="Z11" s="947"/>
      <c r="AA11" s="642">
        <f>0.3125*R13^5-0.4276*R13^4+0.3734*R13^3-0.1274*R13^2+0.0669*R13+0.5</f>
        <v>0.52931792998399996</v>
      </c>
      <c r="AB11" s="643"/>
      <c r="AC11" s="643"/>
      <c r="AD11" s="643"/>
      <c r="AE11" s="947"/>
      <c r="AF11" s="947"/>
      <c r="AG11" s="947"/>
      <c r="AH11" s="947"/>
      <c r="AI11" s="951"/>
      <c r="AJ11" s="947"/>
    </row>
    <row r="12" spans="2:36">
      <c r="B12" s="1349" t="s">
        <v>239</v>
      </c>
      <c r="C12" s="1350"/>
      <c r="D12" s="1350"/>
      <c r="E12" s="1350"/>
      <c r="F12" s="1350"/>
      <c r="G12" s="1028"/>
      <c r="H12" s="1028"/>
      <c r="I12" s="1028"/>
      <c r="J12" s="1028"/>
      <c r="K12" s="1028"/>
      <c r="L12" s="1029"/>
      <c r="M12" s="478" t="s">
        <v>222</v>
      </c>
      <c r="N12" s="478" t="s">
        <v>222</v>
      </c>
      <c r="O12" s="485" t="s">
        <v>14</v>
      </c>
      <c r="P12" s="674">
        <f>IFERROR(J61,0)</f>
        <v>1200</v>
      </c>
      <c r="Q12" s="674">
        <f>IFERROR(AS58+AU58,"")</f>
        <v>624</v>
      </c>
      <c r="R12" s="675">
        <f>IFERROR(AT58+AV58,"")</f>
        <v>576</v>
      </c>
      <c r="S12" s="637"/>
      <c r="T12" s="637"/>
      <c r="U12" s="637"/>
      <c r="V12" s="637"/>
      <c r="W12" s="637"/>
      <c r="X12" s="637"/>
      <c r="Y12" s="637"/>
      <c r="Z12" s="947"/>
      <c r="AA12" s="947"/>
      <c r="AB12" s="641"/>
      <c r="AC12" s="641"/>
      <c r="AD12" s="641"/>
      <c r="AE12" s="950"/>
      <c r="AF12" s="950"/>
      <c r="AG12" s="950"/>
      <c r="AH12" s="950"/>
      <c r="AI12" s="643"/>
      <c r="AJ12" s="947"/>
    </row>
    <row r="13" spans="2:36">
      <c r="B13" s="1349" t="s">
        <v>240</v>
      </c>
      <c r="C13" s="1350"/>
      <c r="D13" s="1350"/>
      <c r="E13" s="1350"/>
      <c r="F13" s="1350"/>
      <c r="G13" s="1028"/>
      <c r="H13" s="1028"/>
      <c r="I13" s="1028"/>
      <c r="J13" s="1028"/>
      <c r="K13" s="1028"/>
      <c r="L13" s="1029"/>
      <c r="M13" s="478" t="s">
        <v>222</v>
      </c>
      <c r="N13" s="478" t="s">
        <v>222</v>
      </c>
      <c r="O13" s="485" t="s">
        <v>241</v>
      </c>
      <c r="P13" s="678">
        <f>IFERROR(P12/P12,"")</f>
        <v>1</v>
      </c>
      <c r="Q13" s="678">
        <f>IFERROR(Q12/P12,"")</f>
        <v>0.52</v>
      </c>
      <c r="R13" s="679">
        <f>IFERROR(R12/P12,"")</f>
        <v>0.48</v>
      </c>
      <c r="S13" s="637"/>
      <c r="T13" s="637"/>
      <c r="U13" s="637"/>
      <c r="V13" s="637"/>
      <c r="W13" s="637"/>
      <c r="X13" s="637"/>
      <c r="Y13" s="637"/>
      <c r="Z13" s="947"/>
      <c r="AA13" s="947"/>
      <c r="AB13" s="643"/>
      <c r="AC13" s="643"/>
      <c r="AD13" s="643"/>
      <c r="AE13" s="947"/>
      <c r="AF13" s="947"/>
      <c r="AG13" s="947"/>
      <c r="AH13" s="947"/>
      <c r="AI13" s="947"/>
      <c r="AJ13" s="947"/>
    </row>
    <row r="14" spans="2:36">
      <c r="B14" s="1349" t="s">
        <v>242</v>
      </c>
      <c r="C14" s="1350"/>
      <c r="D14" s="1350"/>
      <c r="E14" s="1350"/>
      <c r="F14" s="1350"/>
      <c r="G14" s="1028"/>
      <c r="H14" s="1028"/>
      <c r="I14" s="1028"/>
      <c r="J14" s="1028"/>
      <c r="K14" s="1028"/>
      <c r="L14" s="1029"/>
      <c r="M14" s="478" t="s">
        <v>222</v>
      </c>
      <c r="N14" s="478" t="s">
        <v>222</v>
      </c>
      <c r="O14" s="485" t="s">
        <v>243</v>
      </c>
      <c r="P14" s="674">
        <f>IFERROR(P8/P12,"")</f>
        <v>199</v>
      </c>
      <c r="Q14" s="674">
        <f>IFERROR(Q8/Q12,"")</f>
        <v>199</v>
      </c>
      <c r="R14" s="675">
        <f>IFERROR(R8/R12,"")</f>
        <v>199</v>
      </c>
      <c r="S14" s="637"/>
      <c r="T14" s="637"/>
      <c r="U14" s="637"/>
      <c r="V14" s="637"/>
      <c r="W14" s="637"/>
      <c r="X14" s="637"/>
      <c r="Y14" s="637"/>
      <c r="Z14" s="947"/>
      <c r="AA14" s="947"/>
      <c r="AB14" s="641"/>
      <c r="AC14" s="641"/>
      <c r="AD14" s="641"/>
      <c r="AE14" s="947"/>
      <c r="AF14" s="947"/>
      <c r="AG14" s="947"/>
      <c r="AH14" s="947"/>
      <c r="AI14" s="947"/>
      <c r="AJ14" s="947"/>
    </row>
    <row r="15" spans="2:36">
      <c r="B15" s="1349" t="s">
        <v>244</v>
      </c>
      <c r="C15" s="1350"/>
      <c r="D15" s="1350"/>
      <c r="E15" s="1350"/>
      <c r="F15" s="1350"/>
      <c r="G15" s="1028"/>
      <c r="H15" s="1028"/>
      <c r="I15" s="1028"/>
      <c r="J15" s="1028"/>
      <c r="K15" s="1028"/>
      <c r="L15" s="1029"/>
      <c r="M15" s="478" t="s">
        <v>222</v>
      </c>
      <c r="N15" s="478" t="s">
        <v>222</v>
      </c>
      <c r="O15" s="485" t="s">
        <v>245</v>
      </c>
      <c r="P15" s="674">
        <f>IFERROR(AF58/AR58,"")</f>
        <v>110.5</v>
      </c>
      <c r="Q15" s="674">
        <f>IFERROR(AG58/AS58,"")</f>
        <v>154.57692307692307</v>
      </c>
      <c r="R15" s="675">
        <f>IFERROR(AH58/AT58,"")</f>
        <v>62.75</v>
      </c>
      <c r="S15" s="637"/>
      <c r="T15" s="637"/>
      <c r="U15" s="637"/>
      <c r="V15" s="637"/>
      <c r="W15" s="637"/>
      <c r="X15" s="637"/>
      <c r="Y15" s="637"/>
      <c r="Z15" s="947"/>
      <c r="AA15" s="947"/>
      <c r="AB15" s="641"/>
      <c r="AC15" s="641"/>
      <c r="AD15" s="641"/>
      <c r="AE15" s="952"/>
      <c r="AF15" s="952"/>
      <c r="AG15" s="952"/>
      <c r="AH15" s="952"/>
      <c r="AI15" s="952"/>
      <c r="AJ15" s="947"/>
    </row>
    <row r="16" spans="2:36">
      <c r="B16" s="1349" t="s">
        <v>246</v>
      </c>
      <c r="C16" s="1350"/>
      <c r="D16" s="1350"/>
      <c r="E16" s="1350"/>
      <c r="F16" s="1350"/>
      <c r="G16" s="1028" t="s">
        <v>247</v>
      </c>
      <c r="H16" s="1028"/>
      <c r="I16" s="1028"/>
      <c r="J16" s="1028"/>
      <c r="K16" s="1028"/>
      <c r="L16" s="1029"/>
      <c r="M16" s="478" t="s">
        <v>222</v>
      </c>
      <c r="N16" s="478" t="s">
        <v>222</v>
      </c>
      <c r="O16" s="485" t="s">
        <v>248</v>
      </c>
      <c r="P16" s="680">
        <f>IFERROR(P14-P15,"")</f>
        <v>88.5</v>
      </c>
      <c r="Q16" s="680">
        <f>IFERROR(Q14-Q15,"")</f>
        <v>44.423076923076934</v>
      </c>
      <c r="R16" s="681">
        <f>IFERROR(R14-R15,"")</f>
        <v>136.25</v>
      </c>
      <c r="S16" s="637"/>
      <c r="T16" s="637"/>
      <c r="U16" s="637"/>
      <c r="V16" s="637"/>
      <c r="W16" s="637"/>
      <c r="X16" s="637"/>
      <c r="Y16" s="637"/>
      <c r="Z16" s="947"/>
      <c r="AA16" s="477" t="s">
        <v>249</v>
      </c>
      <c r="AB16" s="641"/>
      <c r="AC16" s="641"/>
      <c r="AD16" s="641"/>
      <c r="AE16" s="947"/>
      <c r="AF16" s="947"/>
      <c r="AG16" s="947"/>
      <c r="AH16" s="947"/>
      <c r="AI16" s="947"/>
      <c r="AJ16" s="947"/>
    </row>
    <row r="17" spans="2:48">
      <c r="B17" s="1349" t="s">
        <v>250</v>
      </c>
      <c r="C17" s="1350"/>
      <c r="D17" s="1350"/>
      <c r="E17" s="1350"/>
      <c r="F17" s="1350"/>
      <c r="G17" s="1053" t="str">
        <f>IFERROR(VLOOKUP(G16,'Lists (2)'!C2:D6,2),"")</f>
        <v>GBP</v>
      </c>
      <c r="H17" s="1053"/>
      <c r="I17" s="1053"/>
      <c r="J17" s="1053"/>
      <c r="K17" s="1053"/>
      <c r="L17" s="1054"/>
      <c r="M17" s="478" t="s">
        <v>222</v>
      </c>
      <c r="N17" s="478" t="s">
        <v>222</v>
      </c>
      <c r="O17" s="485" t="s">
        <v>251</v>
      </c>
      <c r="P17" s="676">
        <f>IFERROR(P16/P15,"")</f>
        <v>0.80090497737556565</v>
      </c>
      <c r="Q17" s="676">
        <f>IFERROR(Q16/Q15,"")</f>
        <v>0.28738492162229418</v>
      </c>
      <c r="R17" s="677">
        <f>IFERROR(R16/R15,"")</f>
        <v>2.1713147410358564</v>
      </c>
      <c r="S17" s="637"/>
      <c r="T17" s="637"/>
      <c r="U17" s="637"/>
      <c r="V17" s="637"/>
      <c r="W17" s="637"/>
      <c r="X17" s="637"/>
      <c r="Y17" s="637"/>
      <c r="Z17" s="947"/>
      <c r="AA17" s="642">
        <v>0.25</v>
      </c>
      <c r="AB17" s="643"/>
      <c r="AC17" s="643"/>
      <c r="AD17" s="643"/>
      <c r="AE17" s="947"/>
      <c r="AF17" s="947"/>
      <c r="AG17" s="947"/>
      <c r="AH17" s="947"/>
      <c r="AI17" s="947"/>
      <c r="AJ17" s="947"/>
      <c r="AK17" s="947"/>
      <c r="AL17" s="947"/>
      <c r="AM17" s="947"/>
      <c r="AN17" s="947"/>
      <c r="AO17" s="947"/>
      <c r="AP17" s="947"/>
      <c r="AQ17" s="947"/>
      <c r="AR17" s="947"/>
      <c r="AS17" s="947"/>
      <c r="AT17" s="947"/>
      <c r="AU17" s="947"/>
      <c r="AV17" s="947"/>
    </row>
    <row r="18" spans="2:48">
      <c r="B18" s="1349" t="s">
        <v>252</v>
      </c>
      <c r="C18" s="1350"/>
      <c r="D18" s="1350"/>
      <c r="E18" s="1350"/>
      <c r="F18" s="1350"/>
      <c r="G18" s="1028" t="s">
        <v>253</v>
      </c>
      <c r="H18" s="1028"/>
      <c r="I18" s="1028"/>
      <c r="J18" s="1028"/>
      <c r="K18" s="1028"/>
      <c r="L18" s="1029"/>
      <c r="M18" s="478" t="s">
        <v>222</v>
      </c>
      <c r="N18" s="478" t="s">
        <v>222</v>
      </c>
      <c r="O18" s="485" t="s">
        <v>254</v>
      </c>
      <c r="P18" s="676">
        <f>IFERROR(P10/P8-($AA$17),"")</f>
        <v>0.4229955185929648</v>
      </c>
      <c r="Q18" s="676">
        <f>IFERROR(Q10/Q8-($AA$17),"")</f>
        <v>0.19836579049091607</v>
      </c>
      <c r="R18" s="677">
        <f>IFERROR(R10/R8-($AA$17),"")</f>
        <v>0.66634439070351759</v>
      </c>
      <c r="S18" s="478"/>
      <c r="T18" s="478"/>
      <c r="U18" s="478"/>
      <c r="V18" s="478"/>
      <c r="W18" s="478"/>
      <c r="X18" s="478"/>
      <c r="Y18" s="637"/>
      <c r="Z18" s="947"/>
      <c r="AA18" s="947"/>
      <c r="AB18" s="947"/>
      <c r="AC18" s="947"/>
      <c r="AD18" s="947"/>
      <c r="AE18" s="947"/>
      <c r="AF18" s="947"/>
      <c r="AG18" s="947"/>
      <c r="AH18" s="947"/>
      <c r="AI18" s="947"/>
      <c r="AJ18" s="947"/>
      <c r="AK18" s="947"/>
      <c r="AL18" s="947"/>
      <c r="AM18" s="947"/>
      <c r="AN18" s="947"/>
      <c r="AO18" s="947"/>
      <c r="AP18" s="947"/>
      <c r="AQ18" s="947"/>
      <c r="AR18" s="947"/>
      <c r="AS18" s="947"/>
      <c r="AT18" s="947"/>
      <c r="AU18" s="947"/>
      <c r="AV18" s="947"/>
    </row>
    <row r="19" spans="2:48">
      <c r="B19" s="1349" t="s">
        <v>255</v>
      </c>
      <c r="C19" s="1350"/>
      <c r="D19" s="1350"/>
      <c r="E19" s="1350"/>
      <c r="F19" s="1350"/>
      <c r="G19" s="1028" t="s">
        <v>256</v>
      </c>
      <c r="H19" s="1028"/>
      <c r="I19" s="1028"/>
      <c r="J19" s="1028"/>
      <c r="K19" s="1028"/>
      <c r="L19" s="1029"/>
      <c r="M19" s="478"/>
      <c r="N19" s="478"/>
      <c r="O19" s="1061"/>
      <c r="P19" s="1062"/>
      <c r="Q19" s="1062"/>
      <c r="R19" s="1063"/>
      <c r="S19" s="478"/>
      <c r="T19" s="478"/>
      <c r="U19" s="478"/>
      <c r="V19" s="478"/>
      <c r="W19" s="478"/>
      <c r="X19" s="478"/>
      <c r="Y19" s="637"/>
      <c r="Z19" s="947"/>
      <c r="AA19" s="477" t="s">
        <v>257</v>
      </c>
      <c r="AB19" s="947"/>
      <c r="AC19" s="947"/>
      <c r="AD19" s="947"/>
      <c r="AE19" s="947"/>
      <c r="AF19" s="947"/>
      <c r="AG19" s="947"/>
      <c r="AH19" s="947"/>
      <c r="AI19" s="947"/>
      <c r="AJ19" s="947"/>
      <c r="AK19" s="947"/>
      <c r="AL19" s="947"/>
      <c r="AM19" s="947"/>
      <c r="AN19" s="947"/>
      <c r="AO19" s="947"/>
      <c r="AP19" s="947"/>
      <c r="AQ19" s="947"/>
      <c r="AR19" s="947"/>
      <c r="AS19" s="947"/>
      <c r="AT19" s="947"/>
      <c r="AU19" s="947"/>
      <c r="AV19" s="947"/>
    </row>
    <row r="20" spans="2:48" ht="18.75">
      <c r="B20" s="1024" t="s">
        <v>258</v>
      </c>
      <c r="C20" s="1025"/>
      <c r="D20" s="1025"/>
      <c r="E20" s="1025"/>
      <c r="F20" s="1025"/>
      <c r="G20" s="1025"/>
      <c r="H20" s="1025"/>
      <c r="I20" s="1025"/>
      <c r="J20" s="1025"/>
      <c r="K20" s="1025"/>
      <c r="L20" s="1026"/>
      <c r="M20" s="478"/>
      <c r="N20" s="478"/>
      <c r="O20" s="1064" t="s">
        <v>259</v>
      </c>
      <c r="P20" s="1056"/>
      <c r="Q20" s="1056"/>
      <c r="R20" s="828">
        <f>IF($G$25="Yes",IF(1*($P$58*0.01)&gt;2000,(-1*($P$58*0.01)),-2000),"0")</f>
        <v>-2388</v>
      </c>
      <c r="S20" s="478"/>
      <c r="T20" s="478"/>
      <c r="U20" s="478"/>
      <c r="V20" s="478"/>
      <c r="W20" s="478"/>
      <c r="X20" s="478"/>
      <c r="Y20" s="637"/>
      <c r="Z20" s="947"/>
      <c r="AA20" cm="1">
        <f t="array" ref="AA20">_xlfn.IFS($G$24="Operate",1,$G$24="Enhance",2,$G$24="Operate &amp; Enhance",3,$G$24="Hypercare",4)</f>
        <v>3</v>
      </c>
      <c r="AB20" s="947"/>
      <c r="AC20" s="947"/>
      <c r="AD20" s="947"/>
      <c r="AE20" s="947"/>
      <c r="AF20" s="947"/>
      <c r="AG20" s="947"/>
      <c r="AH20" s="947"/>
      <c r="AI20" s="947"/>
      <c r="AJ20" s="947"/>
      <c r="AK20" s="947"/>
      <c r="AL20" s="947"/>
      <c r="AM20" s="947"/>
      <c r="AN20" s="947"/>
      <c r="AO20" s="947"/>
      <c r="AP20" s="947"/>
      <c r="AQ20" s="947"/>
      <c r="AR20" s="947"/>
      <c r="AS20" s="947"/>
      <c r="AT20" s="947"/>
      <c r="AU20" s="947"/>
      <c r="AV20" s="947"/>
    </row>
    <row r="21" spans="2:48" ht="19.5" customHeight="1">
      <c r="B21" s="1349" t="s">
        <v>260</v>
      </c>
      <c r="C21" s="1350"/>
      <c r="D21" s="1350"/>
      <c r="E21" s="1350"/>
      <c r="F21" s="1350"/>
      <c r="G21" s="1028">
        <v>100</v>
      </c>
      <c r="H21" s="1028"/>
      <c r="I21" s="1028"/>
      <c r="J21" s="1028"/>
      <c r="K21" s="1028"/>
      <c r="L21" s="1029"/>
      <c r="M21" s="478"/>
      <c r="N21" s="478"/>
      <c r="O21" s="1022" t="s">
        <v>261</v>
      </c>
      <c r="P21" s="1023"/>
      <c r="Q21" s="1023"/>
      <c r="R21" s="677">
        <f>IFERROR(SUM(P10,R20)/R22,"")</f>
        <v>0.66969244302319675</v>
      </c>
      <c r="S21" s="478"/>
      <c r="T21" s="478"/>
      <c r="U21" s="478"/>
      <c r="V21" s="478"/>
      <c r="W21" s="478"/>
      <c r="X21" s="478"/>
      <c r="Y21" s="637"/>
      <c r="Z21" s="947"/>
      <c r="AA21" s="947"/>
      <c r="AB21" s="947"/>
      <c r="AC21" s="947"/>
      <c r="AD21" s="947"/>
      <c r="AE21" s="947"/>
      <c r="AF21" s="947"/>
      <c r="AG21" s="947"/>
      <c r="AH21" s="947"/>
      <c r="AI21" s="947"/>
      <c r="AJ21" s="947"/>
      <c r="AK21" s="947"/>
      <c r="AL21" s="947"/>
      <c r="AM21" s="947"/>
      <c r="AN21" s="947"/>
      <c r="AO21" s="947"/>
      <c r="AP21" s="947"/>
      <c r="AQ21" s="947"/>
      <c r="AR21" s="947"/>
      <c r="AS21" s="947"/>
      <c r="AT21" s="947"/>
      <c r="AU21" s="947"/>
      <c r="AV21" s="947"/>
    </row>
    <row r="22" spans="2:48" ht="15.75" thickBot="1">
      <c r="B22" s="1349" t="s">
        <v>262</v>
      </c>
      <c r="C22" s="1350"/>
      <c r="D22" s="1350"/>
      <c r="E22" s="1350"/>
      <c r="F22" s="1350"/>
      <c r="G22" s="1028">
        <v>12</v>
      </c>
      <c r="H22" s="1028"/>
      <c r="I22" s="1028"/>
      <c r="J22" s="1028"/>
      <c r="K22" s="1028"/>
      <c r="L22" s="1029"/>
      <c r="M22" s="478"/>
      <c r="N22" s="478"/>
      <c r="O22" s="1065" t="s">
        <v>263</v>
      </c>
      <c r="P22" s="1066"/>
      <c r="Q22" s="1066"/>
      <c r="R22" s="827">
        <f>SUM(P58,R20)</f>
        <v>236412</v>
      </c>
      <c r="S22" s="478"/>
      <c r="T22" s="478"/>
      <c r="U22" s="478"/>
      <c r="V22" s="478"/>
      <c r="W22" s="478"/>
      <c r="X22" s="478"/>
      <c r="Y22" s="637"/>
      <c r="Z22" s="947"/>
      <c r="AA22" s="947"/>
      <c r="AB22" s="947"/>
      <c r="AC22" s="947"/>
      <c r="AD22" s="947"/>
      <c r="AE22" s="947"/>
      <c r="AF22" s="947"/>
      <c r="AG22" s="947"/>
      <c r="AH22" s="947"/>
      <c r="AI22" s="947"/>
      <c r="AJ22" s="947"/>
      <c r="AK22" s="947"/>
      <c r="AL22" s="947"/>
      <c r="AM22" s="947"/>
      <c r="AN22" s="947"/>
      <c r="AO22" s="947"/>
      <c r="AP22" s="947"/>
      <c r="AQ22" s="947"/>
      <c r="AR22" s="947"/>
      <c r="AS22" s="947"/>
      <c r="AT22" s="947"/>
      <c r="AU22" s="947"/>
      <c r="AV22" s="947"/>
    </row>
    <row r="23" spans="2:48">
      <c r="B23" s="1349" t="s">
        <v>264</v>
      </c>
      <c r="C23" s="1350"/>
      <c r="D23" s="1350"/>
      <c r="E23" s="1350"/>
      <c r="F23" s="1350"/>
      <c r="G23" s="1028">
        <v>199</v>
      </c>
      <c r="H23" s="1028"/>
      <c r="I23" s="1028"/>
      <c r="J23" s="1028"/>
      <c r="K23" s="1028"/>
      <c r="L23" s="1029"/>
      <c r="M23" s="478"/>
      <c r="N23" s="478"/>
      <c r="O23" s="478"/>
      <c r="P23" s="478"/>
      <c r="Q23" s="478"/>
      <c r="R23" s="478"/>
      <c r="S23" s="478"/>
      <c r="T23" s="478"/>
      <c r="U23" s="478"/>
      <c r="V23" s="478"/>
      <c r="W23" s="478"/>
      <c r="X23" s="478"/>
      <c r="Y23" s="637"/>
      <c r="Z23" s="947"/>
      <c r="AA23" s="947"/>
      <c r="AB23" s="947"/>
      <c r="AC23" s="947"/>
      <c r="AD23" s="947"/>
      <c r="AE23" s="947"/>
      <c r="AF23" s="947"/>
      <c r="AG23" s="947"/>
      <c r="AH23" s="947"/>
      <c r="AI23" s="947"/>
      <c r="AJ23" s="947"/>
      <c r="AK23" s="947"/>
      <c r="AL23" s="947"/>
      <c r="AM23" s="947"/>
      <c r="AN23" s="947"/>
      <c r="AO23" s="947"/>
      <c r="AP23" s="947"/>
      <c r="AQ23" s="947"/>
      <c r="AR23" s="947"/>
      <c r="AS23" s="947"/>
      <c r="AT23" s="947"/>
      <c r="AU23" s="947"/>
      <c r="AV23" s="947"/>
    </row>
    <row r="24" spans="2:48">
      <c r="B24" s="1349" t="s">
        <v>265</v>
      </c>
      <c r="C24" s="1350"/>
      <c r="D24" s="1350"/>
      <c r="E24" s="1350"/>
      <c r="F24" s="1350"/>
      <c r="G24" s="1028" t="s">
        <v>266</v>
      </c>
      <c r="H24" s="1028"/>
      <c r="I24" s="1028"/>
      <c r="J24" s="1028"/>
      <c r="K24" s="1028"/>
      <c r="L24" s="1029"/>
      <c r="M24" s="478"/>
      <c r="N24" s="478"/>
      <c r="O24" s="478"/>
      <c r="P24" s="478"/>
      <c r="Q24" s="478"/>
      <c r="R24" s="478"/>
      <c r="S24" s="478"/>
      <c r="T24" s="478"/>
      <c r="U24" s="478"/>
      <c r="V24" s="478"/>
      <c r="W24" s="478"/>
      <c r="X24" s="478"/>
      <c r="Y24" s="637"/>
      <c r="Z24" s="947"/>
      <c r="AA24" s="947"/>
      <c r="AB24" s="947"/>
      <c r="AC24" s="947"/>
      <c r="AD24" s="947"/>
      <c r="AE24" s="947"/>
      <c r="AF24" s="947"/>
      <c r="AG24" s="947"/>
      <c r="AH24" s="947"/>
      <c r="AI24" s="947"/>
      <c r="AJ24" s="947"/>
      <c r="AK24" s="947"/>
      <c r="AL24" s="947"/>
      <c r="AM24" s="947"/>
      <c r="AN24" s="947"/>
      <c r="AO24" s="947"/>
      <c r="AP24" s="947"/>
      <c r="AQ24" s="947"/>
      <c r="AR24" s="947"/>
      <c r="AS24" s="947"/>
      <c r="AT24" s="947"/>
      <c r="AU24" s="947"/>
      <c r="AV24" s="947"/>
    </row>
    <row r="25" spans="2:48" ht="19.5" thickBot="1">
      <c r="B25" s="1349" t="s">
        <v>267</v>
      </c>
      <c r="C25" s="1350"/>
      <c r="D25" s="1350"/>
      <c r="E25" s="1350"/>
      <c r="F25" s="1350"/>
      <c r="G25" s="1067" t="str" cm="1">
        <f t="array" ref="G25">_xlfn.IFS($G$24="Enhance","Yes",$G$24="Operate &amp; Enhance","Yes",$G$24="Operate","No",$G$24="Hypercare","No")</f>
        <v>Yes</v>
      </c>
      <c r="H25" s="1067"/>
      <c r="I25" s="1067"/>
      <c r="J25" s="1067"/>
      <c r="K25" s="1067"/>
      <c r="L25" s="1068"/>
      <c r="M25" s="478"/>
      <c r="N25" s="478"/>
      <c r="O25" s="1051" t="s">
        <v>268</v>
      </c>
      <c r="P25" s="1052"/>
      <c r="Q25" s="1052"/>
      <c r="R25" s="1052"/>
      <c r="S25" s="478"/>
      <c r="T25" s="478"/>
      <c r="U25" s="478"/>
      <c r="V25" s="478"/>
      <c r="W25" s="478"/>
      <c r="X25" s="478"/>
      <c r="Y25" s="637"/>
      <c r="Z25" s="947"/>
      <c r="AA25" s="947"/>
      <c r="AB25" s="947"/>
      <c r="AC25" s="947"/>
      <c r="AD25" s="947"/>
      <c r="AE25" s="947"/>
      <c r="AF25" s="947"/>
      <c r="AG25" s="947"/>
      <c r="AH25" s="947"/>
      <c r="AI25" s="947"/>
      <c r="AJ25" s="947"/>
      <c r="AK25" s="947"/>
      <c r="AL25" s="947"/>
      <c r="AM25" s="947"/>
      <c r="AN25" s="947"/>
      <c r="AO25" s="947"/>
      <c r="AP25" s="947"/>
      <c r="AQ25" s="947"/>
      <c r="AR25" s="947"/>
      <c r="AS25" s="947"/>
      <c r="AT25" s="947"/>
      <c r="AU25" s="947"/>
      <c r="AV25" s="947"/>
    </row>
    <row r="26" spans="2:48" ht="18.75">
      <c r="B26" s="1024" t="s">
        <v>269</v>
      </c>
      <c r="C26" s="1025"/>
      <c r="D26" s="1025"/>
      <c r="E26" s="1025"/>
      <c r="F26" s="1025"/>
      <c r="G26" s="1025"/>
      <c r="H26" s="1025"/>
      <c r="I26" s="1025"/>
      <c r="J26" s="1025"/>
      <c r="K26" s="1025"/>
      <c r="L26" s="1026"/>
      <c r="M26" s="478"/>
      <c r="N26" s="478"/>
      <c r="O26" s="1013" t="s">
        <v>270</v>
      </c>
      <c r="P26" s="1014"/>
      <c r="Q26" s="1014"/>
      <c r="R26" s="1015"/>
      <c r="S26" s="478"/>
      <c r="T26" s="478"/>
      <c r="U26" s="478"/>
      <c r="V26" s="478"/>
      <c r="W26" s="478"/>
      <c r="X26" s="478"/>
      <c r="Y26" s="637"/>
      <c r="Z26" s="947"/>
      <c r="AA26" s="947"/>
      <c r="AB26" s="947"/>
      <c r="AC26" s="947"/>
      <c r="AD26" s="947"/>
      <c r="AE26" s="947"/>
      <c r="AF26" s="947"/>
      <c r="AG26" s="947"/>
      <c r="AH26" s="947"/>
      <c r="AI26" s="947"/>
      <c r="AJ26" s="947"/>
      <c r="AK26" s="947"/>
      <c r="AL26" s="947"/>
      <c r="AM26" s="947"/>
      <c r="AN26" s="947"/>
      <c r="AO26" s="947"/>
      <c r="AP26" s="947"/>
      <c r="AQ26" s="947"/>
      <c r="AR26" s="947"/>
      <c r="AS26" s="947"/>
      <c r="AT26" s="947"/>
      <c r="AU26" s="947"/>
      <c r="AV26" s="947"/>
    </row>
    <row r="27" spans="2:48" ht="35.25" customHeight="1">
      <c r="B27" s="1349" t="s">
        <v>271</v>
      </c>
      <c r="C27" s="1350"/>
      <c r="D27" s="1350"/>
      <c r="E27" s="1350"/>
      <c r="F27" s="1350"/>
      <c r="G27" s="1027"/>
      <c r="H27" s="1028"/>
      <c r="I27" s="1028"/>
      <c r="J27" s="1028"/>
      <c r="K27" s="1028"/>
      <c r="L27" s="1029"/>
      <c r="M27" s="478"/>
      <c r="N27" s="478"/>
      <c r="O27" s="1016"/>
      <c r="P27" s="1017"/>
      <c r="Q27" s="1017"/>
      <c r="R27" s="1018"/>
      <c r="S27" s="478"/>
      <c r="T27" s="478"/>
      <c r="U27" s="478"/>
      <c r="V27" s="478"/>
      <c r="W27" s="478"/>
      <c r="X27" s="478"/>
      <c r="Y27" s="637"/>
      <c r="Z27" s="947"/>
      <c r="AA27" s="947"/>
      <c r="AB27" s="947"/>
      <c r="AC27" s="947"/>
      <c r="AD27" s="947"/>
      <c r="AE27" s="947"/>
      <c r="AF27" s="947"/>
      <c r="AG27" s="947"/>
      <c r="AH27" s="947"/>
      <c r="AI27" s="947"/>
      <c r="AJ27" s="947"/>
      <c r="AK27" s="947"/>
      <c r="AL27" s="947"/>
      <c r="AM27" s="947"/>
      <c r="AN27" s="947"/>
      <c r="AO27" s="947"/>
      <c r="AP27" s="947"/>
      <c r="AQ27" s="947"/>
      <c r="AR27" s="947"/>
      <c r="AS27" s="947"/>
      <c r="AT27" s="947"/>
      <c r="AU27" s="947"/>
      <c r="AV27" s="947"/>
    </row>
    <row r="28" spans="2:48" ht="42.75" customHeight="1" thickBot="1">
      <c r="B28" s="1351" t="s">
        <v>269</v>
      </c>
      <c r="C28" s="1352"/>
      <c r="D28" s="1352"/>
      <c r="E28" s="1352"/>
      <c r="F28" s="1352"/>
      <c r="G28" s="1077"/>
      <c r="H28" s="1078"/>
      <c r="I28" s="1078"/>
      <c r="J28" s="1078"/>
      <c r="K28" s="1078"/>
      <c r="L28" s="1079"/>
      <c r="M28" s="478"/>
      <c r="N28" s="478"/>
      <c r="O28" s="1019"/>
      <c r="P28" s="1020"/>
      <c r="Q28" s="1020"/>
      <c r="R28" s="1021"/>
      <c r="S28" s="478"/>
      <c r="T28" s="478"/>
      <c r="U28" s="478"/>
      <c r="V28" s="478"/>
      <c r="W28" s="478"/>
      <c r="X28" s="478"/>
      <c r="Y28" s="637"/>
      <c r="Z28" s="947"/>
      <c r="AA28" s="947"/>
      <c r="AB28" s="947"/>
      <c r="AC28" s="947"/>
      <c r="AD28" s="947"/>
      <c r="AE28" s="947"/>
      <c r="AF28" s="947"/>
      <c r="AG28" s="947"/>
      <c r="AH28" s="947"/>
      <c r="AI28" s="947"/>
      <c r="AJ28" s="947"/>
      <c r="AK28" s="947"/>
      <c r="AL28" s="947"/>
      <c r="AM28" s="947"/>
      <c r="AN28" s="947"/>
      <c r="AO28" s="947"/>
      <c r="AP28" s="947"/>
      <c r="AQ28" s="947"/>
      <c r="AR28" s="947"/>
      <c r="AS28" s="947"/>
      <c r="AT28" s="947"/>
      <c r="AU28" s="947"/>
      <c r="AV28" s="947"/>
    </row>
    <row r="29" spans="2:48">
      <c r="B29" s="478"/>
      <c r="C29" s="478" t="s">
        <v>222</v>
      </c>
      <c r="D29" s="478" t="s">
        <v>222</v>
      </c>
      <c r="E29" s="478"/>
      <c r="F29" s="478" t="s">
        <v>222</v>
      </c>
      <c r="G29" s="478" t="s">
        <v>222</v>
      </c>
      <c r="H29" s="478" t="s">
        <v>222</v>
      </c>
      <c r="I29" s="478" t="s">
        <v>222</v>
      </c>
      <c r="J29" s="478"/>
      <c r="K29" s="478" t="s">
        <v>222</v>
      </c>
      <c r="L29" s="478" t="s">
        <v>222</v>
      </c>
      <c r="M29" s="478" t="s">
        <v>222</v>
      </c>
      <c r="N29" s="478" t="s">
        <v>222</v>
      </c>
      <c r="O29" s="478" t="s">
        <v>222</v>
      </c>
      <c r="P29" s="478" t="s">
        <v>222</v>
      </c>
      <c r="Q29" s="478" t="s">
        <v>222</v>
      </c>
      <c r="R29" s="478" t="s">
        <v>222</v>
      </c>
      <c r="S29" s="478"/>
      <c r="T29" s="478"/>
      <c r="U29" s="478"/>
      <c r="V29" s="478"/>
      <c r="W29" s="478"/>
      <c r="X29" s="478"/>
      <c r="Y29" s="637"/>
      <c r="Z29" s="947"/>
      <c r="AA29" s="947"/>
      <c r="AB29" s="947"/>
      <c r="AC29" s="947"/>
      <c r="AD29" s="947"/>
      <c r="AE29" s="947"/>
      <c r="AF29" s="947"/>
      <c r="AG29" s="947"/>
      <c r="AH29" s="947"/>
      <c r="AI29" s="947"/>
      <c r="AJ29" s="947"/>
      <c r="AK29" s="947"/>
      <c r="AL29" s="947"/>
      <c r="AM29" s="947"/>
      <c r="AN29" s="947"/>
      <c r="AO29" s="947"/>
      <c r="AP29" s="947"/>
      <c r="AQ29" s="947"/>
      <c r="AR29" s="947"/>
      <c r="AS29" s="947"/>
      <c r="AT29" s="947"/>
      <c r="AU29" s="947"/>
      <c r="AV29" s="947"/>
    </row>
    <row r="30" spans="2:48" ht="15.75" thickBot="1">
      <c r="B30" s="478"/>
      <c r="C30" s="478"/>
      <c r="D30" s="478"/>
      <c r="E30" s="478"/>
      <c r="F30" s="478"/>
      <c r="G30" s="478"/>
      <c r="H30" s="478"/>
      <c r="I30" s="478"/>
      <c r="J30" s="478"/>
      <c r="K30" s="478"/>
      <c r="L30" s="478"/>
      <c r="M30" s="478"/>
      <c r="N30" s="478"/>
      <c r="O30" s="478"/>
      <c r="P30" s="478"/>
      <c r="Q30" s="478"/>
      <c r="R30" s="478"/>
      <c r="S30" s="478"/>
      <c r="T30" s="478"/>
      <c r="U30" s="478"/>
      <c r="V30" s="478"/>
      <c r="W30" s="478"/>
      <c r="X30" s="478"/>
      <c r="Y30" s="637"/>
      <c r="Z30" s="947"/>
      <c r="AA30" s="947"/>
      <c r="AB30" s="947"/>
      <c r="AC30" s="947"/>
      <c r="AD30" s="947"/>
      <c r="AE30" s="947"/>
      <c r="AF30" s="947"/>
      <c r="AG30" s="947"/>
      <c r="AH30" s="947"/>
      <c r="AI30" s="947"/>
      <c r="AJ30" s="947"/>
      <c r="AK30" s="947"/>
      <c r="AL30" s="947"/>
      <c r="AM30" s="947"/>
      <c r="AN30" s="947"/>
      <c r="AO30" s="947"/>
      <c r="AP30" s="947"/>
      <c r="AQ30" s="947"/>
      <c r="AR30" s="947"/>
      <c r="AS30" s="947"/>
      <c r="AT30" s="947"/>
      <c r="AU30" s="947"/>
      <c r="AV30" s="947"/>
    </row>
    <row r="31" spans="2:48" ht="18.75">
      <c r="B31" s="1030" t="s">
        <v>272</v>
      </c>
      <c r="C31" s="1031"/>
      <c r="D31" s="1031"/>
      <c r="E31" s="1031"/>
      <c r="F31" s="1031"/>
      <c r="G31" s="1031"/>
      <c r="H31" s="1031"/>
      <c r="I31" s="1031"/>
      <c r="J31" s="1031"/>
      <c r="K31" s="1031"/>
      <c r="L31" s="1031"/>
      <c r="M31" s="1031"/>
      <c r="N31" s="1031"/>
      <c r="O31" s="1031"/>
      <c r="P31" s="1031"/>
      <c r="Q31" s="1031"/>
      <c r="R31" s="1031"/>
      <c r="S31" s="1031"/>
      <c r="T31" s="1031"/>
      <c r="U31" s="1031"/>
      <c r="V31" s="1031"/>
      <c r="W31" s="1031"/>
      <c r="X31" s="1031"/>
      <c r="Y31" s="1032"/>
      <c r="Z31" s="947"/>
      <c r="AA31" s="947"/>
      <c r="AB31" s="947"/>
      <c r="AC31" s="947"/>
      <c r="AD31" s="947"/>
      <c r="AE31" s="947"/>
      <c r="AF31" s="947"/>
      <c r="AG31" s="947"/>
      <c r="AH31" s="947"/>
      <c r="AI31" s="947"/>
      <c r="AJ31" s="947"/>
      <c r="AK31" s="947"/>
      <c r="AL31" s="947"/>
      <c r="AM31" s="947"/>
      <c r="AN31" s="947"/>
      <c r="AO31" s="947"/>
      <c r="AP31" s="947"/>
      <c r="AQ31" s="947"/>
      <c r="AR31" s="947"/>
      <c r="AS31" s="947"/>
      <c r="AT31" s="947"/>
      <c r="AU31" s="947"/>
      <c r="AV31" s="947"/>
    </row>
    <row r="32" spans="2:48" s="480" customFormat="1" ht="60">
      <c r="B32" s="483" t="s">
        <v>273</v>
      </c>
      <c r="C32" s="482" t="s">
        <v>274</v>
      </c>
      <c r="D32" s="482" t="s">
        <v>275</v>
      </c>
      <c r="E32" s="1080" t="s">
        <v>276</v>
      </c>
      <c r="F32" s="1080"/>
      <c r="G32" s="1080"/>
      <c r="H32" s="1080"/>
      <c r="I32" s="1080"/>
      <c r="J32" s="1081" t="s">
        <v>14</v>
      </c>
      <c r="K32" s="1081"/>
      <c r="L32" s="482" t="s">
        <v>277</v>
      </c>
      <c r="M32" s="482" t="s">
        <v>278</v>
      </c>
      <c r="N32" s="482" t="s">
        <v>279</v>
      </c>
      <c r="O32" s="482" t="s">
        <v>280</v>
      </c>
      <c r="P32" s="482" t="s">
        <v>229</v>
      </c>
      <c r="Q32" s="482" t="s">
        <v>232</v>
      </c>
      <c r="R32" s="482" t="s">
        <v>235</v>
      </c>
      <c r="S32" s="482" t="s">
        <v>238</v>
      </c>
      <c r="T32" s="482" t="s">
        <v>230</v>
      </c>
      <c r="U32" s="482" t="s">
        <v>281</v>
      </c>
      <c r="V32" s="482" t="s">
        <v>282</v>
      </c>
      <c r="W32" s="482" t="s">
        <v>283</v>
      </c>
      <c r="X32" s="482" t="s">
        <v>284</v>
      </c>
      <c r="Y32" s="790" t="s">
        <v>285</v>
      </c>
      <c r="Z32" s="947"/>
      <c r="AA32" s="481" t="s">
        <v>286</v>
      </c>
      <c r="AB32" s="480" t="s">
        <v>287</v>
      </c>
      <c r="AC32" s="480" t="s">
        <v>288</v>
      </c>
      <c r="AD32" s="480" t="s">
        <v>277</v>
      </c>
      <c r="AE32" s="480" t="s">
        <v>280</v>
      </c>
      <c r="AF32" s="480" t="s">
        <v>289</v>
      </c>
      <c r="AG32" s="480" t="s">
        <v>290</v>
      </c>
      <c r="AH32" s="480" t="s">
        <v>291</v>
      </c>
      <c r="AI32" s="480" t="s">
        <v>292</v>
      </c>
      <c r="AJ32" s="480" t="s">
        <v>293</v>
      </c>
      <c r="AK32" s="480" t="s">
        <v>294</v>
      </c>
      <c r="AL32" s="480" t="s">
        <v>295</v>
      </c>
      <c r="AM32" s="480" t="s">
        <v>296</v>
      </c>
      <c r="AN32" s="480" t="s">
        <v>297</v>
      </c>
      <c r="AO32" s="480" t="s">
        <v>298</v>
      </c>
      <c r="AP32" s="480" t="s">
        <v>299</v>
      </c>
      <c r="AQ32" s="480" t="s">
        <v>300</v>
      </c>
      <c r="AR32" s="480" t="s">
        <v>301</v>
      </c>
      <c r="AS32" s="480" t="s">
        <v>302</v>
      </c>
      <c r="AT32" s="480" t="s">
        <v>303</v>
      </c>
      <c r="AU32" s="480" t="s">
        <v>304</v>
      </c>
      <c r="AV32" s="480" t="s">
        <v>305</v>
      </c>
    </row>
    <row r="33" spans="2:48">
      <c r="B33" s="953" t="s">
        <v>306</v>
      </c>
      <c r="C33" s="949" t="str" cm="1">
        <f t="array" ref="C33">IFERROR(_xlfn.IFS(B33="Onshore",$G$16,B33="Offshore","India"),"")</f>
        <v>UK</v>
      </c>
      <c r="D33" s="954" t="s">
        <v>247</v>
      </c>
      <c r="E33" s="1027" t="s">
        <v>307</v>
      </c>
      <c r="F33" s="1027"/>
      <c r="G33" s="1027"/>
      <c r="H33" s="1027"/>
      <c r="I33" s="1027"/>
      <c r="J33" s="1076">
        <f>ROUND($G$21*$G$22*X33,0)</f>
        <v>180</v>
      </c>
      <c r="K33" s="1076"/>
      <c r="L33" s="671">
        <f>IFERROR(INDEX(Bill_Rates!$L:$L,MATCH('MS Pricing'!$AD33,Bill_Rates!$J:$J,0)),"")</f>
        <v>169</v>
      </c>
      <c r="M33" s="940">
        <f>$G$23-L33</f>
        <v>30</v>
      </c>
      <c r="N33" s="671">
        <f t="shared" ref="N33:N57" si="0">IFERROR(L33+M33,"")</f>
        <v>199</v>
      </c>
      <c r="O33" s="671">
        <f>IFERROR(INDEX(Bill_Rates!$O:$O,MATCH($AE33,Bill_Rates!$J:$J,0)),"")</f>
        <v>106</v>
      </c>
      <c r="P33" s="689">
        <f t="shared" ref="P33:P57" si="1">IFERROR(N33*J33,"")</f>
        <v>35820</v>
      </c>
      <c r="Q33" s="689">
        <f>IFERROR((J33+K33)*O33,"")</f>
        <v>19080</v>
      </c>
      <c r="R33" s="689">
        <f t="shared" ref="R33:R57" si="2">IFERROR(P33-Q33,"")</f>
        <v>16740</v>
      </c>
      <c r="S33" s="683">
        <f t="shared" ref="S33:S57" si="3">IFERROR(R33/P33,"")</f>
        <v>0.46733668341708545</v>
      </c>
      <c r="T33" s="784" t="s">
        <v>231</v>
      </c>
      <c r="U33" s="784"/>
      <c r="V33" s="784"/>
      <c r="W33" s="784"/>
      <c r="X33" s="842" cm="1">
        <f t="array" ref="X33">INDEX('MS Lookups'!B1:E20,2,'MS Pricing'!AA20)</f>
        <v>0.15</v>
      </c>
      <c r="Y33" s="834"/>
      <c r="Z33" s="947"/>
      <c r="AA33" s="947"/>
      <c r="AB33" s="947" t="str">
        <f t="shared" ref="AB33:AB57" si="4">IF(OR(G33="Change Management",G33="Enablement",G33="Strategy"),G33,"")</f>
        <v/>
      </c>
      <c r="AC33" s="947" t="str">
        <f>E33</f>
        <v>MS - Architect</v>
      </c>
      <c r="AD33" s="947" t="str">
        <f t="shared" ref="AD33:AD57" si="5">G$16&amp;C33&amp;AA33&amp;F33&amp;AB33&amp;H33&amp;E33</f>
        <v>UKUKMS - Architect</v>
      </c>
      <c r="AE33" s="947" t="str">
        <f t="shared" ref="AE33:AE57" si="6">G$16&amp;D33&amp;H33&amp;E33</f>
        <v>UKUKMS - Architect</v>
      </c>
      <c r="AF33" s="644">
        <f t="shared" ref="AF33:AF57" si="7">IFERROR(L33*J33,"")</f>
        <v>30420</v>
      </c>
      <c r="AG33" s="644">
        <f t="shared" ref="AG33:AG57" si="8">IFERROR(AF33-AH33,"")</f>
        <v>30420</v>
      </c>
      <c r="AH33" s="644">
        <f t="shared" ref="AH33:AH57" si="9">IF(D33="India",AF33,0)</f>
        <v>0</v>
      </c>
      <c r="AI33" s="951">
        <f t="shared" ref="AI33:AI57" si="10">IFERROR(P33+P33/$P$58*$P$59,"")</f>
        <v>35820</v>
      </c>
      <c r="AJ33" s="951">
        <f t="shared" ref="AJ33:AJ57" si="11">IFERROR(Q33+Q33/$Q$58*$Q$59,"")</f>
        <v>19080</v>
      </c>
      <c r="AK33" s="951">
        <f t="shared" ref="AK33:AK57" si="12">IFERROR(P33/$P$58*$P$60,"")</f>
        <v>0</v>
      </c>
      <c r="AL33" s="951">
        <f t="shared" ref="AL33:AL57" si="13">IFERROR(AI33+AK33,"")</f>
        <v>35820</v>
      </c>
      <c r="AM33" s="951">
        <f t="shared" ref="AM33:AM57" si="14">IFERROR(AL33-AN33,"")</f>
        <v>35820</v>
      </c>
      <c r="AN33" s="951">
        <f t="shared" ref="AN33:AN57" si="15">IF(D33="India",AL33,0)</f>
        <v>0</v>
      </c>
      <c r="AO33" s="951">
        <f t="shared" ref="AO33:AO57" si="16">AJ33</f>
        <v>19080</v>
      </c>
      <c r="AP33" s="951">
        <f t="shared" ref="AP33:AP57" si="17">IFERROR(AO33-AQ33,"")</f>
        <v>19080</v>
      </c>
      <c r="AQ33" s="951">
        <f t="shared" ref="AQ33:AQ57" si="18">IF(D33="India",AO33,0)</f>
        <v>0</v>
      </c>
      <c r="AR33" s="950"/>
      <c r="AS33" s="950"/>
      <c r="AT33" s="947"/>
      <c r="AU33" s="947"/>
      <c r="AV33" s="947"/>
    </row>
    <row r="34" spans="2:48">
      <c r="B34" s="953" t="s">
        <v>306</v>
      </c>
      <c r="C34" s="949" t="str" cm="1">
        <f t="array" ref="C34">IFERROR(_xlfn.IFS(B34="Onshore",$G$16,B34="Offshore","India"),"")</f>
        <v>UK</v>
      </c>
      <c r="D34" s="954" t="s">
        <v>308</v>
      </c>
      <c r="E34" s="1027" t="s">
        <v>309</v>
      </c>
      <c r="F34" s="1027"/>
      <c r="G34" s="1027"/>
      <c r="H34" s="1027"/>
      <c r="I34" s="1027"/>
      <c r="J34" s="1076">
        <f t="shared" ref="J34:J40" si="19">ROUND($G$21*$G$22*X34,0)</f>
        <v>300</v>
      </c>
      <c r="K34" s="1076"/>
      <c r="L34" s="671">
        <f>IFERROR(INDEX(Bill_Rates!$L:$L,MATCH('MS Pricing'!$AD34,Bill_Rates!$J:$J,0)),"")</f>
        <v>139</v>
      </c>
      <c r="M34" s="940">
        <f t="shared" ref="M34:M40" si="20">$G$23-L34</f>
        <v>60</v>
      </c>
      <c r="N34" s="671">
        <f t="shared" si="0"/>
        <v>199</v>
      </c>
      <c r="O34" s="671">
        <f>IFERROR(INDEX(Bill_Rates!$O:$O,MATCH($AE34,Bill_Rates!$J:$J,0)),"")</f>
        <v>107.2436</v>
      </c>
      <c r="P34" s="689">
        <f t="shared" si="1"/>
        <v>59700</v>
      </c>
      <c r="Q34" s="689">
        <f t="shared" ref="Q34:Q57" si="21">IFERROR((J34+K34)*O34,"")</f>
        <v>32173.08</v>
      </c>
      <c r="R34" s="689">
        <f t="shared" si="2"/>
        <v>27526.92</v>
      </c>
      <c r="S34" s="683">
        <f t="shared" si="3"/>
        <v>0.46108743718592959</v>
      </c>
      <c r="T34" s="784" t="s">
        <v>231</v>
      </c>
      <c r="U34" s="784"/>
      <c r="V34" s="784"/>
      <c r="W34" s="784"/>
      <c r="X34" s="842" cm="1">
        <f t="array" ref="X34">INDEX('MS Lookups'!B1:E20,3,'MS Pricing'!AA20)</f>
        <v>0.25</v>
      </c>
      <c r="Y34" s="834"/>
      <c r="Z34" s="947"/>
      <c r="AA34" s="947"/>
      <c r="AB34" s="947" t="str">
        <f t="shared" si="4"/>
        <v/>
      </c>
      <c r="AC34" s="947" t="str">
        <f t="shared" ref="AC34:AC57" si="22">E34</f>
        <v>MS - Engineer</v>
      </c>
      <c r="AD34" s="947" t="str">
        <f t="shared" si="5"/>
        <v>UKUKMS - Engineer</v>
      </c>
      <c r="AE34" s="947" t="str">
        <f t="shared" si="6"/>
        <v>UKUSAMS - Engineer</v>
      </c>
      <c r="AF34" s="644">
        <f t="shared" si="7"/>
        <v>41700</v>
      </c>
      <c r="AG34" s="644">
        <f t="shared" si="8"/>
        <v>41700</v>
      </c>
      <c r="AH34" s="644">
        <f t="shared" si="9"/>
        <v>0</v>
      </c>
      <c r="AI34" s="951">
        <f t="shared" si="10"/>
        <v>59700</v>
      </c>
      <c r="AJ34" s="951">
        <f t="shared" si="11"/>
        <v>32173.08</v>
      </c>
      <c r="AK34" s="951">
        <f t="shared" si="12"/>
        <v>0</v>
      </c>
      <c r="AL34" s="951">
        <f t="shared" si="13"/>
        <v>59700</v>
      </c>
      <c r="AM34" s="951">
        <f t="shared" si="14"/>
        <v>59700</v>
      </c>
      <c r="AN34" s="951">
        <f t="shared" si="15"/>
        <v>0</v>
      </c>
      <c r="AO34" s="951">
        <f t="shared" si="16"/>
        <v>32173.08</v>
      </c>
      <c r="AP34" s="951">
        <f t="shared" si="17"/>
        <v>32173.08</v>
      </c>
      <c r="AQ34" s="951">
        <f t="shared" si="18"/>
        <v>0</v>
      </c>
      <c r="AR34" s="950"/>
      <c r="AS34" s="950"/>
      <c r="AT34" s="947"/>
      <c r="AU34" s="947"/>
      <c r="AV34" s="947"/>
    </row>
    <row r="35" spans="2:48" ht="15" customHeight="1">
      <c r="B35" s="953" t="s">
        <v>310</v>
      </c>
      <c r="C35" s="949" t="str" cm="1">
        <f t="array" ref="C35">IFERROR(_xlfn.IFS(B35="Onshore",$G$16,B35="Offshore","India"),"")</f>
        <v>India</v>
      </c>
      <c r="D35" s="954" t="s">
        <v>227</v>
      </c>
      <c r="E35" s="1027" t="s">
        <v>309</v>
      </c>
      <c r="F35" s="1027"/>
      <c r="G35" s="1027"/>
      <c r="H35" s="1027"/>
      <c r="I35" s="1027"/>
      <c r="J35" s="1076">
        <f t="shared" si="19"/>
        <v>360</v>
      </c>
      <c r="K35" s="1076"/>
      <c r="L35" s="671">
        <f>IFERROR(INDEX(Bill_Rates!$L:$L,MATCH('MS Pricing'!$AD35,Bill_Rates!$J:$J,0)),"")</f>
        <v>65</v>
      </c>
      <c r="M35" s="940">
        <f t="shared" si="20"/>
        <v>134</v>
      </c>
      <c r="N35" s="671">
        <f t="shared" si="0"/>
        <v>199</v>
      </c>
      <c r="O35" s="671">
        <f>IFERROR(INDEX(Bill_Rates!$O:$O,MATCH($AE35,Bill_Rates!$J:$J,0)),"")</f>
        <v>19.939789999999999</v>
      </c>
      <c r="P35" s="689">
        <f t="shared" si="1"/>
        <v>71640</v>
      </c>
      <c r="Q35" s="689">
        <f t="shared" si="21"/>
        <v>7178.3243999999995</v>
      </c>
      <c r="R35" s="689">
        <f t="shared" si="2"/>
        <v>64461.675600000002</v>
      </c>
      <c r="S35" s="683">
        <f t="shared" si="3"/>
        <v>0.89980005025125631</v>
      </c>
      <c r="T35" s="784" t="s">
        <v>231</v>
      </c>
      <c r="U35" s="784"/>
      <c r="V35" s="784"/>
      <c r="W35" s="784"/>
      <c r="X35" s="842" cm="1">
        <f t="array" ref="X35">INDEX('MS Lookups'!B1:E20,4,'MS Pricing'!AA20)</f>
        <v>0.3</v>
      </c>
      <c r="Y35" s="834"/>
      <c r="Z35" s="947"/>
      <c r="AA35" s="947"/>
      <c r="AB35" s="947" t="str">
        <f t="shared" si="4"/>
        <v/>
      </c>
      <c r="AC35" s="947" t="str">
        <f t="shared" si="22"/>
        <v>MS - Engineer</v>
      </c>
      <c r="AD35" s="947" t="str">
        <f t="shared" si="5"/>
        <v>UKIndiaMS - Engineer</v>
      </c>
      <c r="AE35" s="947" t="str">
        <f t="shared" si="6"/>
        <v>UKIndiaMS - Engineer</v>
      </c>
      <c r="AF35" s="644">
        <f t="shared" si="7"/>
        <v>23400</v>
      </c>
      <c r="AG35" s="644">
        <f t="shared" si="8"/>
        <v>0</v>
      </c>
      <c r="AH35" s="644">
        <f t="shared" si="9"/>
        <v>23400</v>
      </c>
      <c r="AI35" s="951">
        <f t="shared" si="10"/>
        <v>71640</v>
      </c>
      <c r="AJ35" s="951">
        <f t="shared" si="11"/>
        <v>7178.3243999999995</v>
      </c>
      <c r="AK35" s="951">
        <f t="shared" si="12"/>
        <v>0</v>
      </c>
      <c r="AL35" s="951">
        <f t="shared" si="13"/>
        <v>71640</v>
      </c>
      <c r="AM35" s="951">
        <f t="shared" si="14"/>
        <v>0</v>
      </c>
      <c r="AN35" s="951">
        <f t="shared" si="15"/>
        <v>71640</v>
      </c>
      <c r="AO35" s="951">
        <f t="shared" si="16"/>
        <v>7178.3243999999995</v>
      </c>
      <c r="AP35" s="951">
        <f t="shared" si="17"/>
        <v>0</v>
      </c>
      <c r="AQ35" s="951">
        <f t="shared" si="18"/>
        <v>7178.3243999999995</v>
      </c>
      <c r="AR35" s="950"/>
      <c r="AS35" s="950"/>
      <c r="AT35" s="947"/>
      <c r="AU35" s="947"/>
      <c r="AV35" s="947"/>
    </row>
    <row r="36" spans="2:48">
      <c r="B36" s="953"/>
      <c r="C36" s="949" t="str" cm="1">
        <f t="array" ref="C36">IFERROR(_xlfn.IFS(B36="Onshore",$G$16,B36="Offshore","India"),"")</f>
        <v/>
      </c>
      <c r="D36" s="954"/>
      <c r="E36" s="1027"/>
      <c r="F36" s="1027"/>
      <c r="G36" s="1027"/>
      <c r="H36" s="1027"/>
      <c r="I36" s="1027"/>
      <c r="J36" s="1076">
        <f t="shared" si="19"/>
        <v>0</v>
      </c>
      <c r="K36" s="1076"/>
      <c r="L36" s="671" t="str">
        <f>IFERROR(INDEX(Bill_Rates!$L:$L,MATCH('MS Pricing'!$AD36,Bill_Rates!$J:$J,0)),"")</f>
        <v/>
      </c>
      <c r="M36" s="940"/>
      <c r="N36" s="671" t="str">
        <f t="shared" si="0"/>
        <v/>
      </c>
      <c r="O36" s="671" t="str">
        <f>IFERROR(INDEX(Bill_Rates!$O:$O,MATCH($AE36,Bill_Rates!$J:$J,0)),"")</f>
        <v/>
      </c>
      <c r="P36" s="689" t="str">
        <f t="shared" si="1"/>
        <v/>
      </c>
      <c r="Q36" s="689" t="str">
        <f t="shared" si="21"/>
        <v/>
      </c>
      <c r="R36" s="689" t="str">
        <f t="shared" si="2"/>
        <v/>
      </c>
      <c r="S36" s="683" t="str">
        <f t="shared" si="3"/>
        <v/>
      </c>
      <c r="T36" s="784"/>
      <c r="U36" s="784"/>
      <c r="V36" s="784"/>
      <c r="W36" s="784"/>
      <c r="X36" s="842" cm="1">
        <f t="array" ref="X36">INDEX('MS Lookups'!B1:E20,5,'MS Pricing'!AA20)</f>
        <v>0</v>
      </c>
      <c r="Y36" s="834"/>
      <c r="Z36" s="947"/>
      <c r="AA36" s="947"/>
      <c r="AB36" s="947" t="str">
        <f t="shared" si="4"/>
        <v/>
      </c>
      <c r="AC36" s="947">
        <f t="shared" si="22"/>
        <v>0</v>
      </c>
      <c r="AD36" s="947" t="str">
        <f t="shared" si="5"/>
        <v>UK</v>
      </c>
      <c r="AE36" s="947" t="str">
        <f t="shared" si="6"/>
        <v>UK</v>
      </c>
      <c r="AF36" s="644" t="str">
        <f t="shared" si="7"/>
        <v/>
      </c>
      <c r="AG36" s="644" t="str">
        <f t="shared" si="8"/>
        <v/>
      </c>
      <c r="AH36" s="644">
        <f t="shared" si="9"/>
        <v>0</v>
      </c>
      <c r="AI36" s="951" t="str">
        <f t="shared" si="10"/>
        <v/>
      </c>
      <c r="AJ36" s="951" t="str">
        <f t="shared" si="11"/>
        <v/>
      </c>
      <c r="AK36" s="951" t="str">
        <f t="shared" si="12"/>
        <v/>
      </c>
      <c r="AL36" s="951" t="str">
        <f t="shared" si="13"/>
        <v/>
      </c>
      <c r="AM36" s="951" t="str">
        <f t="shared" si="14"/>
        <v/>
      </c>
      <c r="AN36" s="951">
        <f t="shared" si="15"/>
        <v>0</v>
      </c>
      <c r="AO36" s="951" t="str">
        <f t="shared" si="16"/>
        <v/>
      </c>
      <c r="AP36" s="951" t="str">
        <f t="shared" si="17"/>
        <v/>
      </c>
      <c r="AQ36" s="951">
        <f t="shared" si="18"/>
        <v>0</v>
      </c>
      <c r="AR36" s="950"/>
      <c r="AS36" s="950"/>
      <c r="AT36" s="947"/>
      <c r="AU36" s="947"/>
      <c r="AV36" s="947"/>
    </row>
    <row r="37" spans="2:48">
      <c r="B37" s="953" t="s">
        <v>306</v>
      </c>
      <c r="C37" s="949" t="str" cm="1">
        <f t="array" ref="C37">IFERROR(_xlfn.IFS(B37="Onshore",$G$16,B37="Offshore","India"),"")</f>
        <v>UK</v>
      </c>
      <c r="D37" s="954" t="s">
        <v>308</v>
      </c>
      <c r="E37" s="1027" t="s">
        <v>158</v>
      </c>
      <c r="F37" s="1027"/>
      <c r="G37" s="1027"/>
      <c r="H37" s="1027"/>
      <c r="I37" s="1027"/>
      <c r="J37" s="1076">
        <f t="shared" si="19"/>
        <v>0</v>
      </c>
      <c r="K37" s="1076"/>
      <c r="L37" s="671">
        <f>IFERROR(INDEX(Bill_Rates!$L:$L,MATCH('MS Pricing'!$AD37,Bill_Rates!$J:$J,0)),"")</f>
        <v>139</v>
      </c>
      <c r="M37" s="940">
        <f t="shared" si="20"/>
        <v>60</v>
      </c>
      <c r="N37" s="671">
        <f t="shared" si="0"/>
        <v>199</v>
      </c>
      <c r="O37" s="671">
        <f>IFERROR(INDEX(Bill_Rates!$O:$O,MATCH($AE37,Bill_Rates!$J:$J,0)),"")</f>
        <v>96.284400000000005</v>
      </c>
      <c r="P37" s="689">
        <f t="shared" si="1"/>
        <v>0</v>
      </c>
      <c r="Q37" s="689">
        <f t="shared" si="21"/>
        <v>0</v>
      </c>
      <c r="R37" s="689">
        <f t="shared" si="2"/>
        <v>0</v>
      </c>
      <c r="S37" s="683" t="str">
        <f t="shared" si="3"/>
        <v/>
      </c>
      <c r="T37" s="784" t="s">
        <v>231</v>
      </c>
      <c r="U37" s="784"/>
      <c r="V37" s="784"/>
      <c r="W37" s="784"/>
      <c r="X37" s="842" cm="1">
        <f t="array" ref="X37">INDEX('MS Lookups'!B1:E20,6,'MS Pricing'!AA20)</f>
        <v>0</v>
      </c>
      <c r="Y37" s="834"/>
      <c r="Z37" s="947"/>
      <c r="AA37" s="947"/>
      <c r="AB37" s="947" t="str">
        <f t="shared" si="4"/>
        <v/>
      </c>
      <c r="AC37" s="947" t="str">
        <f t="shared" si="22"/>
        <v>Project Manager</v>
      </c>
      <c r="AD37" s="947" t="str">
        <f t="shared" si="5"/>
        <v>UKUKProject Manager</v>
      </c>
      <c r="AE37" s="947" t="str">
        <f t="shared" si="6"/>
        <v>UKUSAProject Manager</v>
      </c>
      <c r="AF37" s="644">
        <f t="shared" si="7"/>
        <v>0</v>
      </c>
      <c r="AG37" s="644">
        <f t="shared" si="8"/>
        <v>0</v>
      </c>
      <c r="AH37" s="644">
        <f t="shared" si="9"/>
        <v>0</v>
      </c>
      <c r="AI37" s="951">
        <f t="shared" si="10"/>
        <v>0</v>
      </c>
      <c r="AJ37" s="951">
        <f t="shared" si="11"/>
        <v>0</v>
      </c>
      <c r="AK37" s="951">
        <f t="shared" si="12"/>
        <v>0</v>
      </c>
      <c r="AL37" s="951">
        <f t="shared" si="13"/>
        <v>0</v>
      </c>
      <c r="AM37" s="951">
        <f t="shared" si="14"/>
        <v>0</v>
      </c>
      <c r="AN37" s="951">
        <f t="shared" si="15"/>
        <v>0</v>
      </c>
      <c r="AO37" s="951">
        <f t="shared" si="16"/>
        <v>0</v>
      </c>
      <c r="AP37" s="951">
        <f t="shared" si="17"/>
        <v>0</v>
      </c>
      <c r="AQ37" s="951">
        <f t="shared" si="18"/>
        <v>0</v>
      </c>
      <c r="AR37" s="950"/>
      <c r="AS37" s="950"/>
      <c r="AT37" s="947"/>
      <c r="AU37" s="947"/>
      <c r="AV37" s="947"/>
    </row>
    <row r="38" spans="2:48">
      <c r="B38" s="953" t="s">
        <v>306</v>
      </c>
      <c r="C38" s="949" t="str" cm="1">
        <f t="array" ref="C38">IFERROR(_xlfn.IFS(B38="Onshore",$G$16,B38="Offshore","India"),"")</f>
        <v>UK</v>
      </c>
      <c r="D38" s="954" t="s">
        <v>308</v>
      </c>
      <c r="E38" s="1027" t="s">
        <v>311</v>
      </c>
      <c r="F38" s="1027"/>
      <c r="G38" s="1027"/>
      <c r="H38" s="1027"/>
      <c r="I38" s="1027"/>
      <c r="J38" s="1076">
        <f t="shared" si="19"/>
        <v>144</v>
      </c>
      <c r="K38" s="1076"/>
      <c r="L38" s="671">
        <f>IFERROR(INDEX(Bill_Rates!$L:$L,MATCH('MS Pricing'!$AD38,Bill_Rates!$J:$J,0)),"")</f>
        <v>169</v>
      </c>
      <c r="M38" s="940">
        <f t="shared" si="20"/>
        <v>30</v>
      </c>
      <c r="N38" s="671">
        <f t="shared" si="0"/>
        <v>199</v>
      </c>
      <c r="O38" s="671">
        <f>IFERROR(INDEX(Bill_Rates!$O:$O,MATCH($AE38,Bill_Rates!$J:$J,0)),"")</f>
        <v>119.76840000000001</v>
      </c>
      <c r="P38" s="689">
        <f t="shared" si="1"/>
        <v>28656</v>
      </c>
      <c r="Q38" s="689">
        <f t="shared" si="21"/>
        <v>17246.649600000001</v>
      </c>
      <c r="R38" s="689">
        <f t="shared" si="2"/>
        <v>11409.350399999999</v>
      </c>
      <c r="S38" s="683">
        <f t="shared" si="3"/>
        <v>0.39814874371859293</v>
      </c>
      <c r="T38" s="784" t="s">
        <v>231</v>
      </c>
      <c r="U38" s="784"/>
      <c r="V38" s="784"/>
      <c r="W38" s="784"/>
      <c r="X38" s="842" cm="1">
        <f t="array" ref="X38">INDEX('MS Lookups'!B1:E20,7,'MS Pricing'!AA20)</f>
        <v>0.12</v>
      </c>
      <c r="Y38" s="834"/>
      <c r="Z38" s="947"/>
      <c r="AA38" s="947"/>
      <c r="AB38" s="947" t="str">
        <f t="shared" si="4"/>
        <v/>
      </c>
      <c r="AC38" s="947" t="str">
        <f t="shared" si="22"/>
        <v>Senior Project Manager or Program Manager</v>
      </c>
      <c r="AD38" s="947" t="str">
        <f t="shared" si="5"/>
        <v>UKUKSenior Project Manager or Program Manager</v>
      </c>
      <c r="AE38" s="947" t="str">
        <f t="shared" si="6"/>
        <v>UKUSASenior Project Manager or Program Manager</v>
      </c>
      <c r="AF38" s="644">
        <f t="shared" si="7"/>
        <v>24336</v>
      </c>
      <c r="AG38" s="644">
        <f t="shared" si="8"/>
        <v>24336</v>
      </c>
      <c r="AH38" s="644">
        <f t="shared" si="9"/>
        <v>0</v>
      </c>
      <c r="AI38" s="951">
        <f t="shared" si="10"/>
        <v>28656</v>
      </c>
      <c r="AJ38" s="951">
        <f t="shared" si="11"/>
        <v>17246.649600000001</v>
      </c>
      <c r="AK38" s="951">
        <f t="shared" si="12"/>
        <v>0</v>
      </c>
      <c r="AL38" s="951">
        <f t="shared" si="13"/>
        <v>28656</v>
      </c>
      <c r="AM38" s="951">
        <f t="shared" si="14"/>
        <v>28656</v>
      </c>
      <c r="AN38" s="951">
        <f t="shared" si="15"/>
        <v>0</v>
      </c>
      <c r="AO38" s="951">
        <f t="shared" si="16"/>
        <v>17246.649600000001</v>
      </c>
      <c r="AP38" s="951">
        <f t="shared" si="17"/>
        <v>17246.649600000001</v>
      </c>
      <c r="AQ38" s="951">
        <f t="shared" si="18"/>
        <v>0</v>
      </c>
      <c r="AR38" s="950"/>
      <c r="AS38" s="950"/>
      <c r="AT38" s="947"/>
      <c r="AU38" s="947"/>
      <c r="AV38" s="947"/>
    </row>
    <row r="39" spans="2:48" ht="15" customHeight="1">
      <c r="B39" s="953"/>
      <c r="C39" s="949" t="str" cm="1">
        <f t="array" ref="C39">IFERROR(_xlfn.IFS(B39="Onshore",$G$16,B39="Offshore","India"),"")</f>
        <v/>
      </c>
      <c r="D39" s="954"/>
      <c r="E39" s="1027"/>
      <c r="F39" s="1027"/>
      <c r="G39" s="1027"/>
      <c r="H39" s="1027"/>
      <c r="I39" s="1027"/>
      <c r="J39" s="1076">
        <f t="shared" si="19"/>
        <v>0</v>
      </c>
      <c r="K39" s="1076"/>
      <c r="L39" s="671" t="str">
        <f>IFERROR(INDEX(Bill_Rates!$L:$L,MATCH('MS Pricing'!$AD39,Bill_Rates!$J:$J,0)),"")</f>
        <v/>
      </c>
      <c r="M39" s="940"/>
      <c r="N39" s="671" t="str">
        <f t="shared" si="0"/>
        <v/>
      </c>
      <c r="O39" s="671" t="str">
        <f>IFERROR(INDEX(Bill_Rates!$O:$O,MATCH($AE39,Bill_Rates!$J:$J,0)),"")</f>
        <v/>
      </c>
      <c r="P39" s="689" t="str">
        <f t="shared" si="1"/>
        <v/>
      </c>
      <c r="Q39" s="689" t="str">
        <f t="shared" si="21"/>
        <v/>
      </c>
      <c r="R39" s="689" t="str">
        <f t="shared" si="2"/>
        <v/>
      </c>
      <c r="S39" s="683" t="str">
        <f t="shared" si="3"/>
        <v/>
      </c>
      <c r="T39" s="784"/>
      <c r="U39" s="784"/>
      <c r="V39" s="784"/>
      <c r="W39" s="784"/>
      <c r="X39" s="842" cm="1">
        <f t="array" ref="X39">INDEX('MS Lookups'!B1:E20,8,'MS Pricing'!AA20)</f>
        <v>0</v>
      </c>
      <c r="Y39" s="834"/>
      <c r="Z39" s="947"/>
      <c r="AA39" s="947"/>
      <c r="AB39" s="947" t="str">
        <f t="shared" si="4"/>
        <v/>
      </c>
      <c r="AC39" s="947">
        <f t="shared" si="22"/>
        <v>0</v>
      </c>
      <c r="AD39" s="947" t="str">
        <f t="shared" si="5"/>
        <v>UK</v>
      </c>
      <c r="AE39" s="947" t="str">
        <f t="shared" si="6"/>
        <v>UK</v>
      </c>
      <c r="AF39" s="644" t="str">
        <f t="shared" si="7"/>
        <v/>
      </c>
      <c r="AG39" s="644" t="str">
        <f t="shared" si="8"/>
        <v/>
      </c>
      <c r="AH39" s="644">
        <f t="shared" si="9"/>
        <v>0</v>
      </c>
      <c r="AI39" s="951" t="str">
        <f t="shared" si="10"/>
        <v/>
      </c>
      <c r="AJ39" s="951" t="str">
        <f t="shared" si="11"/>
        <v/>
      </c>
      <c r="AK39" s="951" t="str">
        <f t="shared" si="12"/>
        <v/>
      </c>
      <c r="AL39" s="951" t="str">
        <f t="shared" si="13"/>
        <v/>
      </c>
      <c r="AM39" s="951" t="str">
        <f t="shared" si="14"/>
        <v/>
      </c>
      <c r="AN39" s="951">
        <f t="shared" si="15"/>
        <v>0</v>
      </c>
      <c r="AO39" s="951" t="str">
        <f t="shared" si="16"/>
        <v/>
      </c>
      <c r="AP39" s="951" t="str">
        <f t="shared" si="17"/>
        <v/>
      </c>
      <c r="AQ39" s="951">
        <f t="shared" si="18"/>
        <v>0</v>
      </c>
      <c r="AR39" s="950"/>
      <c r="AS39" s="950"/>
      <c r="AT39" s="947"/>
      <c r="AU39" s="947"/>
      <c r="AV39" s="947"/>
    </row>
    <row r="40" spans="2:48">
      <c r="B40" s="953" t="s">
        <v>310</v>
      </c>
      <c r="C40" s="949" t="str" cm="1">
        <f t="array" ref="C40">IFERROR(_xlfn.IFS(B40="Onshore",$G$16,B40="Offshore","India"),"")</f>
        <v>India</v>
      </c>
      <c r="D40" s="954" t="s">
        <v>227</v>
      </c>
      <c r="E40" s="1027" t="s">
        <v>312</v>
      </c>
      <c r="F40" s="1027"/>
      <c r="G40" s="1027"/>
      <c r="H40" s="1027"/>
      <c r="I40" s="1027"/>
      <c r="J40" s="1076">
        <f t="shared" si="19"/>
        <v>216</v>
      </c>
      <c r="K40" s="1076"/>
      <c r="L40" s="671">
        <f>IFERROR(INDEX(Bill_Rates!$L:$L,MATCH('MS Pricing'!$AD40,Bill_Rates!$J:$J,0)),"")</f>
        <v>59</v>
      </c>
      <c r="M40" s="940">
        <f t="shared" si="20"/>
        <v>140</v>
      </c>
      <c r="N40" s="671">
        <f t="shared" si="0"/>
        <v>199</v>
      </c>
      <c r="O40" s="671">
        <f>IFERROR(INDEX(Bill_Rates!$O:$O,MATCH($AE40,Bill_Rates!$J:$J,0)),"")</f>
        <v>11.160259999999999</v>
      </c>
      <c r="P40" s="689">
        <f t="shared" si="1"/>
        <v>42984</v>
      </c>
      <c r="Q40" s="689">
        <f t="shared" si="21"/>
        <v>2410.61616</v>
      </c>
      <c r="R40" s="689">
        <f t="shared" si="2"/>
        <v>40573.383840000002</v>
      </c>
      <c r="S40" s="683">
        <f t="shared" si="3"/>
        <v>0.94391829145728645</v>
      </c>
      <c r="T40" s="784" t="s">
        <v>231</v>
      </c>
      <c r="U40" s="784"/>
      <c r="V40" s="784"/>
      <c r="W40" s="784"/>
      <c r="X40" s="842" cm="1">
        <f t="array" ref="X40">INDEX('MS Lookups'!B1:E20,9,'MS Pricing'!AA20)</f>
        <v>0.18</v>
      </c>
      <c r="Y40" s="834"/>
      <c r="Z40" s="947"/>
      <c r="AA40" s="947"/>
      <c r="AB40" s="947" t="str">
        <f t="shared" si="4"/>
        <v/>
      </c>
      <c r="AC40" s="947" t="str">
        <f t="shared" si="22"/>
        <v>MS - Platform Analyst</v>
      </c>
      <c r="AD40" s="947" t="str">
        <f t="shared" si="5"/>
        <v>UKIndiaMS - Platform Analyst</v>
      </c>
      <c r="AE40" s="947" t="str">
        <f t="shared" si="6"/>
        <v>UKIndiaMS - Platform Analyst</v>
      </c>
      <c r="AF40" s="644">
        <f t="shared" si="7"/>
        <v>12744</v>
      </c>
      <c r="AG40" s="644">
        <f t="shared" si="8"/>
        <v>0</v>
      </c>
      <c r="AH40" s="644">
        <f t="shared" si="9"/>
        <v>12744</v>
      </c>
      <c r="AI40" s="951">
        <f t="shared" si="10"/>
        <v>42984</v>
      </c>
      <c r="AJ40" s="951">
        <f t="shared" si="11"/>
        <v>2410.61616</v>
      </c>
      <c r="AK40" s="951">
        <f t="shared" si="12"/>
        <v>0</v>
      </c>
      <c r="AL40" s="951">
        <f t="shared" si="13"/>
        <v>42984</v>
      </c>
      <c r="AM40" s="951">
        <f t="shared" si="14"/>
        <v>0</v>
      </c>
      <c r="AN40" s="951">
        <f t="shared" si="15"/>
        <v>42984</v>
      </c>
      <c r="AO40" s="951">
        <f t="shared" si="16"/>
        <v>2410.61616</v>
      </c>
      <c r="AP40" s="951">
        <f t="shared" si="17"/>
        <v>0</v>
      </c>
      <c r="AQ40" s="951">
        <f t="shared" si="18"/>
        <v>2410.61616</v>
      </c>
      <c r="AR40" s="950"/>
      <c r="AS40" s="950"/>
      <c r="AT40" s="947"/>
      <c r="AU40" s="947"/>
      <c r="AV40" s="947"/>
    </row>
    <row r="41" spans="2:48">
      <c r="B41" s="953"/>
      <c r="C41" s="949" t="str" cm="1">
        <f t="array" ref="C41">IFERROR(_xlfn.IFS(B41="Onshore",$G$16,B41="Offshore","India"),"")</f>
        <v/>
      </c>
      <c r="D41" s="954"/>
      <c r="E41" s="1027"/>
      <c r="F41" s="1027"/>
      <c r="G41" s="1027"/>
      <c r="H41" s="1027"/>
      <c r="I41" s="1027"/>
      <c r="J41" s="1060"/>
      <c r="K41" s="1060"/>
      <c r="L41" s="671" t="str">
        <f>IFERROR(INDEX(Bill_Rates!$L:$L,MATCH('MS Pricing'!$AD41,Bill_Rates!$J:$J,0)),"")</f>
        <v/>
      </c>
      <c r="M41" s="672"/>
      <c r="N41" s="671" t="str">
        <f t="shared" si="0"/>
        <v/>
      </c>
      <c r="O41" s="671" t="str">
        <f>IFERROR(INDEX(Bill_Rates!$O:$O,MATCH($AE41,Bill_Rates!$J:$J,0)),"")</f>
        <v/>
      </c>
      <c r="P41" s="689" t="str">
        <f t="shared" si="1"/>
        <v/>
      </c>
      <c r="Q41" s="689" t="str">
        <f t="shared" si="21"/>
        <v/>
      </c>
      <c r="R41" s="689" t="str">
        <f t="shared" si="2"/>
        <v/>
      </c>
      <c r="S41" s="683" t="str">
        <f t="shared" si="3"/>
        <v/>
      </c>
      <c r="T41" s="784"/>
      <c r="U41" s="784"/>
      <c r="V41" s="784"/>
      <c r="W41" s="784"/>
      <c r="X41" s="842"/>
      <c r="Y41" s="834"/>
      <c r="Z41" s="947"/>
      <c r="AA41" s="947"/>
      <c r="AB41" s="947" t="str">
        <f t="shared" si="4"/>
        <v/>
      </c>
      <c r="AC41" s="947">
        <f t="shared" si="22"/>
        <v>0</v>
      </c>
      <c r="AD41" s="947" t="str">
        <f t="shared" si="5"/>
        <v>UK</v>
      </c>
      <c r="AE41" s="947" t="str">
        <f t="shared" si="6"/>
        <v>UK</v>
      </c>
      <c r="AF41" s="644" t="str">
        <f t="shared" si="7"/>
        <v/>
      </c>
      <c r="AG41" s="644" t="str">
        <f t="shared" si="8"/>
        <v/>
      </c>
      <c r="AH41" s="644">
        <f t="shared" si="9"/>
        <v>0</v>
      </c>
      <c r="AI41" s="951" t="str">
        <f t="shared" si="10"/>
        <v/>
      </c>
      <c r="AJ41" s="951" t="str">
        <f t="shared" si="11"/>
        <v/>
      </c>
      <c r="AK41" s="951" t="str">
        <f t="shared" si="12"/>
        <v/>
      </c>
      <c r="AL41" s="951" t="str">
        <f t="shared" si="13"/>
        <v/>
      </c>
      <c r="AM41" s="951" t="str">
        <f t="shared" si="14"/>
        <v/>
      </c>
      <c r="AN41" s="951">
        <f t="shared" si="15"/>
        <v>0</v>
      </c>
      <c r="AO41" s="951" t="str">
        <f t="shared" si="16"/>
        <v/>
      </c>
      <c r="AP41" s="951" t="str">
        <f t="shared" si="17"/>
        <v/>
      </c>
      <c r="AQ41" s="951">
        <f t="shared" si="18"/>
        <v>0</v>
      </c>
      <c r="AR41" s="950"/>
      <c r="AS41" s="950"/>
      <c r="AT41" s="947"/>
      <c r="AU41" s="947"/>
      <c r="AV41" s="947"/>
    </row>
    <row r="42" spans="2:48">
      <c r="B42" s="953"/>
      <c r="C42" s="949" t="str" cm="1">
        <f t="array" ref="C42">IFERROR(_xlfn.IFS(B42="Onshore",$G$16,B42="Offshore","India"),"")</f>
        <v/>
      </c>
      <c r="D42" s="954"/>
      <c r="E42" s="1027"/>
      <c r="F42" s="1027"/>
      <c r="G42" s="1027"/>
      <c r="H42" s="1027"/>
      <c r="I42" s="1027"/>
      <c r="J42" s="1060"/>
      <c r="K42" s="1060"/>
      <c r="L42" s="671" t="str">
        <f>IFERROR(INDEX(Bill_Rates!$L:$L,MATCH('MS Pricing'!$AD42,Bill_Rates!$J:$J,0)),"")</f>
        <v/>
      </c>
      <c r="M42" s="672"/>
      <c r="N42" s="671" t="str">
        <f t="shared" si="0"/>
        <v/>
      </c>
      <c r="O42" s="671" t="str">
        <f>IFERROR(INDEX(Bill_Rates!$O:$O,MATCH($AE42,Bill_Rates!$J:$J,0)),"")</f>
        <v/>
      </c>
      <c r="P42" s="689" t="str">
        <f t="shared" si="1"/>
        <v/>
      </c>
      <c r="Q42" s="689" t="str">
        <f t="shared" si="21"/>
        <v/>
      </c>
      <c r="R42" s="689" t="str">
        <f t="shared" si="2"/>
        <v/>
      </c>
      <c r="S42" s="683" t="str">
        <f t="shared" si="3"/>
        <v/>
      </c>
      <c r="T42" s="784"/>
      <c r="U42" s="784"/>
      <c r="V42" s="784"/>
      <c r="W42" s="784"/>
      <c r="X42" s="842"/>
      <c r="Y42" s="834"/>
      <c r="Z42" s="947"/>
      <c r="AA42" s="947"/>
      <c r="AB42" s="947" t="str">
        <f t="shared" si="4"/>
        <v/>
      </c>
      <c r="AC42" s="947">
        <f t="shared" si="22"/>
        <v>0</v>
      </c>
      <c r="AD42" s="947" t="str">
        <f t="shared" si="5"/>
        <v>UK</v>
      </c>
      <c r="AE42" s="947" t="str">
        <f t="shared" si="6"/>
        <v>UK</v>
      </c>
      <c r="AF42" s="644" t="str">
        <f t="shared" si="7"/>
        <v/>
      </c>
      <c r="AG42" s="644" t="str">
        <f t="shared" si="8"/>
        <v/>
      </c>
      <c r="AH42" s="644">
        <f t="shared" si="9"/>
        <v>0</v>
      </c>
      <c r="AI42" s="951" t="str">
        <f t="shared" si="10"/>
        <v/>
      </c>
      <c r="AJ42" s="951" t="str">
        <f t="shared" si="11"/>
        <v/>
      </c>
      <c r="AK42" s="951" t="str">
        <f t="shared" si="12"/>
        <v/>
      </c>
      <c r="AL42" s="951" t="str">
        <f t="shared" si="13"/>
        <v/>
      </c>
      <c r="AM42" s="951" t="str">
        <f t="shared" si="14"/>
        <v/>
      </c>
      <c r="AN42" s="951">
        <f t="shared" si="15"/>
        <v>0</v>
      </c>
      <c r="AO42" s="951" t="str">
        <f t="shared" si="16"/>
        <v/>
      </c>
      <c r="AP42" s="951" t="str">
        <f t="shared" si="17"/>
        <v/>
      </c>
      <c r="AQ42" s="951">
        <f t="shared" si="18"/>
        <v>0</v>
      </c>
      <c r="AR42" s="950"/>
      <c r="AS42" s="950"/>
      <c r="AT42" s="947"/>
      <c r="AU42" s="947"/>
      <c r="AV42" s="947"/>
    </row>
    <row r="43" spans="2:48">
      <c r="B43" s="953"/>
      <c r="C43" s="949" t="str" cm="1">
        <f t="array" ref="C43">IFERROR(_xlfn.IFS(B43="Onshore",$G$16,B43="Offshore","India"),"")</f>
        <v/>
      </c>
      <c r="D43" s="954"/>
      <c r="E43" s="1027"/>
      <c r="F43" s="1027"/>
      <c r="G43" s="1027"/>
      <c r="H43" s="1027"/>
      <c r="I43" s="1027"/>
      <c r="J43" s="1060"/>
      <c r="K43" s="1060"/>
      <c r="L43" s="671" t="str">
        <f>IFERROR(INDEX(Bill_Rates!$L:$L,MATCH('MS Pricing'!$AD43,Bill_Rates!$J:$J,0)),"")</f>
        <v/>
      </c>
      <c r="M43" s="672"/>
      <c r="N43" s="671" t="str">
        <f t="shared" si="0"/>
        <v/>
      </c>
      <c r="O43" s="671" t="str">
        <f>IFERROR(INDEX(Bill_Rates!$O:$O,MATCH($AE43,Bill_Rates!$J:$J,0)),"")</f>
        <v/>
      </c>
      <c r="P43" s="689" t="str">
        <f t="shared" si="1"/>
        <v/>
      </c>
      <c r="Q43" s="689" t="str">
        <f t="shared" si="21"/>
        <v/>
      </c>
      <c r="R43" s="689" t="str">
        <f t="shared" si="2"/>
        <v/>
      </c>
      <c r="S43" s="683" t="str">
        <f t="shared" si="3"/>
        <v/>
      </c>
      <c r="T43" s="784"/>
      <c r="U43" s="784"/>
      <c r="V43" s="784"/>
      <c r="W43" s="784"/>
      <c r="X43" s="842"/>
      <c r="Y43" s="834"/>
      <c r="Z43" s="947"/>
      <c r="AA43" s="947"/>
      <c r="AB43" s="947" t="str">
        <f t="shared" si="4"/>
        <v/>
      </c>
      <c r="AC43" s="947">
        <f t="shared" si="22"/>
        <v>0</v>
      </c>
      <c r="AD43" s="947" t="str">
        <f t="shared" si="5"/>
        <v>UK</v>
      </c>
      <c r="AE43" s="947" t="str">
        <f t="shared" si="6"/>
        <v>UK</v>
      </c>
      <c r="AF43" s="644" t="str">
        <f t="shared" si="7"/>
        <v/>
      </c>
      <c r="AG43" s="644" t="str">
        <f t="shared" si="8"/>
        <v/>
      </c>
      <c r="AH43" s="644">
        <f t="shared" si="9"/>
        <v>0</v>
      </c>
      <c r="AI43" s="951" t="str">
        <f t="shared" si="10"/>
        <v/>
      </c>
      <c r="AJ43" s="951" t="str">
        <f t="shared" si="11"/>
        <v/>
      </c>
      <c r="AK43" s="951" t="str">
        <f t="shared" si="12"/>
        <v/>
      </c>
      <c r="AL43" s="951" t="str">
        <f t="shared" si="13"/>
        <v/>
      </c>
      <c r="AM43" s="951" t="str">
        <f t="shared" si="14"/>
        <v/>
      </c>
      <c r="AN43" s="951">
        <f t="shared" si="15"/>
        <v>0</v>
      </c>
      <c r="AO43" s="951" t="str">
        <f t="shared" si="16"/>
        <v/>
      </c>
      <c r="AP43" s="951" t="str">
        <f t="shared" si="17"/>
        <v/>
      </c>
      <c r="AQ43" s="951">
        <f t="shared" si="18"/>
        <v>0</v>
      </c>
      <c r="AR43" s="950"/>
      <c r="AS43" s="950"/>
      <c r="AT43" s="947"/>
      <c r="AU43" s="947"/>
      <c r="AV43" s="947"/>
    </row>
    <row r="44" spans="2:48">
      <c r="B44" s="953"/>
      <c r="C44" s="949" t="str" cm="1">
        <f t="array" ref="C44">IFERROR(_xlfn.IFS(B44="Onshore",$G$16,B44="Offshore","India"),"")</f>
        <v/>
      </c>
      <c r="D44" s="954"/>
      <c r="E44" s="1027"/>
      <c r="F44" s="1027"/>
      <c r="G44" s="1027"/>
      <c r="H44" s="1027"/>
      <c r="I44" s="1027"/>
      <c r="J44" s="1060"/>
      <c r="K44" s="1060"/>
      <c r="L44" s="671" t="str">
        <f>IFERROR(INDEX(Bill_Rates!$L:$L,MATCH('MS Pricing'!$AD44,Bill_Rates!$J:$J,0)),"")</f>
        <v/>
      </c>
      <c r="M44" s="672"/>
      <c r="N44" s="671" t="str">
        <f t="shared" si="0"/>
        <v/>
      </c>
      <c r="O44" s="671" t="str">
        <f>IFERROR(INDEX(Bill_Rates!$O:$O,MATCH($AE44,Bill_Rates!$J:$J,0)),"")</f>
        <v/>
      </c>
      <c r="P44" s="689" t="str">
        <f t="shared" si="1"/>
        <v/>
      </c>
      <c r="Q44" s="689" t="str">
        <f t="shared" si="21"/>
        <v/>
      </c>
      <c r="R44" s="689" t="str">
        <f t="shared" si="2"/>
        <v/>
      </c>
      <c r="S44" s="683" t="str">
        <f t="shared" si="3"/>
        <v/>
      </c>
      <c r="T44" s="784"/>
      <c r="U44" s="784"/>
      <c r="V44" s="784"/>
      <c r="W44" s="784"/>
      <c r="X44" s="842"/>
      <c r="Y44" s="834"/>
      <c r="Z44" s="947"/>
      <c r="AA44" s="947"/>
      <c r="AB44" s="947" t="str">
        <f t="shared" si="4"/>
        <v/>
      </c>
      <c r="AC44" s="947">
        <f t="shared" si="22"/>
        <v>0</v>
      </c>
      <c r="AD44" s="947" t="str">
        <f t="shared" si="5"/>
        <v>UK</v>
      </c>
      <c r="AE44" s="947" t="str">
        <f t="shared" si="6"/>
        <v>UK</v>
      </c>
      <c r="AF44" s="644" t="str">
        <f t="shared" si="7"/>
        <v/>
      </c>
      <c r="AG44" s="644" t="str">
        <f t="shared" si="8"/>
        <v/>
      </c>
      <c r="AH44" s="644">
        <f t="shared" si="9"/>
        <v>0</v>
      </c>
      <c r="AI44" s="951" t="str">
        <f t="shared" si="10"/>
        <v/>
      </c>
      <c r="AJ44" s="951" t="str">
        <f t="shared" si="11"/>
        <v/>
      </c>
      <c r="AK44" s="951" t="str">
        <f t="shared" si="12"/>
        <v/>
      </c>
      <c r="AL44" s="951" t="str">
        <f t="shared" si="13"/>
        <v/>
      </c>
      <c r="AM44" s="951" t="str">
        <f t="shared" si="14"/>
        <v/>
      </c>
      <c r="AN44" s="951">
        <f t="shared" si="15"/>
        <v>0</v>
      </c>
      <c r="AO44" s="951" t="str">
        <f t="shared" si="16"/>
        <v/>
      </c>
      <c r="AP44" s="951" t="str">
        <f t="shared" si="17"/>
        <v/>
      </c>
      <c r="AQ44" s="951">
        <f t="shared" si="18"/>
        <v>0</v>
      </c>
      <c r="AR44" s="950"/>
      <c r="AS44" s="950"/>
      <c r="AT44" s="947"/>
      <c r="AU44" s="947"/>
      <c r="AV44" s="947"/>
    </row>
    <row r="45" spans="2:48">
      <c r="B45" s="953"/>
      <c r="C45" s="949" t="str" cm="1">
        <f t="array" ref="C45">IFERROR(_xlfn.IFS(B45="Onshore",$G$16,B45="Offshore","India"),"")</f>
        <v/>
      </c>
      <c r="D45" s="954"/>
      <c r="E45" s="1027"/>
      <c r="F45" s="1027"/>
      <c r="G45" s="1027"/>
      <c r="H45" s="1027"/>
      <c r="I45" s="1027"/>
      <c r="J45" s="1060"/>
      <c r="K45" s="1060"/>
      <c r="L45" s="671" t="str">
        <f>IFERROR(INDEX(Bill_Rates!$L:$L,MATCH('MS Pricing'!$AD45,Bill_Rates!$J:$J,0)),"")</f>
        <v/>
      </c>
      <c r="M45" s="672"/>
      <c r="N45" s="671" t="str">
        <f t="shared" si="0"/>
        <v/>
      </c>
      <c r="O45" s="671" t="str">
        <f>IFERROR(INDEX(Bill_Rates!$O:$O,MATCH($AE45,Bill_Rates!$J:$J,0)),"")</f>
        <v/>
      </c>
      <c r="P45" s="689" t="str">
        <f t="shared" si="1"/>
        <v/>
      </c>
      <c r="Q45" s="689" t="str">
        <f t="shared" si="21"/>
        <v/>
      </c>
      <c r="R45" s="689" t="str">
        <f t="shared" si="2"/>
        <v/>
      </c>
      <c r="S45" s="683" t="str">
        <f t="shared" si="3"/>
        <v/>
      </c>
      <c r="T45" s="784"/>
      <c r="U45" s="784"/>
      <c r="V45" s="784"/>
      <c r="W45" s="784"/>
      <c r="X45" s="842"/>
      <c r="Y45" s="834"/>
      <c r="Z45" s="947"/>
      <c r="AA45" s="947"/>
      <c r="AB45" s="947" t="str">
        <f t="shared" si="4"/>
        <v/>
      </c>
      <c r="AC45" s="947">
        <f t="shared" si="22"/>
        <v>0</v>
      </c>
      <c r="AD45" s="947" t="str">
        <f t="shared" si="5"/>
        <v>UK</v>
      </c>
      <c r="AE45" s="947" t="str">
        <f t="shared" si="6"/>
        <v>UK</v>
      </c>
      <c r="AF45" s="644" t="str">
        <f t="shared" si="7"/>
        <v/>
      </c>
      <c r="AG45" s="644" t="str">
        <f t="shared" si="8"/>
        <v/>
      </c>
      <c r="AH45" s="644">
        <f t="shared" si="9"/>
        <v>0</v>
      </c>
      <c r="AI45" s="951" t="str">
        <f t="shared" si="10"/>
        <v/>
      </c>
      <c r="AJ45" s="951" t="str">
        <f t="shared" si="11"/>
        <v/>
      </c>
      <c r="AK45" s="951" t="str">
        <f t="shared" si="12"/>
        <v/>
      </c>
      <c r="AL45" s="951" t="str">
        <f t="shared" si="13"/>
        <v/>
      </c>
      <c r="AM45" s="951" t="str">
        <f t="shared" si="14"/>
        <v/>
      </c>
      <c r="AN45" s="951">
        <f t="shared" si="15"/>
        <v>0</v>
      </c>
      <c r="AO45" s="951" t="str">
        <f t="shared" si="16"/>
        <v/>
      </c>
      <c r="AP45" s="951" t="str">
        <f t="shared" si="17"/>
        <v/>
      </c>
      <c r="AQ45" s="951">
        <f t="shared" si="18"/>
        <v>0</v>
      </c>
      <c r="AR45" s="950"/>
      <c r="AS45" s="950"/>
      <c r="AT45" s="947"/>
      <c r="AU45" s="947"/>
      <c r="AV45" s="947"/>
    </row>
    <row r="46" spans="2:48">
      <c r="B46" s="953"/>
      <c r="C46" s="949" t="str" cm="1">
        <f t="array" ref="C46">IFERROR(_xlfn.IFS(B46="Onshore",$G$16,B46="Offshore","India"),"")</f>
        <v/>
      </c>
      <c r="D46" s="954"/>
      <c r="E46" s="1027"/>
      <c r="F46" s="1027"/>
      <c r="G46" s="1027"/>
      <c r="H46" s="1027"/>
      <c r="I46" s="1027"/>
      <c r="J46" s="1060"/>
      <c r="K46" s="1060"/>
      <c r="L46" s="671" t="str">
        <f>IFERROR(INDEX(Bill_Rates!$L:$L,MATCH('MS Pricing'!$AD46,Bill_Rates!$J:$J,0)),"")</f>
        <v/>
      </c>
      <c r="M46" s="672"/>
      <c r="N46" s="671" t="str">
        <f t="shared" si="0"/>
        <v/>
      </c>
      <c r="O46" s="671" t="str">
        <f>IFERROR(INDEX(Bill_Rates!$O:$O,MATCH($AE46,Bill_Rates!$J:$J,0)),"")</f>
        <v/>
      </c>
      <c r="P46" s="689" t="str">
        <f t="shared" si="1"/>
        <v/>
      </c>
      <c r="Q46" s="689" t="str">
        <f t="shared" si="21"/>
        <v/>
      </c>
      <c r="R46" s="689" t="str">
        <f t="shared" si="2"/>
        <v/>
      </c>
      <c r="S46" s="683" t="str">
        <f t="shared" si="3"/>
        <v/>
      </c>
      <c r="T46" s="784"/>
      <c r="U46" s="784"/>
      <c r="V46" s="784"/>
      <c r="W46" s="784"/>
      <c r="X46" s="842"/>
      <c r="Y46" s="834"/>
      <c r="Z46" s="947"/>
      <c r="AA46" s="947"/>
      <c r="AB46" s="947" t="str">
        <f t="shared" si="4"/>
        <v/>
      </c>
      <c r="AC46" s="947">
        <f t="shared" si="22"/>
        <v>0</v>
      </c>
      <c r="AD46" s="947" t="str">
        <f t="shared" si="5"/>
        <v>UK</v>
      </c>
      <c r="AE46" s="947" t="str">
        <f t="shared" si="6"/>
        <v>UK</v>
      </c>
      <c r="AF46" s="644" t="str">
        <f t="shared" si="7"/>
        <v/>
      </c>
      <c r="AG46" s="644" t="str">
        <f t="shared" si="8"/>
        <v/>
      </c>
      <c r="AH46" s="644">
        <f t="shared" si="9"/>
        <v>0</v>
      </c>
      <c r="AI46" s="951" t="str">
        <f t="shared" si="10"/>
        <v/>
      </c>
      <c r="AJ46" s="951" t="str">
        <f t="shared" si="11"/>
        <v/>
      </c>
      <c r="AK46" s="951" t="str">
        <f t="shared" si="12"/>
        <v/>
      </c>
      <c r="AL46" s="951" t="str">
        <f t="shared" si="13"/>
        <v/>
      </c>
      <c r="AM46" s="951" t="str">
        <f t="shared" si="14"/>
        <v/>
      </c>
      <c r="AN46" s="951">
        <f t="shared" si="15"/>
        <v>0</v>
      </c>
      <c r="AO46" s="951" t="str">
        <f t="shared" si="16"/>
        <v/>
      </c>
      <c r="AP46" s="951" t="str">
        <f t="shared" si="17"/>
        <v/>
      </c>
      <c r="AQ46" s="951">
        <f t="shared" si="18"/>
        <v>0</v>
      </c>
      <c r="AR46" s="950"/>
      <c r="AS46" s="950"/>
      <c r="AT46" s="947"/>
      <c r="AU46" s="947"/>
      <c r="AV46" s="947"/>
    </row>
    <row r="47" spans="2:48">
      <c r="B47" s="953"/>
      <c r="C47" s="949" t="str" cm="1">
        <f t="array" ref="C47">IFERROR(_xlfn.IFS(B47="Onshore",$G$16,B47="Offshore","India"),"")</f>
        <v/>
      </c>
      <c r="D47" s="954"/>
      <c r="E47" s="1027"/>
      <c r="F47" s="1027"/>
      <c r="G47" s="1027"/>
      <c r="H47" s="1027"/>
      <c r="I47" s="1027"/>
      <c r="J47" s="1060"/>
      <c r="K47" s="1060"/>
      <c r="L47" s="671" t="str">
        <f>IFERROR(INDEX(Bill_Rates!$L:$L,MATCH('MS Pricing'!$AD47,Bill_Rates!$J:$J,0)),"")</f>
        <v/>
      </c>
      <c r="M47" s="672"/>
      <c r="N47" s="671" t="str">
        <f t="shared" si="0"/>
        <v/>
      </c>
      <c r="O47" s="671" t="str">
        <f>IFERROR(INDEX(Bill_Rates!$O:$O,MATCH($AE47,Bill_Rates!$J:$J,0)),"")</f>
        <v/>
      </c>
      <c r="P47" s="689" t="str">
        <f t="shared" si="1"/>
        <v/>
      </c>
      <c r="Q47" s="689" t="str">
        <f t="shared" si="21"/>
        <v/>
      </c>
      <c r="R47" s="689" t="str">
        <f t="shared" si="2"/>
        <v/>
      </c>
      <c r="S47" s="683" t="str">
        <f t="shared" si="3"/>
        <v/>
      </c>
      <c r="T47" s="784"/>
      <c r="U47" s="784"/>
      <c r="V47" s="784"/>
      <c r="W47" s="784"/>
      <c r="X47" s="842"/>
      <c r="Y47" s="834"/>
      <c r="Z47" s="947"/>
      <c r="AA47" s="947"/>
      <c r="AB47" s="947" t="str">
        <f t="shared" si="4"/>
        <v/>
      </c>
      <c r="AC47" s="947">
        <f t="shared" si="22"/>
        <v>0</v>
      </c>
      <c r="AD47" s="947" t="str">
        <f t="shared" si="5"/>
        <v>UK</v>
      </c>
      <c r="AE47" s="947" t="str">
        <f t="shared" si="6"/>
        <v>UK</v>
      </c>
      <c r="AF47" s="644" t="str">
        <f t="shared" si="7"/>
        <v/>
      </c>
      <c r="AG47" s="644" t="str">
        <f t="shared" si="8"/>
        <v/>
      </c>
      <c r="AH47" s="644">
        <f t="shared" si="9"/>
        <v>0</v>
      </c>
      <c r="AI47" s="951" t="str">
        <f t="shared" si="10"/>
        <v/>
      </c>
      <c r="AJ47" s="951" t="str">
        <f t="shared" si="11"/>
        <v/>
      </c>
      <c r="AK47" s="951" t="str">
        <f t="shared" si="12"/>
        <v/>
      </c>
      <c r="AL47" s="951" t="str">
        <f t="shared" si="13"/>
        <v/>
      </c>
      <c r="AM47" s="951" t="str">
        <f t="shared" si="14"/>
        <v/>
      </c>
      <c r="AN47" s="951">
        <f t="shared" si="15"/>
        <v>0</v>
      </c>
      <c r="AO47" s="951" t="str">
        <f t="shared" si="16"/>
        <v/>
      </c>
      <c r="AP47" s="951" t="str">
        <f t="shared" si="17"/>
        <v/>
      </c>
      <c r="AQ47" s="951">
        <f t="shared" si="18"/>
        <v>0</v>
      </c>
      <c r="AR47" s="950"/>
      <c r="AS47" s="950"/>
      <c r="AT47" s="947"/>
      <c r="AU47" s="947"/>
      <c r="AV47" s="947"/>
    </row>
    <row r="48" spans="2:48">
      <c r="B48" s="953"/>
      <c r="C48" s="949" t="str" cm="1">
        <f t="array" ref="C48">IFERROR(_xlfn.IFS(B48="Onshore",$G$16,B48="Offshore","India"),"")</f>
        <v/>
      </c>
      <c r="D48" s="954"/>
      <c r="E48" s="1027"/>
      <c r="F48" s="1027"/>
      <c r="G48" s="1027"/>
      <c r="H48" s="1027"/>
      <c r="I48" s="1027"/>
      <c r="J48" s="1060"/>
      <c r="K48" s="1060"/>
      <c r="L48" s="671" t="str">
        <f>IFERROR(INDEX(Bill_Rates!$L:$L,MATCH('MS Pricing'!$AD48,Bill_Rates!$J:$J,0)),"")</f>
        <v/>
      </c>
      <c r="M48" s="672"/>
      <c r="N48" s="671" t="str">
        <f t="shared" si="0"/>
        <v/>
      </c>
      <c r="O48" s="671" t="str">
        <f>IFERROR(INDEX(Bill_Rates!$O:$O,MATCH($AE48,Bill_Rates!$J:$J,0)),"")</f>
        <v/>
      </c>
      <c r="P48" s="689" t="str">
        <f t="shared" si="1"/>
        <v/>
      </c>
      <c r="Q48" s="689" t="str">
        <f t="shared" si="21"/>
        <v/>
      </c>
      <c r="R48" s="689" t="str">
        <f t="shared" si="2"/>
        <v/>
      </c>
      <c r="S48" s="683" t="str">
        <f t="shared" si="3"/>
        <v/>
      </c>
      <c r="T48" s="784"/>
      <c r="U48" s="784"/>
      <c r="V48" s="784"/>
      <c r="W48" s="784"/>
      <c r="X48" s="842"/>
      <c r="Y48" s="834"/>
      <c r="Z48" s="947"/>
      <c r="AA48" s="947"/>
      <c r="AB48" s="947" t="str">
        <f t="shared" si="4"/>
        <v/>
      </c>
      <c r="AC48" s="947">
        <f t="shared" si="22"/>
        <v>0</v>
      </c>
      <c r="AD48" s="947" t="str">
        <f t="shared" si="5"/>
        <v>UK</v>
      </c>
      <c r="AE48" s="947" t="str">
        <f t="shared" si="6"/>
        <v>UK</v>
      </c>
      <c r="AF48" s="644" t="str">
        <f t="shared" si="7"/>
        <v/>
      </c>
      <c r="AG48" s="644" t="str">
        <f t="shared" si="8"/>
        <v/>
      </c>
      <c r="AH48" s="644">
        <f t="shared" si="9"/>
        <v>0</v>
      </c>
      <c r="AI48" s="951" t="str">
        <f t="shared" si="10"/>
        <v/>
      </c>
      <c r="AJ48" s="951" t="str">
        <f t="shared" si="11"/>
        <v/>
      </c>
      <c r="AK48" s="951" t="str">
        <f t="shared" si="12"/>
        <v/>
      </c>
      <c r="AL48" s="951" t="str">
        <f t="shared" si="13"/>
        <v/>
      </c>
      <c r="AM48" s="951" t="str">
        <f t="shared" si="14"/>
        <v/>
      </c>
      <c r="AN48" s="951">
        <f t="shared" si="15"/>
        <v>0</v>
      </c>
      <c r="AO48" s="951" t="str">
        <f t="shared" si="16"/>
        <v/>
      </c>
      <c r="AP48" s="951" t="str">
        <f t="shared" si="17"/>
        <v/>
      </c>
      <c r="AQ48" s="951">
        <f t="shared" si="18"/>
        <v>0</v>
      </c>
      <c r="AR48" s="950"/>
      <c r="AS48" s="950"/>
      <c r="AT48" s="947"/>
      <c r="AU48" s="947"/>
      <c r="AV48" s="947"/>
    </row>
    <row r="49" spans="2:48">
      <c r="B49" s="953"/>
      <c r="C49" s="949" t="str" cm="1">
        <f t="array" ref="C49">IFERROR(_xlfn.IFS(B49="Onshore",$G$16,B49="Offshore","India"),"")</f>
        <v/>
      </c>
      <c r="D49" s="954"/>
      <c r="E49" s="1027"/>
      <c r="F49" s="1027"/>
      <c r="G49" s="1027"/>
      <c r="H49" s="1027"/>
      <c r="I49" s="1027"/>
      <c r="J49" s="1060"/>
      <c r="K49" s="1060"/>
      <c r="L49" s="671" t="str">
        <f>IFERROR(INDEX(Bill_Rates!$L:$L,MATCH('MS Pricing'!$AD49,Bill_Rates!$J:$J,0)),"")</f>
        <v/>
      </c>
      <c r="M49" s="672"/>
      <c r="N49" s="671" t="str">
        <f t="shared" si="0"/>
        <v/>
      </c>
      <c r="O49" s="671" t="str">
        <f>IFERROR(INDEX(Bill_Rates!$O:$O,MATCH($AE49,Bill_Rates!$J:$J,0)),"")</f>
        <v/>
      </c>
      <c r="P49" s="689" t="str">
        <f t="shared" si="1"/>
        <v/>
      </c>
      <c r="Q49" s="689" t="str">
        <f t="shared" si="21"/>
        <v/>
      </c>
      <c r="R49" s="689" t="str">
        <f t="shared" si="2"/>
        <v/>
      </c>
      <c r="S49" s="683" t="str">
        <f t="shared" si="3"/>
        <v/>
      </c>
      <c r="T49" s="784"/>
      <c r="U49" s="784"/>
      <c r="V49" s="784"/>
      <c r="W49" s="784"/>
      <c r="X49" s="842"/>
      <c r="Y49" s="834"/>
      <c r="Z49" s="947"/>
      <c r="AA49" s="947"/>
      <c r="AB49" s="947" t="str">
        <f t="shared" si="4"/>
        <v/>
      </c>
      <c r="AC49" s="947">
        <f t="shared" si="22"/>
        <v>0</v>
      </c>
      <c r="AD49" s="947" t="str">
        <f t="shared" si="5"/>
        <v>UK</v>
      </c>
      <c r="AE49" s="947" t="str">
        <f t="shared" si="6"/>
        <v>UK</v>
      </c>
      <c r="AF49" s="644" t="str">
        <f t="shared" si="7"/>
        <v/>
      </c>
      <c r="AG49" s="644" t="str">
        <f t="shared" si="8"/>
        <v/>
      </c>
      <c r="AH49" s="644">
        <f t="shared" si="9"/>
        <v>0</v>
      </c>
      <c r="AI49" s="951" t="str">
        <f t="shared" si="10"/>
        <v/>
      </c>
      <c r="AJ49" s="951" t="str">
        <f t="shared" si="11"/>
        <v/>
      </c>
      <c r="AK49" s="951" t="str">
        <f t="shared" si="12"/>
        <v/>
      </c>
      <c r="AL49" s="951" t="str">
        <f t="shared" si="13"/>
        <v/>
      </c>
      <c r="AM49" s="951" t="str">
        <f t="shared" si="14"/>
        <v/>
      </c>
      <c r="AN49" s="951">
        <f t="shared" si="15"/>
        <v>0</v>
      </c>
      <c r="AO49" s="951" t="str">
        <f t="shared" si="16"/>
        <v/>
      </c>
      <c r="AP49" s="951" t="str">
        <f t="shared" si="17"/>
        <v/>
      </c>
      <c r="AQ49" s="951">
        <f t="shared" si="18"/>
        <v>0</v>
      </c>
      <c r="AR49" s="950"/>
      <c r="AS49" s="950"/>
      <c r="AT49" s="947"/>
      <c r="AU49" s="947"/>
      <c r="AV49" s="947"/>
    </row>
    <row r="50" spans="2:48">
      <c r="B50" s="953"/>
      <c r="C50" s="949" t="str" cm="1">
        <f t="array" ref="C50">IFERROR(_xlfn.IFS(B50="Onshore",$G$16,B50="Offshore","India"),"")</f>
        <v/>
      </c>
      <c r="D50" s="954"/>
      <c r="E50" s="1027"/>
      <c r="F50" s="1027"/>
      <c r="G50" s="1027"/>
      <c r="H50" s="1027"/>
      <c r="I50" s="1027"/>
      <c r="J50" s="1060"/>
      <c r="K50" s="1060"/>
      <c r="L50" s="671" t="str">
        <f>IFERROR(INDEX(Bill_Rates!$L:$L,MATCH('MS Pricing'!$AD50,Bill_Rates!$J:$J,0)),"")</f>
        <v/>
      </c>
      <c r="M50" s="672"/>
      <c r="N50" s="671" t="str">
        <f t="shared" si="0"/>
        <v/>
      </c>
      <c r="O50" s="671" t="str">
        <f>IFERROR(INDEX(Bill_Rates!$O:$O,MATCH($AE50,Bill_Rates!$J:$J,0)),"")</f>
        <v/>
      </c>
      <c r="P50" s="689" t="str">
        <f t="shared" si="1"/>
        <v/>
      </c>
      <c r="Q50" s="689" t="str">
        <f t="shared" si="21"/>
        <v/>
      </c>
      <c r="R50" s="689" t="str">
        <f t="shared" si="2"/>
        <v/>
      </c>
      <c r="S50" s="683" t="str">
        <f t="shared" si="3"/>
        <v/>
      </c>
      <c r="T50" s="784"/>
      <c r="U50" s="784"/>
      <c r="V50" s="784"/>
      <c r="W50" s="784"/>
      <c r="X50" s="842"/>
      <c r="Y50" s="834"/>
      <c r="Z50" s="947"/>
      <c r="AA50" s="947"/>
      <c r="AB50" s="947" t="str">
        <f t="shared" si="4"/>
        <v/>
      </c>
      <c r="AC50" s="947">
        <f t="shared" si="22"/>
        <v>0</v>
      </c>
      <c r="AD50" s="947" t="str">
        <f t="shared" si="5"/>
        <v>UK</v>
      </c>
      <c r="AE50" s="947" t="str">
        <f t="shared" si="6"/>
        <v>UK</v>
      </c>
      <c r="AF50" s="644" t="str">
        <f t="shared" si="7"/>
        <v/>
      </c>
      <c r="AG50" s="644" t="str">
        <f t="shared" si="8"/>
        <v/>
      </c>
      <c r="AH50" s="644">
        <f t="shared" si="9"/>
        <v>0</v>
      </c>
      <c r="AI50" s="951" t="str">
        <f t="shared" si="10"/>
        <v/>
      </c>
      <c r="AJ50" s="951" t="str">
        <f t="shared" si="11"/>
        <v/>
      </c>
      <c r="AK50" s="951" t="str">
        <f t="shared" si="12"/>
        <v/>
      </c>
      <c r="AL50" s="951" t="str">
        <f t="shared" si="13"/>
        <v/>
      </c>
      <c r="AM50" s="951" t="str">
        <f t="shared" si="14"/>
        <v/>
      </c>
      <c r="AN50" s="951">
        <f t="shared" si="15"/>
        <v>0</v>
      </c>
      <c r="AO50" s="951" t="str">
        <f t="shared" si="16"/>
        <v/>
      </c>
      <c r="AP50" s="951" t="str">
        <f t="shared" si="17"/>
        <v/>
      </c>
      <c r="AQ50" s="951">
        <f t="shared" si="18"/>
        <v>0</v>
      </c>
      <c r="AR50" s="950"/>
      <c r="AS50" s="950"/>
      <c r="AT50" s="947"/>
      <c r="AU50" s="947"/>
      <c r="AV50" s="947"/>
    </row>
    <row r="51" spans="2:48">
      <c r="B51" s="953"/>
      <c r="C51" s="949" t="str" cm="1">
        <f t="array" ref="C51">IFERROR(_xlfn.IFS(B51="Onshore",$G$16,B51="Offshore","India"),"")</f>
        <v/>
      </c>
      <c r="D51" s="954"/>
      <c r="E51" s="1027"/>
      <c r="F51" s="1027"/>
      <c r="G51" s="1027"/>
      <c r="H51" s="1027"/>
      <c r="I51" s="1027"/>
      <c r="J51" s="1060"/>
      <c r="K51" s="1060"/>
      <c r="L51" s="671" t="str">
        <f>IFERROR(INDEX(Bill_Rates!$L:$L,MATCH('MS Pricing'!$AD51,Bill_Rates!$J:$J,0)),"")</f>
        <v/>
      </c>
      <c r="M51" s="672"/>
      <c r="N51" s="671" t="str">
        <f t="shared" si="0"/>
        <v/>
      </c>
      <c r="O51" s="671" t="str">
        <f>IFERROR(INDEX(Bill_Rates!$O:$O,MATCH($AE51,Bill_Rates!$J:$J,0)),"")</f>
        <v/>
      </c>
      <c r="P51" s="689" t="str">
        <f t="shared" si="1"/>
        <v/>
      </c>
      <c r="Q51" s="689" t="str">
        <f t="shared" si="21"/>
        <v/>
      </c>
      <c r="R51" s="689" t="str">
        <f t="shared" si="2"/>
        <v/>
      </c>
      <c r="S51" s="683" t="str">
        <f t="shared" si="3"/>
        <v/>
      </c>
      <c r="T51" s="784"/>
      <c r="U51" s="784"/>
      <c r="V51" s="784"/>
      <c r="W51" s="784"/>
      <c r="X51" s="842"/>
      <c r="Y51" s="834"/>
      <c r="Z51" s="947"/>
      <c r="AA51" s="947"/>
      <c r="AB51" s="947" t="str">
        <f t="shared" si="4"/>
        <v/>
      </c>
      <c r="AC51" s="947">
        <f t="shared" si="22"/>
        <v>0</v>
      </c>
      <c r="AD51" s="947" t="str">
        <f t="shared" si="5"/>
        <v>UK</v>
      </c>
      <c r="AE51" s="947" t="str">
        <f t="shared" si="6"/>
        <v>UK</v>
      </c>
      <c r="AF51" s="644" t="str">
        <f t="shared" si="7"/>
        <v/>
      </c>
      <c r="AG51" s="644" t="str">
        <f t="shared" si="8"/>
        <v/>
      </c>
      <c r="AH51" s="644">
        <f t="shared" si="9"/>
        <v>0</v>
      </c>
      <c r="AI51" s="951" t="str">
        <f t="shared" si="10"/>
        <v/>
      </c>
      <c r="AJ51" s="951" t="str">
        <f t="shared" si="11"/>
        <v/>
      </c>
      <c r="AK51" s="951" t="str">
        <f t="shared" si="12"/>
        <v/>
      </c>
      <c r="AL51" s="951" t="str">
        <f t="shared" si="13"/>
        <v/>
      </c>
      <c r="AM51" s="951" t="str">
        <f t="shared" si="14"/>
        <v/>
      </c>
      <c r="AN51" s="951">
        <f t="shared" si="15"/>
        <v>0</v>
      </c>
      <c r="AO51" s="951" t="str">
        <f t="shared" si="16"/>
        <v/>
      </c>
      <c r="AP51" s="951" t="str">
        <f t="shared" si="17"/>
        <v/>
      </c>
      <c r="AQ51" s="951">
        <f t="shared" si="18"/>
        <v>0</v>
      </c>
      <c r="AR51" s="950"/>
      <c r="AS51" s="950"/>
      <c r="AT51" s="947"/>
      <c r="AU51" s="947"/>
      <c r="AV51" s="947"/>
    </row>
    <row r="52" spans="2:48">
      <c r="B52" s="953"/>
      <c r="C52" s="949" t="str" cm="1">
        <f t="array" ref="C52">IFERROR(_xlfn.IFS(B52="Onshore",$G$16,B52="Offshore","India"),"")</f>
        <v/>
      </c>
      <c r="D52" s="954"/>
      <c r="E52" s="1027"/>
      <c r="F52" s="1027"/>
      <c r="G52" s="1027"/>
      <c r="H52" s="1027"/>
      <c r="I52" s="1027"/>
      <c r="J52" s="1060"/>
      <c r="K52" s="1060"/>
      <c r="L52" s="671" t="str">
        <f>IFERROR(INDEX(Bill_Rates!$L:$L,MATCH('MS Pricing'!$AD52,Bill_Rates!$J:$J,0)),"")</f>
        <v/>
      </c>
      <c r="M52" s="672"/>
      <c r="N52" s="671" t="str">
        <f t="shared" si="0"/>
        <v/>
      </c>
      <c r="O52" s="671" t="str">
        <f>IFERROR(INDEX(Bill_Rates!$O:$O,MATCH($AE52,Bill_Rates!$J:$J,0)),"")</f>
        <v/>
      </c>
      <c r="P52" s="689" t="str">
        <f t="shared" si="1"/>
        <v/>
      </c>
      <c r="Q52" s="689" t="str">
        <f t="shared" si="21"/>
        <v/>
      </c>
      <c r="R52" s="689" t="str">
        <f t="shared" si="2"/>
        <v/>
      </c>
      <c r="S52" s="683" t="str">
        <f t="shared" si="3"/>
        <v/>
      </c>
      <c r="T52" s="784"/>
      <c r="U52" s="784"/>
      <c r="V52" s="784"/>
      <c r="W52" s="784"/>
      <c r="X52" s="842"/>
      <c r="Y52" s="834"/>
      <c r="Z52" s="947"/>
      <c r="AA52" s="947"/>
      <c r="AB52" s="947" t="str">
        <f t="shared" si="4"/>
        <v/>
      </c>
      <c r="AC52" s="947">
        <f t="shared" si="22"/>
        <v>0</v>
      </c>
      <c r="AD52" s="947" t="str">
        <f t="shared" si="5"/>
        <v>UK</v>
      </c>
      <c r="AE52" s="947" t="str">
        <f t="shared" si="6"/>
        <v>UK</v>
      </c>
      <c r="AF52" s="644" t="str">
        <f t="shared" si="7"/>
        <v/>
      </c>
      <c r="AG52" s="644" t="str">
        <f t="shared" si="8"/>
        <v/>
      </c>
      <c r="AH52" s="644">
        <f t="shared" si="9"/>
        <v>0</v>
      </c>
      <c r="AI52" s="951" t="str">
        <f t="shared" si="10"/>
        <v/>
      </c>
      <c r="AJ52" s="951" t="str">
        <f t="shared" si="11"/>
        <v/>
      </c>
      <c r="AK52" s="951" t="str">
        <f t="shared" si="12"/>
        <v/>
      </c>
      <c r="AL52" s="951" t="str">
        <f t="shared" si="13"/>
        <v/>
      </c>
      <c r="AM52" s="951" t="str">
        <f t="shared" si="14"/>
        <v/>
      </c>
      <c r="AN52" s="951">
        <f t="shared" si="15"/>
        <v>0</v>
      </c>
      <c r="AO52" s="951" t="str">
        <f t="shared" si="16"/>
        <v/>
      </c>
      <c r="AP52" s="951" t="str">
        <f t="shared" si="17"/>
        <v/>
      </c>
      <c r="AQ52" s="951">
        <f t="shared" si="18"/>
        <v>0</v>
      </c>
      <c r="AR52" s="950"/>
      <c r="AS52" s="950"/>
      <c r="AT52" s="947"/>
      <c r="AU52" s="947"/>
      <c r="AV52" s="947"/>
    </row>
    <row r="53" spans="2:48">
      <c r="B53" s="953"/>
      <c r="C53" s="949" t="str" cm="1">
        <f t="array" ref="C53">IFERROR(_xlfn.IFS(B53="Onshore",$G$16,B53="Offshore","India"),"")</f>
        <v/>
      </c>
      <c r="D53" s="954"/>
      <c r="E53" s="1027"/>
      <c r="F53" s="1027"/>
      <c r="G53" s="1027"/>
      <c r="H53" s="1027"/>
      <c r="I53" s="1027"/>
      <c r="J53" s="1060"/>
      <c r="K53" s="1060"/>
      <c r="L53" s="671" t="str">
        <f>IFERROR(INDEX(Bill_Rates!$L:$L,MATCH('MS Pricing'!$AD53,Bill_Rates!$J:$J,0)),"")</f>
        <v/>
      </c>
      <c r="M53" s="672"/>
      <c r="N53" s="671" t="str">
        <f t="shared" si="0"/>
        <v/>
      </c>
      <c r="O53" s="671" t="str">
        <f>IFERROR(INDEX(Bill_Rates!$O:$O,MATCH($AE53,Bill_Rates!$J:$J,0)),"")</f>
        <v/>
      </c>
      <c r="P53" s="689" t="str">
        <f t="shared" si="1"/>
        <v/>
      </c>
      <c r="Q53" s="689" t="str">
        <f t="shared" si="21"/>
        <v/>
      </c>
      <c r="R53" s="689" t="str">
        <f t="shared" si="2"/>
        <v/>
      </c>
      <c r="S53" s="683" t="str">
        <f t="shared" si="3"/>
        <v/>
      </c>
      <c r="T53" s="784"/>
      <c r="U53" s="784"/>
      <c r="V53" s="784"/>
      <c r="W53" s="784"/>
      <c r="X53" s="842"/>
      <c r="Y53" s="834"/>
      <c r="Z53" s="947"/>
      <c r="AA53" s="947"/>
      <c r="AB53" s="947" t="str">
        <f t="shared" si="4"/>
        <v/>
      </c>
      <c r="AC53" s="947">
        <f t="shared" si="22"/>
        <v>0</v>
      </c>
      <c r="AD53" s="947" t="str">
        <f t="shared" si="5"/>
        <v>UK</v>
      </c>
      <c r="AE53" s="947" t="str">
        <f t="shared" si="6"/>
        <v>UK</v>
      </c>
      <c r="AF53" s="644" t="str">
        <f t="shared" si="7"/>
        <v/>
      </c>
      <c r="AG53" s="644" t="str">
        <f t="shared" si="8"/>
        <v/>
      </c>
      <c r="AH53" s="644">
        <f t="shared" si="9"/>
        <v>0</v>
      </c>
      <c r="AI53" s="951" t="str">
        <f t="shared" si="10"/>
        <v/>
      </c>
      <c r="AJ53" s="951" t="str">
        <f t="shared" si="11"/>
        <v/>
      </c>
      <c r="AK53" s="951" t="str">
        <f t="shared" si="12"/>
        <v/>
      </c>
      <c r="AL53" s="951" t="str">
        <f t="shared" si="13"/>
        <v/>
      </c>
      <c r="AM53" s="951" t="str">
        <f t="shared" si="14"/>
        <v/>
      </c>
      <c r="AN53" s="951">
        <f t="shared" si="15"/>
        <v>0</v>
      </c>
      <c r="AO53" s="951" t="str">
        <f t="shared" si="16"/>
        <v/>
      </c>
      <c r="AP53" s="951" t="str">
        <f t="shared" si="17"/>
        <v/>
      </c>
      <c r="AQ53" s="951">
        <f t="shared" si="18"/>
        <v>0</v>
      </c>
      <c r="AR53" s="950"/>
      <c r="AS53" s="950"/>
      <c r="AT53" s="947"/>
      <c r="AU53" s="947"/>
      <c r="AV53" s="947"/>
    </row>
    <row r="54" spans="2:48">
      <c r="B54" s="953"/>
      <c r="C54" s="949" t="str" cm="1">
        <f t="array" ref="C54">IFERROR(_xlfn.IFS(B54="Onshore",$G$16,B54="Offshore","India"),"")</f>
        <v/>
      </c>
      <c r="D54" s="954"/>
      <c r="E54" s="1027"/>
      <c r="F54" s="1027"/>
      <c r="G54" s="1027"/>
      <c r="H54" s="1027"/>
      <c r="I54" s="1027"/>
      <c r="J54" s="1060"/>
      <c r="K54" s="1060"/>
      <c r="L54" s="671" t="str">
        <f>IFERROR(INDEX(Bill_Rates!$L:$L,MATCH('MS Pricing'!$AD54,Bill_Rates!$J:$J,0)),"")</f>
        <v/>
      </c>
      <c r="M54" s="672"/>
      <c r="N54" s="671" t="str">
        <f t="shared" si="0"/>
        <v/>
      </c>
      <c r="O54" s="671" t="str">
        <f>IFERROR(INDEX(Bill_Rates!$O:$O,MATCH($AE54,Bill_Rates!$J:$J,0)),"")</f>
        <v/>
      </c>
      <c r="P54" s="689" t="str">
        <f t="shared" si="1"/>
        <v/>
      </c>
      <c r="Q54" s="689" t="str">
        <f t="shared" si="21"/>
        <v/>
      </c>
      <c r="R54" s="689" t="str">
        <f t="shared" si="2"/>
        <v/>
      </c>
      <c r="S54" s="683" t="str">
        <f t="shared" si="3"/>
        <v/>
      </c>
      <c r="T54" s="784"/>
      <c r="U54" s="784"/>
      <c r="V54" s="784"/>
      <c r="W54" s="784"/>
      <c r="X54" s="842"/>
      <c r="Y54" s="834"/>
      <c r="Z54" s="947"/>
      <c r="AA54" s="947"/>
      <c r="AB54" s="947" t="str">
        <f t="shared" si="4"/>
        <v/>
      </c>
      <c r="AC54" s="947">
        <f t="shared" si="22"/>
        <v>0</v>
      </c>
      <c r="AD54" s="947" t="str">
        <f t="shared" si="5"/>
        <v>UK</v>
      </c>
      <c r="AE54" s="947" t="str">
        <f t="shared" si="6"/>
        <v>UK</v>
      </c>
      <c r="AF54" s="644" t="str">
        <f t="shared" si="7"/>
        <v/>
      </c>
      <c r="AG54" s="644" t="str">
        <f t="shared" si="8"/>
        <v/>
      </c>
      <c r="AH54" s="644">
        <f t="shared" si="9"/>
        <v>0</v>
      </c>
      <c r="AI54" s="951" t="str">
        <f t="shared" si="10"/>
        <v/>
      </c>
      <c r="AJ54" s="951" t="str">
        <f t="shared" si="11"/>
        <v/>
      </c>
      <c r="AK54" s="951" t="str">
        <f t="shared" si="12"/>
        <v/>
      </c>
      <c r="AL54" s="951" t="str">
        <f t="shared" si="13"/>
        <v/>
      </c>
      <c r="AM54" s="951" t="str">
        <f t="shared" si="14"/>
        <v/>
      </c>
      <c r="AN54" s="951">
        <f t="shared" si="15"/>
        <v>0</v>
      </c>
      <c r="AO54" s="951" t="str">
        <f t="shared" si="16"/>
        <v/>
      </c>
      <c r="AP54" s="951" t="str">
        <f t="shared" si="17"/>
        <v/>
      </c>
      <c r="AQ54" s="951">
        <f t="shared" si="18"/>
        <v>0</v>
      </c>
      <c r="AR54" s="950"/>
      <c r="AS54" s="950"/>
      <c r="AT54" s="947"/>
      <c r="AU54" s="947"/>
      <c r="AV54" s="947"/>
    </row>
    <row r="55" spans="2:48">
      <c r="B55" s="953"/>
      <c r="C55" s="949" t="str" cm="1">
        <f t="array" ref="C55">IFERROR(_xlfn.IFS(B55="Onshore",$G$16,B55="Offshore","India"),"")</f>
        <v/>
      </c>
      <c r="D55" s="954"/>
      <c r="E55" s="1027"/>
      <c r="F55" s="1027"/>
      <c r="G55" s="1027"/>
      <c r="H55" s="1027"/>
      <c r="I55" s="1027"/>
      <c r="J55" s="1060"/>
      <c r="K55" s="1060"/>
      <c r="L55" s="671" t="str">
        <f>IFERROR(INDEX(Bill_Rates!$L:$L,MATCH('MS Pricing'!$AD55,Bill_Rates!$J:$J,0)),"")</f>
        <v/>
      </c>
      <c r="M55" s="672"/>
      <c r="N55" s="671" t="str">
        <f t="shared" si="0"/>
        <v/>
      </c>
      <c r="O55" s="671" t="str">
        <f>IFERROR(INDEX(Bill_Rates!$O:$O,MATCH($AE55,Bill_Rates!$J:$J,0)),"")</f>
        <v/>
      </c>
      <c r="P55" s="689" t="str">
        <f t="shared" si="1"/>
        <v/>
      </c>
      <c r="Q55" s="689" t="str">
        <f t="shared" si="21"/>
        <v/>
      </c>
      <c r="R55" s="689" t="str">
        <f t="shared" si="2"/>
        <v/>
      </c>
      <c r="S55" s="683" t="str">
        <f t="shared" si="3"/>
        <v/>
      </c>
      <c r="T55" s="784"/>
      <c r="U55" s="784"/>
      <c r="V55" s="784"/>
      <c r="W55" s="784"/>
      <c r="X55" s="842"/>
      <c r="Y55" s="834"/>
      <c r="Z55" s="947"/>
      <c r="AA55" s="947"/>
      <c r="AB55" s="947" t="str">
        <f t="shared" si="4"/>
        <v/>
      </c>
      <c r="AC55" s="947">
        <f t="shared" si="22"/>
        <v>0</v>
      </c>
      <c r="AD55" s="947" t="str">
        <f t="shared" si="5"/>
        <v>UK</v>
      </c>
      <c r="AE55" s="947" t="str">
        <f t="shared" si="6"/>
        <v>UK</v>
      </c>
      <c r="AF55" s="644" t="str">
        <f t="shared" si="7"/>
        <v/>
      </c>
      <c r="AG55" s="644" t="str">
        <f t="shared" si="8"/>
        <v/>
      </c>
      <c r="AH55" s="644">
        <f t="shared" si="9"/>
        <v>0</v>
      </c>
      <c r="AI55" s="951" t="str">
        <f t="shared" si="10"/>
        <v/>
      </c>
      <c r="AJ55" s="951" t="str">
        <f t="shared" si="11"/>
        <v/>
      </c>
      <c r="AK55" s="951" t="str">
        <f t="shared" si="12"/>
        <v/>
      </c>
      <c r="AL55" s="951" t="str">
        <f t="shared" si="13"/>
        <v/>
      </c>
      <c r="AM55" s="951" t="str">
        <f t="shared" si="14"/>
        <v/>
      </c>
      <c r="AN55" s="951">
        <f t="shared" si="15"/>
        <v>0</v>
      </c>
      <c r="AO55" s="951" t="str">
        <f t="shared" si="16"/>
        <v/>
      </c>
      <c r="AP55" s="951" t="str">
        <f t="shared" si="17"/>
        <v/>
      </c>
      <c r="AQ55" s="951">
        <f t="shared" si="18"/>
        <v>0</v>
      </c>
      <c r="AR55" s="950"/>
      <c r="AS55" s="950"/>
      <c r="AT55" s="947"/>
      <c r="AU55" s="947"/>
      <c r="AV55" s="947"/>
    </row>
    <row r="56" spans="2:48">
      <c r="B56" s="953"/>
      <c r="C56" s="949" t="str" cm="1">
        <f t="array" ref="C56">IFERROR(_xlfn.IFS(B56="Onshore",$G$16,B56="Offshore","India"),"")</f>
        <v/>
      </c>
      <c r="D56" s="954"/>
      <c r="E56" s="1027"/>
      <c r="F56" s="1027"/>
      <c r="G56" s="1027"/>
      <c r="H56" s="1027"/>
      <c r="I56" s="1027"/>
      <c r="J56" s="1060"/>
      <c r="K56" s="1060"/>
      <c r="L56" s="671" t="str">
        <f>IFERROR(INDEX(Bill_Rates!$L:$L,MATCH('MS Pricing'!$AD56,Bill_Rates!$J:$J,0)),"")</f>
        <v/>
      </c>
      <c r="M56" s="672"/>
      <c r="N56" s="671" t="str">
        <f t="shared" si="0"/>
        <v/>
      </c>
      <c r="O56" s="671" t="str">
        <f>IFERROR(INDEX(Bill_Rates!$O:$O,MATCH($AE56,Bill_Rates!$J:$J,0)),"")</f>
        <v/>
      </c>
      <c r="P56" s="689" t="str">
        <f t="shared" si="1"/>
        <v/>
      </c>
      <c r="Q56" s="689" t="str">
        <f t="shared" si="21"/>
        <v/>
      </c>
      <c r="R56" s="689" t="str">
        <f t="shared" si="2"/>
        <v/>
      </c>
      <c r="S56" s="683" t="str">
        <f t="shared" si="3"/>
        <v/>
      </c>
      <c r="T56" s="784"/>
      <c r="U56" s="784"/>
      <c r="V56" s="784"/>
      <c r="W56" s="784"/>
      <c r="X56" s="842"/>
      <c r="Y56" s="834"/>
      <c r="Z56" s="947"/>
      <c r="AA56" s="947"/>
      <c r="AB56" s="947" t="str">
        <f t="shared" si="4"/>
        <v/>
      </c>
      <c r="AC56" s="947">
        <f t="shared" si="22"/>
        <v>0</v>
      </c>
      <c r="AD56" s="947" t="str">
        <f t="shared" si="5"/>
        <v>UK</v>
      </c>
      <c r="AE56" s="947" t="str">
        <f t="shared" si="6"/>
        <v>UK</v>
      </c>
      <c r="AF56" s="644" t="str">
        <f t="shared" si="7"/>
        <v/>
      </c>
      <c r="AG56" s="644" t="str">
        <f t="shared" si="8"/>
        <v/>
      </c>
      <c r="AH56" s="644">
        <f t="shared" si="9"/>
        <v>0</v>
      </c>
      <c r="AI56" s="951" t="str">
        <f t="shared" si="10"/>
        <v/>
      </c>
      <c r="AJ56" s="951" t="str">
        <f t="shared" si="11"/>
        <v/>
      </c>
      <c r="AK56" s="951" t="str">
        <f t="shared" si="12"/>
        <v/>
      </c>
      <c r="AL56" s="951" t="str">
        <f t="shared" si="13"/>
        <v/>
      </c>
      <c r="AM56" s="951" t="str">
        <f t="shared" si="14"/>
        <v/>
      </c>
      <c r="AN56" s="951">
        <f t="shared" si="15"/>
        <v>0</v>
      </c>
      <c r="AO56" s="951" t="str">
        <f t="shared" si="16"/>
        <v/>
      </c>
      <c r="AP56" s="951" t="str">
        <f t="shared" si="17"/>
        <v/>
      </c>
      <c r="AQ56" s="951">
        <f t="shared" si="18"/>
        <v>0</v>
      </c>
      <c r="AR56" s="950"/>
      <c r="AS56" s="950"/>
      <c r="AT56" s="947"/>
      <c r="AU56" s="947"/>
      <c r="AV56" s="947"/>
    </row>
    <row r="57" spans="2:48">
      <c r="B57" s="953"/>
      <c r="C57" s="949" t="str" cm="1">
        <f t="array" ref="C57">IFERROR(_xlfn.IFS(B57="Onshore",$G$16,B57="Offshore","India"),"")</f>
        <v/>
      </c>
      <c r="D57" s="954"/>
      <c r="E57" s="1027"/>
      <c r="F57" s="1027"/>
      <c r="G57" s="1027"/>
      <c r="H57" s="1027"/>
      <c r="I57" s="1027"/>
      <c r="J57" s="1060"/>
      <c r="K57" s="1060"/>
      <c r="L57" s="671" t="str">
        <f>IFERROR(INDEX(Bill_Rates!$L:$L,MATCH('MS Pricing'!$AD57,Bill_Rates!$J:$J,0)),"")</f>
        <v/>
      </c>
      <c r="M57" s="672"/>
      <c r="N57" s="671" t="str">
        <f t="shared" si="0"/>
        <v/>
      </c>
      <c r="O57" s="671" t="str">
        <f>IFERROR(INDEX(Bill_Rates!$O:$O,MATCH($AE57,Bill_Rates!$J:$J,0)),"")</f>
        <v/>
      </c>
      <c r="P57" s="689" t="str">
        <f t="shared" si="1"/>
        <v/>
      </c>
      <c r="Q57" s="689" t="str">
        <f t="shared" si="21"/>
        <v/>
      </c>
      <c r="R57" s="689" t="str">
        <f t="shared" si="2"/>
        <v/>
      </c>
      <c r="S57" s="683" t="str">
        <f t="shared" si="3"/>
        <v/>
      </c>
      <c r="T57" s="784"/>
      <c r="U57" s="784"/>
      <c r="V57" s="784"/>
      <c r="W57" s="784"/>
      <c r="X57" s="842"/>
      <c r="Y57" s="834"/>
      <c r="Z57" s="947"/>
      <c r="AA57" s="947"/>
      <c r="AB57" s="947" t="str">
        <f t="shared" si="4"/>
        <v/>
      </c>
      <c r="AC57" s="947">
        <f t="shared" si="22"/>
        <v>0</v>
      </c>
      <c r="AD57" s="947" t="str">
        <f t="shared" si="5"/>
        <v>UK</v>
      </c>
      <c r="AE57" s="947" t="str">
        <f t="shared" si="6"/>
        <v>UK</v>
      </c>
      <c r="AF57" s="644" t="str">
        <f t="shared" si="7"/>
        <v/>
      </c>
      <c r="AG57" s="644" t="str">
        <f t="shared" si="8"/>
        <v/>
      </c>
      <c r="AH57" s="644">
        <f t="shared" si="9"/>
        <v>0</v>
      </c>
      <c r="AI57" s="951" t="str">
        <f t="shared" si="10"/>
        <v/>
      </c>
      <c r="AJ57" s="951" t="str">
        <f t="shared" si="11"/>
        <v/>
      </c>
      <c r="AK57" s="951" t="str">
        <f t="shared" si="12"/>
        <v/>
      </c>
      <c r="AL57" s="951" t="str">
        <f t="shared" si="13"/>
        <v/>
      </c>
      <c r="AM57" s="951" t="str">
        <f t="shared" si="14"/>
        <v/>
      </c>
      <c r="AN57" s="951">
        <f t="shared" si="15"/>
        <v>0</v>
      </c>
      <c r="AO57" s="951" t="str">
        <f t="shared" si="16"/>
        <v/>
      </c>
      <c r="AP57" s="951" t="str">
        <f t="shared" si="17"/>
        <v/>
      </c>
      <c r="AQ57" s="951">
        <f t="shared" si="18"/>
        <v>0</v>
      </c>
      <c r="AR57" s="950"/>
      <c r="AS57" s="950"/>
      <c r="AT57" s="947"/>
      <c r="AU57" s="947"/>
      <c r="AV57" s="947"/>
    </row>
    <row r="58" spans="2:48" hidden="1">
      <c r="B58" s="948"/>
      <c r="C58" s="1056" t="s">
        <v>313</v>
      </c>
      <c r="D58" s="1056"/>
      <c r="E58" s="1056"/>
      <c r="F58" s="1056"/>
      <c r="G58" s="1056"/>
      <c r="H58" s="1056"/>
      <c r="I58" s="1056"/>
      <c r="J58" s="1055">
        <f>SUM(J33:J57)</f>
        <v>1200</v>
      </c>
      <c r="K58" s="1055"/>
      <c r="L58" s="789" t="s">
        <v>222</v>
      </c>
      <c r="M58" s="789" t="s">
        <v>222</v>
      </c>
      <c r="N58" s="830" t="s">
        <v>222</v>
      </c>
      <c r="O58" s="830"/>
      <c r="P58" s="689">
        <f>SUM(P33:P57)</f>
        <v>238800</v>
      </c>
      <c r="Q58" s="689">
        <f>SUM(Q33:Q57)</f>
        <v>78088.670160000009</v>
      </c>
      <c r="R58" s="689">
        <f>SUM(R33:R57)</f>
        <v>160711.32983999999</v>
      </c>
      <c r="S58" s="831">
        <f>IFERROR(R58/P58,"")</f>
        <v>0.6729955185929648</v>
      </c>
      <c r="T58" s="832"/>
      <c r="U58" s="832"/>
      <c r="V58" s="832"/>
      <c r="W58" s="832"/>
      <c r="X58" s="832"/>
      <c r="Y58" s="955"/>
      <c r="Z58" s="947"/>
      <c r="AA58" s="947" t="str">
        <f>IF(C33="India","India","")</f>
        <v/>
      </c>
      <c r="AB58" s="947" t="str">
        <f>F58&amp;G58</f>
        <v/>
      </c>
      <c r="AC58" s="947"/>
      <c r="AD58" s="947"/>
      <c r="AE58" s="947"/>
      <c r="AF58" s="951">
        <f t="shared" ref="AF58:AQ58" si="23">SUM(AF33:AF57)</f>
        <v>132600</v>
      </c>
      <c r="AG58" s="951">
        <f t="shared" si="23"/>
        <v>96456</v>
      </c>
      <c r="AH58" s="951">
        <f t="shared" si="23"/>
        <v>36144</v>
      </c>
      <c r="AI58" s="951">
        <f t="shared" si="23"/>
        <v>238800</v>
      </c>
      <c r="AJ58" s="951">
        <f t="shared" si="23"/>
        <v>78088.670160000009</v>
      </c>
      <c r="AK58" s="951">
        <f t="shared" si="23"/>
        <v>0</v>
      </c>
      <c r="AL58" s="951">
        <f t="shared" si="23"/>
        <v>238800</v>
      </c>
      <c r="AM58" s="951">
        <f t="shared" si="23"/>
        <v>124176</v>
      </c>
      <c r="AN58" s="951">
        <f t="shared" si="23"/>
        <v>114624</v>
      </c>
      <c r="AO58" s="951">
        <f t="shared" si="23"/>
        <v>78088.670160000009</v>
      </c>
      <c r="AP58" s="951">
        <f t="shared" si="23"/>
        <v>68499.729600000006</v>
      </c>
      <c r="AQ58" s="951">
        <f t="shared" si="23"/>
        <v>9588.9405599999991</v>
      </c>
      <c r="AR58" s="951">
        <f>J58</f>
        <v>1200</v>
      </c>
      <c r="AS58" s="951">
        <f>AR58-AT58</f>
        <v>624</v>
      </c>
      <c r="AT58" s="951">
        <f>SUMIF(D33:D57,"India",J33:J57)</f>
        <v>576</v>
      </c>
      <c r="AU58" s="950">
        <f>AS58/AR58*J59</f>
        <v>0</v>
      </c>
      <c r="AV58" s="950">
        <f>AT58/AR58*J59</f>
        <v>0</v>
      </c>
    </row>
    <row r="59" spans="2:48" hidden="1">
      <c r="B59" s="948"/>
      <c r="C59" s="1056" t="s">
        <v>314</v>
      </c>
      <c r="D59" s="1056"/>
      <c r="E59" s="1056"/>
      <c r="F59" s="1056"/>
      <c r="G59" s="1056"/>
      <c r="H59" s="1056"/>
      <c r="I59" s="1056"/>
      <c r="J59" s="1057">
        <f>IFERROR(P59/(P58/J58),"")</f>
        <v>0</v>
      </c>
      <c r="K59" s="1057"/>
      <c r="L59" s="789" t="s">
        <v>222</v>
      </c>
      <c r="M59" s="789" t="s">
        <v>222</v>
      </c>
      <c r="N59" s="789" t="s">
        <v>222</v>
      </c>
      <c r="O59" s="830"/>
      <c r="P59" s="690"/>
      <c r="Q59" s="691">
        <f>IFERROR(P59*(1-S58),"")</f>
        <v>0</v>
      </c>
      <c r="R59" s="692">
        <f>IFERROR(P59-Q59,"")</f>
        <v>0</v>
      </c>
      <c r="S59" s="831" t="str">
        <f>IFERROR(R59/P59,"")</f>
        <v/>
      </c>
      <c r="T59" s="832"/>
      <c r="U59" s="832"/>
      <c r="V59" s="832"/>
      <c r="W59" s="832"/>
      <c r="X59" s="832"/>
      <c r="Y59" s="955"/>
      <c r="Z59" s="947"/>
      <c r="AA59" s="947"/>
      <c r="AB59" s="947"/>
      <c r="AC59" s="947"/>
      <c r="AD59" s="947"/>
      <c r="AE59" s="950"/>
      <c r="AF59" s="950"/>
      <c r="AG59" s="950"/>
      <c r="AH59" s="947"/>
      <c r="AI59" s="947"/>
      <c r="AJ59" s="947"/>
      <c r="AK59" s="951"/>
      <c r="AL59" s="951"/>
      <c r="AM59" s="951"/>
      <c r="AN59" s="947"/>
      <c r="AO59" s="947"/>
      <c r="AP59" s="951"/>
      <c r="AQ59" s="947"/>
      <c r="AR59" s="947"/>
      <c r="AS59" s="947"/>
      <c r="AT59" s="947"/>
      <c r="AU59" s="947"/>
      <c r="AV59" s="947"/>
    </row>
    <row r="60" spans="2:48" hidden="1">
      <c r="B60" s="948"/>
      <c r="C60" s="1056" t="s">
        <v>315</v>
      </c>
      <c r="D60" s="1056"/>
      <c r="E60" s="1056"/>
      <c r="F60" s="1056"/>
      <c r="G60" s="1056"/>
      <c r="H60" s="1056"/>
      <c r="I60" s="1056"/>
      <c r="J60" s="789"/>
      <c r="K60" s="789"/>
      <c r="L60" s="866"/>
      <c r="M60" s="866"/>
      <c r="N60" s="866"/>
      <c r="O60" s="867"/>
      <c r="P60" s="690"/>
      <c r="Q60" s="833"/>
      <c r="R60" s="833"/>
      <c r="S60" s="789"/>
      <c r="T60" s="832"/>
      <c r="U60" s="832"/>
      <c r="V60" s="832"/>
      <c r="W60" s="832"/>
      <c r="X60" s="832"/>
      <c r="Y60" s="955"/>
      <c r="Z60" s="947"/>
      <c r="AA60" s="947"/>
      <c r="AB60" s="947"/>
      <c r="AC60" s="947"/>
      <c r="AD60" s="947"/>
      <c r="AE60" s="950"/>
      <c r="AF60" s="950"/>
      <c r="AG60" s="950"/>
      <c r="AH60" s="947"/>
      <c r="AI60" s="947"/>
      <c r="AJ60" s="947"/>
      <c r="AK60" s="951"/>
      <c r="AL60" s="951"/>
      <c r="AM60" s="951"/>
      <c r="AN60" s="947"/>
      <c r="AO60" s="947"/>
      <c r="AP60" s="951"/>
      <c r="AQ60" s="947"/>
      <c r="AR60" s="947"/>
      <c r="AS60" s="947"/>
      <c r="AT60" s="947"/>
      <c r="AU60" s="947"/>
      <c r="AV60" s="947"/>
    </row>
    <row r="61" spans="2:48" ht="15.75" thickBot="1">
      <c r="B61" s="1353" t="s">
        <v>225</v>
      </c>
      <c r="C61" s="1354"/>
      <c r="D61" s="1354"/>
      <c r="E61" s="1354"/>
      <c r="F61" s="1354"/>
      <c r="G61" s="1354"/>
      <c r="H61" s="1354"/>
      <c r="I61" s="1354"/>
      <c r="J61" s="1058">
        <f>IFERROR(J58+J59,"")</f>
        <v>1200</v>
      </c>
      <c r="K61" s="1059"/>
      <c r="L61" s="673" t="s">
        <v>222</v>
      </c>
      <c r="M61" s="673" t="s">
        <v>222</v>
      </c>
      <c r="N61" s="673" t="s">
        <v>222</v>
      </c>
      <c r="O61" s="868"/>
      <c r="P61" s="852">
        <f>SUM(P58:P60)</f>
        <v>238800</v>
      </c>
      <c r="Q61" s="694">
        <f>SUM(Q58:Q59)</f>
        <v>78088.670160000009</v>
      </c>
      <c r="R61" s="694">
        <f>P61-Q61</f>
        <v>160711.32983999999</v>
      </c>
      <c r="S61" s="835">
        <f>IFERROR(R61/P61,"")</f>
        <v>0.6729955185929648</v>
      </c>
      <c r="T61" s="836"/>
      <c r="U61" s="836"/>
      <c r="V61" s="836"/>
      <c r="W61" s="836"/>
      <c r="X61" s="836"/>
      <c r="Y61" s="956"/>
      <c r="Z61" s="947"/>
      <c r="AA61" s="947"/>
      <c r="AB61" s="947"/>
      <c r="AC61" s="947"/>
      <c r="AD61" s="947"/>
      <c r="AE61" s="950"/>
      <c r="AF61" s="950"/>
      <c r="AG61" s="950"/>
      <c r="AH61" s="947"/>
      <c r="AI61" s="947"/>
      <c r="AJ61" s="947"/>
      <c r="AK61" s="951"/>
      <c r="AL61" s="951"/>
      <c r="AM61" s="951"/>
      <c r="AN61" s="947"/>
      <c r="AO61" s="947"/>
      <c r="AP61" s="951"/>
      <c r="AQ61" s="947"/>
      <c r="AR61" s="947"/>
      <c r="AS61" s="947"/>
      <c r="AT61" s="947"/>
      <c r="AU61" s="947"/>
      <c r="AV61" s="947"/>
    </row>
    <row r="62" spans="2:48">
      <c r="B62" s="478"/>
      <c r="C62" s="478" t="s">
        <v>222</v>
      </c>
      <c r="D62" s="478" t="s">
        <v>222</v>
      </c>
      <c r="E62" s="478"/>
      <c r="F62" s="478" t="s">
        <v>222</v>
      </c>
      <c r="G62" s="478" t="s">
        <v>222</v>
      </c>
      <c r="H62" s="478" t="s">
        <v>222</v>
      </c>
      <c r="I62" s="478" t="s">
        <v>222</v>
      </c>
      <c r="J62" s="478"/>
      <c r="K62" s="478" t="s">
        <v>222</v>
      </c>
      <c r="L62" s="478" t="s">
        <v>222</v>
      </c>
      <c r="M62" s="478" t="s">
        <v>222</v>
      </c>
      <c r="N62" s="478" t="s">
        <v>222</v>
      </c>
      <c r="O62" s="478" t="s">
        <v>222</v>
      </c>
      <c r="P62" s="478" t="s">
        <v>222</v>
      </c>
      <c r="Q62" s="478" t="s">
        <v>222</v>
      </c>
      <c r="R62" s="478" t="s">
        <v>222</v>
      </c>
      <c r="S62" s="478"/>
      <c r="T62" s="478"/>
      <c r="U62" s="478"/>
      <c r="V62" s="478"/>
      <c r="W62" s="478"/>
      <c r="X62" s="478"/>
      <c r="Y62" s="947"/>
      <c r="Z62" s="947"/>
      <c r="AA62" s="947"/>
      <c r="AB62" s="947"/>
      <c r="AC62" s="947"/>
      <c r="AD62" s="947"/>
      <c r="AE62" s="947"/>
      <c r="AF62" s="947"/>
      <c r="AG62" s="947"/>
      <c r="AH62" s="947"/>
      <c r="AI62" s="947"/>
      <c r="AJ62" s="947"/>
      <c r="AK62" s="951"/>
      <c r="AL62" s="951"/>
      <c r="AM62" s="951"/>
      <c r="AN62" s="947"/>
      <c r="AO62" s="947"/>
      <c r="AP62" s="951"/>
      <c r="AQ62" s="947"/>
      <c r="AR62" s="947"/>
      <c r="AS62" s="947"/>
      <c r="AT62" s="947"/>
      <c r="AU62" s="947"/>
      <c r="AV62" s="947"/>
    </row>
    <row r="63" spans="2:48" ht="15.75" thickBot="1">
      <c r="B63" s="478"/>
      <c r="C63" s="478" t="s">
        <v>222</v>
      </c>
      <c r="D63" s="478" t="s">
        <v>222</v>
      </c>
      <c r="E63" s="478"/>
      <c r="F63" s="478" t="s">
        <v>222</v>
      </c>
      <c r="G63" s="478" t="s">
        <v>222</v>
      </c>
      <c r="H63" s="478" t="s">
        <v>222</v>
      </c>
      <c r="I63" s="478" t="s">
        <v>222</v>
      </c>
      <c r="J63" s="478"/>
      <c r="K63" s="478" t="s">
        <v>222</v>
      </c>
      <c r="L63" s="478" t="s">
        <v>222</v>
      </c>
      <c r="M63" s="478" t="s">
        <v>222</v>
      </c>
      <c r="N63" s="478" t="s">
        <v>222</v>
      </c>
      <c r="O63" s="478" t="s">
        <v>222</v>
      </c>
      <c r="P63" s="478" t="s">
        <v>222</v>
      </c>
      <c r="Q63" s="478" t="s">
        <v>222</v>
      </c>
      <c r="R63" s="478" t="s">
        <v>222</v>
      </c>
      <c r="S63" s="478"/>
      <c r="T63" s="478"/>
      <c r="U63" s="478"/>
      <c r="V63" s="478"/>
      <c r="W63" s="478"/>
      <c r="X63" s="478"/>
      <c r="Y63" s="947"/>
      <c r="Z63" s="947"/>
      <c r="AA63" s="947"/>
      <c r="AB63" s="947"/>
      <c r="AC63" s="947"/>
      <c r="AD63" s="947"/>
      <c r="AE63" s="947"/>
      <c r="AF63" s="947"/>
      <c r="AG63" s="947"/>
      <c r="AH63" s="947"/>
      <c r="AI63" s="947"/>
      <c r="AJ63" s="947"/>
      <c r="AK63" s="951"/>
      <c r="AL63" s="947"/>
      <c r="AM63" s="951"/>
      <c r="AN63" s="947"/>
      <c r="AO63" s="947"/>
      <c r="AP63" s="951"/>
      <c r="AQ63" s="947"/>
      <c r="AR63" s="947"/>
      <c r="AS63" s="947"/>
      <c r="AT63" s="947"/>
      <c r="AU63" s="947"/>
      <c r="AV63" s="947"/>
    </row>
    <row r="64" spans="2:48" ht="18.75">
      <c r="B64" s="1073" t="s">
        <v>316</v>
      </c>
      <c r="C64" s="1074"/>
      <c r="D64" s="1074"/>
      <c r="E64" s="1074"/>
      <c r="F64" s="1074"/>
      <c r="G64" s="1074"/>
      <c r="H64" s="1074"/>
      <c r="I64" s="1074"/>
      <c r="J64" s="1074"/>
      <c r="K64" s="1074"/>
      <c r="L64" s="1074"/>
      <c r="M64" s="1074"/>
      <c r="N64" s="1074"/>
      <c r="O64" s="1074"/>
      <c r="P64" s="1074"/>
      <c r="Q64" s="1074"/>
      <c r="R64" s="1074"/>
      <c r="S64" s="1074"/>
      <c r="T64" s="1074"/>
      <c r="U64" s="1074"/>
      <c r="V64" s="1074"/>
      <c r="W64" s="1075"/>
      <c r="X64" s="837"/>
      <c r="Y64" s="947"/>
      <c r="Z64" s="947"/>
      <c r="AA64" s="947"/>
      <c r="AB64" s="947"/>
      <c r="AC64" s="947"/>
      <c r="AD64" s="947"/>
      <c r="AE64" s="947"/>
      <c r="AF64" s="947"/>
      <c r="AG64" s="947"/>
      <c r="AH64" s="947"/>
      <c r="AI64" s="947"/>
      <c r="AJ64" s="947"/>
      <c r="AK64" s="947"/>
      <c r="AL64" s="947"/>
      <c r="AM64" s="951"/>
      <c r="AN64" s="947"/>
      <c r="AO64" s="947"/>
      <c r="AP64" s="951"/>
      <c r="AQ64" s="947"/>
      <c r="AR64" s="947"/>
      <c r="AS64" s="947"/>
      <c r="AT64" s="947"/>
      <c r="AU64" s="947"/>
      <c r="AV64" s="947"/>
    </row>
    <row r="65" spans="2:47">
      <c r="B65" s="1355" t="s">
        <v>317</v>
      </c>
      <c r="C65" s="1356"/>
      <c r="D65" s="1356"/>
      <c r="E65" s="1356"/>
      <c r="F65" s="1356"/>
      <c r="G65" s="1356"/>
      <c r="H65" s="1356"/>
      <c r="I65" s="646"/>
      <c r="J65" s="1069"/>
      <c r="K65" s="1069"/>
      <c r="L65" s="1069"/>
      <c r="M65" s="1069"/>
      <c r="N65" s="1069"/>
      <c r="O65" s="1069"/>
      <c r="P65" s="1069"/>
      <c r="Q65" s="1069"/>
      <c r="R65" s="1069"/>
      <c r="S65" s="1070"/>
      <c r="T65" s="1070"/>
      <c r="U65" s="1070"/>
      <c r="V65" s="1070"/>
      <c r="W65" s="1071"/>
      <c r="X65" s="838"/>
      <c r="Y65" s="947"/>
      <c r="Z65" s="947"/>
      <c r="AA65" s="477" t="s">
        <v>318</v>
      </c>
      <c r="AB65" s="947"/>
      <c r="AC65" s="947"/>
      <c r="AD65" s="947"/>
      <c r="AE65" s="947"/>
      <c r="AF65" s="947"/>
      <c r="AG65" s="947"/>
      <c r="AH65" s="947"/>
      <c r="AI65" s="947"/>
      <c r="AJ65" s="947"/>
      <c r="AK65" s="947"/>
      <c r="AL65" s="951"/>
      <c r="AM65" s="947"/>
      <c r="AN65" s="947"/>
      <c r="AO65" s="947"/>
      <c r="AP65" s="947"/>
      <c r="AQ65" s="947"/>
      <c r="AR65" s="947"/>
      <c r="AS65" s="947"/>
      <c r="AT65" s="947"/>
      <c r="AU65" s="947"/>
    </row>
    <row r="66" spans="2:47" ht="30" customHeight="1">
      <c r="B66" s="1357" t="s">
        <v>319</v>
      </c>
      <c r="C66" s="1358"/>
      <c r="D66" s="1358"/>
      <c r="E66" s="1358"/>
      <c r="F66" s="1358"/>
      <c r="G66" s="1358"/>
      <c r="H66" s="1359"/>
      <c r="I66" s="647"/>
      <c r="J66" s="1072" t="s">
        <v>320</v>
      </c>
      <c r="K66" s="1072"/>
      <c r="L66" s="1033"/>
      <c r="M66" s="1033"/>
      <c r="N66" s="1033"/>
      <c r="O66" s="1033"/>
      <c r="P66" s="1033"/>
      <c r="Q66" s="1033"/>
      <c r="R66" s="1033"/>
      <c r="S66" s="1039"/>
      <c r="T66" s="1039"/>
      <c r="U66" s="1039"/>
      <c r="V66" s="1039"/>
      <c r="W66" s="1045"/>
      <c r="X66" s="839"/>
      <c r="Y66" s="947"/>
      <c r="Z66" s="947"/>
      <c r="AA66" s="947" t="s">
        <v>321</v>
      </c>
      <c r="AB66" s="947"/>
      <c r="AC66" s="947"/>
      <c r="AD66" s="947"/>
      <c r="AE66" s="947"/>
      <c r="AF66" s="947"/>
      <c r="AG66" s="947"/>
      <c r="AH66" s="947"/>
      <c r="AI66" s="947"/>
      <c r="AJ66" s="947"/>
      <c r="AK66" s="947"/>
      <c r="AL66" s="947"/>
      <c r="AM66" s="947"/>
      <c r="AN66" s="947"/>
      <c r="AO66" s="947"/>
      <c r="AP66" s="947"/>
      <c r="AQ66" s="947"/>
      <c r="AR66" s="947"/>
      <c r="AS66" s="947"/>
      <c r="AT66" s="947"/>
      <c r="AU66" s="947"/>
    </row>
    <row r="67" spans="2:47">
      <c r="B67" s="1355" t="s">
        <v>322</v>
      </c>
      <c r="C67" s="1356"/>
      <c r="D67" s="1356"/>
      <c r="E67" s="1356"/>
      <c r="F67" s="1356"/>
      <c r="G67" s="1356"/>
      <c r="H67" s="1356"/>
      <c r="I67" s="1033"/>
      <c r="J67" s="1033"/>
      <c r="K67" s="1033"/>
      <c r="L67" s="1069"/>
      <c r="M67" s="1069"/>
      <c r="N67" s="1069"/>
      <c r="O67" s="1069"/>
      <c r="P67" s="1069"/>
      <c r="Q67" s="1069"/>
      <c r="R67" s="1069"/>
      <c r="S67" s="1070"/>
      <c r="T67" s="1070"/>
      <c r="U67" s="1070"/>
      <c r="V67" s="1070"/>
      <c r="W67" s="1071"/>
      <c r="X67" s="838"/>
      <c r="Y67" s="947"/>
      <c r="Z67" s="947"/>
      <c r="AA67" s="947" t="s">
        <v>323</v>
      </c>
      <c r="AB67" s="947"/>
      <c r="AC67" s="947"/>
      <c r="AD67" s="947"/>
      <c r="AE67" s="947"/>
      <c r="AF67" s="947"/>
      <c r="AG67" s="947"/>
      <c r="AH67" s="947"/>
      <c r="AI67" s="947"/>
      <c r="AJ67" s="947"/>
      <c r="AK67" s="947"/>
      <c r="AL67" s="947"/>
      <c r="AM67" s="947"/>
      <c r="AN67" s="947"/>
      <c r="AO67" s="947"/>
      <c r="AP67" s="947"/>
      <c r="AQ67" s="947"/>
      <c r="AR67" s="947"/>
      <c r="AS67" s="947"/>
      <c r="AT67" s="947"/>
      <c r="AU67" s="947"/>
    </row>
    <row r="68" spans="2:47">
      <c r="B68" s="1355" t="s">
        <v>324</v>
      </c>
      <c r="C68" s="1356"/>
      <c r="D68" s="1356"/>
      <c r="E68" s="1356"/>
      <c r="F68" s="1356"/>
      <c r="G68" s="1356"/>
      <c r="H68" s="1356"/>
      <c r="I68" s="647"/>
      <c r="J68" s="1044" t="s">
        <v>325</v>
      </c>
      <c r="K68" s="1044"/>
      <c r="L68" s="1044"/>
      <c r="M68" s="1044"/>
      <c r="N68" s="1033"/>
      <c r="O68" s="1033"/>
      <c r="P68" s="1033"/>
      <c r="Q68" s="1033"/>
      <c r="R68" s="1033"/>
      <c r="S68" s="1039"/>
      <c r="T68" s="1039"/>
      <c r="U68" s="1039"/>
      <c r="V68" s="1039"/>
      <c r="W68" s="1045"/>
      <c r="X68" s="839"/>
      <c r="Y68" s="947"/>
      <c r="Z68" s="947"/>
      <c r="AA68" s="947"/>
      <c r="AB68" s="947"/>
      <c r="AC68" s="947"/>
      <c r="AD68" s="947"/>
      <c r="AE68" s="947"/>
      <c r="AF68" s="947"/>
      <c r="AG68" s="947"/>
      <c r="AH68" s="947"/>
      <c r="AI68" s="947"/>
      <c r="AJ68" s="947"/>
      <c r="AK68" s="947"/>
      <c r="AL68" s="947"/>
      <c r="AM68" s="947"/>
      <c r="AN68" s="947"/>
      <c r="AO68" s="947"/>
      <c r="AP68" s="947"/>
      <c r="AQ68" s="947"/>
      <c r="AR68" s="947"/>
      <c r="AS68" s="947"/>
      <c r="AT68" s="947"/>
      <c r="AU68" s="947"/>
    </row>
    <row r="69" spans="2:47" ht="30" customHeight="1">
      <c r="B69" s="1049" t="s">
        <v>326</v>
      </c>
      <c r="C69" s="1050"/>
      <c r="D69" s="1050"/>
      <c r="E69" s="1050"/>
      <c r="F69" s="1050"/>
      <c r="G69" s="1050"/>
      <c r="H69" s="1050"/>
      <c r="I69" s="647"/>
      <c r="J69" s="1044" t="s">
        <v>327</v>
      </c>
      <c r="K69" s="1044"/>
      <c r="L69" s="1044"/>
      <c r="M69" s="1033"/>
      <c r="N69" s="1033"/>
      <c r="O69" s="1033"/>
      <c r="P69" s="1033"/>
      <c r="Q69" s="1033"/>
      <c r="R69" s="1033"/>
      <c r="S69" s="1039"/>
      <c r="T69" s="1039"/>
      <c r="U69" s="1039"/>
      <c r="V69" s="1039"/>
      <c r="W69" s="1045"/>
      <c r="X69" s="839"/>
      <c r="Y69" s="947"/>
      <c r="Z69" s="947"/>
      <c r="AA69" s="947"/>
      <c r="AB69" s="947"/>
      <c r="AC69" s="947"/>
      <c r="AD69" s="947"/>
      <c r="AE69" s="947"/>
      <c r="AF69" s="947"/>
      <c r="AG69" s="947"/>
      <c r="AH69" s="947"/>
      <c r="AI69" s="947"/>
      <c r="AJ69" s="947"/>
      <c r="AK69" s="947"/>
      <c r="AL69" s="947"/>
      <c r="AM69" s="947"/>
      <c r="AN69" s="947"/>
      <c r="AO69" s="947"/>
      <c r="AP69" s="947"/>
      <c r="AQ69" s="947"/>
      <c r="AR69" s="947"/>
      <c r="AS69" s="947"/>
      <c r="AT69" s="947"/>
      <c r="AU69" s="947"/>
    </row>
    <row r="70" spans="2:47" ht="30" customHeight="1">
      <c r="B70" s="1049" t="s">
        <v>328</v>
      </c>
      <c r="C70" s="1050"/>
      <c r="D70" s="1050"/>
      <c r="E70" s="1050"/>
      <c r="F70" s="1050"/>
      <c r="G70" s="1050"/>
      <c r="H70" s="1050"/>
      <c r="I70" s="647"/>
      <c r="J70" s="647"/>
      <c r="K70" s="1046" t="s">
        <v>222</v>
      </c>
      <c r="L70" s="1046"/>
      <c r="M70" s="1046"/>
      <c r="N70" s="1046"/>
      <c r="O70" s="1046"/>
      <c r="P70" s="1046"/>
      <c r="Q70" s="1046"/>
      <c r="R70" s="1046"/>
      <c r="S70" s="1047"/>
      <c r="T70" s="1047"/>
      <c r="U70" s="1047"/>
      <c r="V70" s="1047"/>
      <c r="W70" s="1048"/>
      <c r="X70" s="840"/>
      <c r="Y70" s="947"/>
      <c r="Z70" s="947"/>
      <c r="AA70" s="947"/>
      <c r="AB70" s="947"/>
      <c r="AC70" s="947"/>
      <c r="AD70" s="947"/>
      <c r="AE70" s="947"/>
      <c r="AF70" s="947"/>
      <c r="AG70" s="947"/>
      <c r="AH70" s="947"/>
      <c r="AI70" s="947"/>
      <c r="AJ70" s="947"/>
      <c r="AK70" s="947"/>
      <c r="AL70" s="947"/>
      <c r="AM70" s="947"/>
      <c r="AN70" s="947"/>
      <c r="AO70" s="947"/>
      <c r="AP70" s="947"/>
      <c r="AQ70" s="947"/>
      <c r="AR70" s="947"/>
      <c r="AS70" s="947"/>
      <c r="AT70" s="947"/>
      <c r="AU70" s="947"/>
    </row>
    <row r="71" spans="2:47">
      <c r="B71" s="1355" t="s">
        <v>329</v>
      </c>
      <c r="C71" s="1356"/>
      <c r="D71" s="1356"/>
      <c r="E71" s="1356"/>
      <c r="F71" s="1356"/>
      <c r="G71" s="1356"/>
      <c r="H71" s="1356"/>
      <c r="I71" s="647"/>
      <c r="J71" s="1044" t="s">
        <v>330</v>
      </c>
      <c r="K71" s="1044"/>
      <c r="L71" s="1044"/>
      <c r="M71" s="1033"/>
      <c r="N71" s="1033"/>
      <c r="O71" s="1033"/>
      <c r="P71" s="1033"/>
      <c r="Q71" s="1033"/>
      <c r="R71" s="1033"/>
      <c r="S71" s="1039"/>
      <c r="T71" s="1039"/>
      <c r="U71" s="1039"/>
      <c r="V71" s="1039"/>
      <c r="W71" s="1045"/>
      <c r="X71" s="839"/>
      <c r="Y71" s="947"/>
      <c r="Z71" s="947"/>
      <c r="AA71" s="947"/>
      <c r="AB71" s="947"/>
      <c r="AC71" s="947"/>
      <c r="AD71" s="947"/>
      <c r="AE71" s="947"/>
      <c r="AF71" s="947"/>
      <c r="AG71" s="947"/>
      <c r="AH71" s="947"/>
      <c r="AI71" s="947"/>
      <c r="AJ71" s="947"/>
      <c r="AK71" s="947"/>
      <c r="AL71" s="947"/>
      <c r="AM71" s="947"/>
      <c r="AN71" s="947"/>
      <c r="AO71" s="947"/>
      <c r="AP71" s="947"/>
      <c r="AQ71" s="947"/>
      <c r="AR71" s="947"/>
      <c r="AS71" s="947"/>
      <c r="AT71" s="947"/>
      <c r="AU71" s="947"/>
    </row>
    <row r="72" spans="2:47">
      <c r="B72" s="1355" t="s">
        <v>331</v>
      </c>
      <c r="C72" s="1356"/>
      <c r="D72" s="1356"/>
      <c r="E72" s="1356"/>
      <c r="F72" s="1356"/>
      <c r="G72" s="1356"/>
      <c r="H72" s="1356"/>
      <c r="I72" s="1033"/>
      <c r="J72" s="1033"/>
      <c r="K72" s="1033"/>
      <c r="L72" s="1033"/>
      <c r="M72" s="1033"/>
      <c r="N72" s="1033"/>
      <c r="O72" s="1033"/>
      <c r="P72" s="1033"/>
      <c r="Q72" s="1033"/>
      <c r="R72" s="1033"/>
      <c r="S72" s="1034"/>
      <c r="T72" s="1034"/>
      <c r="U72" s="1034"/>
      <c r="V72" s="1034"/>
      <c r="W72" s="1035"/>
      <c r="X72" s="839"/>
      <c r="Y72" s="947"/>
      <c r="Z72" s="947"/>
      <c r="AA72" s="947"/>
      <c r="AB72" s="947"/>
      <c r="AC72" s="947"/>
      <c r="AD72" s="947"/>
      <c r="AE72" s="947"/>
      <c r="AF72" s="947"/>
      <c r="AG72" s="947"/>
      <c r="AH72" s="947"/>
      <c r="AI72" s="947"/>
      <c r="AJ72" s="947"/>
      <c r="AK72" s="947"/>
      <c r="AL72" s="947"/>
      <c r="AM72" s="947"/>
      <c r="AN72" s="947"/>
      <c r="AO72" s="947"/>
      <c r="AP72" s="947"/>
      <c r="AQ72" s="947"/>
      <c r="AR72" s="947"/>
      <c r="AS72" s="947"/>
      <c r="AT72" s="947"/>
      <c r="AU72" s="947"/>
    </row>
    <row r="73" spans="2:47">
      <c r="B73" s="1355" t="s">
        <v>332</v>
      </c>
      <c r="C73" s="1356"/>
      <c r="D73" s="1356"/>
      <c r="E73" s="1356"/>
      <c r="F73" s="1356"/>
      <c r="G73" s="1356"/>
      <c r="H73" s="1356"/>
      <c r="I73" s="647"/>
      <c r="J73" s="1036" t="s">
        <v>333</v>
      </c>
      <c r="K73" s="1037"/>
      <c r="L73" s="1038"/>
      <c r="M73" s="1039"/>
      <c r="N73" s="1040"/>
      <c r="O73" s="796" t="s">
        <v>334</v>
      </c>
      <c r="P73" s="702"/>
      <c r="Q73" s="796" t="s">
        <v>335</v>
      </c>
      <c r="R73" s="723"/>
      <c r="S73" s="794"/>
      <c r="T73" s="795"/>
      <c r="U73" s="795"/>
      <c r="V73" s="795"/>
      <c r="W73" s="797"/>
      <c r="X73" s="839"/>
      <c r="Y73" s="947"/>
      <c r="Z73" s="947"/>
      <c r="AA73" s="947"/>
      <c r="AB73" s="947"/>
      <c r="AC73" s="947"/>
      <c r="AD73" s="947"/>
      <c r="AE73" s="947"/>
      <c r="AF73" s="947"/>
      <c r="AG73" s="947"/>
      <c r="AH73" s="947"/>
      <c r="AI73" s="947"/>
      <c r="AJ73" s="947"/>
      <c r="AK73" s="947"/>
      <c r="AL73" s="947"/>
      <c r="AM73" s="947"/>
      <c r="AN73" s="947"/>
      <c r="AO73" s="947"/>
      <c r="AP73" s="947"/>
      <c r="AQ73" s="947"/>
      <c r="AR73" s="947"/>
      <c r="AS73" s="947"/>
      <c r="AT73" s="947"/>
      <c r="AU73" s="947"/>
    </row>
    <row r="74" spans="2:47" ht="15.75" thickBot="1">
      <c r="B74" s="1360" t="s">
        <v>269</v>
      </c>
      <c r="C74" s="1361"/>
      <c r="D74" s="1361"/>
      <c r="E74" s="1361"/>
      <c r="F74" s="1361"/>
      <c r="G74" s="1361"/>
      <c r="H74" s="1361"/>
      <c r="I74" s="1041"/>
      <c r="J74" s="1041"/>
      <c r="K74" s="1041"/>
      <c r="L74" s="1041"/>
      <c r="M74" s="1041"/>
      <c r="N74" s="1041"/>
      <c r="O74" s="1041"/>
      <c r="P74" s="1041"/>
      <c r="Q74" s="1041"/>
      <c r="R74" s="1041"/>
      <c r="S74" s="1042"/>
      <c r="T74" s="1042"/>
      <c r="U74" s="1042"/>
      <c r="V74" s="1042"/>
      <c r="W74" s="1043"/>
      <c r="X74" s="839"/>
      <c r="Y74" s="947"/>
      <c r="Z74" s="947"/>
      <c r="AA74" s="947"/>
      <c r="AB74" s="947"/>
      <c r="AC74" s="947"/>
      <c r="AD74" s="947"/>
      <c r="AE74" s="947"/>
      <c r="AF74" s="947"/>
      <c r="AG74" s="947"/>
      <c r="AH74" s="947"/>
      <c r="AI74" s="947"/>
      <c r="AJ74" s="947"/>
      <c r="AK74" s="947"/>
      <c r="AL74" s="947"/>
      <c r="AM74" s="947"/>
      <c r="AN74" s="947"/>
      <c r="AO74" s="947"/>
      <c r="AP74" s="947"/>
      <c r="AQ74" s="947"/>
      <c r="AR74" s="947"/>
      <c r="AS74" s="947"/>
      <c r="AT74" s="947"/>
      <c r="AU74" s="947"/>
    </row>
    <row r="75" spans="2:47" ht="8.25" customHeight="1">
      <c r="B75" s="947"/>
      <c r="C75" s="640"/>
      <c r="D75" s="640"/>
      <c r="E75" s="640"/>
      <c r="F75" s="640"/>
      <c r="G75" s="640"/>
      <c r="H75" s="640"/>
      <c r="I75" s="640"/>
      <c r="J75" s="640"/>
      <c r="K75" s="640"/>
      <c r="L75" s="640"/>
      <c r="M75" s="640"/>
      <c r="N75" s="640"/>
      <c r="O75" s="640"/>
      <c r="P75" s="640"/>
      <c r="Q75" s="640"/>
      <c r="R75" s="640"/>
      <c r="S75" s="640"/>
      <c r="T75" s="640"/>
      <c r="U75" s="640"/>
      <c r="V75" s="640"/>
      <c r="W75" s="640"/>
      <c r="X75" s="640"/>
      <c r="Y75" s="947"/>
      <c r="Z75" s="947"/>
      <c r="AA75" s="947"/>
      <c r="AB75" s="947"/>
      <c r="AC75" s="947"/>
      <c r="AD75" s="947"/>
      <c r="AE75" s="947"/>
      <c r="AF75" s="947"/>
      <c r="AG75" s="947"/>
      <c r="AH75" s="947"/>
      <c r="AI75" s="947"/>
      <c r="AJ75" s="947"/>
      <c r="AK75" s="947"/>
      <c r="AL75" s="947"/>
      <c r="AM75" s="947"/>
      <c r="AN75" s="947"/>
      <c r="AO75" s="947"/>
      <c r="AP75" s="947"/>
      <c r="AQ75" s="947"/>
      <c r="AR75" s="947"/>
      <c r="AS75" s="947"/>
      <c r="AT75" s="947"/>
      <c r="AU75" s="947"/>
    </row>
    <row r="76" spans="2:47">
      <c r="B76" s="947"/>
      <c r="C76" s="640"/>
      <c r="D76" s="640"/>
      <c r="E76" s="640"/>
      <c r="F76" s="640"/>
      <c r="G76" s="640"/>
      <c r="H76" s="640"/>
      <c r="I76" s="640"/>
      <c r="J76" s="640"/>
      <c r="K76" s="640"/>
      <c r="L76" s="640"/>
      <c r="M76" s="640"/>
      <c r="N76" s="640"/>
      <c r="O76" s="640"/>
      <c r="P76" s="640"/>
      <c r="Q76" s="640"/>
      <c r="R76" s="640"/>
      <c r="S76" s="640"/>
      <c r="T76" s="640"/>
      <c r="U76" s="640"/>
      <c r="V76" s="640"/>
      <c r="W76" s="640"/>
      <c r="X76" s="640"/>
      <c r="Y76" s="947"/>
      <c r="Z76" s="947"/>
      <c r="AA76" s="947"/>
      <c r="AB76" s="947"/>
      <c r="AC76" s="947"/>
      <c r="AD76" s="947"/>
      <c r="AE76" s="947"/>
      <c r="AF76" s="947"/>
      <c r="AG76" s="947"/>
      <c r="AH76" s="947"/>
      <c r="AI76" s="947"/>
      <c r="AJ76" s="947"/>
      <c r="AK76" s="947"/>
      <c r="AL76" s="947"/>
      <c r="AM76" s="947"/>
      <c r="AN76" s="947"/>
      <c r="AO76" s="947"/>
      <c r="AP76" s="947"/>
      <c r="AQ76" s="947"/>
      <c r="AR76" s="947"/>
      <c r="AS76" s="947"/>
      <c r="AT76" s="947"/>
      <c r="AU76" s="947"/>
    </row>
    <row r="77" spans="2:47" ht="15.75" thickBot="1">
      <c r="B77" s="947"/>
      <c r="C77" s="640"/>
      <c r="D77" s="640"/>
      <c r="E77" s="640"/>
      <c r="F77" s="640"/>
      <c r="G77" s="640"/>
      <c r="H77" s="640"/>
      <c r="I77" s="640"/>
      <c r="J77" s="640"/>
      <c r="K77" s="640"/>
      <c r="L77" s="640"/>
      <c r="M77" s="640"/>
      <c r="N77" s="640"/>
      <c r="O77" s="640"/>
      <c r="P77" s="640"/>
      <c r="Q77" s="640"/>
      <c r="R77" s="640"/>
      <c r="S77" s="640"/>
      <c r="T77" s="640"/>
      <c r="U77" s="640"/>
      <c r="V77" s="640"/>
      <c r="W77" s="640"/>
      <c r="X77" s="640"/>
      <c r="Y77" s="947"/>
      <c r="Z77" s="947"/>
      <c r="AA77" s="947"/>
      <c r="AB77" s="947"/>
      <c r="AC77" s="947"/>
      <c r="AD77" s="947"/>
      <c r="AE77" s="947"/>
      <c r="AF77" s="947"/>
      <c r="AG77" s="947"/>
      <c r="AH77" s="947"/>
      <c r="AI77" s="947"/>
      <c r="AJ77" s="947"/>
      <c r="AK77" s="947"/>
      <c r="AL77" s="947"/>
      <c r="AM77" s="947"/>
      <c r="AN77" s="947"/>
      <c r="AO77" s="947"/>
      <c r="AP77" s="947"/>
      <c r="AQ77" s="947"/>
      <c r="AR77" s="947"/>
      <c r="AS77" s="947"/>
      <c r="AT77" s="947"/>
      <c r="AU77" s="947"/>
    </row>
    <row r="78" spans="2:47">
      <c r="B78" s="947"/>
      <c r="C78" s="640"/>
      <c r="D78" s="648" t="s">
        <v>336</v>
      </c>
      <c r="E78" s="770"/>
      <c r="F78" s="649">
        <f>G11</f>
        <v>0</v>
      </c>
      <c r="G78" s="640"/>
      <c r="H78" s="640"/>
      <c r="I78" s="640"/>
      <c r="J78" s="640"/>
      <c r="K78" s="640"/>
      <c r="L78" s="640"/>
      <c r="M78" s="640"/>
      <c r="N78" s="640"/>
      <c r="O78" s="640"/>
      <c r="P78" s="640"/>
      <c r="Q78" s="640"/>
      <c r="R78" s="640"/>
      <c r="S78" s="640"/>
      <c r="T78" s="640"/>
      <c r="U78" s="640"/>
      <c r="V78" s="640"/>
      <c r="W78" s="640"/>
      <c r="X78" s="640"/>
      <c r="Y78" s="947"/>
      <c r="Z78" s="947"/>
      <c r="AA78" s="947"/>
      <c r="AB78" s="950"/>
      <c r="AC78" s="947"/>
      <c r="AD78" s="947"/>
      <c r="AE78" s="950"/>
      <c r="AF78" s="947"/>
      <c r="AG78" s="947"/>
      <c r="AH78" s="950"/>
      <c r="AI78" s="947"/>
      <c r="AJ78" s="947"/>
      <c r="AK78" s="947"/>
      <c r="AL78" s="947"/>
      <c r="AM78" s="947"/>
      <c r="AN78" s="947"/>
      <c r="AO78" s="947"/>
      <c r="AP78" s="947"/>
      <c r="AQ78" s="947"/>
      <c r="AR78" s="947"/>
      <c r="AS78" s="947"/>
      <c r="AT78" s="947"/>
      <c r="AU78" s="947"/>
    </row>
    <row r="79" spans="2:47">
      <c r="B79" s="947"/>
      <c r="C79" s="640"/>
      <c r="D79" s="650" t="s">
        <v>230</v>
      </c>
      <c r="E79" s="771"/>
      <c r="F79" s="651" t="str">
        <f>G9</f>
        <v>Managed Services</v>
      </c>
      <c r="G79" s="640"/>
      <c r="H79" s="640"/>
      <c r="I79" s="640"/>
      <c r="J79" s="640"/>
      <c r="K79" s="640"/>
      <c r="L79" s="640"/>
      <c r="M79" s="640"/>
      <c r="N79" s="640"/>
      <c r="O79" s="640"/>
      <c r="P79" s="640"/>
      <c r="Q79" s="640"/>
      <c r="R79" s="640"/>
      <c r="S79" s="640"/>
      <c r="T79" s="640"/>
      <c r="U79" s="640"/>
      <c r="V79" s="640"/>
      <c r="W79" s="640"/>
      <c r="X79" s="640"/>
      <c r="Y79" s="947"/>
      <c r="Z79" s="947"/>
      <c r="AA79" s="947"/>
      <c r="AB79" s="947"/>
      <c r="AC79" s="947"/>
      <c r="AD79" s="947"/>
      <c r="AE79" s="947"/>
      <c r="AF79" s="947"/>
      <c r="AG79" s="947"/>
      <c r="AH79" s="947"/>
      <c r="AI79" s="947"/>
      <c r="AJ79" s="947"/>
      <c r="AK79" s="947"/>
      <c r="AL79" s="947"/>
      <c r="AM79" s="947"/>
      <c r="AN79" s="947"/>
      <c r="AO79" s="947"/>
      <c r="AP79" s="947"/>
      <c r="AQ79" s="947"/>
      <c r="AR79" s="947"/>
      <c r="AS79" s="947"/>
      <c r="AT79" s="947"/>
      <c r="AU79" s="947"/>
    </row>
    <row r="80" spans="2:47">
      <c r="B80" s="947"/>
      <c r="C80" s="640"/>
      <c r="D80" s="650" t="s">
        <v>242</v>
      </c>
      <c r="E80" s="771"/>
      <c r="F80" s="651">
        <f>G14</f>
        <v>0</v>
      </c>
      <c r="G80" s="640"/>
      <c r="H80" s="640"/>
      <c r="I80" s="640"/>
      <c r="J80" s="640"/>
      <c r="K80" s="640"/>
      <c r="L80" s="640"/>
      <c r="M80" s="640"/>
      <c r="N80" s="640"/>
      <c r="O80" s="640"/>
      <c r="P80" s="640"/>
      <c r="Q80" s="640"/>
      <c r="R80" s="640"/>
      <c r="S80" s="640"/>
      <c r="T80" s="640"/>
      <c r="U80" s="640"/>
      <c r="V80" s="640"/>
      <c r="W80" s="640"/>
      <c r="X80" s="640"/>
      <c r="Y80" s="947"/>
      <c r="Z80" s="947"/>
      <c r="AA80" s="947"/>
      <c r="AB80" s="947"/>
      <c r="AC80" s="947"/>
      <c r="AD80" s="947"/>
      <c r="AE80" s="947"/>
      <c r="AF80" s="947"/>
      <c r="AG80" s="947"/>
      <c r="AH80" s="947"/>
      <c r="AI80" s="947"/>
      <c r="AJ80" s="947"/>
      <c r="AK80" s="947"/>
      <c r="AL80" s="947"/>
      <c r="AM80" s="947"/>
      <c r="AN80" s="947"/>
      <c r="AO80" s="947"/>
      <c r="AP80" s="947"/>
      <c r="AQ80" s="947"/>
      <c r="AR80" s="947"/>
      <c r="AS80" s="947"/>
      <c r="AT80" s="947"/>
      <c r="AU80" s="947"/>
    </row>
    <row r="81" spans="3:34">
      <c r="C81" s="640"/>
      <c r="D81" s="650" t="s">
        <v>246</v>
      </c>
      <c r="E81" s="771"/>
      <c r="F81" s="651" t="str">
        <f>G16</f>
        <v>UK</v>
      </c>
      <c r="G81" s="640"/>
      <c r="H81" s="640"/>
      <c r="I81" s="640"/>
      <c r="J81" s="640"/>
      <c r="K81" s="640"/>
      <c r="L81" s="640"/>
      <c r="M81" s="640"/>
      <c r="N81" s="640"/>
      <c r="O81" s="640"/>
      <c r="P81" s="640"/>
      <c r="Q81" s="640"/>
      <c r="R81" s="640"/>
      <c r="S81" s="640"/>
      <c r="T81" s="640"/>
      <c r="U81" s="640"/>
      <c r="V81" s="640"/>
      <c r="W81" s="640"/>
      <c r="X81" s="640"/>
      <c r="Y81" s="947"/>
      <c r="Z81" s="947"/>
      <c r="AA81" s="947"/>
      <c r="AB81" s="950"/>
      <c r="AC81" s="947"/>
      <c r="AD81" s="957"/>
      <c r="AE81" s="950"/>
      <c r="AF81" s="947"/>
      <c r="AG81" s="947"/>
      <c r="AH81" s="947"/>
    </row>
    <row r="82" spans="3:34">
      <c r="C82" s="640"/>
      <c r="D82" s="650" t="s">
        <v>255</v>
      </c>
      <c r="E82" s="771"/>
      <c r="F82" s="651" t="str">
        <f>G19</f>
        <v>No</v>
      </c>
      <c r="G82" s="640"/>
      <c r="H82" s="640"/>
      <c r="I82" s="640"/>
      <c r="J82" s="640"/>
      <c r="K82" s="640"/>
      <c r="L82" s="640"/>
      <c r="M82" s="640"/>
      <c r="N82" s="640"/>
      <c r="O82" s="640"/>
      <c r="P82" s="640"/>
      <c r="Q82" s="640"/>
      <c r="R82" s="640"/>
      <c r="S82" s="640"/>
      <c r="T82" s="640"/>
      <c r="U82" s="640"/>
      <c r="V82" s="640"/>
      <c r="W82" s="640"/>
      <c r="X82" s="640"/>
      <c r="Y82" s="947"/>
      <c r="Z82" s="947"/>
      <c r="AA82" s="947"/>
      <c r="AB82" s="950"/>
      <c r="AC82" s="947"/>
      <c r="AD82" s="957"/>
      <c r="AE82" s="950"/>
      <c r="AF82" s="947"/>
      <c r="AG82" s="947"/>
      <c r="AH82" s="947"/>
    </row>
    <row r="83" spans="3:34">
      <c r="C83" s="640"/>
      <c r="D83" s="650" t="s">
        <v>337</v>
      </c>
      <c r="E83" s="771"/>
      <c r="F83" s="651" t="str">
        <f>G17</f>
        <v>GBP</v>
      </c>
      <c r="G83" s="640"/>
      <c r="H83" s="640"/>
      <c r="I83" s="640"/>
      <c r="J83" s="640"/>
      <c r="K83" s="640"/>
      <c r="L83" s="640"/>
      <c r="M83" s="640"/>
      <c r="N83" s="640"/>
      <c r="O83" s="640"/>
      <c r="P83" s="640"/>
      <c r="Q83" s="640"/>
      <c r="R83" s="640"/>
      <c r="S83" s="640"/>
      <c r="T83" s="640"/>
      <c r="U83" s="640"/>
      <c r="V83" s="640"/>
      <c r="W83" s="640"/>
      <c r="X83" s="640"/>
      <c r="Y83" s="947"/>
      <c r="Z83" s="947"/>
      <c r="AA83" s="947"/>
      <c r="AB83" s="950"/>
      <c r="AC83" s="947"/>
      <c r="AD83" s="947"/>
      <c r="AE83" s="950"/>
      <c r="AF83" s="947"/>
      <c r="AG83" s="947"/>
      <c r="AH83" s="947"/>
    </row>
    <row r="84" spans="3:34">
      <c r="C84" s="640"/>
      <c r="D84" s="650" t="s">
        <v>338</v>
      </c>
      <c r="E84" s="771"/>
      <c r="F84" s="703">
        <f>P8</f>
        <v>238800</v>
      </c>
      <c r="G84" s="640"/>
      <c r="H84" s="640"/>
      <c r="I84" s="640"/>
      <c r="J84" s="640"/>
      <c r="K84" s="640"/>
      <c r="L84" s="640"/>
      <c r="M84" s="640"/>
      <c r="N84" s="640"/>
      <c r="O84" s="640"/>
      <c r="P84" s="640"/>
      <c r="Q84" s="640"/>
      <c r="R84" s="640"/>
      <c r="S84" s="640"/>
      <c r="T84" s="640"/>
      <c r="U84" s="640"/>
      <c r="V84" s="640"/>
      <c r="W84" s="640"/>
      <c r="X84" s="640"/>
      <c r="Y84" s="947"/>
      <c r="Z84" s="947"/>
      <c r="AA84" s="947"/>
      <c r="AB84" s="947"/>
      <c r="AC84" s="947"/>
      <c r="AD84" s="947"/>
      <c r="AE84" s="947"/>
      <c r="AF84" s="947"/>
      <c r="AG84" s="947"/>
      <c r="AH84" s="947"/>
    </row>
    <row r="85" spans="3:34">
      <c r="C85" s="640"/>
      <c r="D85" s="650" t="s">
        <v>254</v>
      </c>
      <c r="E85" s="771"/>
      <c r="F85" s="704">
        <f>P11</f>
        <v>0.6729955185929648</v>
      </c>
      <c r="G85" s="640"/>
      <c r="H85" s="640"/>
      <c r="I85" s="640"/>
      <c r="J85" s="640"/>
      <c r="K85" s="640"/>
      <c r="L85" s="640"/>
      <c r="M85" s="640"/>
      <c r="N85" s="640"/>
      <c r="O85" s="640"/>
      <c r="P85" s="640"/>
      <c r="Q85" s="640"/>
      <c r="R85" s="640"/>
      <c r="S85" s="640"/>
      <c r="T85" s="640"/>
      <c r="U85" s="640"/>
      <c r="V85" s="640"/>
      <c r="W85" s="640"/>
      <c r="X85" s="640"/>
      <c r="Y85" s="947"/>
      <c r="Z85" s="947"/>
      <c r="AA85" s="947"/>
      <c r="AB85" s="947"/>
      <c r="AC85" s="947"/>
      <c r="AD85" s="947"/>
      <c r="AE85" s="947"/>
      <c r="AF85" s="947"/>
      <c r="AG85" s="947"/>
      <c r="AH85" s="947"/>
    </row>
    <row r="86" spans="3:34">
      <c r="C86" s="640"/>
      <c r="D86" s="650" t="s">
        <v>243</v>
      </c>
      <c r="E86" s="771"/>
      <c r="F86" s="652">
        <f>P14</f>
        <v>199</v>
      </c>
      <c r="G86" s="640"/>
      <c r="H86" s="640"/>
      <c r="I86" s="640"/>
      <c r="J86" s="640"/>
      <c r="K86" s="640"/>
      <c r="L86" s="640"/>
      <c r="M86" s="640"/>
      <c r="N86" s="640"/>
      <c r="O86" s="640"/>
      <c r="P86" s="640"/>
      <c r="Q86" s="640"/>
      <c r="R86" s="640"/>
      <c r="S86" s="640"/>
      <c r="T86" s="640"/>
      <c r="U86" s="640"/>
      <c r="V86" s="640"/>
      <c r="W86" s="640"/>
      <c r="X86" s="640"/>
      <c r="Y86" s="947"/>
      <c r="Z86" s="947"/>
      <c r="AA86" s="947"/>
      <c r="AB86" s="947"/>
      <c r="AC86" s="947"/>
      <c r="AD86" s="947"/>
      <c r="AE86" s="947"/>
      <c r="AF86" s="947"/>
      <c r="AG86" s="947"/>
      <c r="AH86" s="947"/>
    </row>
    <row r="87" spans="3:34">
      <c r="C87" s="640"/>
      <c r="D87" s="650" t="s">
        <v>339</v>
      </c>
      <c r="E87" s="771"/>
      <c r="F87" s="704">
        <f>IFERROR(-P17,"")</f>
        <v>-0.80090497737556565</v>
      </c>
      <c r="G87" s="640"/>
      <c r="H87" s="640"/>
      <c r="I87" s="640"/>
      <c r="J87" s="640"/>
      <c r="K87" s="640"/>
      <c r="L87" s="640"/>
      <c r="M87" s="640"/>
      <c r="N87" s="640"/>
      <c r="O87" s="640"/>
      <c r="P87" s="640"/>
      <c r="Q87" s="640"/>
      <c r="R87" s="640"/>
      <c r="S87" s="640"/>
      <c r="T87" s="640"/>
      <c r="U87" s="640"/>
      <c r="V87" s="640"/>
      <c r="W87" s="640"/>
      <c r="X87" s="640"/>
      <c r="Y87" s="947"/>
      <c r="Z87" s="947"/>
      <c r="AA87" s="947"/>
      <c r="AB87" s="947"/>
      <c r="AC87" s="947"/>
      <c r="AD87" s="947"/>
      <c r="AE87" s="947"/>
      <c r="AF87" s="947"/>
      <c r="AG87" s="947"/>
      <c r="AH87" s="947"/>
    </row>
    <row r="88" spans="3:34">
      <c r="C88" s="640"/>
      <c r="D88" s="650" t="s">
        <v>340</v>
      </c>
      <c r="E88" s="771"/>
      <c r="F88" s="653">
        <f>I65</f>
        <v>0</v>
      </c>
      <c r="G88" s="640"/>
      <c r="H88" s="640"/>
      <c r="I88" s="640"/>
      <c r="J88" s="640"/>
      <c r="K88" s="640"/>
      <c r="L88" s="640"/>
      <c r="M88" s="640"/>
      <c r="N88" s="640"/>
      <c r="O88" s="640"/>
      <c r="P88" s="640"/>
      <c r="Q88" s="640"/>
      <c r="R88" s="640"/>
      <c r="S88" s="640"/>
      <c r="T88" s="640"/>
      <c r="U88" s="640"/>
      <c r="V88" s="640"/>
      <c r="W88" s="640"/>
      <c r="X88" s="640"/>
      <c r="Y88" s="947"/>
      <c r="Z88" s="947"/>
      <c r="AA88" s="947"/>
      <c r="AB88" s="947"/>
      <c r="AC88" s="947"/>
      <c r="AD88" s="947"/>
      <c r="AE88" s="947"/>
      <c r="AF88" s="947"/>
      <c r="AG88" s="947"/>
      <c r="AH88" s="947"/>
    </row>
    <row r="89" spans="3:34">
      <c r="C89" s="640"/>
      <c r="D89" s="650" t="s">
        <v>341</v>
      </c>
      <c r="E89" s="771"/>
      <c r="F89" s="651">
        <f>I66</f>
        <v>0</v>
      </c>
      <c r="G89" s="640"/>
      <c r="H89" s="640"/>
      <c r="I89" s="640"/>
      <c r="J89" s="640"/>
      <c r="K89" s="640"/>
      <c r="L89" s="640"/>
      <c r="M89" s="640"/>
      <c r="N89" s="640"/>
      <c r="O89" s="640"/>
      <c r="P89" s="640"/>
      <c r="Q89" s="640"/>
      <c r="R89" s="640"/>
      <c r="S89" s="640"/>
      <c r="T89" s="640"/>
      <c r="U89" s="640"/>
      <c r="V89" s="640"/>
      <c r="W89" s="640"/>
      <c r="X89" s="640"/>
      <c r="Y89" s="947"/>
      <c r="Z89" s="947"/>
      <c r="AA89" s="947"/>
      <c r="AB89" s="947"/>
      <c r="AC89" s="947"/>
      <c r="AD89" s="947"/>
      <c r="AE89" s="947"/>
      <c r="AF89" s="947"/>
      <c r="AG89" s="947"/>
      <c r="AH89" s="947"/>
    </row>
    <row r="90" spans="3:34" ht="15.75" thickBot="1">
      <c r="C90" s="640"/>
      <c r="D90" s="654" t="s">
        <v>303</v>
      </c>
      <c r="E90" s="772"/>
      <c r="F90" s="655">
        <f>R13</f>
        <v>0.48</v>
      </c>
      <c r="G90" s="640"/>
      <c r="H90" s="640"/>
      <c r="I90" s="640"/>
      <c r="J90" s="640"/>
      <c r="K90" s="640"/>
      <c r="L90" s="640"/>
      <c r="M90" s="640"/>
      <c r="N90" s="640"/>
      <c r="O90" s="640"/>
      <c r="P90" s="640"/>
      <c r="Q90" s="640"/>
      <c r="R90" s="640"/>
      <c r="S90" s="640"/>
      <c r="T90" s="640"/>
      <c r="U90" s="640"/>
      <c r="V90" s="640"/>
      <c r="W90" s="640"/>
      <c r="X90" s="640"/>
      <c r="Y90" s="947"/>
      <c r="Z90" s="947"/>
      <c r="AA90" s="947"/>
      <c r="AB90" s="947"/>
      <c r="AC90" s="947"/>
      <c r="AD90" s="947"/>
      <c r="AE90" s="947"/>
      <c r="AF90" s="947"/>
      <c r="AG90" s="947"/>
      <c r="AH90" s="947"/>
    </row>
    <row r="91" spans="3:34">
      <c r="C91" s="640"/>
      <c r="D91" s="640"/>
      <c r="E91" s="640"/>
      <c r="F91" s="640"/>
      <c r="G91" s="640"/>
      <c r="H91" s="640"/>
      <c r="I91" s="640"/>
      <c r="J91" s="640"/>
      <c r="K91" s="640"/>
      <c r="L91" s="640"/>
      <c r="M91" s="640"/>
      <c r="N91" s="640"/>
      <c r="O91" s="640"/>
      <c r="P91" s="640"/>
      <c r="Q91" s="640"/>
      <c r="R91" s="640"/>
      <c r="S91" s="640"/>
      <c r="T91" s="640"/>
      <c r="U91" s="640"/>
      <c r="V91" s="640"/>
      <c r="W91" s="640"/>
      <c r="X91" s="640"/>
      <c r="Y91" s="947"/>
      <c r="Z91" s="947"/>
      <c r="AA91" s="947"/>
      <c r="AB91" s="947"/>
      <c r="AC91" s="947"/>
      <c r="AD91" s="947"/>
      <c r="AE91" s="947"/>
      <c r="AF91" s="947"/>
      <c r="AG91" s="947"/>
      <c r="AH91" s="947"/>
    </row>
  </sheetData>
  <mergeCells count="140">
    <mergeCell ref="G8:L8"/>
    <mergeCell ref="G9:L9"/>
    <mergeCell ref="G10:L10"/>
    <mergeCell ref="O1:W1"/>
    <mergeCell ref="O6:R6"/>
    <mergeCell ref="G7:L7"/>
    <mergeCell ref="B6:L6"/>
    <mergeCell ref="B2:Y2"/>
    <mergeCell ref="B3:Y3"/>
    <mergeCell ref="B7:F7"/>
    <mergeCell ref="B8:F8"/>
    <mergeCell ref="B9:F9"/>
    <mergeCell ref="B10:F10"/>
    <mergeCell ref="G16:L16"/>
    <mergeCell ref="B14:F14"/>
    <mergeCell ref="B15:F15"/>
    <mergeCell ref="B16:F16"/>
    <mergeCell ref="G11:L11"/>
    <mergeCell ref="G12:L12"/>
    <mergeCell ref="G13:L13"/>
    <mergeCell ref="B12:F12"/>
    <mergeCell ref="B13:F13"/>
    <mergeCell ref="B11:F11"/>
    <mergeCell ref="E34:I34"/>
    <mergeCell ref="J34:K34"/>
    <mergeCell ref="E35:I35"/>
    <mergeCell ref="J35:K35"/>
    <mergeCell ref="E36:I36"/>
    <mergeCell ref="J36:K36"/>
    <mergeCell ref="G28:L28"/>
    <mergeCell ref="E32:I32"/>
    <mergeCell ref="J32:K32"/>
    <mergeCell ref="E33:I33"/>
    <mergeCell ref="J33:K33"/>
    <mergeCell ref="B28:F28"/>
    <mergeCell ref="E40:I40"/>
    <mergeCell ref="J40:K40"/>
    <mergeCell ref="E41:I41"/>
    <mergeCell ref="J41:K41"/>
    <mergeCell ref="E42:I42"/>
    <mergeCell ref="J42:K42"/>
    <mergeCell ref="E37:I37"/>
    <mergeCell ref="J37:K37"/>
    <mergeCell ref="E38:I38"/>
    <mergeCell ref="J38:K38"/>
    <mergeCell ref="E39:I39"/>
    <mergeCell ref="J39:K39"/>
    <mergeCell ref="E46:I46"/>
    <mergeCell ref="J46:K46"/>
    <mergeCell ref="E47:I47"/>
    <mergeCell ref="J47:K47"/>
    <mergeCell ref="E48:I48"/>
    <mergeCell ref="J48:K48"/>
    <mergeCell ref="E43:I43"/>
    <mergeCell ref="J43:K43"/>
    <mergeCell ref="E44:I44"/>
    <mergeCell ref="J44:K44"/>
    <mergeCell ref="E45:I45"/>
    <mergeCell ref="J45:K45"/>
    <mergeCell ref="J53:K53"/>
    <mergeCell ref="E54:I54"/>
    <mergeCell ref="J54:K54"/>
    <mergeCell ref="E49:I49"/>
    <mergeCell ref="J49:K49"/>
    <mergeCell ref="E50:I50"/>
    <mergeCell ref="J50:K50"/>
    <mergeCell ref="E51:I51"/>
    <mergeCell ref="J51:K51"/>
    <mergeCell ref="B71:H71"/>
    <mergeCell ref="O19:R19"/>
    <mergeCell ref="O20:Q20"/>
    <mergeCell ref="O22:Q22"/>
    <mergeCell ref="G25:L25"/>
    <mergeCell ref="B20:L20"/>
    <mergeCell ref="B21:F21"/>
    <mergeCell ref="B22:F22"/>
    <mergeCell ref="G21:L21"/>
    <mergeCell ref="G22:L22"/>
    <mergeCell ref="G23:L23"/>
    <mergeCell ref="G24:L24"/>
    <mergeCell ref="I67:K67"/>
    <mergeCell ref="L67:W67"/>
    <mergeCell ref="J68:M68"/>
    <mergeCell ref="N68:W68"/>
    <mergeCell ref="B67:H67"/>
    <mergeCell ref="B68:H68"/>
    <mergeCell ref="J65:W65"/>
    <mergeCell ref="J66:K66"/>
    <mergeCell ref="L66:W66"/>
    <mergeCell ref="B64:W64"/>
    <mergeCell ref="B65:H65"/>
    <mergeCell ref="C58:I58"/>
    <mergeCell ref="B70:H70"/>
    <mergeCell ref="O25:R25"/>
    <mergeCell ref="G17:L17"/>
    <mergeCell ref="G18:L18"/>
    <mergeCell ref="G19:L19"/>
    <mergeCell ref="B17:F17"/>
    <mergeCell ref="B18:F18"/>
    <mergeCell ref="B19:F19"/>
    <mergeCell ref="G14:L14"/>
    <mergeCell ref="G15:L15"/>
    <mergeCell ref="J58:K58"/>
    <mergeCell ref="C59:I59"/>
    <mergeCell ref="J59:K59"/>
    <mergeCell ref="C60:I60"/>
    <mergeCell ref="J61:K61"/>
    <mergeCell ref="E55:I55"/>
    <mergeCell ref="J55:K55"/>
    <mergeCell ref="E56:I56"/>
    <mergeCell ref="J56:K56"/>
    <mergeCell ref="E57:I57"/>
    <mergeCell ref="J57:K57"/>
    <mergeCell ref="E52:I52"/>
    <mergeCell ref="J52:K52"/>
    <mergeCell ref="E53:I53"/>
    <mergeCell ref="O26:R28"/>
    <mergeCell ref="O21:Q21"/>
    <mergeCell ref="B72:H72"/>
    <mergeCell ref="B73:H73"/>
    <mergeCell ref="B74:H74"/>
    <mergeCell ref="B66:H66"/>
    <mergeCell ref="B23:F23"/>
    <mergeCell ref="B24:F24"/>
    <mergeCell ref="B25:F25"/>
    <mergeCell ref="B26:L26"/>
    <mergeCell ref="B27:F27"/>
    <mergeCell ref="G27:L27"/>
    <mergeCell ref="B31:Y31"/>
    <mergeCell ref="B61:I61"/>
    <mergeCell ref="I72:W72"/>
    <mergeCell ref="J73:L73"/>
    <mergeCell ref="M73:N73"/>
    <mergeCell ref="I74:W74"/>
    <mergeCell ref="J69:L69"/>
    <mergeCell ref="M69:W69"/>
    <mergeCell ref="K70:W70"/>
    <mergeCell ref="J71:L71"/>
    <mergeCell ref="M71:W71"/>
    <mergeCell ref="B69:H69"/>
  </mergeCells>
  <conditionalFormatting sqref="F85">
    <cfRule type="cellIs" dxfId="815" priority="16" operator="lessThan">
      <formula>0.5</formula>
    </cfRule>
  </conditionalFormatting>
  <conditionalFormatting sqref="F87">
    <cfRule type="cellIs" dxfId="814" priority="23" operator="greaterThan">
      <formula>0.1</formula>
    </cfRule>
  </conditionalFormatting>
  <conditionalFormatting sqref="F88">
    <cfRule type="cellIs" dxfId="813" priority="22" operator="lessThan">
      <formula>0.25</formula>
    </cfRule>
  </conditionalFormatting>
  <conditionalFormatting sqref="F89">
    <cfRule type="cellIs" dxfId="812" priority="21" operator="equal">
      <formula>"Yes"</formula>
    </cfRule>
  </conditionalFormatting>
  <conditionalFormatting sqref="G23:L23 G24:G25">
    <cfRule type="expression" dxfId="811" priority="8">
      <formula>$G$17="GBP"</formula>
    </cfRule>
    <cfRule type="expression" dxfId="810" priority="9">
      <formula>$G$17="INR"</formula>
    </cfRule>
    <cfRule type="expression" dxfId="809" priority="10">
      <formula>$G$17="CAD"</formula>
    </cfRule>
    <cfRule type="expression" dxfId="808" priority="11">
      <formula>$G$17="USD"</formula>
    </cfRule>
    <cfRule type="expression" dxfId="807" priority="12">
      <formula>$G$17="EUR"</formula>
    </cfRule>
  </conditionalFormatting>
  <conditionalFormatting sqref="I65">
    <cfRule type="cellIs" dxfId="806" priority="25" operator="between">
      <formula>0</formula>
      <formula>0.24999</formula>
    </cfRule>
  </conditionalFormatting>
  <conditionalFormatting sqref="I66">
    <cfRule type="cellIs" dxfId="805" priority="24" operator="equal">
      <formula>"Yes"</formula>
    </cfRule>
  </conditionalFormatting>
  <conditionalFormatting sqref="M33:M57">
    <cfRule type="cellIs" dxfId="804" priority="15" operator="lessThan">
      <formula>0</formula>
    </cfRule>
  </conditionalFormatting>
  <conditionalFormatting sqref="P11">
    <cfRule type="cellIs" dxfId="803" priority="27" operator="lessThan">
      <formula>$AA$11</formula>
    </cfRule>
  </conditionalFormatting>
  <conditionalFormatting sqref="P17">
    <cfRule type="cellIs" dxfId="802" priority="29" operator="lessThan">
      <formula>-0.1</formula>
    </cfRule>
  </conditionalFormatting>
  <conditionalFormatting sqref="P59:P60">
    <cfRule type="cellIs" dxfId="801" priority="26" operator="lessThan">
      <formula>-0.001</formula>
    </cfRule>
  </conditionalFormatting>
  <conditionalFormatting sqref="P16:Q16">
    <cfRule type="cellIs" dxfId="800" priority="14" operator="lessThan">
      <formula>0</formula>
    </cfRule>
  </conditionalFormatting>
  <conditionalFormatting sqref="P8:R10 P14:R15 P16:Q16 R20 R22 L33:R57 Q58:R59 P58:P61 Q61:R61 F84 F86">
    <cfRule type="expression" dxfId="799" priority="13">
      <formula>$G$17="EUR"</formula>
    </cfRule>
    <cfRule type="expression" dxfId="798" priority="17">
      <formula>$G$17="USD"</formula>
    </cfRule>
    <cfRule type="expression" dxfId="797" priority="18">
      <formula>$G$17="CAD"</formula>
    </cfRule>
    <cfRule type="expression" dxfId="796" priority="19">
      <formula>$G$17="INR"</formula>
    </cfRule>
    <cfRule type="expression" dxfId="795" priority="20">
      <formula>$G$17="GBP"</formula>
    </cfRule>
  </conditionalFormatting>
  <conditionalFormatting sqref="Q59">
    <cfRule type="cellIs" dxfId="794" priority="28" operator="lessThan">
      <formula>-0.001</formula>
    </cfRule>
  </conditionalFormatting>
  <conditionalFormatting sqref="R21">
    <cfRule type="cellIs" dxfId="793" priority="2" operator="lessThan">
      <formula>$AA$11</formula>
    </cfRule>
  </conditionalFormatting>
  <dataValidations count="3">
    <dataValidation type="decimal" operator="lessThanOrEqual" allowBlank="1" showInputMessage="1" showErrorMessage="1" errorTitle="Error" error="One-time discount must be equal to or less than zero." sqref="P60" xr:uid="{BD15EEE8-D635-4AC6-B9C1-CFF5E895D593}">
      <formula1>0</formula1>
    </dataValidation>
    <dataValidation type="decimal" operator="greaterThanOrEqual" allowBlank="1" showInputMessage="1" showErrorMessage="1" errorTitle="Error" error="Contingency must be equal to or greater than zero." sqref="P59" xr:uid="{2791A7BA-A1B2-4DDB-8036-9828361A266A}">
      <formula1>0</formula1>
    </dataValidation>
    <dataValidation type="list" allowBlank="1" showInputMessage="1" showErrorMessage="1" sqref="U33:W57" xr:uid="{DB4FF031-1AA9-402D-999F-AE0E0D9D0FCA}">
      <formula1>SKILLS</formula1>
    </dataValidation>
  </dataValidations>
  <printOptions horizontalCentered="1"/>
  <pageMargins left="0.31496062992125984" right="0.31496062992125984" top="0.35433070866141736" bottom="0.35433070866141736" header="0.31496062992125984" footer="0.31496062992125984"/>
  <pageSetup scale="51" orientation="landscape" r:id="rId1"/>
  <extLst>
    <ext xmlns:x14="http://schemas.microsoft.com/office/spreadsheetml/2009/9/main" uri="{78C0D931-6437-407d-A8EE-F0AAD7539E65}">
      <x14:conditionalFormattings>
        <x14:conditionalFormatting xmlns:xm="http://schemas.microsoft.com/office/excel/2006/main">
          <x14:cfRule type="containsText" priority="1" operator="containsText" id="{911F5561-3F02-4FD9-807D-0F154D4F6CD4}">
            <xm:f>NOT(ISERROR(SEARCH("*---*",E33)))</xm:f>
            <xm:f>"*---*"</xm:f>
            <x14:dxf>
              <font>
                <color rgb="FF9C0006"/>
              </font>
              <fill>
                <patternFill>
                  <bgColor rgb="FFFFC7CE"/>
                </patternFill>
              </fill>
            </x14:dxf>
          </x14:cfRule>
          <xm:sqref>E33:I57</xm:sqref>
        </x14:conditionalFormatting>
      </x14:conditionalFormattings>
    </ext>
    <ext xmlns:x14="http://schemas.microsoft.com/office/spreadsheetml/2009/9/main" uri="{CCE6A557-97BC-4b89-ADB6-D9C93CAAB3DF}">
      <x14:dataValidations xmlns:xm="http://schemas.microsoft.com/office/excel/2006/main" count="10">
        <x14:dataValidation type="list" allowBlank="1" showInputMessage="1" showErrorMessage="1" xr:uid="{5E08CF91-3687-4D54-800C-0DC7866D5DA6}">
          <x14:formula1>
            <xm:f>'Lists (2)'!$E$2:$E$3</xm:f>
          </x14:formula1>
          <xm:sqref>G18:L18</xm:sqref>
        </x14:dataValidation>
        <x14:dataValidation type="list" allowBlank="1" showInputMessage="1" showErrorMessage="1" xr:uid="{B8B5F06D-3AFD-486E-AEDC-6D345F7C5E15}">
          <x14:formula1>
            <xm:f>'Lists (2)'!$B$2:$B$26</xm:f>
          </x14:formula1>
          <xm:sqref>G10:L10</xm:sqref>
        </x14:dataValidation>
        <x14:dataValidation type="list" allowBlank="1" showInputMessage="1" showErrorMessage="1" xr:uid="{1C5FFD43-ACDD-49FB-925A-E288C6EADB23}">
          <x14:formula1>
            <xm:f>'Lists (2)'!$C$2:$C$6</xm:f>
          </x14:formula1>
          <xm:sqref>G16:L16 C33:C57</xm:sqref>
        </x14:dataValidation>
        <x14:dataValidation type="list" allowBlank="1" showInputMessage="1" showErrorMessage="1" xr:uid="{A8EE5AFB-0366-4F9C-884B-C21FC550E6A6}">
          <x14:formula1>
            <xm:f>'Lists (2)'!$A$2:$A$10</xm:f>
          </x14:formula1>
          <xm:sqref>G9:L9 T33:T57</xm:sqref>
        </x14:dataValidation>
        <x14:dataValidation type="list" allowBlank="1" showInputMessage="1" showErrorMessage="1" xr:uid="{FBC249F2-0F1E-44EA-9E3C-C8D3322671D2}">
          <x14:formula1>
            <xm:f>'Lists (2)'!$H$2:$H$3</xm:f>
          </x14:formula1>
          <xm:sqref>I68:I71 J70 I73 G19:L19 G25:L25 I66</xm:sqref>
        </x14:dataValidation>
        <x14:dataValidation type="list" allowBlank="1" showInputMessage="1" showErrorMessage="1" xr:uid="{909A312F-21AD-416A-8BCA-741F2A7F0BAC}">
          <x14:formula1>
            <xm:f>'Lists (2)'!$I$2:$I$4</xm:f>
          </x14:formula1>
          <xm:sqref>N68:X68</xm:sqref>
        </x14:dataValidation>
        <x14:dataValidation type="list" allowBlank="1" showInputMessage="1" showErrorMessage="1" xr:uid="{333BA520-4E04-4B83-AAFF-C9C34247A7CC}">
          <x14:formula1>
            <xm:f>'Lists (2)'!$P$2:$P$5</xm:f>
          </x14:formula1>
          <xm:sqref>D33:D57</xm:sqref>
        </x14:dataValidation>
        <x14:dataValidation type="list" allowBlank="1" showInputMessage="1" showErrorMessage="1" xr:uid="{FF2C79B2-1026-4161-8310-846491172E91}">
          <x14:formula1>
            <xm:f>'Lists (2)'!$Q$2:$Q$5</xm:f>
          </x14:formula1>
          <xm:sqref>G24:L24</xm:sqref>
        </x14:dataValidation>
        <x14:dataValidation type="list" allowBlank="1" showInputMessage="1" showErrorMessage="1" xr:uid="{EB727B33-8F22-4B2E-8CE1-FDCCBEE3209A}">
          <x14:formula1>
            <xm:f>'Lists (2)'!$S$2:$S$3</xm:f>
          </x14:formula1>
          <xm:sqref>B33:B57</xm:sqref>
        </x14:dataValidation>
        <x14:dataValidation type="list" allowBlank="1" showInputMessage="1" showErrorMessage="1" xr:uid="{33ACADDA-FAEB-422F-B881-B968023AF3E5}">
          <x14:formula1>
            <xm:f>'Lists (2)'!$O$2:$O$27</xm:f>
          </x14:formula1>
          <xm:sqref>E33:I57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761D5-9297-4CF5-A48F-6B4904BC3EA6}">
  <sheetPr>
    <tabColor theme="5"/>
  </sheetPr>
  <dimension ref="A1:P67"/>
  <sheetViews>
    <sheetView workbookViewId="0">
      <selection activeCell="E24" sqref="E24"/>
    </sheetView>
  </sheetViews>
  <sheetFormatPr defaultRowHeight="12.75"/>
  <cols>
    <col min="1" max="1" width="38.85546875" bestFit="1" customWidth="1"/>
    <col min="2" max="2" width="11.140625" customWidth="1"/>
    <col min="3" max="3" width="17" bestFit="1" customWidth="1"/>
    <col min="4" max="4" width="20.85546875" bestFit="1" customWidth="1"/>
    <col min="5" max="5" width="17.5703125" bestFit="1" customWidth="1"/>
    <col min="6" max="6" width="36" customWidth="1"/>
    <col min="7" max="7" width="40.85546875" bestFit="1" customWidth="1"/>
    <col min="8" max="8" width="6.140625" bestFit="1" customWidth="1"/>
    <col min="9" max="9" width="8.140625" bestFit="1" customWidth="1"/>
    <col min="11" max="11" width="8.140625" bestFit="1" customWidth="1"/>
    <col min="12" max="12" width="8" bestFit="1" customWidth="1"/>
    <col min="13" max="13" width="8.85546875" bestFit="1" customWidth="1"/>
    <col min="14" max="15" width="8" bestFit="1" customWidth="1"/>
    <col min="16" max="16" width="5.5703125" bestFit="1" customWidth="1"/>
    <col min="17" max="17" width="5.42578125" bestFit="1" customWidth="1"/>
  </cols>
  <sheetData>
    <row r="1" spans="1:5">
      <c r="A1" s="815" t="s">
        <v>288</v>
      </c>
      <c r="B1" s="815" t="s">
        <v>342</v>
      </c>
      <c r="C1" s="815" t="s">
        <v>343</v>
      </c>
      <c r="D1" s="815" t="s">
        <v>266</v>
      </c>
      <c r="E1" s="815" t="s">
        <v>344</v>
      </c>
    </row>
    <row r="2" spans="1:5">
      <c r="A2" s="705" t="s">
        <v>307</v>
      </c>
      <c r="B2" s="816">
        <v>0.1</v>
      </c>
      <c r="C2" s="816">
        <v>0.15</v>
      </c>
      <c r="D2" s="816">
        <v>0.15</v>
      </c>
      <c r="E2" s="869">
        <v>0.15</v>
      </c>
    </row>
    <row r="3" spans="1:5">
      <c r="A3" s="705" t="s">
        <v>309</v>
      </c>
      <c r="B3" s="816">
        <v>0.1</v>
      </c>
      <c r="C3" s="816">
        <v>0.2</v>
      </c>
      <c r="D3" s="816">
        <v>0.25</v>
      </c>
      <c r="E3" s="869">
        <v>0.5</v>
      </c>
    </row>
    <row r="4" spans="1:5">
      <c r="A4" s="705" t="s">
        <v>309</v>
      </c>
      <c r="B4" s="816">
        <v>0</v>
      </c>
      <c r="C4" s="816">
        <v>0.5</v>
      </c>
      <c r="D4" s="816">
        <v>0.3</v>
      </c>
      <c r="E4" s="705"/>
    </row>
    <row r="5" spans="1:5">
      <c r="A5" s="705"/>
      <c r="B5" s="705"/>
      <c r="C5" s="705"/>
      <c r="D5" s="816"/>
      <c r="E5" s="705"/>
    </row>
    <row r="6" spans="1:5">
      <c r="A6" s="705" t="s">
        <v>158</v>
      </c>
      <c r="B6" s="816">
        <v>0.15</v>
      </c>
      <c r="C6" s="816">
        <v>0</v>
      </c>
      <c r="D6" s="816">
        <v>0</v>
      </c>
      <c r="E6" s="816"/>
    </row>
    <row r="7" spans="1:5">
      <c r="A7" s="705" t="s">
        <v>311</v>
      </c>
      <c r="B7" s="816">
        <v>0</v>
      </c>
      <c r="C7" s="816">
        <v>0.15</v>
      </c>
      <c r="D7" s="816">
        <v>0.12</v>
      </c>
      <c r="E7" s="816">
        <v>0.15</v>
      </c>
    </row>
    <row r="8" spans="1:5">
      <c r="A8" s="705"/>
      <c r="B8" s="816"/>
      <c r="C8" s="816"/>
      <c r="D8" s="816"/>
      <c r="E8" s="816"/>
    </row>
    <row r="9" spans="1:5">
      <c r="A9" s="705" t="s">
        <v>312</v>
      </c>
      <c r="B9" s="816">
        <v>0.65</v>
      </c>
      <c r="C9" s="816">
        <v>0</v>
      </c>
      <c r="D9" s="816">
        <v>0.18</v>
      </c>
      <c r="E9" s="816">
        <v>0.2</v>
      </c>
    </row>
    <row r="10" spans="1:5">
      <c r="A10" s="705"/>
      <c r="B10" s="816"/>
      <c r="C10" s="816"/>
      <c r="D10" s="816"/>
      <c r="E10" s="816"/>
    </row>
    <row r="11" spans="1:5">
      <c r="A11" s="815" t="s">
        <v>225</v>
      </c>
      <c r="B11" s="817">
        <f>SUM(B2:B9)</f>
        <v>1</v>
      </c>
      <c r="C11" s="817">
        <f t="shared" ref="C11:E11" si="0">SUM(C2:C9)</f>
        <v>1</v>
      </c>
      <c r="D11" s="817">
        <f t="shared" si="0"/>
        <v>1</v>
      </c>
      <c r="E11" s="817">
        <f t="shared" si="0"/>
        <v>1</v>
      </c>
    </row>
    <row r="12" spans="1:5">
      <c r="B12" s="814"/>
      <c r="C12" s="814"/>
      <c r="D12" s="814"/>
      <c r="E12" s="814"/>
    </row>
    <row r="13" spans="1:5">
      <c r="B13" s="814" t="s">
        <v>345</v>
      </c>
      <c r="C13" s="814"/>
      <c r="D13" s="814"/>
      <c r="E13" s="814"/>
    </row>
    <row r="14" spans="1:5">
      <c r="B14" s="814"/>
      <c r="C14" s="814"/>
      <c r="D14" s="814"/>
      <c r="E14" s="814"/>
    </row>
    <row r="34" spans="2:16">
      <c r="B34" s="1095" t="s">
        <v>346</v>
      </c>
      <c r="C34" s="1095"/>
      <c r="D34" s="1095"/>
      <c r="E34" s="1095"/>
      <c r="F34" s="1095"/>
      <c r="G34" s="1095"/>
      <c r="H34" s="1095"/>
      <c r="I34" s="1095"/>
      <c r="J34" s="1095"/>
      <c r="K34" s="1095"/>
      <c r="L34" s="1095"/>
      <c r="M34" s="1095"/>
      <c r="N34" s="1095"/>
      <c r="O34" s="1095"/>
      <c r="P34" s="1095"/>
    </row>
    <row r="37" spans="2:16">
      <c r="B37" s="1094" t="s">
        <v>342</v>
      </c>
      <c r="C37" s="1094"/>
      <c r="D37" s="1094"/>
      <c r="E37" s="1094"/>
      <c r="F37" s="1094"/>
      <c r="G37" s="1094"/>
      <c r="H37" s="1094"/>
      <c r="I37" s="1094"/>
      <c r="J37" s="1094"/>
      <c r="K37" s="1094"/>
      <c r="L37" s="1094"/>
      <c r="M37" s="1094"/>
      <c r="N37" s="1094"/>
      <c r="O37" s="1094"/>
      <c r="P37" s="1094"/>
    </row>
    <row r="38" spans="2:16" ht="60">
      <c r="B38" s="798" t="s">
        <v>347</v>
      </c>
      <c r="C38" s="799" t="s">
        <v>230</v>
      </c>
      <c r="D38" s="799" t="s">
        <v>348</v>
      </c>
      <c r="E38" s="799" t="s">
        <v>349</v>
      </c>
      <c r="F38" s="799" t="s">
        <v>288</v>
      </c>
      <c r="G38" s="799" t="s">
        <v>14</v>
      </c>
      <c r="H38" s="799" t="s">
        <v>277</v>
      </c>
      <c r="I38" s="799" t="s">
        <v>278</v>
      </c>
      <c r="J38" s="799" t="s">
        <v>279</v>
      </c>
      <c r="K38" s="799" t="s">
        <v>280</v>
      </c>
      <c r="L38" s="799" t="s">
        <v>229</v>
      </c>
      <c r="M38" s="799" t="s">
        <v>232</v>
      </c>
      <c r="N38" s="799" t="s">
        <v>350</v>
      </c>
      <c r="O38" s="802" t="s">
        <v>254</v>
      </c>
      <c r="P38" s="800" t="s">
        <v>285</v>
      </c>
    </row>
    <row r="39" spans="2:16" ht="15">
      <c r="B39" s="803" t="s">
        <v>227</v>
      </c>
      <c r="C39" s="804" t="s">
        <v>231</v>
      </c>
      <c r="D39" s="804" t="s">
        <v>351</v>
      </c>
      <c r="E39" s="804" t="s">
        <v>352</v>
      </c>
      <c r="F39" s="801" t="s">
        <v>353</v>
      </c>
      <c r="G39" s="958">
        <v>210</v>
      </c>
      <c r="H39" s="959">
        <v>79</v>
      </c>
      <c r="I39" s="805">
        <v>66</v>
      </c>
      <c r="J39" s="959">
        <v>145</v>
      </c>
      <c r="K39" s="959">
        <v>12.61872</v>
      </c>
      <c r="L39" s="960">
        <v>30450</v>
      </c>
      <c r="M39" s="960">
        <v>2649.9312</v>
      </c>
      <c r="N39" s="960">
        <v>27800.068800000001</v>
      </c>
      <c r="O39" s="961">
        <v>0.91297434482758621</v>
      </c>
      <c r="P39" s="962">
        <v>0.35</v>
      </c>
    </row>
    <row r="40" spans="2:16" ht="15">
      <c r="B40" s="803" t="s">
        <v>227</v>
      </c>
      <c r="C40" s="804" t="s">
        <v>231</v>
      </c>
      <c r="D40" s="804" t="s">
        <v>354</v>
      </c>
      <c r="E40" s="804" t="s">
        <v>355</v>
      </c>
      <c r="F40" s="801" t="s">
        <v>356</v>
      </c>
      <c r="G40" s="958">
        <v>240</v>
      </c>
      <c r="H40" s="959">
        <v>89</v>
      </c>
      <c r="I40" s="805">
        <v>56</v>
      </c>
      <c r="J40" s="959">
        <v>145</v>
      </c>
      <c r="K40" s="959">
        <v>18.40992</v>
      </c>
      <c r="L40" s="960">
        <v>34800</v>
      </c>
      <c r="M40" s="960">
        <v>4418.3807999999999</v>
      </c>
      <c r="N40" s="960">
        <v>30381.619200000001</v>
      </c>
      <c r="O40" s="961">
        <v>0.87303503448275865</v>
      </c>
      <c r="P40" s="962">
        <v>0.4</v>
      </c>
    </row>
    <row r="41" spans="2:16" ht="15">
      <c r="B41" s="803" t="s">
        <v>308</v>
      </c>
      <c r="C41" s="804" t="s">
        <v>231</v>
      </c>
      <c r="D41" s="804" t="s">
        <v>357</v>
      </c>
      <c r="E41" s="804" t="s">
        <v>358</v>
      </c>
      <c r="F41" s="801" t="s">
        <v>359</v>
      </c>
      <c r="G41" s="958">
        <v>60</v>
      </c>
      <c r="H41" s="959">
        <v>259</v>
      </c>
      <c r="I41" s="805">
        <v>-114</v>
      </c>
      <c r="J41" s="959">
        <v>145</v>
      </c>
      <c r="K41" s="959">
        <v>115</v>
      </c>
      <c r="L41" s="960">
        <v>8700</v>
      </c>
      <c r="M41" s="960">
        <v>6900</v>
      </c>
      <c r="N41" s="960">
        <v>1800</v>
      </c>
      <c r="O41" s="961">
        <v>0.20689655172413793</v>
      </c>
      <c r="P41" s="962">
        <v>0.1</v>
      </c>
    </row>
    <row r="42" spans="2:16" ht="15">
      <c r="B42" s="803" t="s">
        <v>308</v>
      </c>
      <c r="C42" s="804" t="s">
        <v>360</v>
      </c>
      <c r="D42" s="804" t="s">
        <v>361</v>
      </c>
      <c r="E42" s="804" t="s">
        <v>355</v>
      </c>
      <c r="F42" s="801" t="s">
        <v>158</v>
      </c>
      <c r="G42" s="958">
        <v>90</v>
      </c>
      <c r="H42" s="959">
        <v>219</v>
      </c>
      <c r="I42" s="805">
        <v>-74</v>
      </c>
      <c r="J42" s="959">
        <v>145</v>
      </c>
      <c r="K42" s="959">
        <v>100</v>
      </c>
      <c r="L42" s="960">
        <v>13050</v>
      </c>
      <c r="M42" s="960">
        <v>9000</v>
      </c>
      <c r="N42" s="960">
        <v>4050</v>
      </c>
      <c r="O42" s="961">
        <v>0.31034482758620691</v>
      </c>
      <c r="P42" s="962">
        <v>0.15</v>
      </c>
    </row>
    <row r="46" spans="2:16">
      <c r="B46" s="1094" t="s">
        <v>344</v>
      </c>
      <c r="C46" s="1094"/>
      <c r="D46" s="1094"/>
      <c r="E46" s="1094"/>
      <c r="F46" s="1094"/>
      <c r="G46" s="1094"/>
      <c r="H46" s="1094"/>
      <c r="I46" s="1094"/>
      <c r="J46" s="1094"/>
      <c r="K46" s="1094"/>
      <c r="L46" s="1094"/>
      <c r="M46" s="1094"/>
      <c r="N46" s="1094"/>
      <c r="O46" s="1094"/>
      <c r="P46" s="1094"/>
    </row>
    <row r="47" spans="2:16" ht="15">
      <c r="B47" s="803" t="s">
        <v>308</v>
      </c>
      <c r="C47" s="804" t="s">
        <v>231</v>
      </c>
      <c r="D47" s="804" t="s">
        <v>354</v>
      </c>
      <c r="E47" s="804" t="s">
        <v>355</v>
      </c>
      <c r="F47" s="806" t="s">
        <v>356</v>
      </c>
      <c r="G47" s="963">
        <v>75</v>
      </c>
      <c r="H47" s="964">
        <v>219</v>
      </c>
      <c r="I47" s="805">
        <v>-20</v>
      </c>
      <c r="J47" s="964">
        <v>199</v>
      </c>
      <c r="K47" s="964">
        <v>100</v>
      </c>
      <c r="L47" s="965">
        <v>14925</v>
      </c>
      <c r="M47" s="965">
        <v>7500</v>
      </c>
      <c r="N47" s="965">
        <v>7425</v>
      </c>
      <c r="O47" s="961">
        <v>0.49748743718592964</v>
      </c>
      <c r="P47" s="962">
        <v>0.5</v>
      </c>
    </row>
    <row r="48" spans="2:16" ht="15">
      <c r="B48" s="803" t="s">
        <v>308</v>
      </c>
      <c r="C48" s="804" t="s">
        <v>231</v>
      </c>
      <c r="D48" s="804" t="s">
        <v>357</v>
      </c>
      <c r="E48" s="804" t="s">
        <v>358</v>
      </c>
      <c r="F48" s="806" t="s">
        <v>359</v>
      </c>
      <c r="G48" s="963">
        <v>22.5</v>
      </c>
      <c r="H48" s="964">
        <v>259</v>
      </c>
      <c r="I48" s="805">
        <v>-60</v>
      </c>
      <c r="J48" s="964">
        <v>199</v>
      </c>
      <c r="K48" s="964">
        <v>115</v>
      </c>
      <c r="L48" s="965">
        <v>4477.5</v>
      </c>
      <c r="M48" s="965">
        <v>2587.5</v>
      </c>
      <c r="N48" s="965">
        <v>1890</v>
      </c>
      <c r="O48" s="961">
        <v>0.42211055276381909</v>
      </c>
      <c r="P48" s="962">
        <v>0.15</v>
      </c>
    </row>
    <row r="49" spans="2:16" ht="15">
      <c r="B49" s="803" t="s">
        <v>308</v>
      </c>
      <c r="C49" s="804" t="s">
        <v>360</v>
      </c>
      <c r="D49" s="804" t="s">
        <v>361</v>
      </c>
      <c r="E49" s="804" t="s">
        <v>358</v>
      </c>
      <c r="F49" s="806" t="s">
        <v>311</v>
      </c>
      <c r="G49" s="963">
        <v>22.5</v>
      </c>
      <c r="H49" s="964">
        <v>259</v>
      </c>
      <c r="I49" s="805">
        <v>-60</v>
      </c>
      <c r="J49" s="964">
        <v>199</v>
      </c>
      <c r="K49" s="964">
        <v>115</v>
      </c>
      <c r="L49" s="965">
        <v>4477.5</v>
      </c>
      <c r="M49" s="965">
        <v>2587.5</v>
      </c>
      <c r="N49" s="965">
        <v>1890</v>
      </c>
      <c r="O49" s="961">
        <v>0.42211055276381909</v>
      </c>
      <c r="P49" s="962">
        <v>0.15</v>
      </c>
    </row>
    <row r="50" spans="2:16" ht="15">
      <c r="B50" s="803" t="s">
        <v>227</v>
      </c>
      <c r="C50" s="804" t="s">
        <v>231</v>
      </c>
      <c r="D50" s="804" t="s">
        <v>351</v>
      </c>
      <c r="E50" s="804" t="s">
        <v>352</v>
      </c>
      <c r="F50" s="806" t="s">
        <v>353</v>
      </c>
      <c r="G50" s="963">
        <v>30</v>
      </c>
      <c r="H50" s="964">
        <v>79</v>
      </c>
      <c r="I50" s="805">
        <v>120</v>
      </c>
      <c r="J50" s="964">
        <v>199</v>
      </c>
      <c r="K50" s="964">
        <v>12.61872</v>
      </c>
      <c r="L50" s="965">
        <v>5970</v>
      </c>
      <c r="M50" s="965">
        <v>378.5616</v>
      </c>
      <c r="N50" s="965">
        <v>5591.4384</v>
      </c>
      <c r="O50" s="961">
        <v>0.93658934673366834</v>
      </c>
      <c r="P50" s="962">
        <v>0.2</v>
      </c>
    </row>
    <row r="54" spans="2:16">
      <c r="B54" s="1094" t="s">
        <v>266</v>
      </c>
      <c r="C54" s="1094"/>
      <c r="D54" s="1094"/>
      <c r="E54" s="1094"/>
      <c r="F54" s="1094"/>
      <c r="G54" s="1094"/>
      <c r="H54" s="1094"/>
      <c r="I54" s="1094"/>
      <c r="J54" s="1094"/>
      <c r="K54" s="1094"/>
      <c r="L54" s="1094"/>
      <c r="M54" s="1094"/>
      <c r="N54" s="1094"/>
      <c r="O54" s="1094"/>
      <c r="P54" s="1094"/>
    </row>
    <row r="55" spans="2:16" ht="15">
      <c r="B55" s="803" t="s">
        <v>308</v>
      </c>
      <c r="C55" s="804" t="s">
        <v>231</v>
      </c>
      <c r="D55" s="804" t="s">
        <v>354</v>
      </c>
      <c r="E55" s="804" t="s">
        <v>355</v>
      </c>
      <c r="F55" s="806" t="s">
        <v>356</v>
      </c>
      <c r="G55" s="963">
        <v>60</v>
      </c>
      <c r="H55" s="964">
        <v>219</v>
      </c>
      <c r="I55" s="805">
        <v>-20</v>
      </c>
      <c r="J55" s="964">
        <v>199</v>
      </c>
      <c r="K55" s="964">
        <v>100</v>
      </c>
      <c r="L55" s="965">
        <v>11940</v>
      </c>
      <c r="M55" s="965">
        <v>6000</v>
      </c>
      <c r="N55" s="965">
        <v>5940</v>
      </c>
      <c r="O55" s="961">
        <v>0.49748743718592964</v>
      </c>
      <c r="P55" s="962">
        <v>0.1</v>
      </c>
    </row>
    <row r="56" spans="2:16" ht="15">
      <c r="B56" s="803" t="s">
        <v>227</v>
      </c>
      <c r="C56" s="804" t="s">
        <v>231</v>
      </c>
      <c r="D56" s="804" t="s">
        <v>354</v>
      </c>
      <c r="E56" s="804" t="s">
        <v>355</v>
      </c>
      <c r="F56" s="806" t="s">
        <v>356</v>
      </c>
      <c r="G56" s="963">
        <v>228</v>
      </c>
      <c r="H56" s="964">
        <v>89</v>
      </c>
      <c r="I56" s="805">
        <v>110</v>
      </c>
      <c r="J56" s="964">
        <v>199</v>
      </c>
      <c r="K56" s="964">
        <v>18.40992</v>
      </c>
      <c r="L56" s="965">
        <v>45372</v>
      </c>
      <c r="M56" s="965">
        <v>4197.4617600000001</v>
      </c>
      <c r="N56" s="965">
        <v>41174.538240000002</v>
      </c>
      <c r="O56" s="961">
        <v>0.90748783919597997</v>
      </c>
      <c r="P56" s="962">
        <v>0.38</v>
      </c>
    </row>
    <row r="57" spans="2:16" ht="15">
      <c r="B57" s="803" t="s">
        <v>308</v>
      </c>
      <c r="C57" s="804" t="s">
        <v>231</v>
      </c>
      <c r="D57" s="804" t="s">
        <v>357</v>
      </c>
      <c r="E57" s="804" t="s">
        <v>358</v>
      </c>
      <c r="F57" s="806" t="s">
        <v>359</v>
      </c>
      <c r="G57" s="963">
        <v>90</v>
      </c>
      <c r="H57" s="964">
        <v>259</v>
      </c>
      <c r="I57" s="805">
        <v>-60</v>
      </c>
      <c r="J57" s="964">
        <v>199</v>
      </c>
      <c r="K57" s="964">
        <v>115</v>
      </c>
      <c r="L57" s="965">
        <v>17910</v>
      </c>
      <c r="M57" s="965">
        <v>10350</v>
      </c>
      <c r="N57" s="965">
        <v>7560</v>
      </c>
      <c r="O57" s="961">
        <v>0.42211055276381909</v>
      </c>
      <c r="P57" s="962">
        <v>0.15</v>
      </c>
    </row>
    <row r="58" spans="2:16" ht="15">
      <c r="B58" s="803" t="s">
        <v>308</v>
      </c>
      <c r="C58" s="804" t="s">
        <v>360</v>
      </c>
      <c r="D58" s="804" t="s">
        <v>361</v>
      </c>
      <c r="E58" s="804" t="s">
        <v>358</v>
      </c>
      <c r="F58" s="806" t="s">
        <v>311</v>
      </c>
      <c r="G58" s="963">
        <v>72</v>
      </c>
      <c r="H58" s="964">
        <v>259</v>
      </c>
      <c r="I58" s="805">
        <v>-60</v>
      </c>
      <c r="J58" s="964">
        <v>199</v>
      </c>
      <c r="K58" s="964">
        <v>115</v>
      </c>
      <c r="L58" s="965">
        <v>14328</v>
      </c>
      <c r="M58" s="965">
        <v>8280</v>
      </c>
      <c r="N58" s="965">
        <v>6048</v>
      </c>
      <c r="O58" s="961">
        <v>0.42211055276381909</v>
      </c>
      <c r="P58" s="962">
        <v>0.12</v>
      </c>
    </row>
    <row r="59" spans="2:16" ht="15">
      <c r="B59" s="803"/>
      <c r="C59" s="804"/>
      <c r="D59" s="804"/>
      <c r="E59" s="804"/>
      <c r="F59" s="806" t="s">
        <v>222</v>
      </c>
      <c r="G59" s="963"/>
      <c r="H59" s="964" t="s">
        <v>222</v>
      </c>
      <c r="I59" s="805"/>
      <c r="J59" s="964" t="s">
        <v>222</v>
      </c>
      <c r="K59" s="964" t="s">
        <v>222</v>
      </c>
      <c r="L59" s="965" t="s">
        <v>222</v>
      </c>
      <c r="M59" s="965" t="s">
        <v>222</v>
      </c>
      <c r="N59" s="965" t="s">
        <v>222</v>
      </c>
      <c r="O59" s="961" t="s">
        <v>222</v>
      </c>
      <c r="P59" s="962"/>
    </row>
    <row r="60" spans="2:16" ht="15">
      <c r="B60" s="803" t="s">
        <v>227</v>
      </c>
      <c r="C60" s="804" t="s">
        <v>231</v>
      </c>
      <c r="D60" s="804" t="s">
        <v>351</v>
      </c>
      <c r="E60" s="804" t="s">
        <v>352</v>
      </c>
      <c r="F60" s="806" t="s">
        <v>353</v>
      </c>
      <c r="G60" s="963">
        <v>150</v>
      </c>
      <c r="H60" s="964">
        <v>79</v>
      </c>
      <c r="I60" s="805">
        <v>120</v>
      </c>
      <c r="J60" s="964">
        <v>199</v>
      </c>
      <c r="K60" s="964">
        <v>12.61872</v>
      </c>
      <c r="L60" s="965">
        <v>29850</v>
      </c>
      <c r="M60" s="965">
        <v>1892.808</v>
      </c>
      <c r="N60" s="965">
        <v>27957.191999999999</v>
      </c>
      <c r="O60" s="961">
        <v>0.93658934673366834</v>
      </c>
      <c r="P60" s="962">
        <v>0.25</v>
      </c>
    </row>
    <row r="63" spans="2:16">
      <c r="B63" s="1094" t="s">
        <v>343</v>
      </c>
      <c r="C63" s="1094"/>
      <c r="D63" s="1094"/>
      <c r="E63" s="1094"/>
      <c r="F63" s="1094"/>
      <c r="G63" s="1094"/>
      <c r="H63" s="1094"/>
      <c r="I63" s="1094"/>
      <c r="J63" s="1094"/>
      <c r="K63" s="1094"/>
      <c r="L63" s="1094"/>
      <c r="M63" s="1094"/>
      <c r="N63" s="1094"/>
      <c r="O63" s="1094"/>
      <c r="P63" s="1094"/>
    </row>
    <row r="64" spans="2:16" ht="15">
      <c r="B64" s="807" t="s">
        <v>308</v>
      </c>
      <c r="C64" s="808" t="s">
        <v>231</v>
      </c>
      <c r="D64" s="808" t="s">
        <v>354</v>
      </c>
      <c r="E64" s="808" t="s">
        <v>355</v>
      </c>
      <c r="F64" s="809" t="s">
        <v>356</v>
      </c>
      <c r="G64" s="808">
        <v>120</v>
      </c>
      <c r="H64" s="809">
        <v>219</v>
      </c>
      <c r="I64" s="810">
        <v>-20</v>
      </c>
      <c r="J64" s="809">
        <v>199</v>
      </c>
      <c r="K64" s="809">
        <v>100</v>
      </c>
      <c r="L64" s="811">
        <v>23880</v>
      </c>
      <c r="M64" s="811">
        <v>12000</v>
      </c>
      <c r="N64" s="811">
        <v>11880</v>
      </c>
      <c r="O64" s="812">
        <v>0.5</v>
      </c>
      <c r="P64" s="813">
        <v>0.2</v>
      </c>
    </row>
    <row r="65" spans="2:16" ht="15">
      <c r="B65" s="807" t="s">
        <v>227</v>
      </c>
      <c r="C65" s="808" t="s">
        <v>231</v>
      </c>
      <c r="D65" s="808" t="s">
        <v>354</v>
      </c>
      <c r="E65" s="808" t="s">
        <v>355</v>
      </c>
      <c r="F65" s="809" t="s">
        <v>356</v>
      </c>
      <c r="G65" s="808">
        <v>300</v>
      </c>
      <c r="H65" s="809">
        <v>89</v>
      </c>
      <c r="I65" s="810">
        <v>110</v>
      </c>
      <c r="J65" s="809">
        <v>199</v>
      </c>
      <c r="K65" s="809">
        <v>18.41</v>
      </c>
      <c r="L65" s="811">
        <v>59700</v>
      </c>
      <c r="M65" s="811">
        <v>5523</v>
      </c>
      <c r="N65" s="811">
        <v>54177</v>
      </c>
      <c r="O65" s="812">
        <v>0.91</v>
      </c>
      <c r="P65" s="813">
        <v>0.5</v>
      </c>
    </row>
    <row r="66" spans="2:16" ht="15">
      <c r="B66" s="807" t="s">
        <v>308</v>
      </c>
      <c r="C66" s="808" t="s">
        <v>231</v>
      </c>
      <c r="D66" s="808" t="s">
        <v>357</v>
      </c>
      <c r="E66" s="808" t="s">
        <v>358</v>
      </c>
      <c r="F66" s="809" t="s">
        <v>359</v>
      </c>
      <c r="G66" s="808">
        <v>90</v>
      </c>
      <c r="H66" s="809">
        <v>259</v>
      </c>
      <c r="I66" s="810">
        <v>-60</v>
      </c>
      <c r="J66" s="809">
        <v>199</v>
      </c>
      <c r="K66" s="809">
        <v>115</v>
      </c>
      <c r="L66" s="811">
        <v>17910</v>
      </c>
      <c r="M66" s="811">
        <v>10350</v>
      </c>
      <c r="N66" s="811">
        <v>7560</v>
      </c>
      <c r="O66" s="812">
        <v>0.42</v>
      </c>
      <c r="P66" s="813">
        <v>0.15</v>
      </c>
    </row>
    <row r="67" spans="2:16" ht="15">
      <c r="B67" s="807" t="s">
        <v>308</v>
      </c>
      <c r="C67" s="808" t="s">
        <v>360</v>
      </c>
      <c r="D67" s="808" t="s">
        <v>361</v>
      </c>
      <c r="E67" s="808" t="s">
        <v>358</v>
      </c>
      <c r="F67" s="809" t="s">
        <v>311</v>
      </c>
      <c r="G67" s="808">
        <v>90</v>
      </c>
      <c r="H67" s="809">
        <v>259</v>
      </c>
      <c r="I67" s="810">
        <v>-60</v>
      </c>
      <c r="J67" s="809">
        <v>199</v>
      </c>
      <c r="K67" s="809">
        <v>115</v>
      </c>
      <c r="L67" s="811">
        <v>17910</v>
      </c>
      <c r="M67" s="811">
        <v>10350</v>
      </c>
      <c r="N67" s="811">
        <v>7560</v>
      </c>
      <c r="O67" s="812">
        <v>0.42</v>
      </c>
      <c r="P67" s="813">
        <v>0.15</v>
      </c>
    </row>
  </sheetData>
  <mergeCells count="5">
    <mergeCell ref="B37:P37"/>
    <mergeCell ref="B46:P46"/>
    <mergeCell ref="B54:P54"/>
    <mergeCell ref="B63:P63"/>
    <mergeCell ref="B34:P34"/>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6BF9EE3F-C458-41BB-AE22-94FD3E154011}">
          <x14:formula1>
            <xm:f>'Lists (2)'!$O$3:$O$27</xm:f>
          </x14:formula1>
          <xm:sqref>A2:A4 A6:A10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58769-D4E6-4BEA-B847-09379919C34D}">
  <sheetPr>
    <tabColor theme="4"/>
  </sheetPr>
  <dimension ref="A1:L36"/>
  <sheetViews>
    <sheetView workbookViewId="0">
      <selection activeCell="B3" sqref="B3"/>
    </sheetView>
  </sheetViews>
  <sheetFormatPr defaultColWidth="9.140625" defaultRowHeight="12.75"/>
  <cols>
    <col min="1" max="1" width="70.85546875" customWidth="1"/>
    <col min="2" max="2" width="37" bestFit="1" customWidth="1"/>
    <col min="3" max="3" width="14.140625" bestFit="1" customWidth="1"/>
  </cols>
  <sheetData>
    <row r="1" spans="1:12" s="560" customFormat="1" ht="50.1" customHeight="1">
      <c r="A1" s="1010" t="s">
        <v>185</v>
      </c>
      <c r="B1" s="1010"/>
      <c r="C1" s="1010"/>
      <c r="D1" s="1010"/>
      <c r="E1" s="1010"/>
    </row>
    <row r="2" spans="1:12" s="560" customFormat="1">
      <c r="A2" s="560" t="s">
        <v>362</v>
      </c>
    </row>
    <row r="3" spans="1:12" s="560" customFormat="1">
      <c r="A3" s="560" t="s">
        <v>363</v>
      </c>
    </row>
    <row r="4" spans="1:12" s="560" customFormat="1"/>
    <row r="5" spans="1:12" s="560" customFormat="1" ht="25.5" customHeight="1">
      <c r="A5" s="1011" t="s">
        <v>196</v>
      </c>
      <c r="B5" s="1011"/>
      <c r="C5" s="1011"/>
      <c r="D5" s="1011"/>
      <c r="E5" s="1011"/>
    </row>
    <row r="6" spans="1:12" s="560" customFormat="1">
      <c r="A6" s="1012" t="s">
        <v>364</v>
      </c>
      <c r="B6" s="1012"/>
      <c r="C6" s="1012"/>
      <c r="D6" s="1012"/>
      <c r="E6" s="1012"/>
    </row>
    <row r="7" spans="1:12" s="560" customFormat="1"/>
    <row r="8" spans="1:12" s="560" customFormat="1" ht="25.5" customHeight="1">
      <c r="A8" s="561"/>
      <c r="B8" s="561"/>
      <c r="C8" s="561"/>
      <c r="D8" s="561"/>
      <c r="E8" s="561"/>
    </row>
    <row r="9" spans="1:12" s="560" customFormat="1" ht="15">
      <c r="A9" s="1096" t="s">
        <v>365</v>
      </c>
      <c r="B9" s="1096"/>
      <c r="C9" s="1096"/>
      <c r="D9" s="602"/>
      <c r="E9" s="602"/>
      <c r="L9" s="551"/>
    </row>
    <row r="10" spans="1:12" s="560" customFormat="1" ht="15">
      <c r="A10" s="893" t="s">
        <v>366</v>
      </c>
      <c r="B10" s="892" t="s">
        <v>367</v>
      </c>
      <c r="C10" s="892" t="s">
        <v>285</v>
      </c>
      <c r="D10" s="602"/>
      <c r="E10" s="602"/>
      <c r="L10" s="966"/>
    </row>
    <row r="11" spans="1:12" s="560" customFormat="1" ht="15">
      <c r="A11" s="894" t="s">
        <v>368</v>
      </c>
      <c r="B11" s="894" t="s">
        <v>167</v>
      </c>
      <c r="C11" s="894"/>
      <c r="L11" s="967"/>
    </row>
    <row r="12" spans="1:12" s="560" customFormat="1" ht="15">
      <c r="A12" s="894" t="s">
        <v>369</v>
      </c>
      <c r="B12" s="894" t="s">
        <v>370</v>
      </c>
      <c r="C12" s="894"/>
      <c r="L12" s="967"/>
    </row>
    <row r="13" spans="1:12" s="560" customFormat="1" ht="15">
      <c r="A13" s="894" t="s">
        <v>371</v>
      </c>
      <c r="B13" s="894" t="s">
        <v>372</v>
      </c>
      <c r="C13" s="894"/>
      <c r="L13" s="967"/>
    </row>
    <row r="14" spans="1:12" s="560" customFormat="1" ht="15">
      <c r="A14" s="894" t="s">
        <v>373</v>
      </c>
      <c r="B14" s="894" t="s">
        <v>374</v>
      </c>
      <c r="C14" s="894"/>
      <c r="L14" s="967"/>
    </row>
    <row r="15" spans="1:12" ht="15">
      <c r="A15" s="894" t="s">
        <v>375</v>
      </c>
      <c r="B15" s="894" t="s">
        <v>375</v>
      </c>
      <c r="C15" s="894"/>
      <c r="L15" s="968"/>
    </row>
    <row r="16" spans="1:12" ht="15">
      <c r="A16" s="894" t="s">
        <v>158</v>
      </c>
      <c r="B16" s="894" t="s">
        <v>158</v>
      </c>
      <c r="C16" s="894"/>
      <c r="L16" s="967"/>
    </row>
    <row r="17" spans="1:12" ht="15">
      <c r="A17" s="894" t="s">
        <v>311</v>
      </c>
      <c r="B17" s="894" t="s">
        <v>311</v>
      </c>
      <c r="C17" s="894"/>
      <c r="L17" s="967"/>
    </row>
    <row r="18" spans="1:12" ht="15">
      <c r="A18" s="894" t="s">
        <v>376</v>
      </c>
      <c r="B18" s="894" t="s">
        <v>377</v>
      </c>
      <c r="C18" s="894"/>
      <c r="L18" s="967"/>
    </row>
    <row r="19" spans="1:12" ht="15">
      <c r="A19" s="894" t="s">
        <v>378</v>
      </c>
      <c r="B19" s="894" t="s">
        <v>379</v>
      </c>
      <c r="C19" s="894"/>
      <c r="L19" s="968"/>
    </row>
    <row r="20" spans="1:12" ht="15">
      <c r="A20" s="894" t="s">
        <v>380</v>
      </c>
      <c r="B20" s="894" t="s">
        <v>381</v>
      </c>
      <c r="C20" s="894"/>
      <c r="L20" s="967"/>
    </row>
    <row r="21" spans="1:12" ht="15">
      <c r="A21" s="894" t="s">
        <v>382</v>
      </c>
      <c r="B21" s="894" t="s">
        <v>382</v>
      </c>
      <c r="C21" s="894"/>
      <c r="L21" s="967"/>
    </row>
    <row r="22" spans="1:12" ht="15">
      <c r="A22" s="894" t="s">
        <v>383</v>
      </c>
      <c r="B22" s="894" t="s">
        <v>383</v>
      </c>
      <c r="C22" s="894"/>
      <c r="L22" s="968"/>
    </row>
    <row r="23" spans="1:12" ht="15">
      <c r="A23" s="894" t="s">
        <v>384</v>
      </c>
      <c r="B23" s="894" t="s">
        <v>385</v>
      </c>
      <c r="C23" s="894"/>
      <c r="L23" s="967"/>
    </row>
    <row r="24" spans="1:12" ht="15">
      <c r="A24" s="894" t="s">
        <v>386</v>
      </c>
      <c r="B24" s="894" t="s">
        <v>385</v>
      </c>
      <c r="C24" s="894"/>
      <c r="L24" s="968"/>
    </row>
    <row r="25" spans="1:12" ht="26.25">
      <c r="A25" s="894" t="s">
        <v>387</v>
      </c>
      <c r="B25" s="894" t="s">
        <v>372</v>
      </c>
      <c r="C25" s="894"/>
      <c r="L25" s="967"/>
    </row>
    <row r="26" spans="1:12" ht="15">
      <c r="A26" s="894" t="s">
        <v>388</v>
      </c>
      <c r="B26" s="894" t="s">
        <v>389</v>
      </c>
      <c r="C26" s="894" t="s">
        <v>390</v>
      </c>
      <c r="L26" s="967"/>
    </row>
    <row r="27" spans="1:12" ht="15">
      <c r="A27" s="894"/>
      <c r="B27" s="894"/>
      <c r="C27" s="894"/>
      <c r="L27" s="968"/>
    </row>
    <row r="28" spans="1:12" ht="15">
      <c r="A28" s="894"/>
      <c r="B28" s="894"/>
      <c r="C28" s="894"/>
      <c r="L28" s="967"/>
    </row>
    <row r="29" spans="1:12" ht="15">
      <c r="A29" s="1096" t="s">
        <v>391</v>
      </c>
      <c r="B29" s="1096"/>
      <c r="C29" s="1096"/>
      <c r="L29" s="967"/>
    </row>
    <row r="30" spans="1:12" ht="15">
      <c r="A30" s="893" t="s">
        <v>366</v>
      </c>
      <c r="B30" s="893" t="s">
        <v>367</v>
      </c>
      <c r="C30" s="893" t="s">
        <v>285</v>
      </c>
      <c r="L30" s="968"/>
    </row>
    <row r="31" spans="1:12" ht="15">
      <c r="A31" s="894" t="s">
        <v>368</v>
      </c>
      <c r="B31" s="894" t="s">
        <v>307</v>
      </c>
      <c r="C31" s="894"/>
      <c r="L31" s="967"/>
    </row>
    <row r="32" spans="1:12" ht="15">
      <c r="A32" s="894" t="s">
        <v>392</v>
      </c>
      <c r="B32" s="894" t="s">
        <v>309</v>
      </c>
      <c r="C32" s="894"/>
      <c r="L32" s="967"/>
    </row>
    <row r="33" spans="1:12" ht="15">
      <c r="A33" s="894" t="s">
        <v>353</v>
      </c>
      <c r="B33" s="894" t="s">
        <v>312</v>
      </c>
      <c r="C33" s="894"/>
      <c r="L33" s="967"/>
    </row>
    <row r="34" spans="1:12" ht="15">
      <c r="A34" s="894"/>
      <c r="B34" s="894"/>
      <c r="C34" s="894"/>
      <c r="L34" s="968"/>
    </row>
    <row r="35" spans="1:12" ht="15">
      <c r="A35" s="894"/>
      <c r="B35" s="894"/>
      <c r="C35" s="894"/>
      <c r="L35" s="967"/>
    </row>
    <row r="36" spans="1:12">
      <c r="A36" s="228"/>
    </row>
  </sheetData>
  <mergeCells count="5">
    <mergeCell ref="A29:C29"/>
    <mergeCell ref="A1:E1"/>
    <mergeCell ref="A5:E5"/>
    <mergeCell ref="A6:E6"/>
    <mergeCell ref="A9:C9"/>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380A5-46F3-43AD-B69E-D413CB1E47D4}">
  <sheetPr>
    <tabColor rgb="FF0070C0"/>
  </sheetPr>
  <dimension ref="A1:E36"/>
  <sheetViews>
    <sheetView workbookViewId="0">
      <selection activeCell="A9" sqref="A9:E9"/>
    </sheetView>
  </sheetViews>
  <sheetFormatPr defaultColWidth="9.140625" defaultRowHeight="12.75"/>
  <cols>
    <col min="1" max="1" width="70.85546875" customWidth="1"/>
  </cols>
  <sheetData>
    <row r="1" spans="1:5" s="560" customFormat="1" ht="50.1" customHeight="1">
      <c r="A1" s="1010" t="s">
        <v>185</v>
      </c>
      <c r="B1" s="1010"/>
      <c r="C1" s="1010"/>
      <c r="D1" s="1010"/>
      <c r="E1" s="1010"/>
    </row>
    <row r="2" spans="1:5" s="560" customFormat="1">
      <c r="A2" s="560" t="s">
        <v>194</v>
      </c>
    </row>
    <row r="3" spans="1:5" s="560" customFormat="1">
      <c r="A3" s="560" t="s">
        <v>195</v>
      </c>
    </row>
    <row r="4" spans="1:5" s="560" customFormat="1"/>
    <row r="5" spans="1:5" s="560" customFormat="1" ht="25.5" customHeight="1">
      <c r="A5" s="1011" t="s">
        <v>196</v>
      </c>
      <c r="B5" s="1011"/>
      <c r="C5" s="1011"/>
      <c r="D5" s="1011"/>
      <c r="E5" s="1011"/>
    </row>
    <row r="6" spans="1:5" s="560" customFormat="1">
      <c r="A6" s="1012" t="s">
        <v>393</v>
      </c>
      <c r="B6" s="1012"/>
      <c r="C6" s="1012"/>
      <c r="D6" s="1012"/>
      <c r="E6" s="1012"/>
    </row>
    <row r="7" spans="1:5" s="560" customFormat="1">
      <c r="A7" s="1012" t="s">
        <v>394</v>
      </c>
      <c r="B7" s="1012"/>
      <c r="C7" s="1012"/>
      <c r="D7" s="1012"/>
      <c r="E7" s="1012"/>
    </row>
    <row r="8" spans="1:5" s="560" customFormat="1" ht="25.5" customHeight="1">
      <c r="A8" s="1011" t="s">
        <v>395</v>
      </c>
      <c r="B8" s="1011"/>
      <c r="C8" s="1011"/>
      <c r="D8" s="1011"/>
      <c r="E8" s="1011"/>
    </row>
    <row r="9" spans="1:5" s="560" customFormat="1">
      <c r="A9" s="1012" t="s">
        <v>396</v>
      </c>
      <c r="B9" s="1012"/>
      <c r="C9" s="1012"/>
      <c r="D9" s="1012"/>
      <c r="E9" s="1012"/>
    </row>
    <row r="10" spans="1:5" s="560" customFormat="1" ht="25.5">
      <c r="A10" s="601" t="s">
        <v>397</v>
      </c>
    </row>
    <row r="11" spans="1:5" s="560" customFormat="1">
      <c r="A11" s="601"/>
    </row>
    <row r="12" spans="1:5" s="560" customFormat="1">
      <c r="A12" s="601"/>
    </row>
    <row r="13" spans="1:5" s="560" customFormat="1">
      <c r="A13" s="602"/>
    </row>
    <row r="14" spans="1:5" s="560" customFormat="1">
      <c r="A14" s="600"/>
    </row>
    <row r="15" spans="1:5">
      <c r="A15" s="228"/>
    </row>
    <row r="16" spans="1:5">
      <c r="A16" s="228"/>
    </row>
    <row r="17" spans="1:1">
      <c r="A17" s="228"/>
    </row>
    <row r="18" spans="1:1">
      <c r="A18" s="228"/>
    </row>
    <row r="21" spans="1:1">
      <c r="A21" s="228"/>
    </row>
    <row r="22" spans="1:1">
      <c r="A22" s="228"/>
    </row>
    <row r="23" spans="1:1">
      <c r="A23" s="228"/>
    </row>
    <row r="24" spans="1:1">
      <c r="A24" s="228"/>
    </row>
    <row r="25" spans="1:1">
      <c r="A25" s="228"/>
    </row>
    <row r="26" spans="1:1">
      <c r="A26" s="228"/>
    </row>
    <row r="27" spans="1:1">
      <c r="A27" s="228"/>
    </row>
    <row r="28" spans="1:1">
      <c r="A28" s="229"/>
    </row>
    <row r="30" spans="1:1">
      <c r="A30" s="230"/>
    </row>
    <row r="33" spans="1:1">
      <c r="A33" s="228"/>
    </row>
    <row r="34" spans="1:1">
      <c r="A34" s="229"/>
    </row>
    <row r="35" spans="1:1">
      <c r="A35" s="229"/>
    </row>
    <row r="36" spans="1:1">
      <c r="A36" s="228"/>
    </row>
  </sheetData>
  <sheetProtection algorithmName="SHA-512" hashValue="XKttf+3fvCtcw/BxfrR2n7TOZL64p7XOPc67kKOQRWVc5tD7RsqnpW1zGRtc/jBkVEeO+NrxZGsu8Vdw3iO0wQ==" saltValue="jfk/Y2VIyhGeirps+2Dpsg==" spinCount="100000" sheet="1" objects="1" scenarios="1"/>
  <mergeCells count="6">
    <mergeCell ref="A9:E9"/>
    <mergeCell ref="A1:E1"/>
    <mergeCell ref="A5:E5"/>
    <mergeCell ref="A6:E6"/>
    <mergeCell ref="A7:E7"/>
    <mergeCell ref="A8:E8"/>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2BD77-1C77-4684-8A07-EF2005C0F156}">
  <sheetPr>
    <tabColor theme="4"/>
    <pageSetUpPr fitToPage="1"/>
  </sheetPr>
  <dimension ref="A1:AU85"/>
  <sheetViews>
    <sheetView topLeftCell="Q20" zoomScaleNormal="100" workbookViewId="0">
      <selection activeCell="S22" sqref="S22"/>
    </sheetView>
  </sheetViews>
  <sheetFormatPr defaultColWidth="9.140625" defaultRowHeight="15"/>
  <cols>
    <col min="1" max="1" width="1.42578125" style="669" customWidth="1"/>
    <col min="2" max="2" width="18.140625" style="669" customWidth="1"/>
    <col min="3" max="3" width="8.42578125" style="669" bestFit="1" customWidth="1"/>
    <col min="4" max="4" width="18.140625" style="669" customWidth="1"/>
    <col min="5" max="5" width="9.140625" style="669" customWidth="1"/>
    <col min="6" max="6" width="11" style="669" customWidth="1"/>
    <col min="7" max="8" width="12.140625" style="669" customWidth="1"/>
    <col min="9" max="9" width="10.85546875" style="669" customWidth="1"/>
    <col min="10" max="10" width="9" style="669" customWidth="1"/>
    <col min="11" max="11" width="8.42578125" style="669" customWidth="1"/>
    <col min="12" max="14" width="10.42578125" style="669" bestFit="1" customWidth="1"/>
    <col min="15" max="15" width="21.140625" style="669" customWidth="1"/>
    <col min="16" max="17" width="19.140625" style="669" customWidth="1"/>
    <col min="18" max="18" width="22.140625" style="669" customWidth="1"/>
    <col min="19" max="22" width="31.42578125" style="669" customWidth="1"/>
    <col min="23" max="23" width="30.140625" style="669" customWidth="1"/>
    <col min="24" max="25" width="32.5703125" style="669" customWidth="1"/>
    <col min="26" max="26" width="26.42578125" style="669" hidden="1" customWidth="1"/>
    <col min="27" max="27" width="29.85546875" style="669" hidden="1" customWidth="1"/>
    <col min="28" max="28" width="36.140625" style="669" hidden="1" customWidth="1"/>
    <col min="29" max="29" width="25.85546875" style="669" hidden="1" customWidth="1"/>
    <col min="30" max="30" width="25.140625" style="669" hidden="1" customWidth="1"/>
    <col min="31" max="32" width="11.42578125" style="669" hidden="1" customWidth="1"/>
    <col min="33" max="33" width="14" style="669" hidden="1" customWidth="1"/>
    <col min="34" max="34" width="13.5703125" style="669" hidden="1" customWidth="1"/>
    <col min="35" max="35" width="12" style="669" hidden="1" customWidth="1"/>
    <col min="36" max="44" width="9.140625" style="669" hidden="1" customWidth="1"/>
    <col min="45" max="45" width="7.85546875" style="669" hidden="1" customWidth="1"/>
    <col min="46" max="46" width="7" style="669" hidden="1" customWidth="1"/>
    <col min="47" max="47" width="9.140625" style="669" hidden="1" customWidth="1"/>
    <col min="48" max="16384" width="9.140625" style="669"/>
  </cols>
  <sheetData>
    <row r="1" spans="1:35" s="640" customFormat="1" ht="12.75" customHeight="1" thickBot="1">
      <c r="A1" s="639"/>
      <c r="B1" s="639"/>
      <c r="C1" s="639"/>
      <c r="D1" s="639"/>
      <c r="E1" s="639"/>
      <c r="F1" s="639"/>
      <c r="G1" s="639"/>
      <c r="H1" s="639"/>
      <c r="I1" s="639"/>
      <c r="J1" s="639"/>
      <c r="K1" s="639"/>
      <c r="L1" s="639"/>
      <c r="M1" s="639"/>
      <c r="N1" s="639"/>
      <c r="O1" s="1082"/>
      <c r="P1" s="1082"/>
      <c r="Q1" s="1082"/>
      <c r="R1" s="1082"/>
      <c r="S1" s="1082"/>
      <c r="T1" s="1082"/>
      <c r="U1" s="1082"/>
      <c r="V1" s="1082"/>
      <c r="W1" s="1082"/>
    </row>
    <row r="2" spans="1:35" s="640" customFormat="1" ht="23.25">
      <c r="B2" s="1088" t="s">
        <v>398</v>
      </c>
      <c r="C2" s="1089"/>
      <c r="D2" s="1089"/>
      <c r="E2" s="1089"/>
      <c r="F2" s="1089"/>
      <c r="G2" s="1089"/>
      <c r="H2" s="1089"/>
      <c r="I2" s="1089"/>
      <c r="J2" s="1089"/>
      <c r="K2" s="1089"/>
      <c r="L2" s="1089"/>
      <c r="M2" s="1089"/>
      <c r="N2" s="1089"/>
      <c r="O2" s="1089"/>
      <c r="P2" s="1089"/>
      <c r="Q2" s="1089"/>
      <c r="R2" s="1089"/>
      <c r="S2" s="1089"/>
      <c r="T2" s="1089"/>
      <c r="U2" s="1089"/>
      <c r="V2" s="1089"/>
      <c r="W2" s="1089"/>
      <c r="X2" s="1090"/>
    </row>
    <row r="3" spans="1:35" s="640" customFormat="1" ht="15.75" thickBot="1">
      <c r="B3" s="1091" t="s">
        <v>221</v>
      </c>
      <c r="C3" s="1092"/>
      <c r="D3" s="1092"/>
      <c r="E3" s="1092"/>
      <c r="F3" s="1092"/>
      <c r="G3" s="1092"/>
      <c r="H3" s="1092"/>
      <c r="I3" s="1092"/>
      <c r="J3" s="1092"/>
      <c r="K3" s="1092"/>
      <c r="L3" s="1092"/>
      <c r="M3" s="1092"/>
      <c r="N3" s="1092"/>
      <c r="O3" s="1092"/>
      <c r="P3" s="1092"/>
      <c r="Q3" s="1092"/>
      <c r="R3" s="1092"/>
      <c r="S3" s="1092"/>
      <c r="T3" s="1092"/>
      <c r="U3" s="1092"/>
      <c r="V3" s="1092"/>
      <c r="W3" s="1092"/>
      <c r="X3" s="1093"/>
    </row>
    <row r="4" spans="1:35">
      <c r="A4" s="947"/>
      <c r="B4" s="478"/>
      <c r="C4" s="478" t="s">
        <v>222</v>
      </c>
      <c r="D4" s="478" t="s">
        <v>222</v>
      </c>
      <c r="E4" s="478"/>
      <c r="F4" s="478" t="s">
        <v>222</v>
      </c>
      <c r="G4" s="478" t="s">
        <v>222</v>
      </c>
      <c r="H4" s="478" t="s">
        <v>222</v>
      </c>
      <c r="I4" s="478" t="s">
        <v>222</v>
      </c>
      <c r="J4" s="478"/>
      <c r="K4" s="478" t="s">
        <v>222</v>
      </c>
      <c r="L4" s="478" t="s">
        <v>222</v>
      </c>
      <c r="M4" s="478" t="s">
        <v>222</v>
      </c>
      <c r="N4" s="478" t="s">
        <v>222</v>
      </c>
      <c r="O4" s="478" t="s">
        <v>222</v>
      </c>
      <c r="P4" s="478" t="s">
        <v>222</v>
      </c>
      <c r="Q4" s="478" t="s">
        <v>222</v>
      </c>
      <c r="R4" s="478" t="s">
        <v>222</v>
      </c>
      <c r="S4" s="478"/>
      <c r="T4" s="478"/>
      <c r="U4" s="478"/>
      <c r="V4" s="478"/>
      <c r="W4" s="478"/>
      <c r="X4" s="637"/>
      <c r="Y4" s="947"/>
      <c r="Z4" s="947"/>
      <c r="AA4" s="947"/>
      <c r="AB4" s="947"/>
      <c r="AC4" s="947"/>
      <c r="AD4" s="947"/>
      <c r="AE4" s="947"/>
      <c r="AF4" s="947"/>
      <c r="AG4" s="947"/>
      <c r="AH4" s="947"/>
      <c r="AI4" s="947"/>
    </row>
    <row r="5" spans="1:35" ht="15.75" thickBot="1">
      <c r="A5" s="947"/>
      <c r="B5" s="478"/>
      <c r="C5" s="478" t="s">
        <v>222</v>
      </c>
      <c r="D5" s="478" t="s">
        <v>222</v>
      </c>
      <c r="E5" s="478"/>
      <c r="F5" s="478" t="s">
        <v>222</v>
      </c>
      <c r="G5" s="478" t="s">
        <v>222</v>
      </c>
      <c r="H5" s="478" t="s">
        <v>222</v>
      </c>
      <c r="I5" s="478" t="s">
        <v>222</v>
      </c>
      <c r="J5" s="478"/>
      <c r="K5" s="478" t="s">
        <v>222</v>
      </c>
      <c r="L5" s="478" t="s">
        <v>222</v>
      </c>
      <c r="M5" s="478" t="s">
        <v>222</v>
      </c>
      <c r="N5" s="478" t="s">
        <v>222</v>
      </c>
      <c r="O5" s="478" t="s">
        <v>222</v>
      </c>
      <c r="P5" s="478" t="s">
        <v>222</v>
      </c>
      <c r="Q5" s="478" t="s">
        <v>222</v>
      </c>
      <c r="R5" s="478" t="s">
        <v>222</v>
      </c>
      <c r="S5" s="478"/>
      <c r="T5" s="478"/>
      <c r="U5" s="478"/>
      <c r="V5" s="478"/>
      <c r="W5" s="478"/>
      <c r="X5" s="637"/>
      <c r="Y5" s="947"/>
      <c r="Z5" s="947"/>
      <c r="AA5" s="947"/>
      <c r="AB5" s="947"/>
      <c r="AC5" s="947"/>
      <c r="AD5" s="947"/>
      <c r="AE5" s="947"/>
      <c r="AF5" s="947"/>
      <c r="AG5" s="947"/>
      <c r="AH5" s="947"/>
      <c r="AI5" s="947"/>
    </row>
    <row r="6" spans="1:35" ht="19.5" thickBot="1">
      <c r="A6" s="947"/>
      <c r="B6" s="1103" t="s">
        <v>223</v>
      </c>
      <c r="C6" s="1104"/>
      <c r="D6" s="1104"/>
      <c r="E6" s="1104"/>
      <c r="F6" s="1104"/>
      <c r="G6" s="1104"/>
      <c r="H6" s="1104"/>
      <c r="I6" s="1104"/>
      <c r="J6" s="1104"/>
      <c r="K6" s="1104"/>
      <c r="L6" s="1105"/>
      <c r="M6" s="478" t="s">
        <v>222</v>
      </c>
      <c r="N6" s="478" t="s">
        <v>222</v>
      </c>
      <c r="O6" s="1106" t="str">
        <f>"Financial Dashboard (" &amp;G17&amp; ")"</f>
        <v>Financial Dashboard (USD)</v>
      </c>
      <c r="P6" s="1097"/>
      <c r="Q6" s="1097"/>
      <c r="R6" s="1098"/>
      <c r="S6" s="637"/>
      <c r="T6" s="637"/>
      <c r="U6" s="637"/>
      <c r="V6" s="637"/>
      <c r="W6" s="637"/>
      <c r="X6" s="637"/>
      <c r="Y6" s="947"/>
      <c r="Z6" s="947"/>
      <c r="AA6" s="947"/>
      <c r="AB6" s="947"/>
      <c r="AC6" s="947"/>
      <c r="AD6" s="947"/>
      <c r="AE6" s="947"/>
      <c r="AF6" s="947"/>
      <c r="AG6" s="947"/>
      <c r="AH6" s="947"/>
      <c r="AI6" s="947"/>
    </row>
    <row r="7" spans="1:35">
      <c r="A7" s="947"/>
      <c r="B7" s="1362" t="s">
        <v>224</v>
      </c>
      <c r="C7" s="1363"/>
      <c r="D7" s="1363"/>
      <c r="E7" s="1363"/>
      <c r="F7" s="1363"/>
      <c r="G7" s="1107"/>
      <c r="H7" s="1107"/>
      <c r="I7" s="1107"/>
      <c r="J7" s="1107"/>
      <c r="K7" s="1107"/>
      <c r="L7" s="1108"/>
      <c r="M7" s="478" t="s">
        <v>222</v>
      </c>
      <c r="N7" s="478" t="s">
        <v>222</v>
      </c>
      <c r="O7" s="948"/>
      <c r="P7" s="488" t="s">
        <v>225</v>
      </c>
      <c r="Q7" s="488" t="s">
        <v>226</v>
      </c>
      <c r="R7" s="487" t="s">
        <v>227</v>
      </c>
      <c r="S7" s="637"/>
      <c r="T7" s="637"/>
      <c r="U7" s="637"/>
      <c r="V7" s="637"/>
      <c r="W7" s="637"/>
      <c r="X7" s="637"/>
      <c r="Y7" s="947"/>
      <c r="Z7" s="947"/>
      <c r="AA7" s="947"/>
      <c r="AB7" s="947"/>
      <c r="AC7" s="947"/>
      <c r="AD7" s="481"/>
      <c r="AE7" s="481"/>
      <c r="AF7" s="481"/>
      <c r="AG7" s="481"/>
      <c r="AH7" s="481"/>
      <c r="AI7" s="481"/>
    </row>
    <row r="8" spans="1:35">
      <c r="A8" s="947"/>
      <c r="B8" s="1349" t="s">
        <v>228</v>
      </c>
      <c r="C8" s="1350"/>
      <c r="D8" s="1350"/>
      <c r="E8" s="1350"/>
      <c r="F8" s="1350"/>
      <c r="G8" s="1028"/>
      <c r="H8" s="1028"/>
      <c r="I8" s="1028"/>
      <c r="J8" s="1028"/>
      <c r="K8" s="1028"/>
      <c r="L8" s="1029"/>
      <c r="M8" s="478" t="s">
        <v>222</v>
      </c>
      <c r="N8" s="478" t="s">
        <v>222</v>
      </c>
      <c r="O8" s="485" t="s">
        <v>229</v>
      </c>
      <c r="P8" s="674">
        <f>AK52</f>
        <v>326376</v>
      </c>
      <c r="Q8" s="674">
        <f>AL52</f>
        <v>151656</v>
      </c>
      <c r="R8" s="675">
        <f>AM52</f>
        <v>174720</v>
      </c>
      <c r="S8" s="637"/>
      <c r="T8" s="637"/>
      <c r="U8" s="637"/>
      <c r="V8" s="637"/>
      <c r="W8" s="637"/>
      <c r="X8" s="637"/>
      <c r="Y8" s="947"/>
      <c r="Z8" s="947"/>
      <c r="AA8" s="641"/>
      <c r="AB8" s="641"/>
      <c r="AC8" s="486"/>
      <c r="AD8" s="950"/>
      <c r="AE8" s="950"/>
      <c r="AF8" s="950"/>
      <c r="AG8" s="950"/>
      <c r="AH8" s="641"/>
      <c r="AI8" s="950"/>
    </row>
    <row r="9" spans="1:35">
      <c r="A9" s="947"/>
      <c r="B9" s="1349" t="s">
        <v>230</v>
      </c>
      <c r="C9" s="1350"/>
      <c r="D9" s="1350"/>
      <c r="E9" s="1350"/>
      <c r="F9" s="1350"/>
      <c r="G9" s="1028" t="s">
        <v>399</v>
      </c>
      <c r="H9" s="1028"/>
      <c r="I9" s="1028"/>
      <c r="J9" s="1028"/>
      <c r="K9" s="1028"/>
      <c r="L9" s="1029"/>
      <c r="M9" s="478" t="s">
        <v>222</v>
      </c>
      <c r="N9" s="478" t="s">
        <v>222</v>
      </c>
      <c r="O9" s="485" t="s">
        <v>232</v>
      </c>
      <c r="P9" s="674">
        <f>AN52</f>
        <v>104489.77536</v>
      </c>
      <c r="Q9" s="674">
        <f>AO52</f>
        <v>62337.07776</v>
      </c>
      <c r="R9" s="675">
        <f>AP52</f>
        <v>42152.6976</v>
      </c>
      <c r="S9" s="637"/>
      <c r="T9" s="637"/>
      <c r="U9" s="637"/>
      <c r="V9" s="637"/>
      <c r="W9" s="637"/>
      <c r="X9" s="637"/>
      <c r="Y9" s="947"/>
      <c r="Z9" s="947"/>
      <c r="AA9" s="641"/>
      <c r="AB9" s="641"/>
      <c r="AC9" s="641"/>
      <c r="AD9" s="947"/>
      <c r="AE9" s="947"/>
      <c r="AF9" s="947"/>
      <c r="AG9" s="947"/>
      <c r="AH9" s="947"/>
      <c r="AI9" s="947"/>
    </row>
    <row r="10" spans="1:35">
      <c r="A10" s="947"/>
      <c r="B10" s="1349" t="s">
        <v>233</v>
      </c>
      <c r="C10" s="1350"/>
      <c r="D10" s="1350"/>
      <c r="E10" s="1350"/>
      <c r="F10" s="1350"/>
      <c r="G10" s="1028" t="s">
        <v>400</v>
      </c>
      <c r="H10" s="1028"/>
      <c r="I10" s="1028"/>
      <c r="J10" s="1028"/>
      <c r="K10" s="1028"/>
      <c r="L10" s="1029"/>
      <c r="M10" s="478" t="s">
        <v>222</v>
      </c>
      <c r="N10" s="478" t="s">
        <v>222</v>
      </c>
      <c r="O10" s="485" t="s">
        <v>235</v>
      </c>
      <c r="P10" s="674">
        <f>P8-P9</f>
        <v>221886.22464</v>
      </c>
      <c r="Q10" s="674">
        <f>Q8-Q9</f>
        <v>89318.92224</v>
      </c>
      <c r="R10" s="675">
        <f>R8-R9</f>
        <v>132567.30239999999</v>
      </c>
      <c r="S10" s="637"/>
      <c r="T10" s="637"/>
      <c r="U10" s="637"/>
      <c r="V10" s="637"/>
      <c r="W10" s="637"/>
      <c r="X10" s="637"/>
      <c r="Y10" s="947"/>
      <c r="Z10" s="477" t="s">
        <v>236</v>
      </c>
      <c r="AA10" s="641"/>
      <c r="AB10" s="641"/>
      <c r="AC10" s="641"/>
      <c r="AD10" s="950"/>
      <c r="AE10" s="950"/>
      <c r="AF10" s="950"/>
      <c r="AG10" s="947"/>
      <c r="AH10" s="947"/>
      <c r="AI10" s="947"/>
    </row>
    <row r="11" spans="1:35">
      <c r="A11" s="947"/>
      <c r="B11" s="1349" t="s">
        <v>237</v>
      </c>
      <c r="C11" s="1350"/>
      <c r="D11" s="1350"/>
      <c r="E11" s="1350"/>
      <c r="F11" s="1350"/>
      <c r="G11" s="1028"/>
      <c r="H11" s="1028"/>
      <c r="I11" s="1028"/>
      <c r="J11" s="1028"/>
      <c r="K11" s="1028"/>
      <c r="L11" s="1029"/>
      <c r="M11" s="478" t="s">
        <v>222</v>
      </c>
      <c r="N11" s="478" t="s">
        <v>222</v>
      </c>
      <c r="O11" s="485" t="s">
        <v>238</v>
      </c>
      <c r="P11" s="676">
        <f>IFERROR(P10/P8,"")</f>
        <v>0.67984847121111847</v>
      </c>
      <c r="Q11" s="676">
        <f>IFERROR(Q10/Q8,"")</f>
        <v>0.58895739199240382</v>
      </c>
      <c r="R11" s="677">
        <f>IFERROR(R10/R8,"")</f>
        <v>0.75874142857142846</v>
      </c>
      <c r="S11" s="637"/>
      <c r="T11" s="637"/>
      <c r="U11" s="637"/>
      <c r="V11" s="637"/>
      <c r="W11" s="637"/>
      <c r="X11" s="637"/>
      <c r="Y11" s="947"/>
      <c r="Z11" s="642">
        <f>0.3125*R13^5-0.4276*R13^4+0.3734*R13^3-0.1274*R13^2+0.0669*R13+0.5</f>
        <v>0.56722552860525899</v>
      </c>
      <c r="AA11" s="643"/>
      <c r="AB11" s="643"/>
      <c r="AC11" s="643"/>
      <c r="AD11" s="947"/>
      <c r="AE11" s="947"/>
      <c r="AF11" s="947"/>
      <c r="AG11" s="947"/>
      <c r="AH11" s="951"/>
      <c r="AI11" s="947"/>
    </row>
    <row r="12" spans="1:35">
      <c r="A12" s="947"/>
      <c r="B12" s="1349" t="s">
        <v>239</v>
      </c>
      <c r="C12" s="1350"/>
      <c r="D12" s="1350"/>
      <c r="E12" s="1350"/>
      <c r="F12" s="1350"/>
      <c r="G12" s="1028"/>
      <c r="H12" s="1028"/>
      <c r="I12" s="1028"/>
      <c r="J12" s="1028"/>
      <c r="K12" s="1028"/>
      <c r="L12" s="1029"/>
      <c r="M12" s="478" t="s">
        <v>222</v>
      </c>
      <c r="N12" s="478" t="s">
        <v>222</v>
      </c>
      <c r="O12" s="485" t="s">
        <v>14</v>
      </c>
      <c r="P12" s="674">
        <f>IFERROR(J55,0)</f>
        <v>2664</v>
      </c>
      <c r="Q12" s="674">
        <f>IFERROR(AR52+AT52,"")</f>
        <v>744</v>
      </c>
      <c r="R12" s="675">
        <f>IFERROR(AS52+AU52,"")</f>
        <v>1920</v>
      </c>
      <c r="S12" s="637"/>
      <c r="T12" s="637"/>
      <c r="U12" s="637"/>
      <c r="V12" s="637"/>
      <c r="W12" s="637"/>
      <c r="X12" s="637"/>
      <c r="Y12" s="947"/>
      <c r="Z12" s="947"/>
      <c r="AA12" s="641"/>
      <c r="AB12" s="641"/>
      <c r="AC12" s="641"/>
      <c r="AD12" s="950"/>
      <c r="AE12" s="950"/>
      <c r="AF12" s="950"/>
      <c r="AG12" s="950"/>
      <c r="AH12" s="643"/>
      <c r="AI12" s="947"/>
    </row>
    <row r="13" spans="1:35">
      <c r="A13" s="947"/>
      <c r="B13" s="1349" t="s">
        <v>240</v>
      </c>
      <c r="C13" s="1350"/>
      <c r="D13" s="1350"/>
      <c r="E13" s="1350"/>
      <c r="F13" s="1350"/>
      <c r="G13" s="1028"/>
      <c r="H13" s="1028"/>
      <c r="I13" s="1028"/>
      <c r="J13" s="1028"/>
      <c r="K13" s="1028"/>
      <c r="L13" s="1029"/>
      <c r="M13" s="478" t="s">
        <v>222</v>
      </c>
      <c r="N13" s="478" t="s">
        <v>222</v>
      </c>
      <c r="O13" s="485" t="s">
        <v>241</v>
      </c>
      <c r="P13" s="678">
        <f>IFERROR(P12/P12,"")</f>
        <v>1</v>
      </c>
      <c r="Q13" s="678">
        <f>IFERROR(Q12/P12,"")</f>
        <v>0.27927927927927926</v>
      </c>
      <c r="R13" s="679">
        <f>IFERROR(R12/P12,"")</f>
        <v>0.72072072072072069</v>
      </c>
      <c r="S13" s="637"/>
      <c r="T13" s="637"/>
      <c r="U13" s="637"/>
      <c r="V13" s="637"/>
      <c r="W13" s="637"/>
      <c r="X13" s="637"/>
      <c r="Y13" s="947"/>
      <c r="Z13" s="947"/>
      <c r="AA13" s="643"/>
      <c r="AB13" s="643"/>
      <c r="AC13" s="643"/>
      <c r="AD13" s="947"/>
      <c r="AE13" s="947"/>
      <c r="AF13" s="947"/>
      <c r="AG13" s="947"/>
      <c r="AH13" s="947"/>
      <c r="AI13" s="947"/>
    </row>
    <row r="14" spans="1:35">
      <c r="A14" s="947"/>
      <c r="B14" s="1349" t="s">
        <v>242</v>
      </c>
      <c r="C14" s="1350"/>
      <c r="D14" s="1350"/>
      <c r="E14" s="1350"/>
      <c r="F14" s="1350"/>
      <c r="G14" s="1028"/>
      <c r="H14" s="1028"/>
      <c r="I14" s="1028"/>
      <c r="J14" s="1028"/>
      <c r="K14" s="1028"/>
      <c r="L14" s="1029"/>
      <c r="M14" s="478" t="s">
        <v>222</v>
      </c>
      <c r="N14" s="478" t="s">
        <v>222</v>
      </c>
      <c r="O14" s="485" t="s">
        <v>243</v>
      </c>
      <c r="P14" s="674">
        <f>IFERROR(P8/P12,"")</f>
        <v>122.51351351351352</v>
      </c>
      <c r="Q14" s="674">
        <f>IFERROR(Q8/Q12,"")</f>
        <v>203.83870967741936</v>
      </c>
      <c r="R14" s="675">
        <f>IFERROR(R8/R12,"")</f>
        <v>91</v>
      </c>
      <c r="S14" s="637"/>
      <c r="T14" s="637"/>
      <c r="U14" s="637"/>
      <c r="V14" s="637"/>
      <c r="W14" s="637"/>
      <c r="X14" s="637"/>
      <c r="Y14" s="947"/>
      <c r="Z14" s="947"/>
      <c r="AA14" s="641"/>
      <c r="AB14" s="641"/>
      <c r="AC14" s="641"/>
      <c r="AD14" s="947"/>
      <c r="AE14" s="947"/>
      <c r="AF14" s="947"/>
      <c r="AG14" s="947"/>
      <c r="AH14" s="947"/>
      <c r="AI14" s="947"/>
    </row>
    <row r="15" spans="1:35">
      <c r="A15" s="947"/>
      <c r="B15" s="1349" t="s">
        <v>244</v>
      </c>
      <c r="C15" s="1350"/>
      <c r="D15" s="1350"/>
      <c r="E15" s="1350"/>
      <c r="F15" s="1350"/>
      <c r="G15" s="1028"/>
      <c r="H15" s="1028"/>
      <c r="I15" s="1028"/>
      <c r="J15" s="1028"/>
      <c r="K15" s="1028"/>
      <c r="L15" s="1029"/>
      <c r="M15" s="478" t="s">
        <v>222</v>
      </c>
      <c r="N15" s="478" t="s">
        <v>222</v>
      </c>
      <c r="O15" s="485" t="s">
        <v>245</v>
      </c>
      <c r="P15" s="674">
        <f>IFERROR(AE52/AQ52,"")</f>
        <v>122.51351351351352</v>
      </c>
      <c r="Q15" s="674">
        <f>IFERROR(AF52/AR52,"")</f>
        <v>203.83870967741936</v>
      </c>
      <c r="R15" s="675">
        <f>IFERROR(AG52/AS52,"")</f>
        <v>91</v>
      </c>
      <c r="S15" s="637"/>
      <c r="T15" s="637"/>
      <c r="U15" s="637"/>
      <c r="V15" s="637"/>
      <c r="W15" s="637"/>
      <c r="X15" s="637"/>
      <c r="Y15" s="947"/>
      <c r="Z15" s="947"/>
      <c r="AA15" s="641"/>
      <c r="AB15" s="641"/>
      <c r="AC15" s="641"/>
      <c r="AD15" s="952"/>
      <c r="AE15" s="952"/>
      <c r="AF15" s="952"/>
      <c r="AG15" s="952"/>
      <c r="AH15" s="952"/>
      <c r="AI15" s="947"/>
    </row>
    <row r="16" spans="1:35">
      <c r="A16" s="947"/>
      <c r="B16" s="1349" t="s">
        <v>246</v>
      </c>
      <c r="C16" s="1350"/>
      <c r="D16" s="1350"/>
      <c r="E16" s="1350"/>
      <c r="F16" s="1350"/>
      <c r="G16" s="1028" t="s">
        <v>308</v>
      </c>
      <c r="H16" s="1028"/>
      <c r="I16" s="1028"/>
      <c r="J16" s="1028"/>
      <c r="K16" s="1028"/>
      <c r="L16" s="1029"/>
      <c r="M16" s="478" t="s">
        <v>222</v>
      </c>
      <c r="N16" s="478" t="s">
        <v>222</v>
      </c>
      <c r="O16" s="485" t="s">
        <v>248</v>
      </c>
      <c r="P16" s="680">
        <f>IFERROR(P14-P15,"")</f>
        <v>0</v>
      </c>
      <c r="Q16" s="680">
        <f>IFERROR(Q14-Q15,"")</f>
        <v>0</v>
      </c>
      <c r="R16" s="681">
        <f>IFERROR(R14-R15,"")</f>
        <v>0</v>
      </c>
      <c r="S16" s="637"/>
      <c r="T16" s="637"/>
      <c r="U16" s="637"/>
      <c r="V16" s="637"/>
      <c r="W16" s="637"/>
      <c r="X16" s="637"/>
      <c r="Y16" s="947"/>
      <c r="Z16" s="477" t="s">
        <v>249</v>
      </c>
      <c r="AA16" s="641"/>
      <c r="AB16" s="641"/>
      <c r="AC16" s="641"/>
      <c r="AD16" s="947"/>
      <c r="AE16" s="947"/>
      <c r="AF16" s="947"/>
      <c r="AG16" s="947"/>
      <c r="AH16" s="947"/>
      <c r="AI16" s="947"/>
    </row>
    <row r="17" spans="2:47">
      <c r="B17" s="1349" t="s">
        <v>250</v>
      </c>
      <c r="C17" s="1350"/>
      <c r="D17" s="1350"/>
      <c r="E17" s="1350"/>
      <c r="F17" s="1350"/>
      <c r="G17" s="1053" t="str">
        <f>IFERROR(VLOOKUP(G16,'Lists (2)'!C2:D6,2),"")</f>
        <v>USD</v>
      </c>
      <c r="H17" s="1053"/>
      <c r="I17" s="1053"/>
      <c r="J17" s="1053"/>
      <c r="K17" s="1053"/>
      <c r="L17" s="1054"/>
      <c r="M17" s="478" t="s">
        <v>222</v>
      </c>
      <c r="N17" s="478" t="s">
        <v>222</v>
      </c>
      <c r="O17" s="485" t="s">
        <v>251</v>
      </c>
      <c r="P17" s="676">
        <f>IFERROR(P16/P15,"")</f>
        <v>0</v>
      </c>
      <c r="Q17" s="676">
        <f>IFERROR(Q16/Q15,"")</f>
        <v>0</v>
      </c>
      <c r="R17" s="677">
        <f>IFERROR(R16/R15,"")</f>
        <v>0</v>
      </c>
      <c r="S17" s="637"/>
      <c r="T17" s="637"/>
      <c r="U17" s="637"/>
      <c r="V17" s="637"/>
      <c r="W17" s="637"/>
      <c r="X17" s="637"/>
      <c r="Y17" s="947"/>
      <c r="Z17" s="642">
        <v>0.25</v>
      </c>
      <c r="AA17" s="643"/>
      <c r="AB17" s="643"/>
      <c r="AC17" s="643"/>
      <c r="AD17" s="947"/>
      <c r="AE17" s="947"/>
      <c r="AF17" s="947"/>
      <c r="AG17" s="947"/>
      <c r="AH17" s="947"/>
      <c r="AI17" s="947"/>
      <c r="AJ17" s="947"/>
      <c r="AK17" s="947"/>
      <c r="AL17" s="947"/>
      <c r="AM17" s="947"/>
      <c r="AN17" s="947"/>
      <c r="AO17" s="947"/>
      <c r="AP17" s="947"/>
      <c r="AQ17" s="947"/>
      <c r="AR17" s="947"/>
      <c r="AS17" s="947"/>
      <c r="AT17" s="947"/>
      <c r="AU17" s="947"/>
    </row>
    <row r="18" spans="2:47" ht="15.75" thickBot="1">
      <c r="B18" s="1349" t="s">
        <v>252</v>
      </c>
      <c r="C18" s="1350"/>
      <c r="D18" s="1350"/>
      <c r="E18" s="1350"/>
      <c r="F18" s="1350"/>
      <c r="G18" s="1028" t="s">
        <v>401</v>
      </c>
      <c r="H18" s="1028"/>
      <c r="I18" s="1028"/>
      <c r="J18" s="1028"/>
      <c r="K18" s="1028"/>
      <c r="L18" s="1029"/>
      <c r="M18" s="478" t="s">
        <v>222</v>
      </c>
      <c r="N18" s="478" t="s">
        <v>222</v>
      </c>
      <c r="O18" s="484" t="s">
        <v>254</v>
      </c>
      <c r="P18" s="682">
        <f>IFERROR(P10/P8-($Z$17),"")</f>
        <v>0.42984847121111847</v>
      </c>
      <c r="Q18" s="682">
        <f>IFERROR(Q10/Q8-($Z$17),"")</f>
        <v>0.33895739199240382</v>
      </c>
      <c r="R18" s="843">
        <f>IFERROR(R10/R8-($Z$17),"")</f>
        <v>0.50874142857142846</v>
      </c>
      <c r="S18" s="478"/>
      <c r="T18" s="478"/>
      <c r="U18" s="478"/>
      <c r="V18" s="478"/>
      <c r="W18" s="478"/>
      <c r="X18" s="637"/>
      <c r="Y18" s="947"/>
      <c r="Z18" s="947"/>
      <c r="AA18" s="947"/>
      <c r="AB18" s="947"/>
      <c r="AC18" s="947"/>
      <c r="AD18" s="947"/>
      <c r="AE18" s="947"/>
      <c r="AF18" s="947"/>
      <c r="AG18" s="947"/>
      <c r="AH18" s="947"/>
      <c r="AI18" s="947"/>
      <c r="AJ18" s="947"/>
      <c r="AK18" s="947"/>
      <c r="AL18" s="947"/>
      <c r="AM18" s="947"/>
      <c r="AN18" s="947"/>
      <c r="AO18" s="947"/>
      <c r="AP18" s="947"/>
      <c r="AQ18" s="947"/>
      <c r="AR18" s="947"/>
      <c r="AS18" s="947"/>
      <c r="AT18" s="947"/>
      <c r="AU18" s="947"/>
    </row>
    <row r="19" spans="2:47">
      <c r="B19" s="1349" t="s">
        <v>255</v>
      </c>
      <c r="C19" s="1350"/>
      <c r="D19" s="1350"/>
      <c r="E19" s="1350"/>
      <c r="F19" s="1350"/>
      <c r="G19" s="1028" t="s">
        <v>256</v>
      </c>
      <c r="H19" s="1028"/>
      <c r="I19" s="1028"/>
      <c r="J19" s="1028"/>
      <c r="K19" s="1028"/>
      <c r="L19" s="1029"/>
      <c r="M19" s="478"/>
      <c r="N19" s="478"/>
      <c r="O19" s="478"/>
      <c r="P19" s="478"/>
      <c r="Q19" s="478"/>
      <c r="R19" s="478"/>
      <c r="S19" s="478"/>
      <c r="T19" s="478"/>
      <c r="U19" s="478"/>
      <c r="V19" s="478"/>
      <c r="W19" s="478"/>
      <c r="X19" s="637"/>
      <c r="Y19" s="947"/>
      <c r="Z19" s="947"/>
      <c r="AA19" s="947"/>
      <c r="AB19" s="947"/>
      <c r="AC19" s="947"/>
      <c r="AD19" s="947"/>
      <c r="AE19" s="947"/>
      <c r="AF19" s="947"/>
      <c r="AG19" s="947"/>
      <c r="AH19" s="947"/>
      <c r="AI19" s="947"/>
      <c r="AJ19" s="947"/>
      <c r="AK19" s="947"/>
      <c r="AL19" s="947"/>
      <c r="AM19" s="947"/>
      <c r="AN19" s="947"/>
      <c r="AO19" s="947"/>
      <c r="AP19" s="947"/>
      <c r="AQ19" s="947"/>
      <c r="AR19" s="947"/>
      <c r="AS19" s="947"/>
      <c r="AT19" s="947"/>
      <c r="AU19" s="947"/>
    </row>
    <row r="20" spans="2:47">
      <c r="B20" s="1364"/>
      <c r="C20" s="1365"/>
      <c r="D20" s="1365"/>
      <c r="E20" s="1365"/>
      <c r="F20" s="1365"/>
      <c r="G20" s="1365"/>
      <c r="H20" s="1365"/>
      <c r="I20" s="1365"/>
      <c r="J20" s="1365"/>
      <c r="K20" s="1365"/>
      <c r="L20" s="1366"/>
      <c r="M20" s="478"/>
      <c r="N20" s="478"/>
      <c r="O20" s="478"/>
      <c r="P20" s="478"/>
      <c r="Q20" s="478"/>
      <c r="R20" s="478"/>
      <c r="S20" s="478"/>
      <c r="T20" s="478"/>
      <c r="U20" s="478"/>
      <c r="V20" s="478"/>
      <c r="W20" s="478"/>
      <c r="X20" s="637"/>
      <c r="Y20" s="947"/>
      <c r="Z20" s="947"/>
      <c r="AA20" s="947"/>
      <c r="AB20" s="947"/>
      <c r="AC20" s="947"/>
      <c r="AD20" s="947"/>
      <c r="AE20" s="947"/>
      <c r="AF20" s="947"/>
      <c r="AG20" s="947"/>
      <c r="AH20" s="947"/>
      <c r="AI20" s="947"/>
      <c r="AJ20" s="947"/>
      <c r="AK20" s="947"/>
      <c r="AL20" s="947"/>
      <c r="AM20" s="947"/>
      <c r="AN20" s="947"/>
      <c r="AO20" s="947"/>
      <c r="AP20" s="947"/>
      <c r="AQ20" s="947"/>
      <c r="AR20" s="947"/>
      <c r="AS20" s="947"/>
      <c r="AT20" s="947"/>
      <c r="AU20" s="947"/>
    </row>
    <row r="21" spans="2:47">
      <c r="B21" s="1349" t="s">
        <v>271</v>
      </c>
      <c r="C21" s="1350"/>
      <c r="D21" s="1350"/>
      <c r="E21" s="1350"/>
      <c r="F21" s="1350"/>
      <c r="G21" s="1027"/>
      <c r="H21" s="1028"/>
      <c r="I21" s="1028"/>
      <c r="J21" s="1028"/>
      <c r="K21" s="1028"/>
      <c r="L21" s="1029"/>
      <c r="M21" s="478"/>
      <c r="N21" s="478"/>
      <c r="O21" s="478"/>
      <c r="P21" s="478"/>
      <c r="Q21" s="478"/>
      <c r="R21" s="478"/>
      <c r="S21" s="478"/>
      <c r="T21" s="478"/>
      <c r="U21" s="478"/>
      <c r="V21" s="478"/>
      <c r="W21" s="478"/>
      <c r="X21" s="637"/>
      <c r="Y21" s="947"/>
      <c r="Z21" s="947"/>
      <c r="AA21" s="947"/>
      <c r="AB21" s="947"/>
      <c r="AC21" s="947"/>
      <c r="AD21" s="947"/>
      <c r="AE21" s="947"/>
      <c r="AF21" s="947"/>
      <c r="AG21" s="947"/>
      <c r="AH21" s="947"/>
      <c r="AI21" s="947"/>
      <c r="AJ21" s="947"/>
      <c r="AK21" s="947"/>
      <c r="AL21" s="947"/>
      <c r="AM21" s="947"/>
      <c r="AN21" s="947"/>
      <c r="AO21" s="947"/>
      <c r="AP21" s="947"/>
      <c r="AQ21" s="947"/>
      <c r="AR21" s="947"/>
      <c r="AS21" s="947"/>
      <c r="AT21" s="947"/>
      <c r="AU21" s="947"/>
    </row>
    <row r="22" spans="2:47" ht="42.75" customHeight="1" thickBot="1">
      <c r="B22" s="1351" t="s">
        <v>269</v>
      </c>
      <c r="C22" s="1352"/>
      <c r="D22" s="1352"/>
      <c r="E22" s="1352"/>
      <c r="F22" s="1352"/>
      <c r="G22" s="1077"/>
      <c r="H22" s="1078"/>
      <c r="I22" s="1078"/>
      <c r="J22" s="1078"/>
      <c r="K22" s="1078"/>
      <c r="L22" s="1079"/>
      <c r="M22" s="478"/>
      <c r="N22" s="478"/>
      <c r="O22" s="478"/>
      <c r="P22" s="478"/>
      <c r="Q22" s="478"/>
      <c r="R22" s="478"/>
      <c r="S22" s="478"/>
      <c r="T22" s="478"/>
      <c r="U22" s="478"/>
      <c r="V22" s="478"/>
      <c r="W22" s="478"/>
      <c r="X22" s="637"/>
      <c r="Y22" s="947"/>
      <c r="Z22" s="947"/>
      <c r="AA22" s="947"/>
      <c r="AB22" s="947"/>
      <c r="AC22" s="947"/>
      <c r="AD22" s="947"/>
      <c r="AE22" s="947"/>
      <c r="AF22" s="947"/>
      <c r="AG22" s="947"/>
      <c r="AH22" s="947"/>
      <c r="AI22" s="947"/>
      <c r="AJ22" s="947"/>
      <c r="AK22" s="947"/>
      <c r="AL22" s="947"/>
      <c r="AM22" s="947"/>
      <c r="AN22" s="947"/>
      <c r="AO22" s="947"/>
      <c r="AP22" s="947"/>
      <c r="AQ22" s="947"/>
      <c r="AR22" s="947"/>
      <c r="AS22" s="947"/>
      <c r="AT22" s="947"/>
      <c r="AU22" s="947"/>
    </row>
    <row r="23" spans="2:47">
      <c r="B23" s="478" t="s">
        <v>222</v>
      </c>
      <c r="C23" s="478" t="s">
        <v>222</v>
      </c>
      <c r="D23" s="478" t="s">
        <v>222</v>
      </c>
      <c r="E23" s="478"/>
      <c r="F23" s="478" t="s">
        <v>222</v>
      </c>
      <c r="G23" s="478" t="s">
        <v>222</v>
      </c>
      <c r="H23" s="478" t="s">
        <v>222</v>
      </c>
      <c r="I23" s="478" t="s">
        <v>222</v>
      </c>
      <c r="J23" s="478"/>
      <c r="K23" s="478" t="s">
        <v>222</v>
      </c>
      <c r="L23" s="478" t="s">
        <v>222</v>
      </c>
      <c r="M23" s="478" t="s">
        <v>222</v>
      </c>
      <c r="N23" s="478" t="s">
        <v>222</v>
      </c>
      <c r="O23" s="478" t="s">
        <v>222</v>
      </c>
      <c r="P23" s="478" t="s">
        <v>222</v>
      </c>
      <c r="Q23" s="478" t="s">
        <v>222</v>
      </c>
      <c r="R23" s="478" t="s">
        <v>222</v>
      </c>
      <c r="S23" s="478"/>
      <c r="T23" s="478"/>
      <c r="U23" s="478"/>
      <c r="V23" s="478"/>
      <c r="W23" s="478"/>
      <c r="X23" s="637"/>
      <c r="Y23" s="947"/>
      <c r="Z23" s="947"/>
      <c r="AA23" s="947"/>
      <c r="AB23" s="947"/>
      <c r="AC23" s="947"/>
      <c r="AD23" s="947"/>
      <c r="AE23" s="947"/>
      <c r="AF23" s="947"/>
      <c r="AG23" s="947"/>
      <c r="AH23" s="947"/>
      <c r="AI23" s="947"/>
      <c r="AJ23" s="947"/>
      <c r="AK23" s="947"/>
      <c r="AL23" s="947"/>
      <c r="AM23" s="947"/>
      <c r="AN23" s="947"/>
      <c r="AO23" s="947"/>
      <c r="AP23" s="947"/>
      <c r="AQ23" s="947"/>
      <c r="AR23" s="947"/>
      <c r="AS23" s="947"/>
      <c r="AT23" s="947"/>
      <c r="AU23" s="947"/>
    </row>
    <row r="24" spans="2:47" ht="15.75" thickBot="1">
      <c r="B24" s="478"/>
      <c r="C24" s="478"/>
      <c r="D24" s="478"/>
      <c r="E24" s="478"/>
      <c r="F24" s="478"/>
      <c r="G24" s="478"/>
      <c r="H24" s="478"/>
      <c r="I24" s="478"/>
      <c r="J24" s="478"/>
      <c r="K24" s="478"/>
      <c r="L24" s="478"/>
      <c r="M24" s="478"/>
      <c r="N24" s="478"/>
      <c r="O24" s="478"/>
      <c r="P24" s="478"/>
      <c r="Q24" s="478"/>
      <c r="R24" s="478"/>
      <c r="S24" s="478"/>
      <c r="T24" s="478"/>
      <c r="U24" s="478"/>
      <c r="V24" s="478"/>
      <c r="W24" s="478"/>
      <c r="X24" s="637"/>
      <c r="Y24" s="947"/>
      <c r="Z24" s="947"/>
      <c r="AA24" s="947"/>
      <c r="AB24" s="947"/>
      <c r="AC24" s="947"/>
      <c r="AD24" s="947"/>
      <c r="AE24" s="947"/>
      <c r="AF24" s="947"/>
      <c r="AG24" s="947"/>
      <c r="AH24" s="947"/>
      <c r="AI24" s="947"/>
      <c r="AJ24" s="947"/>
      <c r="AK24" s="947"/>
      <c r="AL24" s="947"/>
      <c r="AM24" s="947"/>
      <c r="AN24" s="947"/>
      <c r="AO24" s="947"/>
      <c r="AP24" s="947"/>
      <c r="AQ24" s="947"/>
      <c r="AR24" s="947"/>
      <c r="AS24" s="947"/>
      <c r="AT24" s="947"/>
      <c r="AU24" s="947"/>
    </row>
    <row r="25" spans="2:47" ht="18.75">
      <c r="B25" s="1030" t="s">
        <v>272</v>
      </c>
      <c r="C25" s="1031"/>
      <c r="D25" s="1031"/>
      <c r="E25" s="1031"/>
      <c r="F25" s="1031"/>
      <c r="G25" s="1031"/>
      <c r="H25" s="1031"/>
      <c r="I25" s="1031"/>
      <c r="J25" s="1097"/>
      <c r="K25" s="1097"/>
      <c r="L25" s="1097"/>
      <c r="M25" s="1097"/>
      <c r="N25" s="1097"/>
      <c r="O25" s="1097"/>
      <c r="P25" s="1097"/>
      <c r="Q25" s="1097"/>
      <c r="R25" s="1097"/>
      <c r="S25" s="1097"/>
      <c r="T25" s="1097"/>
      <c r="U25" s="1097"/>
      <c r="V25" s="1097"/>
      <c r="W25" s="1097"/>
      <c r="X25" s="1098"/>
      <c r="Y25" s="947"/>
      <c r="Z25" s="947"/>
      <c r="AA25" s="947"/>
      <c r="AB25" s="947"/>
      <c r="AC25" s="947"/>
      <c r="AD25" s="947"/>
      <c r="AE25" s="947"/>
      <c r="AF25" s="947"/>
      <c r="AG25" s="947"/>
      <c r="AH25" s="947"/>
      <c r="AI25" s="947"/>
      <c r="AJ25" s="947"/>
      <c r="AK25" s="947"/>
      <c r="AL25" s="947"/>
      <c r="AM25" s="947"/>
      <c r="AN25" s="947"/>
      <c r="AO25" s="947"/>
      <c r="AP25" s="947"/>
      <c r="AQ25" s="947"/>
      <c r="AR25" s="947"/>
      <c r="AS25" s="947"/>
      <c r="AT25" s="947"/>
      <c r="AU25" s="947"/>
    </row>
    <row r="26" spans="2:47" s="480" customFormat="1" ht="60">
      <c r="B26" s="483" t="s">
        <v>273</v>
      </c>
      <c r="C26" s="482" t="s">
        <v>274</v>
      </c>
      <c r="D26" s="482" t="s">
        <v>275</v>
      </c>
      <c r="E26" s="1080" t="s">
        <v>276</v>
      </c>
      <c r="F26" s="1080"/>
      <c r="G26" s="1080"/>
      <c r="H26" s="1080"/>
      <c r="I26" s="1080"/>
      <c r="J26" s="925" t="s">
        <v>402</v>
      </c>
      <c r="K26" s="925" t="s">
        <v>403</v>
      </c>
      <c r="L26" s="482" t="s">
        <v>277</v>
      </c>
      <c r="M26" s="482" t="s">
        <v>278</v>
      </c>
      <c r="N26" s="482" t="s">
        <v>279</v>
      </c>
      <c r="O26" s="482" t="s">
        <v>280</v>
      </c>
      <c r="P26" s="482" t="s">
        <v>229</v>
      </c>
      <c r="Q26" s="482" t="s">
        <v>232</v>
      </c>
      <c r="R26" s="790" t="s">
        <v>235</v>
      </c>
      <c r="S26" s="769" t="s">
        <v>238</v>
      </c>
      <c r="T26" s="722" t="s">
        <v>230</v>
      </c>
      <c r="U26" s="722" t="s">
        <v>281</v>
      </c>
      <c r="V26" s="775" t="s">
        <v>282</v>
      </c>
      <c r="W26" s="482" t="s">
        <v>283</v>
      </c>
      <c r="X26" s="759" t="s">
        <v>285</v>
      </c>
      <c r="Y26" s="947"/>
      <c r="Z26" s="481" t="s">
        <v>286</v>
      </c>
      <c r="AA26" s="480" t="s">
        <v>287</v>
      </c>
      <c r="AB26" s="480" t="s">
        <v>288</v>
      </c>
      <c r="AC26" s="480" t="s">
        <v>277</v>
      </c>
      <c r="AD26" s="480" t="s">
        <v>280</v>
      </c>
      <c r="AE26" s="480" t="s">
        <v>289</v>
      </c>
      <c r="AF26" s="480" t="s">
        <v>290</v>
      </c>
      <c r="AG26" s="480" t="s">
        <v>291</v>
      </c>
      <c r="AH26" s="480" t="s">
        <v>292</v>
      </c>
      <c r="AI26" s="480" t="s">
        <v>293</v>
      </c>
      <c r="AJ26" s="480" t="s">
        <v>294</v>
      </c>
      <c r="AK26" s="480" t="s">
        <v>295</v>
      </c>
      <c r="AL26" s="480" t="s">
        <v>296</v>
      </c>
      <c r="AM26" s="480" t="s">
        <v>297</v>
      </c>
      <c r="AN26" s="480" t="s">
        <v>298</v>
      </c>
      <c r="AO26" s="480" t="s">
        <v>299</v>
      </c>
      <c r="AP26" s="480" t="s">
        <v>300</v>
      </c>
      <c r="AQ26" s="480" t="s">
        <v>301</v>
      </c>
      <c r="AR26" s="480" t="s">
        <v>302</v>
      </c>
      <c r="AS26" s="480" t="s">
        <v>303</v>
      </c>
      <c r="AT26" s="480" t="s">
        <v>304</v>
      </c>
      <c r="AU26" s="480" t="s">
        <v>305</v>
      </c>
    </row>
    <row r="27" spans="2:47">
      <c r="B27" s="945" t="s">
        <v>310</v>
      </c>
      <c r="C27" s="949" t="str" cm="1">
        <f t="array" ref="C27">IFERROR(_xlfn.IFS(B27="Onshore",$G$16,B27="Offshore","India"),"")</f>
        <v>India</v>
      </c>
      <c r="D27" s="946" t="s">
        <v>227</v>
      </c>
      <c r="E27" s="1027" t="s">
        <v>377</v>
      </c>
      <c r="F27" s="1027"/>
      <c r="G27" s="1027"/>
      <c r="H27" s="1027"/>
      <c r="I27" s="1027"/>
      <c r="J27" s="926">
        <v>1440</v>
      </c>
      <c r="K27" s="926"/>
      <c r="L27" s="671">
        <f>IFERROR(INDEX(Bill_Rates!$L:$L,MATCH('Basic Pricing File'!$AC27,Bill_Rates!$J:$J,0)),"")</f>
        <v>85</v>
      </c>
      <c r="M27" s="672"/>
      <c r="N27" s="671">
        <f t="shared" ref="N27:N51" si="0">IFERROR(L27+M27,"")</f>
        <v>85</v>
      </c>
      <c r="O27" s="671">
        <f>IFERROR(INDEX(Bill_Rates!$O:$O,MATCH($AD27,Bill_Rates!$J:$J,0)),"")</f>
        <v>15.577919999999999</v>
      </c>
      <c r="P27" s="689">
        <f t="shared" ref="P27:P30" si="1">IFERROR(N27*J27,"")</f>
        <v>122400</v>
      </c>
      <c r="Q27" s="689">
        <f>IFERROR((J27+K27)*O27,"")</f>
        <v>22432.2048</v>
      </c>
      <c r="R27" s="689">
        <f t="shared" ref="R27:R30" si="2">IFERROR(P27-Q27,"")</f>
        <v>99967.795199999993</v>
      </c>
      <c r="S27" s="683">
        <f t="shared" ref="S27:S30" si="3">IFERROR(R27/P27,"")</f>
        <v>0.81673035294117646</v>
      </c>
      <c r="T27" s="746" t="s">
        <v>404</v>
      </c>
      <c r="U27" s="746"/>
      <c r="V27" s="746"/>
      <c r="W27" s="784"/>
      <c r="X27" s="757"/>
      <c r="Y27" s="947"/>
      <c r="Z27" s="947"/>
      <c r="AA27" s="947" t="str">
        <f t="shared" ref="AA27:AA51" si="4">IF(OR(G27="Change Management",G27="Enablement",G27="Strategy"),G27,"")</f>
        <v/>
      </c>
      <c r="AB27" s="947" t="str">
        <f>E27</f>
        <v>Technical Consultant</v>
      </c>
      <c r="AC27" s="947" t="str">
        <f t="shared" ref="AC27:AC51" si="5">G$16&amp;C27&amp;Z27&amp;F27&amp;AA27&amp;H27&amp;E27</f>
        <v>USAIndiaTechnical Consultant</v>
      </c>
      <c r="AD27" s="947" t="str">
        <f t="shared" ref="AD27:AD51" si="6">G$16&amp;D27&amp;H27&amp;E27</f>
        <v>USAIndiaTechnical Consultant</v>
      </c>
      <c r="AE27" s="644">
        <f t="shared" ref="AE27:AE51" si="7">IFERROR(L27*J27,"")</f>
        <v>122400</v>
      </c>
      <c r="AF27" s="644">
        <f t="shared" ref="AF27" si="8">IFERROR(AE27-AG27,"")</f>
        <v>0</v>
      </c>
      <c r="AG27" s="644">
        <f t="shared" ref="AG27:AG51" si="9">IF(D27="India",AE27,0)</f>
        <v>122400</v>
      </c>
      <c r="AH27" s="951">
        <f t="shared" ref="AH27:AH51" si="10">IFERROR(P27+P27/$P$52*$P$53,"")</f>
        <v>122400</v>
      </c>
      <c r="AI27" s="951">
        <f t="shared" ref="AI27:AI51" si="11">IFERROR(Q27+Q27/$Q$52*$Q$53,"")</f>
        <v>22432.2048</v>
      </c>
      <c r="AJ27" s="951">
        <f t="shared" ref="AJ27:AJ51" si="12">IFERROR(P27/$P$52*$P$54,"")</f>
        <v>0</v>
      </c>
      <c r="AK27" s="951">
        <f t="shared" ref="AK27" si="13">IFERROR(AH27+AJ27,"")</f>
        <v>122400</v>
      </c>
      <c r="AL27" s="951">
        <f t="shared" ref="AL27" si="14">IFERROR(AK27-AM27,"")</f>
        <v>0</v>
      </c>
      <c r="AM27" s="951">
        <f t="shared" ref="AM27:AM51" si="15">IF(D27="India",AK27,0)</f>
        <v>122400</v>
      </c>
      <c r="AN27" s="951">
        <f t="shared" ref="AN27" si="16">AI27</f>
        <v>22432.2048</v>
      </c>
      <c r="AO27" s="951">
        <f t="shared" ref="AO27" si="17">IFERROR(AN27-AP27,"")</f>
        <v>0</v>
      </c>
      <c r="AP27" s="951">
        <f t="shared" ref="AP27:AP51" si="18">IF(D27="India",AN27,0)</f>
        <v>22432.2048</v>
      </c>
      <c r="AQ27" s="950"/>
      <c r="AR27" s="950"/>
      <c r="AS27" s="947"/>
      <c r="AT27" s="947"/>
      <c r="AU27" s="947"/>
    </row>
    <row r="28" spans="2:47">
      <c r="B28" s="953" t="s">
        <v>310</v>
      </c>
      <c r="C28" s="949" t="str" cm="1">
        <f t="array" ref="C28">IFERROR(_xlfn.IFS(B28="Onshore",$G$16,B28="Offshore","India"),"")</f>
        <v>India</v>
      </c>
      <c r="D28" s="946" t="s">
        <v>227</v>
      </c>
      <c r="E28" s="1027" t="s">
        <v>167</v>
      </c>
      <c r="F28" s="1027"/>
      <c r="G28" s="1027"/>
      <c r="H28" s="1027"/>
      <c r="I28" s="1027"/>
      <c r="J28" s="926">
        <v>480</v>
      </c>
      <c r="K28" s="926"/>
      <c r="L28" s="671">
        <f>IFERROR(INDEX(Bill_Rates!$L:$L,MATCH('Basic Pricing File'!$AC28,Bill_Rates!$J:$J,0)),"")</f>
        <v>109</v>
      </c>
      <c r="M28" s="672"/>
      <c r="N28" s="671">
        <f t="shared" si="0"/>
        <v>109</v>
      </c>
      <c r="O28" s="671">
        <f>IFERROR(INDEX(Bill_Rates!$O:$O,MATCH($AD28,Bill_Rates!$J:$J,0)),"")</f>
        <v>41.084359999999997</v>
      </c>
      <c r="P28" s="689">
        <f t="shared" si="1"/>
        <v>52320</v>
      </c>
      <c r="Q28" s="689">
        <f t="shared" ref="Q28:Q30" si="19">IFERROR((J28+K28)*O28,"")</f>
        <v>19720.4928</v>
      </c>
      <c r="R28" s="689">
        <f t="shared" si="2"/>
        <v>32599.5072</v>
      </c>
      <c r="S28" s="683">
        <f t="shared" si="3"/>
        <v>0.62307926605504582</v>
      </c>
      <c r="T28" s="746" t="s">
        <v>404</v>
      </c>
      <c r="U28" s="746"/>
      <c r="V28" s="746"/>
      <c r="W28" s="784"/>
      <c r="X28" s="757"/>
      <c r="Y28" s="947"/>
      <c r="Z28" s="947"/>
      <c r="AA28" s="947" t="str">
        <f t="shared" si="4"/>
        <v/>
      </c>
      <c r="AB28" s="947" t="str">
        <f t="shared" ref="AB28:AB51" si="20">E28</f>
        <v>Solution Architect</v>
      </c>
      <c r="AC28" s="947" t="str">
        <f t="shared" si="5"/>
        <v>USAIndiaSolution Architect</v>
      </c>
      <c r="AD28" s="947" t="str">
        <f t="shared" si="6"/>
        <v>USAIndiaSolution Architect</v>
      </c>
      <c r="AE28" s="644">
        <f t="shared" si="7"/>
        <v>52320</v>
      </c>
      <c r="AF28" s="644">
        <f t="shared" ref="AF28:AF51" si="21">IFERROR(AE28-AG28,"")</f>
        <v>0</v>
      </c>
      <c r="AG28" s="644">
        <f t="shared" si="9"/>
        <v>52320</v>
      </c>
      <c r="AH28" s="951">
        <f t="shared" si="10"/>
        <v>52320</v>
      </c>
      <c r="AI28" s="951">
        <f t="shared" si="11"/>
        <v>19720.4928</v>
      </c>
      <c r="AJ28" s="951">
        <f t="shared" si="12"/>
        <v>0</v>
      </c>
      <c r="AK28" s="951">
        <f t="shared" ref="AK28:AK51" si="22">IFERROR(AH28+AJ28,"")</f>
        <v>52320</v>
      </c>
      <c r="AL28" s="951">
        <f t="shared" ref="AL28:AL51" si="23">IFERROR(AK28-AM28,"")</f>
        <v>0</v>
      </c>
      <c r="AM28" s="951">
        <f t="shared" si="15"/>
        <v>52320</v>
      </c>
      <c r="AN28" s="951">
        <f t="shared" ref="AN28:AN51" si="24">AI28</f>
        <v>19720.4928</v>
      </c>
      <c r="AO28" s="951">
        <f t="shared" ref="AO28:AO51" si="25">IFERROR(AN28-AP28,"")</f>
        <v>0</v>
      </c>
      <c r="AP28" s="951">
        <f t="shared" si="18"/>
        <v>19720.4928</v>
      </c>
      <c r="AQ28" s="950"/>
      <c r="AR28" s="950"/>
      <c r="AS28" s="947"/>
      <c r="AT28" s="947"/>
      <c r="AU28" s="947"/>
    </row>
    <row r="29" spans="2:47" ht="15" customHeight="1">
      <c r="B29" s="945" t="s">
        <v>306</v>
      </c>
      <c r="C29" s="949" t="str" cm="1">
        <f t="array" ref="C29">IFERROR(_xlfn.IFS(B29="Onshore",$G$16,B29="Offshore","India"),"")</f>
        <v>USA</v>
      </c>
      <c r="D29" s="946" t="s">
        <v>405</v>
      </c>
      <c r="E29" s="1027" t="s">
        <v>375</v>
      </c>
      <c r="F29" s="1027"/>
      <c r="G29" s="1027"/>
      <c r="H29" s="1027"/>
      <c r="I29" s="1027"/>
      <c r="J29" s="926">
        <v>384</v>
      </c>
      <c r="K29" s="926"/>
      <c r="L29" s="671">
        <f>IFERROR(INDEX(Bill_Rates!$L:$L,MATCH('Basic Pricing File'!$AC29,Bill_Rates!$J:$J,0)),"")</f>
        <v>199</v>
      </c>
      <c r="M29" s="672"/>
      <c r="N29" s="671">
        <f t="shared" si="0"/>
        <v>199</v>
      </c>
      <c r="O29" s="671">
        <f>IFERROR(INDEX(Bill_Rates!$O:$O,MATCH($AD29,Bill_Rates!$J:$J,0)),"")</f>
        <v>60.148639999999993</v>
      </c>
      <c r="P29" s="689">
        <f t="shared" si="1"/>
        <v>76416</v>
      </c>
      <c r="Q29" s="689">
        <f t="shared" si="19"/>
        <v>23097.077759999996</v>
      </c>
      <c r="R29" s="689">
        <f t="shared" si="2"/>
        <v>53318.92224</v>
      </c>
      <c r="S29" s="683">
        <f t="shared" si="3"/>
        <v>0.69774552763819098</v>
      </c>
      <c r="T29" s="746"/>
      <c r="U29" s="746"/>
      <c r="V29" s="746"/>
      <c r="W29" s="784"/>
      <c r="X29" s="757"/>
      <c r="Y29" s="947"/>
      <c r="Z29" s="947"/>
      <c r="AA29" s="947" t="str">
        <f t="shared" si="4"/>
        <v/>
      </c>
      <c r="AB29" s="947" t="str">
        <f t="shared" si="20"/>
        <v>Project Coordinator</v>
      </c>
      <c r="AC29" s="947" t="str">
        <f t="shared" si="5"/>
        <v>USAUSAProject Coordinator</v>
      </c>
      <c r="AD29" s="947" t="str">
        <f t="shared" si="6"/>
        <v>USACanadaProject Coordinator</v>
      </c>
      <c r="AE29" s="644">
        <f t="shared" si="7"/>
        <v>76416</v>
      </c>
      <c r="AF29" s="644">
        <f t="shared" si="21"/>
        <v>76416</v>
      </c>
      <c r="AG29" s="644">
        <f t="shared" si="9"/>
        <v>0</v>
      </c>
      <c r="AH29" s="951">
        <f t="shared" si="10"/>
        <v>76416</v>
      </c>
      <c r="AI29" s="951">
        <f t="shared" si="11"/>
        <v>23097.077759999996</v>
      </c>
      <c r="AJ29" s="951">
        <f t="shared" si="12"/>
        <v>0</v>
      </c>
      <c r="AK29" s="951">
        <f t="shared" si="22"/>
        <v>76416</v>
      </c>
      <c r="AL29" s="951">
        <f t="shared" si="23"/>
        <v>76416</v>
      </c>
      <c r="AM29" s="951">
        <f t="shared" si="15"/>
        <v>0</v>
      </c>
      <c r="AN29" s="951">
        <f t="shared" si="24"/>
        <v>23097.077759999996</v>
      </c>
      <c r="AO29" s="951">
        <f t="shared" si="25"/>
        <v>23097.077759999996</v>
      </c>
      <c r="AP29" s="951">
        <f t="shared" si="18"/>
        <v>0</v>
      </c>
      <c r="AQ29" s="950"/>
      <c r="AR29" s="950"/>
      <c r="AS29" s="947"/>
      <c r="AT29" s="947"/>
      <c r="AU29" s="947"/>
    </row>
    <row r="30" spans="2:47">
      <c r="B30" s="945" t="s">
        <v>306</v>
      </c>
      <c r="C30" s="949" t="str" cm="1">
        <f t="array" ref="C30">IFERROR(_xlfn.IFS(B30="Onshore",$G$16,B30="Offshore","India"),"")</f>
        <v>USA</v>
      </c>
      <c r="D30" s="946" t="s">
        <v>308</v>
      </c>
      <c r="E30" s="1027" t="s">
        <v>377</v>
      </c>
      <c r="F30" s="1027"/>
      <c r="G30" s="1027"/>
      <c r="H30" s="1027"/>
      <c r="I30" s="1027"/>
      <c r="J30" s="926">
        <v>360</v>
      </c>
      <c r="K30" s="926"/>
      <c r="L30" s="671">
        <f>IFERROR(INDEX(Bill_Rates!$L:$L,MATCH('Basic Pricing File'!$AC30,Bill_Rates!$J:$J,0)),"")</f>
        <v>209</v>
      </c>
      <c r="M30" s="672"/>
      <c r="N30" s="671">
        <f t="shared" si="0"/>
        <v>209</v>
      </c>
      <c r="O30" s="671">
        <f>IFERROR(INDEX(Bill_Rates!$O:$O,MATCH($AD30,Bill_Rates!$J:$J,0)),"")</f>
        <v>109</v>
      </c>
      <c r="P30" s="689">
        <f t="shared" si="1"/>
        <v>75240</v>
      </c>
      <c r="Q30" s="689">
        <f t="shared" si="19"/>
        <v>39240</v>
      </c>
      <c r="R30" s="689">
        <f t="shared" si="2"/>
        <v>36000</v>
      </c>
      <c r="S30" s="683">
        <f t="shared" si="3"/>
        <v>0.4784688995215311</v>
      </c>
      <c r="T30" s="746"/>
      <c r="U30" s="746"/>
      <c r="V30" s="746"/>
      <c r="W30" s="784"/>
      <c r="X30" s="757"/>
      <c r="Y30" s="947"/>
      <c r="Z30" s="947"/>
      <c r="AA30" s="947" t="str">
        <f t="shared" si="4"/>
        <v/>
      </c>
      <c r="AB30" s="947" t="str">
        <f t="shared" si="20"/>
        <v>Technical Consultant</v>
      </c>
      <c r="AC30" s="947" t="str">
        <f t="shared" si="5"/>
        <v>USAUSATechnical Consultant</v>
      </c>
      <c r="AD30" s="947" t="str">
        <f t="shared" si="6"/>
        <v>USAUSATechnical Consultant</v>
      </c>
      <c r="AE30" s="644">
        <f t="shared" si="7"/>
        <v>75240</v>
      </c>
      <c r="AF30" s="644">
        <f t="shared" si="21"/>
        <v>75240</v>
      </c>
      <c r="AG30" s="644">
        <f t="shared" si="9"/>
        <v>0</v>
      </c>
      <c r="AH30" s="951">
        <f t="shared" si="10"/>
        <v>75240</v>
      </c>
      <c r="AI30" s="951">
        <f t="shared" si="11"/>
        <v>39240</v>
      </c>
      <c r="AJ30" s="951">
        <f t="shared" si="12"/>
        <v>0</v>
      </c>
      <c r="AK30" s="951">
        <f t="shared" si="22"/>
        <v>75240</v>
      </c>
      <c r="AL30" s="951">
        <f t="shared" si="23"/>
        <v>75240</v>
      </c>
      <c r="AM30" s="951">
        <f t="shared" si="15"/>
        <v>0</v>
      </c>
      <c r="AN30" s="951">
        <f t="shared" si="24"/>
        <v>39240</v>
      </c>
      <c r="AO30" s="951">
        <f t="shared" si="25"/>
        <v>39240</v>
      </c>
      <c r="AP30" s="951">
        <f t="shared" si="18"/>
        <v>0</v>
      </c>
      <c r="AQ30" s="950"/>
      <c r="AR30" s="950"/>
      <c r="AS30" s="947"/>
      <c r="AT30" s="947"/>
      <c r="AU30" s="947"/>
    </row>
    <row r="31" spans="2:47">
      <c r="B31" s="953"/>
      <c r="C31" s="949" t="str" cm="1">
        <f t="array" ref="C31">IFERROR(_xlfn.IFS(B31="Onshore",$G$16,B31="Offshore","India"),"")</f>
        <v/>
      </c>
      <c r="D31" s="954"/>
      <c r="E31" s="1027"/>
      <c r="F31" s="1027"/>
      <c r="G31" s="1027"/>
      <c r="H31" s="1027"/>
      <c r="I31" s="1027"/>
      <c r="J31" s="926"/>
      <c r="K31" s="926"/>
      <c r="L31" s="671" t="str">
        <f>IFERROR(INDEX(Bill_Rates!$L:$L,MATCH('Basic Pricing File'!$AC31,Bill_Rates!$J:$J,0)),"")</f>
        <v/>
      </c>
      <c r="M31" s="672"/>
      <c r="N31" s="671" t="str">
        <f t="shared" si="0"/>
        <v/>
      </c>
      <c r="O31" s="671" t="str">
        <f>IFERROR(INDEX(Bill_Rates!$O:$O,MATCH($AD31,Bill_Rates!$J:$J,0)),"")</f>
        <v/>
      </c>
      <c r="P31" s="689" t="str">
        <f t="shared" ref="P31:P51" si="26">IFERROR(N31*J31,"")</f>
        <v/>
      </c>
      <c r="Q31" s="689" t="str">
        <f t="shared" ref="Q31:Q51" si="27">IFERROR((J31+K31)*O31,"")</f>
        <v/>
      </c>
      <c r="R31" s="689" t="str">
        <f t="shared" ref="R31:R51" si="28">IFERROR(P31-Q31,"")</f>
        <v/>
      </c>
      <c r="S31" s="683" t="str">
        <f t="shared" ref="S31:S51" si="29">IFERROR(R31/P31,"")</f>
        <v/>
      </c>
      <c r="T31" s="746"/>
      <c r="U31" s="746"/>
      <c r="V31" s="746"/>
      <c r="W31" s="784"/>
      <c r="X31" s="757"/>
      <c r="Y31" s="947"/>
      <c r="Z31" s="947"/>
      <c r="AA31" s="947" t="str">
        <f t="shared" si="4"/>
        <v/>
      </c>
      <c r="AB31" s="947">
        <f t="shared" si="20"/>
        <v>0</v>
      </c>
      <c r="AC31" s="947" t="str">
        <f t="shared" si="5"/>
        <v>USA</v>
      </c>
      <c r="AD31" s="947" t="str">
        <f t="shared" si="6"/>
        <v>USA</v>
      </c>
      <c r="AE31" s="644" t="str">
        <f t="shared" si="7"/>
        <v/>
      </c>
      <c r="AF31" s="644" t="str">
        <f t="shared" si="21"/>
        <v/>
      </c>
      <c r="AG31" s="644">
        <f t="shared" si="9"/>
        <v>0</v>
      </c>
      <c r="AH31" s="951" t="str">
        <f t="shared" si="10"/>
        <v/>
      </c>
      <c r="AI31" s="951" t="str">
        <f t="shared" si="11"/>
        <v/>
      </c>
      <c r="AJ31" s="951" t="str">
        <f t="shared" si="12"/>
        <v/>
      </c>
      <c r="AK31" s="951" t="str">
        <f t="shared" si="22"/>
        <v/>
      </c>
      <c r="AL31" s="951" t="str">
        <f t="shared" si="23"/>
        <v/>
      </c>
      <c r="AM31" s="951">
        <f t="shared" si="15"/>
        <v>0</v>
      </c>
      <c r="AN31" s="951" t="str">
        <f t="shared" si="24"/>
        <v/>
      </c>
      <c r="AO31" s="951" t="str">
        <f t="shared" si="25"/>
        <v/>
      </c>
      <c r="AP31" s="951">
        <f t="shared" si="18"/>
        <v>0</v>
      </c>
      <c r="AQ31" s="950"/>
      <c r="AR31" s="950"/>
      <c r="AS31" s="947"/>
      <c r="AT31" s="947"/>
      <c r="AU31" s="947"/>
    </row>
    <row r="32" spans="2:47">
      <c r="B32" s="953"/>
      <c r="C32" s="949" t="str" cm="1">
        <f t="array" ref="C32">IFERROR(_xlfn.IFS(B32="Onshore",$G$16,B32="Offshore","India"),"")</f>
        <v/>
      </c>
      <c r="D32" s="954"/>
      <c r="E32" s="1027"/>
      <c r="F32" s="1027"/>
      <c r="G32" s="1027"/>
      <c r="H32" s="1027"/>
      <c r="I32" s="1027"/>
      <c r="J32" s="926"/>
      <c r="K32" s="926"/>
      <c r="L32" s="671" t="str">
        <f>IFERROR(INDEX(Bill_Rates!$L:$L,MATCH('Basic Pricing File'!$AC32,Bill_Rates!$J:$J,0)),"")</f>
        <v/>
      </c>
      <c r="M32" s="672"/>
      <c r="N32" s="671" t="str">
        <f t="shared" si="0"/>
        <v/>
      </c>
      <c r="O32" s="671" t="str">
        <f>IFERROR(INDEX(Bill_Rates!$O:$O,MATCH($AD32,Bill_Rates!$J:$J,0)),"")</f>
        <v/>
      </c>
      <c r="P32" s="689" t="str">
        <f t="shared" si="26"/>
        <v/>
      </c>
      <c r="Q32" s="689" t="str">
        <f t="shared" si="27"/>
        <v/>
      </c>
      <c r="R32" s="689" t="str">
        <f t="shared" si="28"/>
        <v/>
      </c>
      <c r="S32" s="683" t="str">
        <f t="shared" si="29"/>
        <v/>
      </c>
      <c r="T32" s="746"/>
      <c r="U32" s="746"/>
      <c r="V32" s="746"/>
      <c r="W32" s="784"/>
      <c r="X32" s="757"/>
      <c r="Y32" s="947"/>
      <c r="Z32" s="947"/>
      <c r="AA32" s="947" t="str">
        <f t="shared" si="4"/>
        <v/>
      </c>
      <c r="AB32" s="947">
        <f t="shared" si="20"/>
        <v>0</v>
      </c>
      <c r="AC32" s="947" t="str">
        <f t="shared" si="5"/>
        <v>USA</v>
      </c>
      <c r="AD32" s="947" t="str">
        <f t="shared" si="6"/>
        <v>USA</v>
      </c>
      <c r="AE32" s="644" t="str">
        <f t="shared" si="7"/>
        <v/>
      </c>
      <c r="AF32" s="644" t="str">
        <f t="shared" si="21"/>
        <v/>
      </c>
      <c r="AG32" s="644">
        <f t="shared" si="9"/>
        <v>0</v>
      </c>
      <c r="AH32" s="951" t="str">
        <f t="shared" si="10"/>
        <v/>
      </c>
      <c r="AI32" s="951" t="str">
        <f t="shared" si="11"/>
        <v/>
      </c>
      <c r="AJ32" s="951" t="str">
        <f t="shared" si="12"/>
        <v/>
      </c>
      <c r="AK32" s="951" t="str">
        <f t="shared" si="22"/>
        <v/>
      </c>
      <c r="AL32" s="951" t="str">
        <f t="shared" si="23"/>
        <v/>
      </c>
      <c r="AM32" s="951">
        <f t="shared" si="15"/>
        <v>0</v>
      </c>
      <c r="AN32" s="951" t="str">
        <f t="shared" si="24"/>
        <v/>
      </c>
      <c r="AO32" s="951" t="str">
        <f t="shared" si="25"/>
        <v/>
      </c>
      <c r="AP32" s="951">
        <f t="shared" si="18"/>
        <v>0</v>
      </c>
      <c r="AQ32" s="950"/>
      <c r="AR32" s="950"/>
      <c r="AS32" s="947"/>
      <c r="AT32" s="947"/>
      <c r="AU32" s="947"/>
    </row>
    <row r="33" spans="2:47">
      <c r="B33" s="953"/>
      <c r="C33" s="949" t="str" cm="1">
        <f t="array" ref="C33">IFERROR(_xlfn.IFS(B33="Onshore",$G$16,B33="Offshore","India"),"")</f>
        <v/>
      </c>
      <c r="D33" s="954"/>
      <c r="E33" s="1027"/>
      <c r="F33" s="1027"/>
      <c r="G33" s="1027"/>
      <c r="H33" s="1027"/>
      <c r="I33" s="1027"/>
      <c r="J33" s="926"/>
      <c r="K33" s="926"/>
      <c r="L33" s="671" t="str">
        <f>IFERROR(INDEX(Bill_Rates!$L:$L,MATCH('Basic Pricing File'!$AC33,Bill_Rates!$J:$J,0)),"")</f>
        <v/>
      </c>
      <c r="M33" s="672"/>
      <c r="N33" s="671" t="str">
        <f t="shared" si="0"/>
        <v/>
      </c>
      <c r="O33" s="671" t="str">
        <f>IFERROR(INDEX(Bill_Rates!$O:$O,MATCH($AD33,Bill_Rates!$J:$J,0)),"")</f>
        <v/>
      </c>
      <c r="P33" s="689" t="str">
        <f t="shared" si="26"/>
        <v/>
      </c>
      <c r="Q33" s="689" t="str">
        <f t="shared" si="27"/>
        <v/>
      </c>
      <c r="R33" s="689" t="str">
        <f t="shared" si="28"/>
        <v/>
      </c>
      <c r="S33" s="683" t="str">
        <f t="shared" si="29"/>
        <v/>
      </c>
      <c r="T33" s="746"/>
      <c r="U33" s="746"/>
      <c r="V33" s="746"/>
      <c r="W33" s="784"/>
      <c r="X33" s="757"/>
      <c r="Y33" s="947"/>
      <c r="Z33" s="947"/>
      <c r="AA33" s="947" t="str">
        <f t="shared" si="4"/>
        <v/>
      </c>
      <c r="AB33" s="947">
        <f t="shared" si="20"/>
        <v>0</v>
      </c>
      <c r="AC33" s="947" t="str">
        <f t="shared" si="5"/>
        <v>USA</v>
      </c>
      <c r="AD33" s="947" t="str">
        <f t="shared" si="6"/>
        <v>USA</v>
      </c>
      <c r="AE33" s="644" t="str">
        <f t="shared" si="7"/>
        <v/>
      </c>
      <c r="AF33" s="644" t="str">
        <f t="shared" si="21"/>
        <v/>
      </c>
      <c r="AG33" s="644">
        <f t="shared" si="9"/>
        <v>0</v>
      </c>
      <c r="AH33" s="951" t="str">
        <f t="shared" si="10"/>
        <v/>
      </c>
      <c r="AI33" s="951" t="str">
        <f t="shared" si="11"/>
        <v/>
      </c>
      <c r="AJ33" s="951" t="str">
        <f t="shared" si="12"/>
        <v/>
      </c>
      <c r="AK33" s="951" t="str">
        <f t="shared" si="22"/>
        <v/>
      </c>
      <c r="AL33" s="951" t="str">
        <f t="shared" si="23"/>
        <v/>
      </c>
      <c r="AM33" s="951">
        <f t="shared" si="15"/>
        <v>0</v>
      </c>
      <c r="AN33" s="951" t="str">
        <f t="shared" si="24"/>
        <v/>
      </c>
      <c r="AO33" s="951" t="str">
        <f t="shared" si="25"/>
        <v/>
      </c>
      <c r="AP33" s="951">
        <f t="shared" si="18"/>
        <v>0</v>
      </c>
      <c r="AQ33" s="950"/>
      <c r="AR33" s="950"/>
      <c r="AS33" s="947"/>
      <c r="AT33" s="947"/>
      <c r="AU33" s="947"/>
    </row>
    <row r="34" spans="2:47">
      <c r="B34" s="953"/>
      <c r="C34" s="949" t="str" cm="1">
        <f t="array" ref="C34">IFERROR(_xlfn.IFS(B34="Onshore",$G$16,B34="Offshore","India"),"")</f>
        <v/>
      </c>
      <c r="D34" s="954"/>
      <c r="E34" s="1027"/>
      <c r="F34" s="1027"/>
      <c r="G34" s="1027"/>
      <c r="H34" s="1027"/>
      <c r="I34" s="1027"/>
      <c r="J34" s="926"/>
      <c r="K34" s="926"/>
      <c r="L34" s="671" t="str">
        <f>IFERROR(INDEX(Bill_Rates!$L:$L,MATCH('Basic Pricing File'!$AC34,Bill_Rates!$J:$J,0)),"")</f>
        <v/>
      </c>
      <c r="M34" s="672"/>
      <c r="N34" s="671" t="str">
        <f t="shared" si="0"/>
        <v/>
      </c>
      <c r="O34" s="671" t="str">
        <f>IFERROR(INDEX(Bill_Rates!$O:$O,MATCH($AD34,Bill_Rates!$J:$J,0)),"")</f>
        <v/>
      </c>
      <c r="P34" s="689" t="str">
        <f t="shared" si="26"/>
        <v/>
      </c>
      <c r="Q34" s="689" t="str">
        <f t="shared" si="27"/>
        <v/>
      </c>
      <c r="R34" s="689" t="str">
        <f t="shared" si="28"/>
        <v/>
      </c>
      <c r="S34" s="683" t="str">
        <f t="shared" si="29"/>
        <v/>
      </c>
      <c r="T34" s="746"/>
      <c r="U34" s="746"/>
      <c r="V34" s="746"/>
      <c r="W34" s="784"/>
      <c r="X34" s="757"/>
      <c r="Y34" s="947"/>
      <c r="Z34" s="947"/>
      <c r="AA34" s="947" t="str">
        <f t="shared" si="4"/>
        <v/>
      </c>
      <c r="AB34" s="947">
        <f t="shared" si="20"/>
        <v>0</v>
      </c>
      <c r="AC34" s="947" t="str">
        <f t="shared" si="5"/>
        <v>USA</v>
      </c>
      <c r="AD34" s="947" t="str">
        <f t="shared" si="6"/>
        <v>USA</v>
      </c>
      <c r="AE34" s="644" t="str">
        <f t="shared" si="7"/>
        <v/>
      </c>
      <c r="AF34" s="644" t="str">
        <f t="shared" si="21"/>
        <v/>
      </c>
      <c r="AG34" s="644">
        <f t="shared" si="9"/>
        <v>0</v>
      </c>
      <c r="AH34" s="951" t="str">
        <f t="shared" si="10"/>
        <v/>
      </c>
      <c r="AI34" s="951" t="str">
        <f t="shared" si="11"/>
        <v/>
      </c>
      <c r="AJ34" s="951" t="str">
        <f t="shared" si="12"/>
        <v/>
      </c>
      <c r="AK34" s="951" t="str">
        <f t="shared" si="22"/>
        <v/>
      </c>
      <c r="AL34" s="951" t="str">
        <f t="shared" si="23"/>
        <v/>
      </c>
      <c r="AM34" s="951">
        <f t="shared" si="15"/>
        <v>0</v>
      </c>
      <c r="AN34" s="951" t="str">
        <f t="shared" si="24"/>
        <v/>
      </c>
      <c r="AO34" s="951" t="str">
        <f t="shared" si="25"/>
        <v/>
      </c>
      <c r="AP34" s="951">
        <f t="shared" si="18"/>
        <v>0</v>
      </c>
      <c r="AQ34" s="950"/>
      <c r="AR34" s="950"/>
      <c r="AS34" s="947"/>
      <c r="AT34" s="947"/>
      <c r="AU34" s="947"/>
    </row>
    <row r="35" spans="2:47">
      <c r="B35" s="953"/>
      <c r="C35" s="949" t="str" cm="1">
        <f t="array" ref="C35">IFERROR(_xlfn.IFS(B35="Onshore",$G$16,B35="Offshore","India"),"")</f>
        <v/>
      </c>
      <c r="D35" s="954"/>
      <c r="E35" s="1027"/>
      <c r="F35" s="1027"/>
      <c r="G35" s="1027"/>
      <c r="H35" s="1027"/>
      <c r="I35" s="1027"/>
      <c r="J35" s="926"/>
      <c r="K35" s="926"/>
      <c r="L35" s="671" t="str">
        <f>IFERROR(INDEX(Bill_Rates!$L:$L,MATCH('Basic Pricing File'!$AC35,Bill_Rates!$J:$J,0)),"")</f>
        <v/>
      </c>
      <c r="M35" s="672"/>
      <c r="N35" s="671" t="str">
        <f t="shared" si="0"/>
        <v/>
      </c>
      <c r="O35" s="671" t="str">
        <f>IFERROR(INDEX(Bill_Rates!$O:$O,MATCH($AD35,Bill_Rates!$J:$J,0)),"")</f>
        <v/>
      </c>
      <c r="P35" s="689" t="str">
        <f t="shared" si="26"/>
        <v/>
      </c>
      <c r="Q35" s="689" t="str">
        <f t="shared" si="27"/>
        <v/>
      </c>
      <c r="R35" s="689" t="str">
        <f t="shared" si="28"/>
        <v/>
      </c>
      <c r="S35" s="683" t="str">
        <f t="shared" si="29"/>
        <v/>
      </c>
      <c r="T35" s="746"/>
      <c r="U35" s="746"/>
      <c r="V35" s="746"/>
      <c r="W35" s="784"/>
      <c r="X35" s="757"/>
      <c r="Y35" s="947"/>
      <c r="Z35" s="947"/>
      <c r="AA35" s="947" t="str">
        <f t="shared" si="4"/>
        <v/>
      </c>
      <c r="AB35" s="947">
        <f t="shared" si="20"/>
        <v>0</v>
      </c>
      <c r="AC35" s="947" t="str">
        <f t="shared" si="5"/>
        <v>USA</v>
      </c>
      <c r="AD35" s="947" t="str">
        <f t="shared" si="6"/>
        <v>USA</v>
      </c>
      <c r="AE35" s="644" t="str">
        <f t="shared" si="7"/>
        <v/>
      </c>
      <c r="AF35" s="644" t="str">
        <f t="shared" si="21"/>
        <v/>
      </c>
      <c r="AG35" s="644">
        <f t="shared" si="9"/>
        <v>0</v>
      </c>
      <c r="AH35" s="951" t="str">
        <f t="shared" si="10"/>
        <v/>
      </c>
      <c r="AI35" s="951" t="str">
        <f t="shared" si="11"/>
        <v/>
      </c>
      <c r="AJ35" s="951" t="str">
        <f t="shared" si="12"/>
        <v/>
      </c>
      <c r="AK35" s="951" t="str">
        <f t="shared" si="22"/>
        <v/>
      </c>
      <c r="AL35" s="951" t="str">
        <f t="shared" si="23"/>
        <v/>
      </c>
      <c r="AM35" s="951">
        <f t="shared" si="15"/>
        <v>0</v>
      </c>
      <c r="AN35" s="951" t="str">
        <f t="shared" si="24"/>
        <v/>
      </c>
      <c r="AO35" s="951" t="str">
        <f t="shared" si="25"/>
        <v/>
      </c>
      <c r="AP35" s="951">
        <f t="shared" si="18"/>
        <v>0</v>
      </c>
      <c r="AQ35" s="950"/>
      <c r="AR35" s="950"/>
      <c r="AS35" s="947"/>
      <c r="AT35" s="947"/>
      <c r="AU35" s="947"/>
    </row>
    <row r="36" spans="2:47">
      <c r="B36" s="953"/>
      <c r="C36" s="949" t="str" cm="1">
        <f t="array" ref="C36">IFERROR(_xlfn.IFS(B36="Onshore",$G$16,B36="Offshore","India"),"")</f>
        <v/>
      </c>
      <c r="D36" s="954"/>
      <c r="E36" s="1027"/>
      <c r="F36" s="1027"/>
      <c r="G36" s="1027"/>
      <c r="H36" s="1027"/>
      <c r="I36" s="1027"/>
      <c r="J36" s="926"/>
      <c r="K36" s="926"/>
      <c r="L36" s="671" t="str">
        <f>IFERROR(INDEX(Bill_Rates!$L:$L,MATCH('Basic Pricing File'!$AC36,Bill_Rates!$J:$J,0)),"")</f>
        <v/>
      </c>
      <c r="M36" s="672"/>
      <c r="N36" s="671" t="str">
        <f t="shared" si="0"/>
        <v/>
      </c>
      <c r="O36" s="671" t="str">
        <f>IFERROR(INDEX(Bill_Rates!$O:$O,MATCH($AD36,Bill_Rates!$J:$J,0)),"")</f>
        <v/>
      </c>
      <c r="P36" s="689" t="str">
        <f t="shared" si="26"/>
        <v/>
      </c>
      <c r="Q36" s="689" t="str">
        <f t="shared" si="27"/>
        <v/>
      </c>
      <c r="R36" s="689" t="str">
        <f t="shared" si="28"/>
        <v/>
      </c>
      <c r="S36" s="683" t="str">
        <f t="shared" si="29"/>
        <v/>
      </c>
      <c r="T36" s="746"/>
      <c r="U36" s="746"/>
      <c r="V36" s="746"/>
      <c r="W36" s="784"/>
      <c r="X36" s="757"/>
      <c r="Y36" s="947"/>
      <c r="Z36" s="947"/>
      <c r="AA36" s="947" t="str">
        <f t="shared" si="4"/>
        <v/>
      </c>
      <c r="AB36" s="947">
        <f t="shared" si="20"/>
        <v>0</v>
      </c>
      <c r="AC36" s="947" t="str">
        <f t="shared" si="5"/>
        <v>USA</v>
      </c>
      <c r="AD36" s="947" t="str">
        <f t="shared" si="6"/>
        <v>USA</v>
      </c>
      <c r="AE36" s="644" t="str">
        <f t="shared" si="7"/>
        <v/>
      </c>
      <c r="AF36" s="644" t="str">
        <f t="shared" si="21"/>
        <v/>
      </c>
      <c r="AG36" s="644">
        <f t="shared" si="9"/>
        <v>0</v>
      </c>
      <c r="AH36" s="951" t="str">
        <f t="shared" si="10"/>
        <v/>
      </c>
      <c r="AI36" s="951" t="str">
        <f t="shared" si="11"/>
        <v/>
      </c>
      <c r="AJ36" s="951" t="str">
        <f t="shared" si="12"/>
        <v/>
      </c>
      <c r="AK36" s="951" t="str">
        <f t="shared" si="22"/>
        <v/>
      </c>
      <c r="AL36" s="951" t="str">
        <f t="shared" si="23"/>
        <v/>
      </c>
      <c r="AM36" s="951">
        <f t="shared" si="15"/>
        <v>0</v>
      </c>
      <c r="AN36" s="951" t="str">
        <f t="shared" si="24"/>
        <v/>
      </c>
      <c r="AO36" s="951" t="str">
        <f t="shared" si="25"/>
        <v/>
      </c>
      <c r="AP36" s="951">
        <f t="shared" si="18"/>
        <v>0</v>
      </c>
      <c r="AQ36" s="950"/>
      <c r="AR36" s="950"/>
      <c r="AS36" s="947"/>
      <c r="AT36" s="947"/>
      <c r="AU36" s="947"/>
    </row>
    <row r="37" spans="2:47">
      <c r="B37" s="953"/>
      <c r="C37" s="949" t="str" cm="1">
        <f t="array" ref="C37">IFERROR(_xlfn.IFS(B37="Onshore",$G$16,B37="Offshore","India"),"")</f>
        <v/>
      </c>
      <c r="D37" s="954"/>
      <c r="E37" s="1027"/>
      <c r="F37" s="1027"/>
      <c r="G37" s="1027"/>
      <c r="H37" s="1027"/>
      <c r="I37" s="1027"/>
      <c r="J37" s="926"/>
      <c r="K37" s="926"/>
      <c r="L37" s="671" t="str">
        <f>IFERROR(INDEX(Bill_Rates!$L:$L,MATCH('Basic Pricing File'!$AC37,Bill_Rates!$J:$J,0)),"")</f>
        <v/>
      </c>
      <c r="M37" s="672"/>
      <c r="N37" s="671" t="str">
        <f t="shared" si="0"/>
        <v/>
      </c>
      <c r="O37" s="671" t="str">
        <f>IFERROR(INDEX(Bill_Rates!$O:$O,MATCH($AD37,Bill_Rates!$J:$J,0)),"")</f>
        <v/>
      </c>
      <c r="P37" s="689" t="str">
        <f t="shared" si="26"/>
        <v/>
      </c>
      <c r="Q37" s="689" t="str">
        <f t="shared" si="27"/>
        <v/>
      </c>
      <c r="R37" s="689" t="str">
        <f t="shared" si="28"/>
        <v/>
      </c>
      <c r="S37" s="683" t="str">
        <f t="shared" si="29"/>
        <v/>
      </c>
      <c r="T37" s="746"/>
      <c r="U37" s="746"/>
      <c r="V37" s="746"/>
      <c r="W37" s="784"/>
      <c r="X37" s="757"/>
      <c r="Y37" s="947"/>
      <c r="Z37" s="947"/>
      <c r="AA37" s="947" t="str">
        <f t="shared" si="4"/>
        <v/>
      </c>
      <c r="AB37" s="947">
        <f t="shared" si="20"/>
        <v>0</v>
      </c>
      <c r="AC37" s="947" t="str">
        <f t="shared" si="5"/>
        <v>USA</v>
      </c>
      <c r="AD37" s="947" t="str">
        <f t="shared" si="6"/>
        <v>USA</v>
      </c>
      <c r="AE37" s="644" t="str">
        <f t="shared" si="7"/>
        <v/>
      </c>
      <c r="AF37" s="644" t="str">
        <f t="shared" si="21"/>
        <v/>
      </c>
      <c r="AG37" s="644">
        <f t="shared" si="9"/>
        <v>0</v>
      </c>
      <c r="AH37" s="951" t="str">
        <f t="shared" si="10"/>
        <v/>
      </c>
      <c r="AI37" s="951" t="str">
        <f t="shared" si="11"/>
        <v/>
      </c>
      <c r="AJ37" s="951" t="str">
        <f t="shared" si="12"/>
        <v/>
      </c>
      <c r="AK37" s="951" t="str">
        <f t="shared" si="22"/>
        <v/>
      </c>
      <c r="AL37" s="951" t="str">
        <f t="shared" si="23"/>
        <v/>
      </c>
      <c r="AM37" s="951">
        <f t="shared" si="15"/>
        <v>0</v>
      </c>
      <c r="AN37" s="951" t="str">
        <f t="shared" si="24"/>
        <v/>
      </c>
      <c r="AO37" s="951" t="str">
        <f t="shared" si="25"/>
        <v/>
      </c>
      <c r="AP37" s="951">
        <f t="shared" si="18"/>
        <v>0</v>
      </c>
      <c r="AQ37" s="950"/>
      <c r="AR37" s="950"/>
      <c r="AS37" s="947"/>
      <c r="AT37" s="947"/>
      <c r="AU37" s="947"/>
    </row>
    <row r="38" spans="2:47">
      <c r="B38" s="953"/>
      <c r="C38" s="949" t="str" cm="1">
        <f t="array" ref="C38">IFERROR(_xlfn.IFS(B38="Onshore",$G$16,B38="Offshore","India"),"")</f>
        <v/>
      </c>
      <c r="D38" s="954"/>
      <c r="E38" s="1027"/>
      <c r="F38" s="1027"/>
      <c r="G38" s="1027"/>
      <c r="H38" s="1027"/>
      <c r="I38" s="1027"/>
      <c r="J38" s="926"/>
      <c r="K38" s="926"/>
      <c r="L38" s="671" t="str">
        <f>IFERROR(INDEX(Bill_Rates!$L:$L,MATCH('Basic Pricing File'!$AC38,Bill_Rates!$J:$J,0)),"")</f>
        <v/>
      </c>
      <c r="M38" s="672"/>
      <c r="N38" s="671" t="str">
        <f t="shared" si="0"/>
        <v/>
      </c>
      <c r="O38" s="671" t="str">
        <f>IFERROR(INDEX(Bill_Rates!$O:$O,MATCH($AD38,Bill_Rates!$J:$J,0)),"")</f>
        <v/>
      </c>
      <c r="P38" s="689" t="str">
        <f t="shared" si="26"/>
        <v/>
      </c>
      <c r="Q38" s="689" t="str">
        <f t="shared" si="27"/>
        <v/>
      </c>
      <c r="R38" s="689" t="str">
        <f t="shared" si="28"/>
        <v/>
      </c>
      <c r="S38" s="683" t="str">
        <f t="shared" si="29"/>
        <v/>
      </c>
      <c r="T38" s="746"/>
      <c r="U38" s="746"/>
      <c r="V38" s="746"/>
      <c r="W38" s="784"/>
      <c r="X38" s="757"/>
      <c r="Y38" s="947"/>
      <c r="Z38" s="947"/>
      <c r="AA38" s="947" t="str">
        <f t="shared" si="4"/>
        <v/>
      </c>
      <c r="AB38" s="947">
        <f t="shared" si="20"/>
        <v>0</v>
      </c>
      <c r="AC38" s="947" t="str">
        <f t="shared" si="5"/>
        <v>USA</v>
      </c>
      <c r="AD38" s="947" t="str">
        <f t="shared" si="6"/>
        <v>USA</v>
      </c>
      <c r="AE38" s="644" t="str">
        <f t="shared" si="7"/>
        <v/>
      </c>
      <c r="AF38" s="644" t="str">
        <f t="shared" si="21"/>
        <v/>
      </c>
      <c r="AG38" s="644">
        <f t="shared" si="9"/>
        <v>0</v>
      </c>
      <c r="AH38" s="951" t="str">
        <f t="shared" si="10"/>
        <v/>
      </c>
      <c r="AI38" s="951" t="str">
        <f t="shared" si="11"/>
        <v/>
      </c>
      <c r="AJ38" s="951" t="str">
        <f t="shared" si="12"/>
        <v/>
      </c>
      <c r="AK38" s="951" t="str">
        <f t="shared" si="22"/>
        <v/>
      </c>
      <c r="AL38" s="951" t="str">
        <f t="shared" si="23"/>
        <v/>
      </c>
      <c r="AM38" s="951">
        <f t="shared" si="15"/>
        <v>0</v>
      </c>
      <c r="AN38" s="951" t="str">
        <f t="shared" si="24"/>
        <v/>
      </c>
      <c r="AO38" s="951" t="str">
        <f t="shared" si="25"/>
        <v/>
      </c>
      <c r="AP38" s="951">
        <f t="shared" si="18"/>
        <v>0</v>
      </c>
      <c r="AQ38" s="950"/>
      <c r="AR38" s="950"/>
      <c r="AS38" s="947"/>
      <c r="AT38" s="947"/>
      <c r="AU38" s="947"/>
    </row>
    <row r="39" spans="2:47">
      <c r="B39" s="953"/>
      <c r="C39" s="949" t="str" cm="1">
        <f t="array" ref="C39">IFERROR(_xlfn.IFS(B39="Onshore",$G$16,B39="Offshore","India"),"")</f>
        <v/>
      </c>
      <c r="D39" s="954"/>
      <c r="E39" s="1027"/>
      <c r="F39" s="1027"/>
      <c r="G39" s="1027"/>
      <c r="H39" s="1027"/>
      <c r="I39" s="1027"/>
      <c r="J39" s="926"/>
      <c r="K39" s="926"/>
      <c r="L39" s="671" t="str">
        <f>IFERROR(INDEX(Bill_Rates!$L:$L,MATCH('Basic Pricing File'!$AC39,Bill_Rates!$J:$J,0)),"")</f>
        <v/>
      </c>
      <c r="M39" s="672"/>
      <c r="N39" s="671" t="str">
        <f t="shared" si="0"/>
        <v/>
      </c>
      <c r="O39" s="671" t="str">
        <f>IFERROR(INDEX(Bill_Rates!$O:$O,MATCH($AD39,Bill_Rates!$J:$J,0)),"")</f>
        <v/>
      </c>
      <c r="P39" s="689" t="str">
        <f t="shared" si="26"/>
        <v/>
      </c>
      <c r="Q39" s="689" t="str">
        <f t="shared" si="27"/>
        <v/>
      </c>
      <c r="R39" s="689" t="str">
        <f t="shared" si="28"/>
        <v/>
      </c>
      <c r="S39" s="683" t="str">
        <f t="shared" si="29"/>
        <v/>
      </c>
      <c r="T39" s="746"/>
      <c r="U39" s="746"/>
      <c r="V39" s="746"/>
      <c r="W39" s="784"/>
      <c r="X39" s="757"/>
      <c r="Y39" s="947"/>
      <c r="Z39" s="947"/>
      <c r="AA39" s="947" t="str">
        <f t="shared" si="4"/>
        <v/>
      </c>
      <c r="AB39" s="947">
        <f t="shared" si="20"/>
        <v>0</v>
      </c>
      <c r="AC39" s="947" t="str">
        <f t="shared" si="5"/>
        <v>USA</v>
      </c>
      <c r="AD39" s="947" t="str">
        <f t="shared" si="6"/>
        <v>USA</v>
      </c>
      <c r="AE39" s="644" t="str">
        <f t="shared" si="7"/>
        <v/>
      </c>
      <c r="AF39" s="644" t="str">
        <f t="shared" si="21"/>
        <v/>
      </c>
      <c r="AG39" s="644">
        <f t="shared" si="9"/>
        <v>0</v>
      </c>
      <c r="AH39" s="951" t="str">
        <f t="shared" si="10"/>
        <v/>
      </c>
      <c r="AI39" s="951" t="str">
        <f t="shared" si="11"/>
        <v/>
      </c>
      <c r="AJ39" s="951" t="str">
        <f t="shared" si="12"/>
        <v/>
      </c>
      <c r="AK39" s="951" t="str">
        <f t="shared" si="22"/>
        <v/>
      </c>
      <c r="AL39" s="951" t="str">
        <f t="shared" si="23"/>
        <v/>
      </c>
      <c r="AM39" s="951">
        <f t="shared" si="15"/>
        <v>0</v>
      </c>
      <c r="AN39" s="951" t="str">
        <f t="shared" si="24"/>
        <v/>
      </c>
      <c r="AO39" s="951" t="str">
        <f t="shared" si="25"/>
        <v/>
      </c>
      <c r="AP39" s="951">
        <f t="shared" si="18"/>
        <v>0</v>
      </c>
      <c r="AQ39" s="950"/>
      <c r="AR39" s="950"/>
      <c r="AS39" s="947"/>
      <c r="AT39" s="947"/>
      <c r="AU39" s="947"/>
    </row>
    <row r="40" spans="2:47">
      <c r="B40" s="953"/>
      <c r="C40" s="949" t="str" cm="1">
        <f t="array" ref="C40">IFERROR(_xlfn.IFS(B40="Onshore",$G$16,B40="Offshore","India"),"")</f>
        <v/>
      </c>
      <c r="D40" s="954"/>
      <c r="E40" s="1027"/>
      <c r="F40" s="1027"/>
      <c r="G40" s="1027"/>
      <c r="H40" s="1027"/>
      <c r="I40" s="1027"/>
      <c r="J40" s="926"/>
      <c r="K40" s="926"/>
      <c r="L40" s="671" t="str">
        <f>IFERROR(INDEX(Bill_Rates!$L:$L,MATCH('Basic Pricing File'!$AC40,Bill_Rates!$J:$J,0)),"")</f>
        <v/>
      </c>
      <c r="M40" s="672"/>
      <c r="N40" s="671" t="str">
        <f t="shared" si="0"/>
        <v/>
      </c>
      <c r="O40" s="671" t="str">
        <f>IFERROR(INDEX(Bill_Rates!$O:$O,MATCH($AD40,Bill_Rates!$J:$J,0)),"")</f>
        <v/>
      </c>
      <c r="P40" s="689" t="str">
        <f t="shared" si="26"/>
        <v/>
      </c>
      <c r="Q40" s="689" t="str">
        <f t="shared" si="27"/>
        <v/>
      </c>
      <c r="R40" s="689" t="str">
        <f t="shared" si="28"/>
        <v/>
      </c>
      <c r="S40" s="683" t="str">
        <f t="shared" si="29"/>
        <v/>
      </c>
      <c r="T40" s="746"/>
      <c r="U40" s="746"/>
      <c r="V40" s="746"/>
      <c r="W40" s="784"/>
      <c r="X40" s="757"/>
      <c r="Y40" s="947"/>
      <c r="Z40" s="947"/>
      <c r="AA40" s="947" t="str">
        <f t="shared" si="4"/>
        <v/>
      </c>
      <c r="AB40" s="947">
        <f t="shared" si="20"/>
        <v>0</v>
      </c>
      <c r="AC40" s="947" t="str">
        <f t="shared" si="5"/>
        <v>USA</v>
      </c>
      <c r="AD40" s="947" t="str">
        <f t="shared" si="6"/>
        <v>USA</v>
      </c>
      <c r="AE40" s="644" t="str">
        <f t="shared" si="7"/>
        <v/>
      </c>
      <c r="AF40" s="644" t="str">
        <f t="shared" si="21"/>
        <v/>
      </c>
      <c r="AG40" s="644">
        <f t="shared" si="9"/>
        <v>0</v>
      </c>
      <c r="AH40" s="951" t="str">
        <f t="shared" si="10"/>
        <v/>
      </c>
      <c r="AI40" s="951" t="str">
        <f t="shared" si="11"/>
        <v/>
      </c>
      <c r="AJ40" s="951" t="str">
        <f t="shared" si="12"/>
        <v/>
      </c>
      <c r="AK40" s="951" t="str">
        <f t="shared" si="22"/>
        <v/>
      </c>
      <c r="AL40" s="951" t="str">
        <f t="shared" si="23"/>
        <v/>
      </c>
      <c r="AM40" s="951">
        <f t="shared" si="15"/>
        <v>0</v>
      </c>
      <c r="AN40" s="951" t="str">
        <f t="shared" si="24"/>
        <v/>
      </c>
      <c r="AO40" s="951" t="str">
        <f t="shared" si="25"/>
        <v/>
      </c>
      <c r="AP40" s="951">
        <f t="shared" si="18"/>
        <v>0</v>
      </c>
      <c r="AQ40" s="950"/>
      <c r="AR40" s="950"/>
      <c r="AS40" s="947"/>
      <c r="AT40" s="947"/>
      <c r="AU40" s="947"/>
    </row>
    <row r="41" spans="2:47">
      <c r="B41" s="953"/>
      <c r="C41" s="949" t="str" cm="1">
        <f t="array" ref="C41">IFERROR(_xlfn.IFS(B41="Onshore",$G$16,B41="Offshore","India"),"")</f>
        <v/>
      </c>
      <c r="D41" s="954"/>
      <c r="E41" s="1027"/>
      <c r="F41" s="1027"/>
      <c r="G41" s="1027"/>
      <c r="H41" s="1027"/>
      <c r="I41" s="1027"/>
      <c r="J41" s="926"/>
      <c r="K41" s="926"/>
      <c r="L41" s="671" t="str">
        <f>IFERROR(INDEX(Bill_Rates!$L:$L,MATCH('Basic Pricing File'!$AC41,Bill_Rates!$J:$J,0)),"")</f>
        <v/>
      </c>
      <c r="M41" s="672"/>
      <c r="N41" s="671" t="str">
        <f t="shared" si="0"/>
        <v/>
      </c>
      <c r="O41" s="671" t="str">
        <f>IFERROR(INDEX(Bill_Rates!$O:$O,MATCH($AD41,Bill_Rates!$J:$J,0)),"")</f>
        <v/>
      </c>
      <c r="P41" s="689" t="str">
        <f t="shared" si="26"/>
        <v/>
      </c>
      <c r="Q41" s="689" t="str">
        <f t="shared" si="27"/>
        <v/>
      </c>
      <c r="R41" s="689" t="str">
        <f t="shared" si="28"/>
        <v/>
      </c>
      <c r="S41" s="683" t="str">
        <f t="shared" si="29"/>
        <v/>
      </c>
      <c r="T41" s="746"/>
      <c r="U41" s="746"/>
      <c r="V41" s="746"/>
      <c r="W41" s="784"/>
      <c r="X41" s="757"/>
      <c r="Y41" s="947"/>
      <c r="Z41" s="947"/>
      <c r="AA41" s="947" t="str">
        <f t="shared" si="4"/>
        <v/>
      </c>
      <c r="AB41" s="947">
        <f t="shared" si="20"/>
        <v>0</v>
      </c>
      <c r="AC41" s="947" t="str">
        <f t="shared" si="5"/>
        <v>USA</v>
      </c>
      <c r="AD41" s="947" t="str">
        <f t="shared" si="6"/>
        <v>USA</v>
      </c>
      <c r="AE41" s="644" t="str">
        <f t="shared" si="7"/>
        <v/>
      </c>
      <c r="AF41" s="644" t="str">
        <f t="shared" si="21"/>
        <v/>
      </c>
      <c r="AG41" s="644">
        <f t="shared" si="9"/>
        <v>0</v>
      </c>
      <c r="AH41" s="951" t="str">
        <f t="shared" si="10"/>
        <v/>
      </c>
      <c r="AI41" s="951" t="str">
        <f t="shared" si="11"/>
        <v/>
      </c>
      <c r="AJ41" s="951" t="str">
        <f t="shared" si="12"/>
        <v/>
      </c>
      <c r="AK41" s="951" t="str">
        <f t="shared" si="22"/>
        <v/>
      </c>
      <c r="AL41" s="951" t="str">
        <f t="shared" si="23"/>
        <v/>
      </c>
      <c r="AM41" s="951">
        <f t="shared" si="15"/>
        <v>0</v>
      </c>
      <c r="AN41" s="951" t="str">
        <f t="shared" si="24"/>
        <v/>
      </c>
      <c r="AO41" s="951" t="str">
        <f t="shared" si="25"/>
        <v/>
      </c>
      <c r="AP41" s="951">
        <f t="shared" si="18"/>
        <v>0</v>
      </c>
      <c r="AQ41" s="950"/>
      <c r="AR41" s="950"/>
      <c r="AS41" s="947"/>
      <c r="AT41" s="947"/>
      <c r="AU41" s="947"/>
    </row>
    <row r="42" spans="2:47">
      <c r="B42" s="953"/>
      <c r="C42" s="949" t="str" cm="1">
        <f t="array" ref="C42">IFERROR(_xlfn.IFS(B42="Onshore",$G$16,B42="Offshore","India"),"")</f>
        <v/>
      </c>
      <c r="D42" s="954"/>
      <c r="E42" s="1027"/>
      <c r="F42" s="1027"/>
      <c r="G42" s="1027"/>
      <c r="H42" s="1027"/>
      <c r="I42" s="1027"/>
      <c r="J42" s="926"/>
      <c r="K42" s="926"/>
      <c r="L42" s="671" t="str">
        <f>IFERROR(INDEX(Bill_Rates!$L:$L,MATCH('Basic Pricing File'!$AC42,Bill_Rates!$J:$J,0)),"")</f>
        <v/>
      </c>
      <c r="M42" s="672"/>
      <c r="N42" s="671" t="str">
        <f t="shared" si="0"/>
        <v/>
      </c>
      <c r="O42" s="671" t="str">
        <f>IFERROR(INDEX(Bill_Rates!$O:$O,MATCH($AD42,Bill_Rates!$J:$J,0)),"")</f>
        <v/>
      </c>
      <c r="P42" s="689" t="str">
        <f t="shared" si="26"/>
        <v/>
      </c>
      <c r="Q42" s="689" t="str">
        <f t="shared" si="27"/>
        <v/>
      </c>
      <c r="R42" s="689" t="str">
        <f t="shared" si="28"/>
        <v/>
      </c>
      <c r="S42" s="683" t="str">
        <f t="shared" si="29"/>
        <v/>
      </c>
      <c r="T42" s="746"/>
      <c r="U42" s="746"/>
      <c r="V42" s="746"/>
      <c r="W42" s="784"/>
      <c r="X42" s="757"/>
      <c r="Y42" s="947"/>
      <c r="Z42" s="947"/>
      <c r="AA42" s="947" t="str">
        <f t="shared" si="4"/>
        <v/>
      </c>
      <c r="AB42" s="947">
        <f t="shared" si="20"/>
        <v>0</v>
      </c>
      <c r="AC42" s="947" t="str">
        <f t="shared" si="5"/>
        <v>USA</v>
      </c>
      <c r="AD42" s="947" t="str">
        <f t="shared" si="6"/>
        <v>USA</v>
      </c>
      <c r="AE42" s="644" t="str">
        <f t="shared" si="7"/>
        <v/>
      </c>
      <c r="AF42" s="644" t="str">
        <f t="shared" si="21"/>
        <v/>
      </c>
      <c r="AG42" s="644">
        <f t="shared" si="9"/>
        <v>0</v>
      </c>
      <c r="AH42" s="951" t="str">
        <f t="shared" si="10"/>
        <v/>
      </c>
      <c r="AI42" s="951" t="str">
        <f t="shared" si="11"/>
        <v/>
      </c>
      <c r="AJ42" s="951" t="str">
        <f t="shared" si="12"/>
        <v/>
      </c>
      <c r="AK42" s="951" t="str">
        <f t="shared" si="22"/>
        <v/>
      </c>
      <c r="AL42" s="951" t="str">
        <f t="shared" si="23"/>
        <v/>
      </c>
      <c r="AM42" s="951">
        <f t="shared" si="15"/>
        <v>0</v>
      </c>
      <c r="AN42" s="951" t="str">
        <f t="shared" si="24"/>
        <v/>
      </c>
      <c r="AO42" s="951" t="str">
        <f t="shared" si="25"/>
        <v/>
      </c>
      <c r="AP42" s="951">
        <f t="shared" si="18"/>
        <v>0</v>
      </c>
      <c r="AQ42" s="950"/>
      <c r="AR42" s="950"/>
      <c r="AS42" s="947"/>
      <c r="AT42" s="947"/>
      <c r="AU42" s="947"/>
    </row>
    <row r="43" spans="2:47">
      <c r="B43" s="953"/>
      <c r="C43" s="949" t="str" cm="1">
        <f t="array" ref="C43">IFERROR(_xlfn.IFS(B43="Onshore",$G$16,B43="Offshore","India"),"")</f>
        <v/>
      </c>
      <c r="D43" s="954"/>
      <c r="E43" s="1027"/>
      <c r="F43" s="1027"/>
      <c r="G43" s="1027"/>
      <c r="H43" s="1027"/>
      <c r="I43" s="1027"/>
      <c r="J43" s="926"/>
      <c r="K43" s="926"/>
      <c r="L43" s="671" t="str">
        <f>IFERROR(INDEX(Bill_Rates!$L:$L,MATCH('Basic Pricing File'!$AC43,Bill_Rates!$J:$J,0)),"")</f>
        <v/>
      </c>
      <c r="M43" s="672"/>
      <c r="N43" s="671" t="str">
        <f t="shared" si="0"/>
        <v/>
      </c>
      <c r="O43" s="671" t="str">
        <f>IFERROR(INDEX(Bill_Rates!$O:$O,MATCH($AD43,Bill_Rates!$J:$J,0)),"")</f>
        <v/>
      </c>
      <c r="P43" s="689" t="str">
        <f t="shared" si="26"/>
        <v/>
      </c>
      <c r="Q43" s="689" t="str">
        <f t="shared" si="27"/>
        <v/>
      </c>
      <c r="R43" s="689" t="str">
        <f t="shared" si="28"/>
        <v/>
      </c>
      <c r="S43" s="683" t="str">
        <f t="shared" si="29"/>
        <v/>
      </c>
      <c r="T43" s="746"/>
      <c r="U43" s="746"/>
      <c r="V43" s="746"/>
      <c r="W43" s="784"/>
      <c r="X43" s="757"/>
      <c r="Y43" s="947"/>
      <c r="Z43" s="947"/>
      <c r="AA43" s="947" t="str">
        <f t="shared" si="4"/>
        <v/>
      </c>
      <c r="AB43" s="947">
        <f t="shared" si="20"/>
        <v>0</v>
      </c>
      <c r="AC43" s="947" t="str">
        <f t="shared" si="5"/>
        <v>USA</v>
      </c>
      <c r="AD43" s="947" t="str">
        <f t="shared" si="6"/>
        <v>USA</v>
      </c>
      <c r="AE43" s="644" t="str">
        <f t="shared" si="7"/>
        <v/>
      </c>
      <c r="AF43" s="644" t="str">
        <f t="shared" si="21"/>
        <v/>
      </c>
      <c r="AG43" s="644">
        <f t="shared" si="9"/>
        <v>0</v>
      </c>
      <c r="AH43" s="951" t="str">
        <f t="shared" si="10"/>
        <v/>
      </c>
      <c r="AI43" s="951" t="str">
        <f t="shared" si="11"/>
        <v/>
      </c>
      <c r="AJ43" s="951" t="str">
        <f t="shared" si="12"/>
        <v/>
      </c>
      <c r="AK43" s="951" t="str">
        <f t="shared" si="22"/>
        <v/>
      </c>
      <c r="AL43" s="951" t="str">
        <f t="shared" si="23"/>
        <v/>
      </c>
      <c r="AM43" s="951">
        <f t="shared" si="15"/>
        <v>0</v>
      </c>
      <c r="AN43" s="951" t="str">
        <f t="shared" si="24"/>
        <v/>
      </c>
      <c r="AO43" s="951" t="str">
        <f t="shared" si="25"/>
        <v/>
      </c>
      <c r="AP43" s="951">
        <f t="shared" si="18"/>
        <v>0</v>
      </c>
      <c r="AQ43" s="950"/>
      <c r="AR43" s="950"/>
      <c r="AS43" s="947"/>
      <c r="AT43" s="947"/>
      <c r="AU43" s="947"/>
    </row>
    <row r="44" spans="2:47">
      <c r="B44" s="953"/>
      <c r="C44" s="949" t="str" cm="1">
        <f t="array" ref="C44">IFERROR(_xlfn.IFS(B44="Onshore",$G$16,B44="Offshore","India"),"")</f>
        <v/>
      </c>
      <c r="D44" s="954"/>
      <c r="E44" s="1027"/>
      <c r="F44" s="1027"/>
      <c r="G44" s="1027"/>
      <c r="H44" s="1027"/>
      <c r="I44" s="1027"/>
      <c r="J44" s="926"/>
      <c r="K44" s="926"/>
      <c r="L44" s="671" t="str">
        <f>IFERROR(INDEX(Bill_Rates!$L:$L,MATCH('Basic Pricing File'!$AC44,Bill_Rates!$J:$J,0)),"")</f>
        <v/>
      </c>
      <c r="M44" s="672"/>
      <c r="N44" s="671" t="str">
        <f t="shared" si="0"/>
        <v/>
      </c>
      <c r="O44" s="671" t="str">
        <f>IFERROR(INDEX(Bill_Rates!$O:$O,MATCH($AD44,Bill_Rates!$J:$J,0)),"")</f>
        <v/>
      </c>
      <c r="P44" s="689" t="str">
        <f t="shared" si="26"/>
        <v/>
      </c>
      <c r="Q44" s="689" t="str">
        <f t="shared" si="27"/>
        <v/>
      </c>
      <c r="R44" s="689" t="str">
        <f t="shared" si="28"/>
        <v/>
      </c>
      <c r="S44" s="683" t="str">
        <f t="shared" si="29"/>
        <v/>
      </c>
      <c r="T44" s="746"/>
      <c r="U44" s="746"/>
      <c r="V44" s="746"/>
      <c r="W44" s="784"/>
      <c r="X44" s="757"/>
      <c r="Y44" s="947"/>
      <c r="Z44" s="947"/>
      <c r="AA44" s="947" t="str">
        <f t="shared" si="4"/>
        <v/>
      </c>
      <c r="AB44" s="947">
        <f t="shared" si="20"/>
        <v>0</v>
      </c>
      <c r="AC44" s="947" t="str">
        <f t="shared" si="5"/>
        <v>USA</v>
      </c>
      <c r="AD44" s="947" t="str">
        <f t="shared" si="6"/>
        <v>USA</v>
      </c>
      <c r="AE44" s="644" t="str">
        <f t="shared" si="7"/>
        <v/>
      </c>
      <c r="AF44" s="644" t="str">
        <f t="shared" si="21"/>
        <v/>
      </c>
      <c r="AG44" s="644">
        <f t="shared" si="9"/>
        <v>0</v>
      </c>
      <c r="AH44" s="951" t="str">
        <f t="shared" si="10"/>
        <v/>
      </c>
      <c r="AI44" s="951" t="str">
        <f t="shared" si="11"/>
        <v/>
      </c>
      <c r="AJ44" s="951" t="str">
        <f t="shared" si="12"/>
        <v/>
      </c>
      <c r="AK44" s="951" t="str">
        <f t="shared" si="22"/>
        <v/>
      </c>
      <c r="AL44" s="951" t="str">
        <f t="shared" si="23"/>
        <v/>
      </c>
      <c r="AM44" s="951">
        <f t="shared" si="15"/>
        <v>0</v>
      </c>
      <c r="AN44" s="951" t="str">
        <f t="shared" si="24"/>
        <v/>
      </c>
      <c r="AO44" s="951" t="str">
        <f t="shared" si="25"/>
        <v/>
      </c>
      <c r="AP44" s="951">
        <f t="shared" si="18"/>
        <v>0</v>
      </c>
      <c r="AQ44" s="950"/>
      <c r="AR44" s="950"/>
      <c r="AS44" s="947"/>
      <c r="AT44" s="947"/>
      <c r="AU44" s="947"/>
    </row>
    <row r="45" spans="2:47">
      <c r="B45" s="953"/>
      <c r="C45" s="949" t="str" cm="1">
        <f t="array" ref="C45">IFERROR(_xlfn.IFS(B45="Onshore",$G$16,B45="Offshore","India"),"")</f>
        <v/>
      </c>
      <c r="D45" s="954"/>
      <c r="E45" s="1027"/>
      <c r="F45" s="1027"/>
      <c r="G45" s="1027"/>
      <c r="H45" s="1027"/>
      <c r="I45" s="1027"/>
      <c r="J45" s="926"/>
      <c r="K45" s="926"/>
      <c r="L45" s="671" t="str">
        <f>IFERROR(INDEX(Bill_Rates!$L:$L,MATCH('Basic Pricing File'!$AC45,Bill_Rates!$J:$J,0)),"")</f>
        <v/>
      </c>
      <c r="M45" s="672"/>
      <c r="N45" s="671" t="str">
        <f t="shared" si="0"/>
        <v/>
      </c>
      <c r="O45" s="671" t="str">
        <f>IFERROR(INDEX(Bill_Rates!$O:$O,MATCH($AD45,Bill_Rates!$J:$J,0)),"")</f>
        <v/>
      </c>
      <c r="P45" s="689" t="str">
        <f t="shared" si="26"/>
        <v/>
      </c>
      <c r="Q45" s="689" t="str">
        <f t="shared" si="27"/>
        <v/>
      </c>
      <c r="R45" s="689" t="str">
        <f t="shared" si="28"/>
        <v/>
      </c>
      <c r="S45" s="683" t="str">
        <f t="shared" si="29"/>
        <v/>
      </c>
      <c r="T45" s="746"/>
      <c r="U45" s="746"/>
      <c r="V45" s="746"/>
      <c r="W45" s="784"/>
      <c r="X45" s="757"/>
      <c r="Y45" s="947"/>
      <c r="Z45" s="947"/>
      <c r="AA45" s="947" t="str">
        <f t="shared" si="4"/>
        <v/>
      </c>
      <c r="AB45" s="947">
        <f t="shared" si="20"/>
        <v>0</v>
      </c>
      <c r="AC45" s="947" t="str">
        <f t="shared" si="5"/>
        <v>USA</v>
      </c>
      <c r="AD45" s="947" t="str">
        <f t="shared" si="6"/>
        <v>USA</v>
      </c>
      <c r="AE45" s="644" t="str">
        <f t="shared" si="7"/>
        <v/>
      </c>
      <c r="AF45" s="644" t="str">
        <f t="shared" si="21"/>
        <v/>
      </c>
      <c r="AG45" s="644">
        <f t="shared" si="9"/>
        <v>0</v>
      </c>
      <c r="AH45" s="951" t="str">
        <f t="shared" si="10"/>
        <v/>
      </c>
      <c r="AI45" s="951" t="str">
        <f t="shared" si="11"/>
        <v/>
      </c>
      <c r="AJ45" s="951" t="str">
        <f t="shared" si="12"/>
        <v/>
      </c>
      <c r="AK45" s="951" t="str">
        <f t="shared" si="22"/>
        <v/>
      </c>
      <c r="AL45" s="951" t="str">
        <f t="shared" si="23"/>
        <v/>
      </c>
      <c r="AM45" s="951">
        <f t="shared" si="15"/>
        <v>0</v>
      </c>
      <c r="AN45" s="951" t="str">
        <f t="shared" si="24"/>
        <v/>
      </c>
      <c r="AO45" s="951" t="str">
        <f t="shared" si="25"/>
        <v/>
      </c>
      <c r="AP45" s="951">
        <f t="shared" si="18"/>
        <v>0</v>
      </c>
      <c r="AQ45" s="950"/>
      <c r="AR45" s="950"/>
      <c r="AS45" s="947"/>
      <c r="AT45" s="947"/>
      <c r="AU45" s="947"/>
    </row>
    <row r="46" spans="2:47">
      <c r="B46" s="953"/>
      <c r="C46" s="949" t="str" cm="1">
        <f t="array" ref="C46">IFERROR(_xlfn.IFS(B46="Onshore",$G$16,B46="Offshore","India"),"")</f>
        <v/>
      </c>
      <c r="D46" s="954"/>
      <c r="E46" s="1027"/>
      <c r="F46" s="1027"/>
      <c r="G46" s="1027"/>
      <c r="H46" s="1027"/>
      <c r="I46" s="1027"/>
      <c r="J46" s="926"/>
      <c r="K46" s="926"/>
      <c r="L46" s="671" t="str">
        <f>IFERROR(INDEX(Bill_Rates!$L:$L,MATCH('Basic Pricing File'!$AC46,Bill_Rates!$J:$J,0)),"")</f>
        <v/>
      </c>
      <c r="M46" s="672"/>
      <c r="N46" s="671" t="str">
        <f t="shared" si="0"/>
        <v/>
      </c>
      <c r="O46" s="671" t="str">
        <f>IFERROR(INDEX(Bill_Rates!$O:$O,MATCH($AD46,Bill_Rates!$J:$J,0)),"")</f>
        <v/>
      </c>
      <c r="P46" s="689" t="str">
        <f t="shared" si="26"/>
        <v/>
      </c>
      <c r="Q46" s="689" t="str">
        <f t="shared" si="27"/>
        <v/>
      </c>
      <c r="R46" s="689" t="str">
        <f t="shared" si="28"/>
        <v/>
      </c>
      <c r="S46" s="683" t="str">
        <f t="shared" si="29"/>
        <v/>
      </c>
      <c r="T46" s="746"/>
      <c r="U46" s="746"/>
      <c r="V46" s="746"/>
      <c r="W46" s="784"/>
      <c r="X46" s="757"/>
      <c r="Y46" s="947"/>
      <c r="Z46" s="947"/>
      <c r="AA46" s="947" t="str">
        <f t="shared" si="4"/>
        <v/>
      </c>
      <c r="AB46" s="947">
        <f t="shared" si="20"/>
        <v>0</v>
      </c>
      <c r="AC46" s="947" t="str">
        <f t="shared" si="5"/>
        <v>USA</v>
      </c>
      <c r="AD46" s="947" t="str">
        <f t="shared" si="6"/>
        <v>USA</v>
      </c>
      <c r="AE46" s="644" t="str">
        <f t="shared" si="7"/>
        <v/>
      </c>
      <c r="AF46" s="644" t="str">
        <f t="shared" si="21"/>
        <v/>
      </c>
      <c r="AG46" s="644">
        <f t="shared" si="9"/>
        <v>0</v>
      </c>
      <c r="AH46" s="951" t="str">
        <f t="shared" si="10"/>
        <v/>
      </c>
      <c r="AI46" s="951" t="str">
        <f t="shared" si="11"/>
        <v/>
      </c>
      <c r="AJ46" s="951" t="str">
        <f t="shared" si="12"/>
        <v/>
      </c>
      <c r="AK46" s="951" t="str">
        <f t="shared" si="22"/>
        <v/>
      </c>
      <c r="AL46" s="951" t="str">
        <f t="shared" si="23"/>
        <v/>
      </c>
      <c r="AM46" s="951">
        <f t="shared" si="15"/>
        <v>0</v>
      </c>
      <c r="AN46" s="951" t="str">
        <f t="shared" si="24"/>
        <v/>
      </c>
      <c r="AO46" s="951" t="str">
        <f t="shared" si="25"/>
        <v/>
      </c>
      <c r="AP46" s="951">
        <f t="shared" si="18"/>
        <v>0</v>
      </c>
      <c r="AQ46" s="950"/>
      <c r="AR46" s="950"/>
      <c r="AS46" s="947"/>
      <c r="AT46" s="947"/>
      <c r="AU46" s="947"/>
    </row>
    <row r="47" spans="2:47">
      <c r="B47" s="953"/>
      <c r="C47" s="949" t="str" cm="1">
        <f t="array" ref="C47">IFERROR(_xlfn.IFS(B47="Onshore",$G$16,B47="Offshore","India"),"")</f>
        <v/>
      </c>
      <c r="D47" s="954"/>
      <c r="E47" s="1027"/>
      <c r="F47" s="1027"/>
      <c r="G47" s="1027"/>
      <c r="H47" s="1027"/>
      <c r="I47" s="1027"/>
      <c r="J47" s="926"/>
      <c r="K47" s="926"/>
      <c r="L47" s="671" t="str">
        <f>IFERROR(INDEX(Bill_Rates!$L:$L,MATCH('Basic Pricing File'!$AC47,Bill_Rates!$J:$J,0)),"")</f>
        <v/>
      </c>
      <c r="M47" s="672"/>
      <c r="N47" s="671" t="str">
        <f t="shared" si="0"/>
        <v/>
      </c>
      <c r="O47" s="671" t="str">
        <f>IFERROR(INDEX(Bill_Rates!$O:$O,MATCH($AD47,Bill_Rates!$J:$J,0)),"")</f>
        <v/>
      </c>
      <c r="P47" s="689" t="str">
        <f t="shared" si="26"/>
        <v/>
      </c>
      <c r="Q47" s="689" t="str">
        <f t="shared" si="27"/>
        <v/>
      </c>
      <c r="R47" s="689" t="str">
        <f t="shared" si="28"/>
        <v/>
      </c>
      <c r="S47" s="683" t="str">
        <f t="shared" si="29"/>
        <v/>
      </c>
      <c r="T47" s="746"/>
      <c r="U47" s="746"/>
      <c r="V47" s="746"/>
      <c r="W47" s="784"/>
      <c r="X47" s="757"/>
      <c r="Y47" s="947"/>
      <c r="Z47" s="947"/>
      <c r="AA47" s="947" t="str">
        <f t="shared" si="4"/>
        <v/>
      </c>
      <c r="AB47" s="947">
        <f t="shared" si="20"/>
        <v>0</v>
      </c>
      <c r="AC47" s="947" t="str">
        <f t="shared" si="5"/>
        <v>USA</v>
      </c>
      <c r="AD47" s="947" t="str">
        <f t="shared" si="6"/>
        <v>USA</v>
      </c>
      <c r="AE47" s="644" t="str">
        <f t="shared" si="7"/>
        <v/>
      </c>
      <c r="AF47" s="644" t="str">
        <f t="shared" si="21"/>
        <v/>
      </c>
      <c r="AG47" s="644">
        <f t="shared" si="9"/>
        <v>0</v>
      </c>
      <c r="AH47" s="951" t="str">
        <f t="shared" si="10"/>
        <v/>
      </c>
      <c r="AI47" s="951" t="str">
        <f t="shared" si="11"/>
        <v/>
      </c>
      <c r="AJ47" s="951" t="str">
        <f t="shared" si="12"/>
        <v/>
      </c>
      <c r="AK47" s="951" t="str">
        <f t="shared" si="22"/>
        <v/>
      </c>
      <c r="AL47" s="951" t="str">
        <f t="shared" si="23"/>
        <v/>
      </c>
      <c r="AM47" s="951">
        <f t="shared" si="15"/>
        <v>0</v>
      </c>
      <c r="AN47" s="951" t="str">
        <f t="shared" si="24"/>
        <v/>
      </c>
      <c r="AO47" s="951" t="str">
        <f t="shared" si="25"/>
        <v/>
      </c>
      <c r="AP47" s="951">
        <f t="shared" si="18"/>
        <v>0</v>
      </c>
      <c r="AQ47" s="950"/>
      <c r="AR47" s="950"/>
      <c r="AS47" s="947"/>
      <c r="AT47" s="947"/>
      <c r="AU47" s="947"/>
    </row>
    <row r="48" spans="2:47">
      <c r="B48" s="953"/>
      <c r="C48" s="949" t="str" cm="1">
        <f t="array" ref="C48">IFERROR(_xlfn.IFS(B48="Onshore",$G$16,B48="Offshore","India"),"")</f>
        <v/>
      </c>
      <c r="D48" s="954"/>
      <c r="E48" s="1027"/>
      <c r="F48" s="1027"/>
      <c r="G48" s="1027"/>
      <c r="H48" s="1027"/>
      <c r="I48" s="1027"/>
      <c r="J48" s="926"/>
      <c r="K48" s="926"/>
      <c r="L48" s="671" t="str">
        <f>IFERROR(INDEX(Bill_Rates!$L:$L,MATCH('Basic Pricing File'!$AC48,Bill_Rates!$J:$J,0)),"")</f>
        <v/>
      </c>
      <c r="M48" s="672"/>
      <c r="N48" s="671" t="str">
        <f t="shared" si="0"/>
        <v/>
      </c>
      <c r="O48" s="671" t="str">
        <f>IFERROR(INDEX(Bill_Rates!$O:$O,MATCH($AD48,Bill_Rates!$J:$J,0)),"")</f>
        <v/>
      </c>
      <c r="P48" s="689" t="str">
        <f t="shared" si="26"/>
        <v/>
      </c>
      <c r="Q48" s="689" t="str">
        <f t="shared" si="27"/>
        <v/>
      </c>
      <c r="R48" s="689" t="str">
        <f t="shared" si="28"/>
        <v/>
      </c>
      <c r="S48" s="683" t="str">
        <f t="shared" si="29"/>
        <v/>
      </c>
      <c r="T48" s="746"/>
      <c r="U48" s="746"/>
      <c r="V48" s="746"/>
      <c r="W48" s="784"/>
      <c r="X48" s="757"/>
      <c r="Y48" s="947"/>
      <c r="Z48" s="947"/>
      <c r="AA48" s="947" t="str">
        <f t="shared" si="4"/>
        <v/>
      </c>
      <c r="AB48" s="947">
        <f t="shared" si="20"/>
        <v>0</v>
      </c>
      <c r="AC48" s="947" t="str">
        <f t="shared" si="5"/>
        <v>USA</v>
      </c>
      <c r="AD48" s="947" t="str">
        <f t="shared" si="6"/>
        <v>USA</v>
      </c>
      <c r="AE48" s="644" t="str">
        <f t="shared" si="7"/>
        <v/>
      </c>
      <c r="AF48" s="644" t="str">
        <f t="shared" si="21"/>
        <v/>
      </c>
      <c r="AG48" s="644">
        <f t="shared" si="9"/>
        <v>0</v>
      </c>
      <c r="AH48" s="951" t="str">
        <f t="shared" si="10"/>
        <v/>
      </c>
      <c r="AI48" s="951" t="str">
        <f t="shared" si="11"/>
        <v/>
      </c>
      <c r="AJ48" s="951" t="str">
        <f t="shared" si="12"/>
        <v/>
      </c>
      <c r="AK48" s="951" t="str">
        <f t="shared" si="22"/>
        <v/>
      </c>
      <c r="AL48" s="951" t="str">
        <f t="shared" si="23"/>
        <v/>
      </c>
      <c r="AM48" s="951">
        <f t="shared" si="15"/>
        <v>0</v>
      </c>
      <c r="AN48" s="951" t="str">
        <f t="shared" si="24"/>
        <v/>
      </c>
      <c r="AO48" s="951" t="str">
        <f t="shared" si="25"/>
        <v/>
      </c>
      <c r="AP48" s="951">
        <f t="shared" si="18"/>
        <v>0</v>
      </c>
      <c r="AQ48" s="950"/>
      <c r="AR48" s="950"/>
      <c r="AS48" s="947"/>
      <c r="AT48" s="947"/>
      <c r="AU48" s="947"/>
    </row>
    <row r="49" spans="2:47">
      <c r="B49" s="953"/>
      <c r="C49" s="949" t="str" cm="1">
        <f t="array" ref="C49">IFERROR(_xlfn.IFS(B49="Onshore",$G$16,B49="Offshore","India"),"")</f>
        <v/>
      </c>
      <c r="D49" s="954"/>
      <c r="E49" s="1027"/>
      <c r="F49" s="1027"/>
      <c r="G49" s="1027"/>
      <c r="H49" s="1027"/>
      <c r="I49" s="1027"/>
      <c r="J49" s="926"/>
      <c r="K49" s="926"/>
      <c r="L49" s="671" t="str">
        <f>IFERROR(INDEX(Bill_Rates!$L:$L,MATCH('Basic Pricing File'!$AC49,Bill_Rates!$J:$J,0)),"")</f>
        <v/>
      </c>
      <c r="M49" s="672"/>
      <c r="N49" s="671" t="str">
        <f t="shared" si="0"/>
        <v/>
      </c>
      <c r="O49" s="671" t="str">
        <f>IFERROR(INDEX(Bill_Rates!$O:$O,MATCH($AD49,Bill_Rates!$J:$J,0)),"")</f>
        <v/>
      </c>
      <c r="P49" s="689" t="str">
        <f t="shared" si="26"/>
        <v/>
      </c>
      <c r="Q49" s="689" t="str">
        <f t="shared" si="27"/>
        <v/>
      </c>
      <c r="R49" s="689" t="str">
        <f t="shared" si="28"/>
        <v/>
      </c>
      <c r="S49" s="683" t="str">
        <f t="shared" si="29"/>
        <v/>
      </c>
      <c r="T49" s="746"/>
      <c r="U49" s="746"/>
      <c r="V49" s="746"/>
      <c r="W49" s="784"/>
      <c r="X49" s="757"/>
      <c r="Y49" s="947"/>
      <c r="Z49" s="947"/>
      <c r="AA49" s="947" t="str">
        <f t="shared" si="4"/>
        <v/>
      </c>
      <c r="AB49" s="947">
        <f t="shared" si="20"/>
        <v>0</v>
      </c>
      <c r="AC49" s="947" t="str">
        <f t="shared" si="5"/>
        <v>USA</v>
      </c>
      <c r="AD49" s="947" t="str">
        <f t="shared" si="6"/>
        <v>USA</v>
      </c>
      <c r="AE49" s="644" t="str">
        <f t="shared" si="7"/>
        <v/>
      </c>
      <c r="AF49" s="644" t="str">
        <f t="shared" si="21"/>
        <v/>
      </c>
      <c r="AG49" s="644">
        <f t="shared" si="9"/>
        <v>0</v>
      </c>
      <c r="AH49" s="951" t="str">
        <f t="shared" si="10"/>
        <v/>
      </c>
      <c r="AI49" s="951" t="str">
        <f t="shared" si="11"/>
        <v/>
      </c>
      <c r="AJ49" s="951" t="str">
        <f t="shared" si="12"/>
        <v/>
      </c>
      <c r="AK49" s="951" t="str">
        <f t="shared" si="22"/>
        <v/>
      </c>
      <c r="AL49" s="951" t="str">
        <f t="shared" si="23"/>
        <v/>
      </c>
      <c r="AM49" s="951">
        <f t="shared" si="15"/>
        <v>0</v>
      </c>
      <c r="AN49" s="951" t="str">
        <f t="shared" si="24"/>
        <v/>
      </c>
      <c r="AO49" s="951" t="str">
        <f t="shared" si="25"/>
        <v/>
      </c>
      <c r="AP49" s="951">
        <f t="shared" si="18"/>
        <v>0</v>
      </c>
      <c r="AQ49" s="950"/>
      <c r="AR49" s="950"/>
      <c r="AS49" s="947"/>
      <c r="AT49" s="947"/>
      <c r="AU49" s="947"/>
    </row>
    <row r="50" spans="2:47">
      <c r="B50" s="953"/>
      <c r="C50" s="949" t="str" cm="1">
        <f t="array" ref="C50">IFERROR(_xlfn.IFS(B50="Onshore",$G$16,B50="Offshore","India"),"")</f>
        <v/>
      </c>
      <c r="D50" s="954"/>
      <c r="E50" s="1027"/>
      <c r="F50" s="1027"/>
      <c r="G50" s="1027"/>
      <c r="H50" s="1027"/>
      <c r="I50" s="1027"/>
      <c r="J50" s="926"/>
      <c r="K50" s="926"/>
      <c r="L50" s="671" t="str">
        <f>IFERROR(INDEX(Bill_Rates!$L:$L,MATCH('Basic Pricing File'!$AC50,Bill_Rates!$J:$J,0)),"")</f>
        <v/>
      </c>
      <c r="M50" s="672"/>
      <c r="N50" s="671" t="str">
        <f t="shared" si="0"/>
        <v/>
      </c>
      <c r="O50" s="671" t="str">
        <f>IFERROR(INDEX(Bill_Rates!$O:$O,MATCH($AD50,Bill_Rates!$J:$J,0)),"")</f>
        <v/>
      </c>
      <c r="P50" s="689" t="str">
        <f t="shared" si="26"/>
        <v/>
      </c>
      <c r="Q50" s="689" t="str">
        <f t="shared" si="27"/>
        <v/>
      </c>
      <c r="R50" s="689" t="str">
        <f t="shared" si="28"/>
        <v/>
      </c>
      <c r="S50" s="683" t="str">
        <f t="shared" si="29"/>
        <v/>
      </c>
      <c r="T50" s="746"/>
      <c r="U50" s="746"/>
      <c r="V50" s="746"/>
      <c r="W50" s="784"/>
      <c r="X50" s="757"/>
      <c r="Y50" s="947"/>
      <c r="Z50" s="947"/>
      <c r="AA50" s="947" t="str">
        <f t="shared" si="4"/>
        <v/>
      </c>
      <c r="AB50" s="947">
        <f t="shared" si="20"/>
        <v>0</v>
      </c>
      <c r="AC50" s="947" t="str">
        <f t="shared" si="5"/>
        <v>USA</v>
      </c>
      <c r="AD50" s="947" t="str">
        <f t="shared" si="6"/>
        <v>USA</v>
      </c>
      <c r="AE50" s="644" t="str">
        <f t="shared" si="7"/>
        <v/>
      </c>
      <c r="AF50" s="644" t="str">
        <f t="shared" si="21"/>
        <v/>
      </c>
      <c r="AG50" s="644">
        <f t="shared" si="9"/>
        <v>0</v>
      </c>
      <c r="AH50" s="951" t="str">
        <f t="shared" si="10"/>
        <v/>
      </c>
      <c r="AI50" s="951" t="str">
        <f t="shared" si="11"/>
        <v/>
      </c>
      <c r="AJ50" s="951" t="str">
        <f t="shared" si="12"/>
        <v/>
      </c>
      <c r="AK50" s="951" t="str">
        <f t="shared" si="22"/>
        <v/>
      </c>
      <c r="AL50" s="951" t="str">
        <f t="shared" si="23"/>
        <v/>
      </c>
      <c r="AM50" s="951">
        <f t="shared" si="15"/>
        <v>0</v>
      </c>
      <c r="AN50" s="951" t="str">
        <f t="shared" si="24"/>
        <v/>
      </c>
      <c r="AO50" s="951" t="str">
        <f t="shared" si="25"/>
        <v/>
      </c>
      <c r="AP50" s="951">
        <f t="shared" si="18"/>
        <v>0</v>
      </c>
      <c r="AQ50" s="950"/>
      <c r="AR50" s="950"/>
      <c r="AS50" s="947"/>
      <c r="AT50" s="947"/>
      <c r="AU50" s="947"/>
    </row>
    <row r="51" spans="2:47">
      <c r="B51" s="953"/>
      <c r="C51" s="949" t="str" cm="1">
        <f t="array" ref="C51">IFERROR(_xlfn.IFS(B51="Onshore",$G$16,B51="Offshore","India"),"")</f>
        <v/>
      </c>
      <c r="D51" s="954"/>
      <c r="E51" s="1027"/>
      <c r="F51" s="1027"/>
      <c r="G51" s="1027"/>
      <c r="H51" s="1027"/>
      <c r="I51" s="1027"/>
      <c r="J51" s="926"/>
      <c r="K51" s="926"/>
      <c r="L51" s="671" t="str">
        <f>IFERROR(INDEX(Bill_Rates!$L:$L,MATCH('Basic Pricing File'!$AC51,Bill_Rates!$J:$J,0)),"")</f>
        <v/>
      </c>
      <c r="M51" s="672"/>
      <c r="N51" s="671" t="str">
        <f t="shared" si="0"/>
        <v/>
      </c>
      <c r="O51" s="671" t="str">
        <f>IFERROR(INDEX(Bill_Rates!$O:$O,MATCH($AD51,Bill_Rates!$J:$J,0)),"")</f>
        <v/>
      </c>
      <c r="P51" s="689" t="str">
        <f t="shared" si="26"/>
        <v/>
      </c>
      <c r="Q51" s="689" t="str">
        <f t="shared" si="27"/>
        <v/>
      </c>
      <c r="R51" s="689" t="str">
        <f t="shared" si="28"/>
        <v/>
      </c>
      <c r="S51" s="683" t="str">
        <f t="shared" si="29"/>
        <v/>
      </c>
      <c r="T51" s="746"/>
      <c r="U51" s="746"/>
      <c r="V51" s="746"/>
      <c r="W51" s="784"/>
      <c r="X51" s="757"/>
      <c r="Y51" s="947"/>
      <c r="Z51" s="947"/>
      <c r="AA51" s="947" t="str">
        <f t="shared" si="4"/>
        <v/>
      </c>
      <c r="AB51" s="947">
        <f t="shared" si="20"/>
        <v>0</v>
      </c>
      <c r="AC51" s="947" t="str">
        <f t="shared" si="5"/>
        <v>USA</v>
      </c>
      <c r="AD51" s="947" t="str">
        <f t="shared" si="6"/>
        <v>USA</v>
      </c>
      <c r="AE51" s="644" t="str">
        <f t="shared" si="7"/>
        <v/>
      </c>
      <c r="AF51" s="644" t="str">
        <f t="shared" si="21"/>
        <v/>
      </c>
      <c r="AG51" s="644">
        <f t="shared" si="9"/>
        <v>0</v>
      </c>
      <c r="AH51" s="951" t="str">
        <f t="shared" si="10"/>
        <v/>
      </c>
      <c r="AI51" s="951" t="str">
        <f t="shared" si="11"/>
        <v/>
      </c>
      <c r="AJ51" s="951" t="str">
        <f t="shared" si="12"/>
        <v/>
      </c>
      <c r="AK51" s="951" t="str">
        <f t="shared" si="22"/>
        <v/>
      </c>
      <c r="AL51" s="951" t="str">
        <f t="shared" si="23"/>
        <v/>
      </c>
      <c r="AM51" s="951">
        <f t="shared" si="15"/>
        <v>0</v>
      </c>
      <c r="AN51" s="951" t="str">
        <f t="shared" si="24"/>
        <v/>
      </c>
      <c r="AO51" s="951" t="str">
        <f t="shared" si="25"/>
        <v/>
      </c>
      <c r="AP51" s="951">
        <f t="shared" si="18"/>
        <v>0</v>
      </c>
      <c r="AQ51" s="950"/>
      <c r="AR51" s="950"/>
      <c r="AS51" s="947"/>
      <c r="AT51" s="947"/>
      <c r="AU51" s="947"/>
    </row>
    <row r="52" spans="2:47">
      <c r="B52" s="1367" t="s">
        <v>313</v>
      </c>
      <c r="C52" s="1368"/>
      <c r="D52" s="1368"/>
      <c r="E52" s="1368"/>
      <c r="F52" s="1368"/>
      <c r="G52" s="1368"/>
      <c r="H52" s="1368"/>
      <c r="I52" s="1368"/>
      <c r="J52" s="969">
        <f>SUM(J27:J51)</f>
        <v>2664</v>
      </c>
      <c r="K52" s="969">
        <f>SUM(K27:K51)</f>
        <v>0</v>
      </c>
      <c r="L52" s="791" t="s">
        <v>222</v>
      </c>
      <c r="M52" s="791" t="s">
        <v>222</v>
      </c>
      <c r="N52" s="792" t="s">
        <v>222</v>
      </c>
      <c r="O52" s="792"/>
      <c r="P52" s="689">
        <f>SUM(P27:P51)</f>
        <v>326376</v>
      </c>
      <c r="Q52" s="689">
        <f>SUM(Q27:Q51)</f>
        <v>104489.77536</v>
      </c>
      <c r="R52" s="689">
        <f>SUM(R27:R51)</f>
        <v>221886.22463999997</v>
      </c>
      <c r="S52" s="724">
        <f>IFERROR(R52/P52,"")</f>
        <v>0.67984847121111835</v>
      </c>
      <c r="T52" s="726"/>
      <c r="U52" s="726"/>
      <c r="V52" s="726"/>
      <c r="W52" s="726"/>
      <c r="X52" s="970"/>
      <c r="Y52" s="947"/>
      <c r="Z52" s="947" t="str">
        <f>IF(C27="India","India","")</f>
        <v>India</v>
      </c>
      <c r="AA52" s="947" t="str">
        <f>F52&amp;G52</f>
        <v/>
      </c>
      <c r="AB52" s="947"/>
      <c r="AC52" s="947"/>
      <c r="AD52" s="947"/>
      <c r="AE52" s="951">
        <f t="shared" ref="AE52:AP52" si="30">SUM(AE27:AE51)</f>
        <v>326376</v>
      </c>
      <c r="AF52" s="951">
        <f t="shared" si="30"/>
        <v>151656</v>
      </c>
      <c r="AG52" s="951">
        <f t="shared" si="30"/>
        <v>174720</v>
      </c>
      <c r="AH52" s="951">
        <f t="shared" si="30"/>
        <v>326376</v>
      </c>
      <c r="AI52" s="951">
        <f t="shared" si="30"/>
        <v>104489.77536</v>
      </c>
      <c r="AJ52" s="951">
        <f t="shared" si="30"/>
        <v>0</v>
      </c>
      <c r="AK52" s="951">
        <f t="shared" si="30"/>
        <v>326376</v>
      </c>
      <c r="AL52" s="951">
        <f t="shared" si="30"/>
        <v>151656</v>
      </c>
      <c r="AM52" s="951">
        <f t="shared" si="30"/>
        <v>174720</v>
      </c>
      <c r="AN52" s="951">
        <f t="shared" si="30"/>
        <v>104489.77536</v>
      </c>
      <c r="AO52" s="951">
        <f t="shared" si="30"/>
        <v>62337.07776</v>
      </c>
      <c r="AP52" s="951">
        <f t="shared" si="30"/>
        <v>42152.6976</v>
      </c>
      <c r="AQ52" s="951">
        <f>J52</f>
        <v>2664</v>
      </c>
      <c r="AR52" s="951">
        <f>AQ52-AS52</f>
        <v>744</v>
      </c>
      <c r="AS52" s="951">
        <f>SUMIF(D27:D51,"India",J27:J51)</f>
        <v>1920</v>
      </c>
      <c r="AT52" s="950">
        <f>AR52/AQ52*J53</f>
        <v>0</v>
      </c>
      <c r="AU52" s="950">
        <f>AS52/AQ52*J53</f>
        <v>0</v>
      </c>
    </row>
    <row r="53" spans="2:47">
      <c r="B53" s="1367" t="s">
        <v>314</v>
      </c>
      <c r="C53" s="1368"/>
      <c r="D53" s="1368"/>
      <c r="E53" s="1368"/>
      <c r="F53" s="1368"/>
      <c r="G53" s="1368"/>
      <c r="H53" s="1368"/>
      <c r="I53" s="1368"/>
      <c r="J53" s="1099">
        <f>IFERROR(P53/(P52/J52),"")</f>
        <v>0</v>
      </c>
      <c r="K53" s="1099"/>
      <c r="L53" s="791" t="s">
        <v>222</v>
      </c>
      <c r="M53" s="791" t="s">
        <v>222</v>
      </c>
      <c r="N53" s="791" t="s">
        <v>222</v>
      </c>
      <c r="O53" s="792"/>
      <c r="P53" s="690">
        <f>IF($G$18="Fixed Price", $P$52*0.15,0)</f>
        <v>0</v>
      </c>
      <c r="Q53" s="691">
        <f>IFERROR(P53*(1-S52),"")</f>
        <v>0</v>
      </c>
      <c r="R53" s="692">
        <f>IFERROR(P53-Q53,"")</f>
        <v>0</v>
      </c>
      <c r="S53" s="724" t="str">
        <f>IFERROR(R53/P53,"")</f>
        <v/>
      </c>
      <c r="T53" s="726"/>
      <c r="U53" s="726"/>
      <c r="V53" s="726"/>
      <c r="W53" s="726"/>
      <c r="X53" s="970"/>
      <c r="Y53" s="947"/>
      <c r="Z53" s="947"/>
      <c r="AA53" s="947"/>
      <c r="AB53" s="947"/>
      <c r="AC53" s="947"/>
      <c r="AD53" s="950"/>
      <c r="AE53" s="950"/>
      <c r="AF53" s="950"/>
      <c r="AG53" s="947"/>
      <c r="AH53" s="947"/>
      <c r="AI53" s="947"/>
      <c r="AJ53" s="951"/>
      <c r="AK53" s="951"/>
      <c r="AL53" s="951"/>
      <c r="AM53" s="947"/>
      <c r="AN53" s="947"/>
      <c r="AO53" s="951"/>
      <c r="AP53" s="947"/>
      <c r="AQ53" s="947"/>
      <c r="AR53" s="947"/>
      <c r="AS53" s="947"/>
      <c r="AT53" s="947"/>
      <c r="AU53" s="947"/>
    </row>
    <row r="54" spans="2:47">
      <c r="B54" s="1367" t="s">
        <v>315</v>
      </c>
      <c r="C54" s="1368"/>
      <c r="D54" s="1368"/>
      <c r="E54" s="1368"/>
      <c r="F54" s="1368"/>
      <c r="G54" s="1368"/>
      <c r="H54" s="1368"/>
      <c r="I54" s="1368"/>
      <c r="J54" s="791"/>
      <c r="K54" s="791"/>
      <c r="L54" s="791"/>
      <c r="M54" s="791"/>
      <c r="N54" s="791"/>
      <c r="O54" s="792"/>
      <c r="P54" s="693"/>
      <c r="Q54" s="793"/>
      <c r="R54" s="793"/>
      <c r="S54" s="791"/>
      <c r="T54" s="726"/>
      <c r="U54" s="726"/>
      <c r="V54" s="726"/>
      <c r="W54" s="726"/>
      <c r="X54" s="970"/>
      <c r="Y54" s="947"/>
      <c r="Z54" s="947"/>
      <c r="AA54" s="947"/>
      <c r="AB54" s="947"/>
      <c r="AC54" s="947"/>
      <c r="AD54" s="950"/>
      <c r="AE54" s="950"/>
      <c r="AF54" s="950"/>
      <c r="AG54" s="947"/>
      <c r="AH54" s="947"/>
      <c r="AI54" s="947"/>
      <c r="AJ54" s="951"/>
      <c r="AK54" s="951"/>
      <c r="AL54" s="951"/>
      <c r="AM54" s="947"/>
      <c r="AN54" s="947"/>
      <c r="AO54" s="951"/>
      <c r="AP54" s="947"/>
      <c r="AQ54" s="947"/>
      <c r="AR54" s="947"/>
      <c r="AS54" s="947"/>
      <c r="AT54" s="947"/>
      <c r="AU54" s="947"/>
    </row>
    <row r="55" spans="2:47" ht="15.75" thickBot="1">
      <c r="B55" s="1353" t="s">
        <v>225</v>
      </c>
      <c r="C55" s="1354"/>
      <c r="D55" s="1354"/>
      <c r="E55" s="1354"/>
      <c r="F55" s="1354"/>
      <c r="G55" s="1354"/>
      <c r="H55" s="1354"/>
      <c r="I55" s="1354"/>
      <c r="J55" s="971">
        <f>IFERROR(J52+J53,"")</f>
        <v>2664</v>
      </c>
      <c r="K55" s="971">
        <f>IFERROR(K52+K53,"")</f>
        <v>0</v>
      </c>
      <c r="L55" s="673" t="s">
        <v>222</v>
      </c>
      <c r="M55" s="673" t="s">
        <v>222</v>
      </c>
      <c r="N55" s="673" t="s">
        <v>222</v>
      </c>
      <c r="O55" s="783"/>
      <c r="P55" s="694">
        <f>SUM(P52:P54)</f>
        <v>326376</v>
      </c>
      <c r="Q55" s="694">
        <f>SUM(Q52:Q53)</f>
        <v>104489.77536</v>
      </c>
      <c r="R55" s="694">
        <f>P55-Q55</f>
        <v>221886.22464</v>
      </c>
      <c r="S55" s="725">
        <f>IFERROR(R55/P55,"")</f>
        <v>0.67984847121111847</v>
      </c>
      <c r="T55" s="727"/>
      <c r="U55" s="727"/>
      <c r="V55" s="727"/>
      <c r="W55" s="727"/>
      <c r="X55" s="972"/>
      <c r="Y55" s="947"/>
      <c r="Z55" s="947"/>
      <c r="AA55" s="947"/>
      <c r="AB55" s="947"/>
      <c r="AC55" s="947"/>
      <c r="AD55" s="950"/>
      <c r="AE55" s="950"/>
      <c r="AF55" s="950"/>
      <c r="AG55" s="947"/>
      <c r="AH55" s="947"/>
      <c r="AI55" s="947"/>
      <c r="AJ55" s="951"/>
      <c r="AK55" s="951"/>
      <c r="AL55" s="951"/>
      <c r="AM55" s="947"/>
      <c r="AN55" s="947"/>
      <c r="AO55" s="951"/>
      <c r="AP55" s="947"/>
      <c r="AQ55" s="947"/>
      <c r="AR55" s="947"/>
      <c r="AS55" s="947"/>
      <c r="AT55" s="947"/>
      <c r="AU55" s="947"/>
    </row>
    <row r="56" spans="2:47">
      <c r="B56" s="478" t="s">
        <v>222</v>
      </c>
      <c r="C56" s="478" t="s">
        <v>222</v>
      </c>
      <c r="D56" s="478" t="s">
        <v>222</v>
      </c>
      <c r="E56" s="478"/>
      <c r="F56" s="478" t="s">
        <v>222</v>
      </c>
      <c r="G56" s="478" t="s">
        <v>222</v>
      </c>
      <c r="H56" s="478" t="s">
        <v>222</v>
      </c>
      <c r="I56" s="478" t="s">
        <v>222</v>
      </c>
      <c r="J56" s="478"/>
      <c r="K56" s="478" t="s">
        <v>222</v>
      </c>
      <c r="L56" s="478" t="s">
        <v>222</v>
      </c>
      <c r="M56" s="478" t="s">
        <v>222</v>
      </c>
      <c r="N56" s="478" t="s">
        <v>222</v>
      </c>
      <c r="O56" s="478" t="s">
        <v>222</v>
      </c>
      <c r="P56" s="478" t="s">
        <v>222</v>
      </c>
      <c r="Q56" s="478" t="s">
        <v>222</v>
      </c>
      <c r="R56" s="478" t="s">
        <v>222</v>
      </c>
      <c r="S56" s="478"/>
      <c r="T56" s="478"/>
      <c r="U56" s="478"/>
      <c r="V56" s="478"/>
      <c r="W56" s="478"/>
      <c r="X56" s="947"/>
      <c r="Y56" s="947"/>
      <c r="Z56" s="947"/>
      <c r="AA56" s="947"/>
      <c r="AB56" s="947"/>
      <c r="AC56" s="947"/>
      <c r="AD56" s="947"/>
      <c r="AE56" s="947"/>
      <c r="AF56" s="947"/>
      <c r="AG56" s="947"/>
      <c r="AH56" s="947"/>
      <c r="AI56" s="947"/>
      <c r="AJ56" s="951"/>
      <c r="AK56" s="951"/>
      <c r="AL56" s="951"/>
      <c r="AM56" s="947"/>
      <c r="AN56" s="947"/>
      <c r="AO56" s="951"/>
      <c r="AP56" s="947"/>
      <c r="AQ56" s="947"/>
      <c r="AR56" s="947"/>
      <c r="AS56" s="947"/>
      <c r="AT56" s="947"/>
      <c r="AU56" s="947"/>
    </row>
    <row r="57" spans="2:47" ht="15.75" thickBot="1">
      <c r="B57" s="478" t="s">
        <v>222</v>
      </c>
      <c r="C57" s="478" t="s">
        <v>222</v>
      </c>
      <c r="D57" s="478" t="s">
        <v>222</v>
      </c>
      <c r="E57" s="478"/>
      <c r="F57" s="478" t="s">
        <v>222</v>
      </c>
      <c r="G57" s="478" t="s">
        <v>222</v>
      </c>
      <c r="H57" s="478" t="s">
        <v>222</v>
      </c>
      <c r="I57" s="478" t="s">
        <v>222</v>
      </c>
      <c r="J57" s="478"/>
      <c r="K57" s="478" t="s">
        <v>222</v>
      </c>
      <c r="L57" s="478" t="s">
        <v>222</v>
      </c>
      <c r="M57" s="478" t="s">
        <v>222</v>
      </c>
      <c r="N57" s="478" t="s">
        <v>222</v>
      </c>
      <c r="O57" s="478" t="s">
        <v>222</v>
      </c>
      <c r="P57" s="478" t="s">
        <v>222</v>
      </c>
      <c r="Q57" s="478" t="s">
        <v>222</v>
      </c>
      <c r="R57" s="478" t="s">
        <v>222</v>
      </c>
      <c r="S57" s="478"/>
      <c r="T57" s="478"/>
      <c r="U57" s="478"/>
      <c r="V57" s="478"/>
      <c r="W57" s="478"/>
      <c r="X57" s="947"/>
      <c r="Y57" s="947"/>
      <c r="Z57" s="947"/>
      <c r="AA57" s="947"/>
      <c r="AB57" s="947"/>
      <c r="AC57" s="947"/>
      <c r="AD57" s="947"/>
      <c r="AE57" s="947"/>
      <c r="AF57" s="947"/>
      <c r="AG57" s="947"/>
      <c r="AH57" s="947"/>
      <c r="AI57" s="947"/>
      <c r="AJ57" s="951"/>
      <c r="AK57" s="947"/>
      <c r="AL57" s="951"/>
      <c r="AM57" s="947"/>
      <c r="AN57" s="947"/>
      <c r="AO57" s="951"/>
      <c r="AP57" s="947"/>
      <c r="AQ57" s="947"/>
      <c r="AR57" s="947"/>
      <c r="AS57" s="947"/>
      <c r="AT57" s="947"/>
      <c r="AU57" s="947"/>
    </row>
    <row r="58" spans="2:47" ht="18.75">
      <c r="B58" s="1100" t="s">
        <v>316</v>
      </c>
      <c r="C58" s="1101"/>
      <c r="D58" s="1101"/>
      <c r="E58" s="1101"/>
      <c r="F58" s="1101"/>
      <c r="G58" s="1101"/>
      <c r="H58" s="1101"/>
      <c r="I58" s="1101"/>
      <c r="J58" s="1101"/>
      <c r="K58" s="1101"/>
      <c r="L58" s="1101"/>
      <c r="M58" s="1101"/>
      <c r="N58" s="1101"/>
      <c r="O58" s="1101"/>
      <c r="P58" s="1101"/>
      <c r="Q58" s="1101"/>
      <c r="R58" s="1101"/>
      <c r="S58" s="1101"/>
      <c r="T58" s="1101"/>
      <c r="U58" s="1101"/>
      <c r="V58" s="1101"/>
      <c r="W58" s="1102"/>
      <c r="X58" s="947"/>
      <c r="Y58" s="947"/>
      <c r="Z58" s="947"/>
      <c r="AA58" s="947"/>
      <c r="AB58" s="947"/>
      <c r="AC58" s="947"/>
      <c r="AD58" s="947"/>
      <c r="AE58" s="947"/>
      <c r="AF58" s="947"/>
      <c r="AG58" s="947"/>
      <c r="AH58" s="947"/>
      <c r="AI58" s="947"/>
      <c r="AJ58" s="947"/>
      <c r="AK58" s="947"/>
      <c r="AL58" s="951"/>
      <c r="AM58" s="947"/>
      <c r="AN58" s="947"/>
      <c r="AO58" s="951"/>
      <c r="AP58" s="947"/>
      <c r="AQ58" s="947"/>
      <c r="AR58" s="947"/>
      <c r="AS58" s="947"/>
      <c r="AT58" s="947"/>
      <c r="AU58" s="947"/>
    </row>
    <row r="59" spans="2:47">
      <c r="B59" s="1355" t="s">
        <v>317</v>
      </c>
      <c r="C59" s="1356"/>
      <c r="D59" s="1356"/>
      <c r="E59" s="1356"/>
      <c r="F59" s="1356"/>
      <c r="G59" s="1356"/>
      <c r="H59" s="1356"/>
      <c r="I59" s="646"/>
      <c r="J59" s="1069"/>
      <c r="K59" s="1069"/>
      <c r="L59" s="1069"/>
      <c r="M59" s="1069"/>
      <c r="N59" s="1069"/>
      <c r="O59" s="1069"/>
      <c r="P59" s="1069"/>
      <c r="Q59" s="1069"/>
      <c r="R59" s="1069"/>
      <c r="S59" s="1070"/>
      <c r="T59" s="1070"/>
      <c r="U59" s="1070"/>
      <c r="V59" s="1070"/>
      <c r="W59" s="1071"/>
      <c r="X59" s="947"/>
      <c r="Y59" s="947"/>
      <c r="Z59" s="477" t="s">
        <v>318</v>
      </c>
      <c r="AA59" s="947"/>
      <c r="AB59" s="947"/>
      <c r="AC59" s="947"/>
      <c r="AD59" s="947"/>
      <c r="AE59" s="947"/>
      <c r="AF59" s="947"/>
      <c r="AG59" s="947"/>
      <c r="AH59" s="947"/>
      <c r="AI59" s="947"/>
      <c r="AJ59" s="947"/>
      <c r="AK59" s="951"/>
      <c r="AL59" s="947"/>
      <c r="AM59" s="947"/>
      <c r="AN59" s="947"/>
      <c r="AO59" s="947"/>
      <c r="AP59" s="947"/>
      <c r="AQ59" s="947"/>
      <c r="AR59" s="947"/>
      <c r="AS59" s="947"/>
      <c r="AT59" s="947"/>
      <c r="AU59" s="947"/>
    </row>
    <row r="60" spans="2:47" ht="30" customHeight="1">
      <c r="B60" s="1355" t="s">
        <v>319</v>
      </c>
      <c r="C60" s="1356"/>
      <c r="D60" s="1356"/>
      <c r="E60" s="1356"/>
      <c r="F60" s="1356"/>
      <c r="G60" s="1356"/>
      <c r="H60" s="1356"/>
      <c r="I60" s="924" t="s">
        <v>256</v>
      </c>
      <c r="J60" s="1072" t="s">
        <v>320</v>
      </c>
      <c r="K60" s="1072"/>
      <c r="L60" s="1033"/>
      <c r="M60" s="1033"/>
      <c r="N60" s="1033"/>
      <c r="O60" s="1033"/>
      <c r="P60" s="1033"/>
      <c r="Q60" s="1033"/>
      <c r="R60" s="1033"/>
      <c r="S60" s="1039"/>
      <c r="T60" s="1039"/>
      <c r="U60" s="1039"/>
      <c r="V60" s="1039"/>
      <c r="W60" s="1045"/>
      <c r="X60" s="947"/>
      <c r="Y60" s="947"/>
      <c r="Z60" s="947" t="s">
        <v>321</v>
      </c>
      <c r="AA60" s="947"/>
      <c r="AB60" s="947"/>
      <c r="AC60" s="947"/>
      <c r="AD60" s="947"/>
      <c r="AE60" s="947"/>
      <c r="AF60" s="947"/>
      <c r="AG60" s="947"/>
      <c r="AH60" s="947"/>
      <c r="AI60" s="947"/>
      <c r="AJ60" s="947"/>
      <c r="AK60" s="947"/>
      <c r="AL60" s="947"/>
      <c r="AM60" s="947"/>
      <c r="AN60" s="947"/>
      <c r="AO60" s="947"/>
      <c r="AP60" s="947"/>
      <c r="AQ60" s="947"/>
      <c r="AR60" s="947"/>
      <c r="AS60" s="947"/>
      <c r="AT60" s="947"/>
      <c r="AU60" s="947"/>
    </row>
    <row r="61" spans="2:47">
      <c r="B61" s="1355" t="s">
        <v>322</v>
      </c>
      <c r="C61" s="1356"/>
      <c r="D61" s="1356"/>
      <c r="E61" s="1356"/>
      <c r="F61" s="1356"/>
      <c r="G61" s="1356"/>
      <c r="H61" s="1356"/>
      <c r="I61" s="1033"/>
      <c r="J61" s="1033"/>
      <c r="K61" s="1033"/>
      <c r="L61" s="1069"/>
      <c r="M61" s="1069"/>
      <c r="N61" s="1069"/>
      <c r="O61" s="1069"/>
      <c r="P61" s="1069"/>
      <c r="Q61" s="1069"/>
      <c r="R61" s="1069"/>
      <c r="S61" s="1070"/>
      <c r="T61" s="1070"/>
      <c r="U61" s="1070"/>
      <c r="V61" s="1070"/>
      <c r="W61" s="1071"/>
      <c r="X61" s="947"/>
      <c r="Y61" s="947"/>
      <c r="Z61" s="947" t="s">
        <v>323</v>
      </c>
      <c r="AA61" s="947"/>
      <c r="AB61" s="947"/>
      <c r="AC61" s="947"/>
      <c r="AD61" s="947"/>
      <c r="AE61" s="947"/>
      <c r="AF61" s="947"/>
      <c r="AG61" s="947"/>
      <c r="AH61" s="947"/>
      <c r="AI61" s="947"/>
      <c r="AJ61" s="947"/>
      <c r="AK61" s="947"/>
      <c r="AL61" s="947"/>
      <c r="AM61" s="947"/>
      <c r="AN61" s="947"/>
      <c r="AO61" s="947"/>
      <c r="AP61" s="947"/>
      <c r="AQ61" s="947"/>
      <c r="AR61" s="947"/>
      <c r="AS61" s="947"/>
      <c r="AT61" s="947"/>
      <c r="AU61" s="947"/>
    </row>
    <row r="62" spans="2:47">
      <c r="B62" s="1355" t="s">
        <v>324</v>
      </c>
      <c r="C62" s="1356"/>
      <c r="D62" s="1356"/>
      <c r="E62" s="1356"/>
      <c r="F62" s="1356"/>
      <c r="G62" s="1356"/>
      <c r="H62" s="1356"/>
      <c r="I62" s="647"/>
      <c r="J62" s="1044" t="s">
        <v>325</v>
      </c>
      <c r="K62" s="1044"/>
      <c r="L62" s="1044"/>
      <c r="M62" s="1044"/>
      <c r="N62" s="1033"/>
      <c r="O62" s="1033"/>
      <c r="P62" s="1033"/>
      <c r="Q62" s="1033"/>
      <c r="R62" s="1033"/>
      <c r="S62" s="1039"/>
      <c r="T62" s="1039"/>
      <c r="U62" s="1039"/>
      <c r="V62" s="1039"/>
      <c r="W62" s="1045"/>
      <c r="X62" s="947"/>
      <c r="Y62" s="947"/>
      <c r="Z62" s="947"/>
      <c r="AA62" s="947"/>
      <c r="AB62" s="947"/>
      <c r="AC62" s="947"/>
      <c r="AD62" s="947"/>
      <c r="AE62" s="947"/>
      <c r="AF62" s="947"/>
      <c r="AG62" s="947"/>
      <c r="AH62" s="947"/>
      <c r="AI62" s="947"/>
      <c r="AJ62" s="947"/>
      <c r="AK62" s="947"/>
      <c r="AL62" s="947"/>
      <c r="AM62" s="947"/>
      <c r="AN62" s="947"/>
      <c r="AO62" s="947"/>
      <c r="AP62" s="947"/>
      <c r="AQ62" s="947"/>
      <c r="AR62" s="947"/>
      <c r="AS62" s="947"/>
      <c r="AT62" s="947"/>
      <c r="AU62" s="947"/>
    </row>
    <row r="63" spans="2:47" ht="30" customHeight="1">
      <c r="B63" s="1049" t="s">
        <v>326</v>
      </c>
      <c r="C63" s="1050"/>
      <c r="D63" s="1050"/>
      <c r="E63" s="1050"/>
      <c r="F63" s="1050"/>
      <c r="G63" s="1050"/>
      <c r="H63" s="1050"/>
      <c r="I63" s="647"/>
      <c r="J63" s="1044" t="s">
        <v>327</v>
      </c>
      <c r="K63" s="1044"/>
      <c r="L63" s="1044"/>
      <c r="M63" s="1033"/>
      <c r="N63" s="1033"/>
      <c r="O63" s="1033"/>
      <c r="P63" s="1033"/>
      <c r="Q63" s="1033"/>
      <c r="R63" s="1033"/>
      <c r="S63" s="1039"/>
      <c r="T63" s="1039"/>
      <c r="U63" s="1039"/>
      <c r="V63" s="1039"/>
      <c r="W63" s="1045"/>
      <c r="X63" s="947"/>
      <c r="Y63" s="947"/>
      <c r="Z63" s="947"/>
      <c r="AA63" s="947"/>
      <c r="AB63" s="947"/>
      <c r="AC63" s="947"/>
      <c r="AD63" s="947"/>
      <c r="AE63" s="947"/>
      <c r="AF63" s="947"/>
      <c r="AG63" s="947"/>
      <c r="AH63" s="947"/>
      <c r="AI63" s="947"/>
      <c r="AJ63" s="947"/>
      <c r="AK63" s="947"/>
      <c r="AL63" s="947"/>
      <c r="AM63" s="947"/>
      <c r="AN63" s="947"/>
      <c r="AO63" s="947"/>
      <c r="AP63" s="947"/>
      <c r="AQ63" s="947"/>
      <c r="AR63" s="947"/>
      <c r="AS63" s="947"/>
      <c r="AT63" s="947"/>
      <c r="AU63" s="947"/>
    </row>
    <row r="64" spans="2:47" ht="30" customHeight="1">
      <c r="B64" s="1049" t="s">
        <v>328</v>
      </c>
      <c r="C64" s="1050"/>
      <c r="D64" s="1050"/>
      <c r="E64" s="1050"/>
      <c r="F64" s="1050"/>
      <c r="G64" s="1050"/>
      <c r="H64" s="1050"/>
      <c r="I64" s="647"/>
      <c r="J64" s="647"/>
      <c r="K64" s="1046" t="s">
        <v>222</v>
      </c>
      <c r="L64" s="1046"/>
      <c r="M64" s="1046"/>
      <c r="N64" s="1046"/>
      <c r="O64" s="1046"/>
      <c r="P64" s="1046"/>
      <c r="Q64" s="1046"/>
      <c r="R64" s="1046"/>
      <c r="S64" s="1047"/>
      <c r="T64" s="1047"/>
      <c r="U64" s="1047"/>
      <c r="V64" s="1047"/>
      <c r="W64" s="1048"/>
      <c r="X64" s="947"/>
      <c r="Y64" s="947"/>
      <c r="Z64" s="947"/>
      <c r="AA64" s="947"/>
      <c r="AB64" s="947"/>
      <c r="AC64" s="947"/>
      <c r="AD64" s="947"/>
      <c r="AE64" s="947"/>
      <c r="AF64" s="947"/>
      <c r="AG64" s="947"/>
      <c r="AH64" s="947"/>
      <c r="AI64" s="947"/>
      <c r="AJ64" s="947"/>
      <c r="AK64" s="947"/>
      <c r="AL64" s="947"/>
      <c r="AM64" s="947"/>
      <c r="AN64" s="947"/>
      <c r="AO64" s="947"/>
      <c r="AP64" s="947"/>
      <c r="AQ64" s="947"/>
      <c r="AR64" s="947"/>
      <c r="AS64" s="947"/>
      <c r="AT64" s="947"/>
      <c r="AU64" s="947"/>
    </row>
    <row r="65" spans="2:33">
      <c r="B65" s="1355" t="s">
        <v>329</v>
      </c>
      <c r="C65" s="1356"/>
      <c r="D65" s="1356"/>
      <c r="E65" s="1356"/>
      <c r="F65" s="1356"/>
      <c r="G65" s="1356"/>
      <c r="H65" s="1356"/>
      <c r="I65" s="647"/>
      <c r="J65" s="1044" t="s">
        <v>330</v>
      </c>
      <c r="K65" s="1044"/>
      <c r="L65" s="1044"/>
      <c r="M65" s="1033"/>
      <c r="N65" s="1033"/>
      <c r="O65" s="1033"/>
      <c r="P65" s="1033"/>
      <c r="Q65" s="1033"/>
      <c r="R65" s="1033"/>
      <c r="S65" s="1039"/>
      <c r="T65" s="1039"/>
      <c r="U65" s="1039"/>
      <c r="V65" s="1039"/>
      <c r="W65" s="1045"/>
      <c r="X65" s="947"/>
      <c r="Y65" s="947"/>
      <c r="Z65" s="947"/>
      <c r="AA65" s="947"/>
      <c r="AB65" s="947"/>
      <c r="AC65" s="947"/>
      <c r="AD65" s="947"/>
      <c r="AE65" s="947"/>
      <c r="AF65" s="947"/>
      <c r="AG65" s="947"/>
    </row>
    <row r="66" spans="2:33">
      <c r="B66" s="1355" t="s">
        <v>331</v>
      </c>
      <c r="C66" s="1356"/>
      <c r="D66" s="1356"/>
      <c r="E66" s="1356"/>
      <c r="F66" s="1356"/>
      <c r="G66" s="1356"/>
      <c r="H66" s="1356"/>
      <c r="I66" s="1033"/>
      <c r="J66" s="1033"/>
      <c r="K66" s="1033"/>
      <c r="L66" s="1033"/>
      <c r="M66" s="1033"/>
      <c r="N66" s="1033"/>
      <c r="O66" s="1033"/>
      <c r="P66" s="1033"/>
      <c r="Q66" s="1033"/>
      <c r="R66" s="1033"/>
      <c r="S66" s="1034"/>
      <c r="T66" s="1034"/>
      <c r="U66" s="1034"/>
      <c r="V66" s="1034"/>
      <c r="W66" s="1035"/>
      <c r="X66" s="947"/>
      <c r="Y66" s="947"/>
      <c r="Z66" s="947"/>
      <c r="AA66" s="947"/>
      <c r="AB66" s="947"/>
      <c r="AC66" s="947"/>
      <c r="AD66" s="947"/>
      <c r="AE66" s="947"/>
      <c r="AF66" s="947"/>
      <c r="AG66" s="947"/>
    </row>
    <row r="67" spans="2:33">
      <c r="B67" s="1355" t="s">
        <v>332</v>
      </c>
      <c r="C67" s="1356"/>
      <c r="D67" s="1356"/>
      <c r="E67" s="1356"/>
      <c r="F67" s="1356"/>
      <c r="G67" s="1356"/>
      <c r="H67" s="1356"/>
      <c r="I67" s="647"/>
      <c r="J67" s="1036" t="s">
        <v>333</v>
      </c>
      <c r="K67" s="1037"/>
      <c r="L67" s="1038"/>
      <c r="M67" s="1039"/>
      <c r="N67" s="1040"/>
      <c r="O67" s="796" t="s">
        <v>334</v>
      </c>
      <c r="P67" s="702"/>
      <c r="Q67" s="796" t="s">
        <v>335</v>
      </c>
      <c r="R67" s="723"/>
      <c r="S67" s="794"/>
      <c r="T67" s="795"/>
      <c r="U67" s="795"/>
      <c r="V67" s="795"/>
      <c r="W67" s="797"/>
      <c r="X67" s="947"/>
      <c r="Y67" s="947"/>
      <c r="Z67" s="947"/>
      <c r="AA67" s="947"/>
      <c r="AB67" s="947"/>
      <c r="AC67" s="947"/>
      <c r="AD67" s="947"/>
      <c r="AE67" s="947"/>
      <c r="AF67" s="947"/>
      <c r="AG67" s="947"/>
    </row>
    <row r="68" spans="2:33" ht="15.75" thickBot="1">
      <c r="B68" s="1360" t="s">
        <v>269</v>
      </c>
      <c r="C68" s="1361"/>
      <c r="D68" s="1361"/>
      <c r="E68" s="1361"/>
      <c r="F68" s="1361"/>
      <c r="G68" s="1361"/>
      <c r="H68" s="1361"/>
      <c r="I68" s="1041"/>
      <c r="J68" s="1041"/>
      <c r="K68" s="1041"/>
      <c r="L68" s="1041"/>
      <c r="M68" s="1041"/>
      <c r="N68" s="1041"/>
      <c r="O68" s="1041"/>
      <c r="P68" s="1041"/>
      <c r="Q68" s="1041"/>
      <c r="R68" s="1041"/>
      <c r="S68" s="1042"/>
      <c r="T68" s="1042"/>
      <c r="U68" s="1042"/>
      <c r="V68" s="1042"/>
      <c r="W68" s="1043"/>
      <c r="X68" s="947"/>
      <c r="Y68" s="947"/>
      <c r="Z68" s="947"/>
      <c r="AA68" s="947"/>
      <c r="AB68" s="947"/>
      <c r="AC68" s="947"/>
      <c r="AD68" s="947"/>
      <c r="AE68" s="947"/>
      <c r="AF68" s="947"/>
      <c r="AG68" s="947"/>
    </row>
    <row r="69" spans="2:33" ht="8.25" customHeight="1">
      <c r="B69" s="947"/>
      <c r="C69" s="640"/>
      <c r="D69" s="640"/>
      <c r="E69" s="640"/>
      <c r="F69" s="640"/>
      <c r="G69" s="640"/>
      <c r="H69" s="640"/>
      <c r="I69" s="640"/>
      <c r="J69" s="640"/>
      <c r="K69" s="640"/>
      <c r="L69" s="640"/>
      <c r="M69" s="640"/>
      <c r="N69" s="640"/>
      <c r="O69" s="640"/>
      <c r="P69" s="640"/>
      <c r="Q69" s="640"/>
      <c r="R69" s="640"/>
      <c r="S69" s="640"/>
      <c r="T69" s="640"/>
      <c r="U69" s="640"/>
      <c r="V69" s="640"/>
      <c r="W69" s="640"/>
      <c r="X69" s="947"/>
      <c r="Y69" s="947"/>
      <c r="Z69" s="947"/>
      <c r="AA69" s="947"/>
      <c r="AB69" s="947"/>
      <c r="AC69" s="947"/>
      <c r="AD69" s="947"/>
      <c r="AE69" s="947"/>
      <c r="AF69" s="947"/>
      <c r="AG69" s="947"/>
    </row>
    <row r="70" spans="2:33">
      <c r="B70" s="947"/>
      <c r="C70" s="640"/>
      <c r="D70" s="640"/>
      <c r="E70" s="640"/>
      <c r="F70" s="640"/>
      <c r="G70" s="640"/>
      <c r="H70" s="640"/>
      <c r="I70" s="640"/>
      <c r="J70" s="640"/>
      <c r="K70" s="640"/>
      <c r="L70" s="640"/>
      <c r="M70" s="640"/>
      <c r="N70" s="640"/>
      <c r="O70" s="640"/>
      <c r="P70" s="640"/>
      <c r="Q70" s="640"/>
      <c r="R70" s="640"/>
      <c r="S70" s="640"/>
      <c r="T70" s="640"/>
      <c r="U70" s="640"/>
      <c r="V70" s="640"/>
      <c r="W70" s="640"/>
      <c r="X70" s="947"/>
      <c r="Y70" s="947"/>
      <c r="Z70" s="947"/>
      <c r="AA70" s="947"/>
      <c r="AB70" s="947"/>
      <c r="AC70" s="947"/>
      <c r="AD70" s="947"/>
      <c r="AE70" s="947"/>
      <c r="AF70" s="947"/>
      <c r="AG70" s="947"/>
    </row>
    <row r="71" spans="2:33" ht="15.75" thickBot="1">
      <c r="B71" s="947"/>
      <c r="C71" s="640"/>
      <c r="D71" s="640"/>
      <c r="E71" s="640"/>
      <c r="F71" s="640"/>
      <c r="G71" s="640"/>
      <c r="H71" s="640"/>
      <c r="I71" s="640"/>
      <c r="J71" s="640"/>
      <c r="K71" s="640"/>
      <c r="L71" s="640"/>
      <c r="M71" s="640"/>
      <c r="N71" s="640"/>
      <c r="O71" s="640"/>
      <c r="P71" s="640"/>
      <c r="Q71" s="640"/>
      <c r="R71" s="640"/>
      <c r="S71" s="640"/>
      <c r="T71" s="640"/>
      <c r="U71" s="640"/>
      <c r="V71" s="640"/>
      <c r="W71" s="640"/>
      <c r="X71" s="947"/>
      <c r="Y71" s="947"/>
      <c r="Z71" s="947"/>
      <c r="AA71" s="947"/>
      <c r="AB71" s="947"/>
      <c r="AC71" s="947"/>
      <c r="AD71" s="947"/>
      <c r="AE71" s="947"/>
      <c r="AF71" s="947"/>
      <c r="AG71" s="947"/>
    </row>
    <row r="72" spans="2:33">
      <c r="B72" s="947"/>
      <c r="C72" s="640"/>
      <c r="D72" s="648" t="s">
        <v>336</v>
      </c>
      <c r="E72" s="770"/>
      <c r="F72" s="649">
        <f>G11</f>
        <v>0</v>
      </c>
      <c r="G72" s="640"/>
      <c r="H72" s="640"/>
      <c r="I72" s="640"/>
      <c r="J72" s="640"/>
      <c r="K72" s="640"/>
      <c r="L72" s="640"/>
      <c r="M72" s="640"/>
      <c r="N72" s="640"/>
      <c r="O72" s="640"/>
      <c r="P72" s="640"/>
      <c r="Q72" s="640"/>
      <c r="R72" s="640"/>
      <c r="S72" s="640"/>
      <c r="T72" s="640"/>
      <c r="U72" s="640"/>
      <c r="V72" s="640"/>
      <c r="W72" s="640"/>
      <c r="X72" s="947"/>
      <c r="Y72" s="947"/>
      <c r="Z72" s="947"/>
      <c r="AA72" s="950"/>
      <c r="AB72" s="947"/>
      <c r="AC72" s="947"/>
      <c r="AD72" s="950"/>
      <c r="AE72" s="947"/>
      <c r="AF72" s="947"/>
      <c r="AG72" s="950"/>
    </row>
    <row r="73" spans="2:33">
      <c r="B73" s="947"/>
      <c r="C73" s="640"/>
      <c r="D73" s="650" t="s">
        <v>230</v>
      </c>
      <c r="E73" s="771"/>
      <c r="F73" s="651" t="str">
        <f>G9</f>
        <v>Technology</v>
      </c>
      <c r="G73" s="640"/>
      <c r="H73" s="640"/>
      <c r="I73" s="640"/>
      <c r="J73" s="640"/>
      <c r="K73" s="640"/>
      <c r="L73" s="640"/>
      <c r="M73" s="640"/>
      <c r="N73" s="640"/>
      <c r="O73" s="640"/>
      <c r="P73" s="640"/>
      <c r="Q73" s="640"/>
      <c r="R73" s="640"/>
      <c r="S73" s="640"/>
      <c r="T73" s="640"/>
      <c r="U73" s="640"/>
      <c r="V73" s="640"/>
      <c r="W73" s="640"/>
      <c r="X73" s="947"/>
      <c r="Y73" s="947"/>
      <c r="Z73" s="947"/>
      <c r="AA73" s="947"/>
      <c r="AB73" s="947"/>
      <c r="AC73" s="947"/>
      <c r="AD73" s="947"/>
      <c r="AE73" s="947"/>
      <c r="AF73" s="947"/>
      <c r="AG73" s="947"/>
    </row>
    <row r="74" spans="2:33">
      <c r="B74" s="947"/>
      <c r="C74" s="640"/>
      <c r="D74" s="650" t="s">
        <v>242</v>
      </c>
      <c r="E74" s="771"/>
      <c r="F74" s="651">
        <f>G14</f>
        <v>0</v>
      </c>
      <c r="G74" s="640"/>
      <c r="H74" s="640"/>
      <c r="I74" s="640"/>
      <c r="J74" s="640"/>
      <c r="K74" s="640"/>
      <c r="L74" s="640"/>
      <c r="M74" s="640"/>
      <c r="N74" s="640"/>
      <c r="O74" s="640"/>
      <c r="P74" s="640"/>
      <c r="Q74" s="640"/>
      <c r="R74" s="640"/>
      <c r="S74" s="640"/>
      <c r="T74" s="640"/>
      <c r="U74" s="640"/>
      <c r="V74" s="640"/>
      <c r="W74" s="640"/>
      <c r="X74" s="947"/>
      <c r="Y74" s="947"/>
      <c r="Z74" s="947"/>
      <c r="AA74" s="947"/>
      <c r="AB74" s="947"/>
      <c r="AC74" s="947"/>
      <c r="AD74" s="947"/>
      <c r="AE74" s="947"/>
      <c r="AF74" s="947"/>
      <c r="AG74" s="947"/>
    </row>
    <row r="75" spans="2:33">
      <c r="B75" s="947"/>
      <c r="C75" s="640"/>
      <c r="D75" s="650" t="s">
        <v>246</v>
      </c>
      <c r="E75" s="771"/>
      <c r="F75" s="651" t="str">
        <f>G16</f>
        <v>USA</v>
      </c>
      <c r="G75" s="640"/>
      <c r="H75" s="640"/>
      <c r="I75" s="640"/>
      <c r="J75" s="640"/>
      <c r="K75" s="640"/>
      <c r="L75" s="640"/>
      <c r="M75" s="640"/>
      <c r="N75" s="640"/>
      <c r="O75" s="640"/>
      <c r="P75" s="640"/>
      <c r="Q75" s="640"/>
      <c r="R75" s="640"/>
      <c r="S75" s="640"/>
      <c r="T75" s="640"/>
      <c r="U75" s="640"/>
      <c r="V75" s="640"/>
      <c r="W75" s="640"/>
      <c r="X75" s="947"/>
      <c r="Y75" s="947"/>
      <c r="Z75" s="947"/>
      <c r="AA75" s="950"/>
      <c r="AB75" s="947"/>
      <c r="AC75" s="957"/>
      <c r="AD75" s="950"/>
      <c r="AE75" s="947"/>
      <c r="AF75" s="947"/>
      <c r="AG75" s="947"/>
    </row>
    <row r="76" spans="2:33">
      <c r="B76" s="947"/>
      <c r="C76" s="640"/>
      <c r="D76" s="650" t="s">
        <v>255</v>
      </c>
      <c r="E76" s="771"/>
      <c r="F76" s="651" t="str">
        <f>G19</f>
        <v>No</v>
      </c>
      <c r="G76" s="640"/>
      <c r="H76" s="640"/>
      <c r="I76" s="640"/>
      <c r="J76" s="640"/>
      <c r="K76" s="640"/>
      <c r="L76" s="640"/>
      <c r="M76" s="640"/>
      <c r="N76" s="640"/>
      <c r="O76" s="640"/>
      <c r="P76" s="640"/>
      <c r="Q76" s="640"/>
      <c r="R76" s="640"/>
      <c r="S76" s="640"/>
      <c r="T76" s="640"/>
      <c r="U76" s="640"/>
      <c r="V76" s="640"/>
      <c r="W76" s="640"/>
      <c r="X76" s="947"/>
      <c r="Y76" s="947"/>
      <c r="Z76" s="947"/>
      <c r="AA76" s="950"/>
      <c r="AB76" s="947"/>
      <c r="AC76" s="957"/>
      <c r="AD76" s="950"/>
      <c r="AE76" s="947"/>
      <c r="AF76" s="947"/>
      <c r="AG76" s="947"/>
    </row>
    <row r="77" spans="2:33">
      <c r="B77" s="947"/>
      <c r="C77" s="640"/>
      <c r="D77" s="650" t="s">
        <v>337</v>
      </c>
      <c r="E77" s="771"/>
      <c r="F77" s="651" t="str">
        <f>G17</f>
        <v>USD</v>
      </c>
      <c r="G77" s="640"/>
      <c r="H77" s="640"/>
      <c r="I77" s="640"/>
      <c r="J77" s="640"/>
      <c r="K77" s="640"/>
      <c r="L77" s="640"/>
      <c r="M77" s="640"/>
      <c r="N77" s="640"/>
      <c r="O77" s="640"/>
      <c r="P77" s="640"/>
      <c r="Q77" s="640"/>
      <c r="R77" s="640"/>
      <c r="S77" s="640"/>
      <c r="T77" s="640"/>
      <c r="U77" s="640"/>
      <c r="V77" s="640"/>
      <c r="W77" s="640"/>
      <c r="X77" s="947"/>
      <c r="Y77" s="947"/>
      <c r="Z77" s="947"/>
      <c r="AA77" s="950"/>
      <c r="AB77" s="947"/>
      <c r="AC77" s="947"/>
      <c r="AD77" s="950"/>
      <c r="AE77" s="947"/>
      <c r="AF77" s="947"/>
      <c r="AG77" s="947"/>
    </row>
    <row r="78" spans="2:33">
      <c r="B78" s="947"/>
      <c r="C78" s="640"/>
      <c r="D78" s="650" t="s">
        <v>338</v>
      </c>
      <c r="E78" s="771"/>
      <c r="F78" s="703">
        <f>P8</f>
        <v>326376</v>
      </c>
      <c r="G78" s="640"/>
      <c r="H78" s="640"/>
      <c r="I78" s="640"/>
      <c r="J78" s="640"/>
      <c r="K78" s="640"/>
      <c r="L78" s="640"/>
      <c r="M78" s="640"/>
      <c r="N78" s="640"/>
      <c r="O78" s="640"/>
      <c r="P78" s="640"/>
      <c r="Q78" s="640"/>
      <c r="R78" s="640"/>
      <c r="S78" s="640"/>
      <c r="T78" s="640"/>
      <c r="U78" s="640"/>
      <c r="V78" s="640"/>
      <c r="W78" s="640"/>
      <c r="X78" s="947"/>
      <c r="Y78" s="947"/>
      <c r="Z78" s="947"/>
      <c r="AA78" s="947"/>
      <c r="AB78" s="947"/>
      <c r="AC78" s="947"/>
      <c r="AD78" s="947"/>
      <c r="AE78" s="947"/>
      <c r="AF78" s="947"/>
      <c r="AG78" s="947"/>
    </row>
    <row r="79" spans="2:33">
      <c r="B79" s="947"/>
      <c r="C79" s="640"/>
      <c r="D79" s="650" t="s">
        <v>254</v>
      </c>
      <c r="E79" s="771"/>
      <c r="F79" s="704">
        <f>P11</f>
        <v>0.67984847121111847</v>
      </c>
      <c r="G79" s="640"/>
      <c r="H79" s="640"/>
      <c r="I79" s="640"/>
      <c r="J79" s="640"/>
      <c r="K79" s="640"/>
      <c r="L79" s="640"/>
      <c r="M79" s="640"/>
      <c r="N79" s="640"/>
      <c r="O79" s="640"/>
      <c r="P79" s="640"/>
      <c r="Q79" s="640"/>
      <c r="R79" s="640"/>
      <c r="S79" s="640"/>
      <c r="T79" s="640"/>
      <c r="U79" s="640"/>
      <c r="V79" s="640"/>
      <c r="W79" s="640"/>
      <c r="X79" s="947"/>
      <c r="Y79" s="947"/>
      <c r="Z79" s="947"/>
      <c r="AA79" s="947"/>
      <c r="AB79" s="947"/>
      <c r="AC79" s="947"/>
      <c r="AD79" s="947"/>
      <c r="AE79" s="947"/>
      <c r="AF79" s="947"/>
      <c r="AG79" s="947"/>
    </row>
    <row r="80" spans="2:33">
      <c r="B80" s="947"/>
      <c r="C80" s="640"/>
      <c r="D80" s="650" t="s">
        <v>243</v>
      </c>
      <c r="E80" s="771"/>
      <c r="F80" s="652">
        <f>P14</f>
        <v>122.51351351351352</v>
      </c>
      <c r="G80" s="640"/>
      <c r="H80" s="640"/>
      <c r="I80" s="640"/>
      <c r="J80" s="640"/>
      <c r="K80" s="640"/>
      <c r="L80" s="640"/>
      <c r="M80" s="640"/>
      <c r="N80" s="640"/>
      <c r="O80" s="640"/>
      <c r="P80" s="640"/>
      <c r="Q80" s="640"/>
      <c r="R80" s="640"/>
      <c r="S80" s="640"/>
      <c r="T80" s="640"/>
      <c r="U80" s="640"/>
      <c r="V80" s="640"/>
      <c r="W80" s="640"/>
      <c r="X80" s="947"/>
      <c r="Y80" s="947"/>
      <c r="Z80" s="947"/>
      <c r="AA80" s="947"/>
      <c r="AB80" s="947"/>
      <c r="AC80" s="947"/>
      <c r="AD80" s="947"/>
      <c r="AE80" s="947"/>
      <c r="AF80" s="947"/>
      <c r="AG80" s="947"/>
    </row>
    <row r="81" spans="3:30">
      <c r="C81" s="640"/>
      <c r="D81" s="650" t="s">
        <v>339</v>
      </c>
      <c r="E81" s="771"/>
      <c r="F81" s="704">
        <f>IFERROR(-P17,"")</f>
        <v>0</v>
      </c>
      <c r="G81" s="640"/>
      <c r="H81" s="640"/>
      <c r="I81" s="640"/>
      <c r="J81" s="640"/>
      <c r="K81" s="640"/>
      <c r="L81" s="640"/>
      <c r="M81" s="640"/>
      <c r="N81" s="640"/>
      <c r="O81" s="640"/>
      <c r="P81" s="640"/>
      <c r="Q81" s="640"/>
      <c r="R81" s="640"/>
      <c r="S81" s="640"/>
      <c r="T81" s="640"/>
      <c r="U81" s="640"/>
      <c r="V81" s="640"/>
      <c r="W81" s="640"/>
      <c r="X81" s="947"/>
      <c r="Y81" s="947"/>
      <c r="Z81" s="947"/>
      <c r="AA81" s="947"/>
      <c r="AB81" s="947"/>
      <c r="AC81" s="947"/>
      <c r="AD81" s="947"/>
    </row>
    <row r="82" spans="3:30">
      <c r="C82" s="640"/>
      <c r="D82" s="650" t="s">
        <v>340</v>
      </c>
      <c r="E82" s="771"/>
      <c r="F82" s="653">
        <f>I59</f>
        <v>0</v>
      </c>
      <c r="G82" s="640"/>
      <c r="H82" s="640"/>
      <c r="I82" s="640"/>
      <c r="J82" s="640"/>
      <c r="K82" s="640"/>
      <c r="L82" s="640"/>
      <c r="M82" s="640"/>
      <c r="N82" s="640"/>
      <c r="O82" s="640"/>
      <c r="P82" s="640"/>
      <c r="Q82" s="640"/>
      <c r="R82" s="640"/>
      <c r="S82" s="640"/>
      <c r="T82" s="640"/>
      <c r="U82" s="640"/>
      <c r="V82" s="640"/>
      <c r="W82" s="640"/>
      <c r="X82" s="947"/>
      <c r="Y82" s="947"/>
      <c r="Z82" s="947"/>
      <c r="AA82" s="947"/>
      <c r="AB82" s="947"/>
      <c r="AC82" s="947"/>
      <c r="AD82" s="947"/>
    </row>
    <row r="83" spans="3:30">
      <c r="C83" s="640"/>
      <c r="D83" s="650" t="s">
        <v>341</v>
      </c>
      <c r="E83" s="771"/>
      <c r="F83" s="651" t="str">
        <f>I60</f>
        <v>No</v>
      </c>
      <c r="G83" s="640"/>
      <c r="H83" s="640"/>
      <c r="I83" s="640"/>
      <c r="J83" s="640"/>
      <c r="K83" s="640"/>
      <c r="L83" s="640"/>
      <c r="M83" s="640"/>
      <c r="N83" s="640"/>
      <c r="O83" s="640"/>
      <c r="P83" s="640"/>
      <c r="Q83" s="640"/>
      <c r="R83" s="640"/>
      <c r="S83" s="640"/>
      <c r="T83" s="640"/>
      <c r="U83" s="640"/>
      <c r="V83" s="640"/>
      <c r="W83" s="640"/>
      <c r="X83" s="947"/>
      <c r="Y83" s="947"/>
      <c r="Z83" s="947"/>
      <c r="AA83" s="947"/>
      <c r="AB83" s="947"/>
      <c r="AC83" s="947"/>
      <c r="AD83" s="947"/>
    </row>
    <row r="84" spans="3:30" ht="15.75" thickBot="1">
      <c r="C84" s="640"/>
      <c r="D84" s="654" t="s">
        <v>303</v>
      </c>
      <c r="E84" s="772"/>
      <c r="F84" s="655">
        <f>R13</f>
        <v>0.72072072072072069</v>
      </c>
      <c r="G84" s="640"/>
      <c r="H84" s="640"/>
      <c r="I84" s="640"/>
      <c r="J84" s="640"/>
      <c r="K84" s="640"/>
      <c r="L84" s="640"/>
      <c r="M84" s="640"/>
      <c r="N84" s="640"/>
      <c r="O84" s="640"/>
      <c r="P84" s="640"/>
      <c r="Q84" s="640"/>
      <c r="R84" s="640"/>
      <c r="S84" s="640"/>
      <c r="T84" s="640"/>
      <c r="U84" s="640"/>
      <c r="V84" s="640"/>
      <c r="W84" s="640"/>
      <c r="X84" s="947"/>
      <c r="Y84" s="947"/>
      <c r="Z84" s="947"/>
      <c r="AA84" s="947"/>
      <c r="AB84" s="947"/>
      <c r="AC84" s="947"/>
      <c r="AD84" s="947"/>
    </row>
    <row r="85" spans="3:30">
      <c r="C85" s="640"/>
      <c r="D85" s="640"/>
      <c r="E85" s="640"/>
      <c r="F85" s="640"/>
      <c r="G85" s="640"/>
      <c r="H85" s="640"/>
      <c r="I85" s="640"/>
      <c r="J85" s="640"/>
      <c r="K85" s="640"/>
      <c r="L85" s="640"/>
      <c r="M85" s="640"/>
      <c r="N85" s="640"/>
      <c r="O85" s="640"/>
      <c r="P85" s="640"/>
      <c r="Q85" s="640"/>
      <c r="R85" s="640"/>
      <c r="S85" s="640"/>
      <c r="T85" s="640"/>
      <c r="U85" s="640"/>
      <c r="V85" s="640"/>
      <c r="W85" s="640"/>
      <c r="X85" s="947"/>
      <c r="Y85" s="947"/>
      <c r="Z85" s="947"/>
      <c r="AA85" s="947"/>
      <c r="AB85" s="947"/>
      <c r="AC85" s="947"/>
      <c r="AD85" s="947"/>
    </row>
  </sheetData>
  <mergeCells count="95">
    <mergeCell ref="O1:W1"/>
    <mergeCell ref="O6:R6"/>
    <mergeCell ref="G7:L7"/>
    <mergeCell ref="B2:X2"/>
    <mergeCell ref="B3:X3"/>
    <mergeCell ref="G14:L14"/>
    <mergeCell ref="G15:L15"/>
    <mergeCell ref="G16:L16"/>
    <mergeCell ref="G11:L11"/>
    <mergeCell ref="G12:L12"/>
    <mergeCell ref="G13:L13"/>
    <mergeCell ref="G8:L8"/>
    <mergeCell ref="G9:L9"/>
    <mergeCell ref="G10:L10"/>
    <mergeCell ref="B6:L6"/>
    <mergeCell ref="B7:F7"/>
    <mergeCell ref="B8:F8"/>
    <mergeCell ref="B9:F9"/>
    <mergeCell ref="B10:F10"/>
    <mergeCell ref="B11:F11"/>
    <mergeCell ref="B12:F12"/>
    <mergeCell ref="B13:F13"/>
    <mergeCell ref="B14:F14"/>
    <mergeCell ref="B15:F15"/>
    <mergeCell ref="G22:L22"/>
    <mergeCell ref="G17:L17"/>
    <mergeCell ref="G18:L18"/>
    <mergeCell ref="G19:L19"/>
    <mergeCell ref="E49:I49"/>
    <mergeCell ref="E38:I38"/>
    <mergeCell ref="E39:I39"/>
    <mergeCell ref="E45:I45"/>
    <mergeCell ref="E46:I46"/>
    <mergeCell ref="E47:I47"/>
    <mergeCell ref="E48:I48"/>
    <mergeCell ref="E37:I37"/>
    <mergeCell ref="E30:I30"/>
    <mergeCell ref="E41:I41"/>
    <mergeCell ref="E42:I42"/>
    <mergeCell ref="E43:I43"/>
    <mergeCell ref="E44:I44"/>
    <mergeCell ref="B68:H68"/>
    <mergeCell ref="N62:W62"/>
    <mergeCell ref="J63:L63"/>
    <mergeCell ref="M63:W63"/>
    <mergeCell ref="J67:L67"/>
    <mergeCell ref="J62:M62"/>
    <mergeCell ref="M67:N67"/>
    <mergeCell ref="I68:W68"/>
    <mergeCell ref="K64:W64"/>
    <mergeCell ref="J65:L65"/>
    <mergeCell ref="M65:W65"/>
    <mergeCell ref="I66:W66"/>
    <mergeCell ref="I61:K61"/>
    <mergeCell ref="L61:W61"/>
    <mergeCell ref="J59:W59"/>
    <mergeCell ref="B66:H66"/>
    <mergeCell ref="B67:H67"/>
    <mergeCell ref="B16:F16"/>
    <mergeCell ref="B17:F17"/>
    <mergeCell ref="J53:K53"/>
    <mergeCell ref="B18:F18"/>
    <mergeCell ref="B58:W58"/>
    <mergeCell ref="B22:F22"/>
    <mergeCell ref="B21:F21"/>
    <mergeCell ref="B20:L20"/>
    <mergeCell ref="B19:F19"/>
    <mergeCell ref="G21:L21"/>
    <mergeCell ref="E50:I50"/>
    <mergeCell ref="E51:I51"/>
    <mergeCell ref="E26:I26"/>
    <mergeCell ref="E27:I27"/>
    <mergeCell ref="E28:I28"/>
    <mergeCell ref="E29:I29"/>
    <mergeCell ref="B59:H59"/>
    <mergeCell ref="B60:H60"/>
    <mergeCell ref="B25:X25"/>
    <mergeCell ref="B52:I52"/>
    <mergeCell ref="B53:I53"/>
    <mergeCell ref="B54:I54"/>
    <mergeCell ref="B55:I55"/>
    <mergeCell ref="E40:I40"/>
    <mergeCell ref="E31:I31"/>
    <mergeCell ref="E32:I32"/>
    <mergeCell ref="E33:I33"/>
    <mergeCell ref="E34:I34"/>
    <mergeCell ref="E35:I35"/>
    <mergeCell ref="E36:I36"/>
    <mergeCell ref="B64:H64"/>
    <mergeCell ref="B65:H65"/>
    <mergeCell ref="J60:K60"/>
    <mergeCell ref="L60:W60"/>
    <mergeCell ref="B61:H61"/>
    <mergeCell ref="B62:H62"/>
    <mergeCell ref="B63:H63"/>
  </mergeCells>
  <conditionalFormatting sqref="F79">
    <cfRule type="cellIs" dxfId="791" priority="10" operator="lessThan">
      <formula>0.5</formula>
    </cfRule>
  </conditionalFormatting>
  <conditionalFormatting sqref="F81">
    <cfRule type="cellIs" dxfId="790" priority="17" operator="greaterThan">
      <formula>0.1</formula>
    </cfRule>
  </conditionalFormatting>
  <conditionalFormatting sqref="F82">
    <cfRule type="cellIs" dxfId="789" priority="16" operator="lessThan">
      <formula>0.25</formula>
    </cfRule>
  </conditionalFormatting>
  <conditionalFormatting sqref="F83">
    <cfRule type="cellIs" dxfId="788" priority="15" operator="equal">
      <formula>"Yes"</formula>
    </cfRule>
  </conditionalFormatting>
  <conditionalFormatting sqref="I59">
    <cfRule type="cellIs" dxfId="787" priority="19" operator="between">
      <formula>0</formula>
      <formula>0.24999</formula>
    </cfRule>
  </conditionalFormatting>
  <conditionalFormatting sqref="I60">
    <cfRule type="cellIs" dxfId="786" priority="18" operator="equal">
      <formula>"Yes"</formula>
    </cfRule>
  </conditionalFormatting>
  <conditionalFormatting sqref="M27:M51">
    <cfRule type="cellIs" dxfId="785" priority="9" operator="lessThan">
      <formula>0</formula>
    </cfRule>
  </conditionalFormatting>
  <conditionalFormatting sqref="P11">
    <cfRule type="cellIs" dxfId="784" priority="21" operator="lessThan">
      <formula>$Z$11</formula>
    </cfRule>
  </conditionalFormatting>
  <conditionalFormatting sqref="P17">
    <cfRule type="cellIs" dxfId="783" priority="23" operator="lessThan">
      <formula>-0.1</formula>
    </cfRule>
  </conditionalFormatting>
  <conditionalFormatting sqref="P53:P54">
    <cfRule type="cellIs" dxfId="782" priority="20" operator="lessThan">
      <formula>-0.001</formula>
    </cfRule>
  </conditionalFormatting>
  <conditionalFormatting sqref="P16:Q16">
    <cfRule type="cellIs" dxfId="781" priority="8" operator="lessThan">
      <formula>0</formula>
    </cfRule>
  </conditionalFormatting>
  <conditionalFormatting sqref="P8:R10 P14:R15 P16:Q16 L27:R51 Q52:R53 P52:P55 Q55:R55 F78 F80">
    <cfRule type="expression" dxfId="780" priority="7">
      <formula>$G$17="EUR"</formula>
    </cfRule>
    <cfRule type="expression" dxfId="779" priority="11">
      <formula>$G$17="USD"</formula>
    </cfRule>
    <cfRule type="expression" dxfId="778" priority="12">
      <formula>$G$17="CAD"</formula>
    </cfRule>
    <cfRule type="expression" dxfId="777" priority="13">
      <formula>$G$17="INR"</formula>
    </cfRule>
    <cfRule type="expression" dxfId="776" priority="14">
      <formula>$G$17="GBP"</formula>
    </cfRule>
  </conditionalFormatting>
  <conditionalFormatting sqref="Q53">
    <cfRule type="cellIs" dxfId="775" priority="22" operator="lessThan">
      <formula>-0.001</formula>
    </cfRule>
  </conditionalFormatting>
  <dataValidations count="3">
    <dataValidation type="list" allowBlank="1" showInputMessage="1" showErrorMessage="1" sqref="U27:W51" xr:uid="{C07C85C6-6C98-4B0A-B4B2-250893B268F0}">
      <formula1>SKILLS</formula1>
    </dataValidation>
    <dataValidation type="decimal" operator="greaterThanOrEqual" allowBlank="1" showInputMessage="1" showErrorMessage="1" errorTitle="Error" error="Contingency must be equal to or greater than zero." sqref="P53" xr:uid="{324B7E16-4FD5-4F71-B4EC-BA76495F7365}">
      <formula1>0</formula1>
    </dataValidation>
    <dataValidation type="decimal" operator="lessThanOrEqual" allowBlank="1" showInputMessage="1" showErrorMessage="1" errorTitle="Error" error="One-time discount must be equal to or less than zero." sqref="P54" xr:uid="{BE863DEE-DE99-4662-913A-A18F58004EED}">
      <formula1>0</formula1>
    </dataValidation>
  </dataValidations>
  <printOptions horizontalCentered="1"/>
  <pageMargins left="0.31496062992125984" right="0.31496062992125984" top="0.35433070866141736" bottom="0.35433070866141736" header="0.31496062992125984" footer="0.31496062992125984"/>
  <pageSetup scale="51" orientation="landscape" r:id="rId1"/>
  <extLst>
    <ext xmlns:x14="http://schemas.microsoft.com/office/spreadsheetml/2009/9/main" uri="{78C0D931-6437-407d-A8EE-F0AAD7539E65}">
      <x14:conditionalFormattings>
        <x14:conditionalFormatting xmlns:xm="http://schemas.microsoft.com/office/excel/2006/main">
          <x14:cfRule type="containsText" priority="1" operator="containsText" id="{5CFF579A-B462-48C0-8868-A49CA928A99B}">
            <xm:f>NOT(ISERROR(SEARCH("*---*",E27)))</xm:f>
            <xm:f>"*---*"</xm:f>
            <x14:dxf>
              <font>
                <color rgb="FF9C0006"/>
              </font>
              <fill>
                <patternFill>
                  <bgColor rgb="FFFFC7CE"/>
                </patternFill>
              </fill>
            </x14:dxf>
          </x14:cfRule>
          <xm:sqref>E27:I51</xm:sqref>
        </x14:conditionalFormatting>
      </x14:conditionalFormattings>
    </ext>
    <ext xmlns:x14="http://schemas.microsoft.com/office/spreadsheetml/2009/9/main" uri="{CCE6A557-97BC-4b89-ADB6-D9C93CAAB3DF}">
      <x14:dataValidations xmlns:xm="http://schemas.microsoft.com/office/excel/2006/main" count="9">
        <x14:dataValidation type="list" allowBlank="1" showInputMessage="1" showErrorMessage="1" xr:uid="{F772250E-BA95-494E-A6B0-C0C7D71B4F69}">
          <x14:formula1>
            <xm:f>'Lists (2)'!$P$2:$P$5</xm:f>
          </x14:formula1>
          <xm:sqref>D31:D51</xm:sqref>
        </x14:dataValidation>
        <x14:dataValidation type="list" allowBlank="1" showInputMessage="1" showErrorMessage="1" xr:uid="{D2E40E54-12DF-448F-958F-76D7465D425D}">
          <x14:formula1>
            <xm:f>'Lists (2)'!$I$2:$I$4</xm:f>
          </x14:formula1>
          <xm:sqref>N62:W62</xm:sqref>
        </x14:dataValidation>
        <x14:dataValidation type="list" allowBlank="1" showInputMessage="1" showErrorMessage="1" xr:uid="{BCF76D22-031F-4E42-BC2E-1638380536AA}">
          <x14:formula1>
            <xm:f>'Lists (2)'!$H$2:$H$3</xm:f>
          </x14:formula1>
          <xm:sqref>I62:I65 J64 I67 G19:L19 I60</xm:sqref>
        </x14:dataValidation>
        <x14:dataValidation type="list" allowBlank="1" showInputMessage="1" showErrorMessage="1" xr:uid="{42406D8F-D8AA-4E20-BDE7-F452C31C803A}">
          <x14:formula1>
            <xm:f>'Lists (2)'!$A$2:$A$10</xm:f>
          </x14:formula1>
          <xm:sqref>G9:L9 T27:T51</xm:sqref>
        </x14:dataValidation>
        <x14:dataValidation type="list" allowBlank="1" showInputMessage="1" showErrorMessage="1" xr:uid="{72CFC3B7-7EE2-42CF-B5B4-4D507AB93B0F}">
          <x14:formula1>
            <xm:f>'Lists (2)'!$C$2:$C$6</xm:f>
          </x14:formula1>
          <xm:sqref>G16:L16 C31:C51</xm:sqref>
        </x14:dataValidation>
        <x14:dataValidation type="list" allowBlank="1" showInputMessage="1" showErrorMessage="1" xr:uid="{DF140521-E705-40F7-90FF-C0FE2A45BEB0}">
          <x14:formula1>
            <xm:f>'Lists (2)'!$B$2:$B$26</xm:f>
          </x14:formula1>
          <xm:sqref>G10:L10</xm:sqref>
        </x14:dataValidation>
        <x14:dataValidation type="list" allowBlank="1" showInputMessage="1" showErrorMessage="1" xr:uid="{CBCBD88C-F1F6-4E62-A083-950E4B25B9C2}">
          <x14:formula1>
            <xm:f>'Lists (2)'!$E$2:$E$3</xm:f>
          </x14:formula1>
          <xm:sqref>G18:L18</xm:sqref>
        </x14:dataValidation>
        <x14:dataValidation type="list" allowBlank="1" showInputMessage="1" showErrorMessage="1" xr:uid="{1C99E2D1-9144-457E-B2AF-119FA636AA81}">
          <x14:formula1>
            <xm:f>'Lists (2)'!$S$2:$S$3</xm:f>
          </x14:formula1>
          <xm:sqref>B31:B51 B28</xm:sqref>
        </x14:dataValidation>
        <x14:dataValidation type="list" allowBlank="1" showInputMessage="1" showErrorMessage="1" xr:uid="{82109EF0-B8D2-4D9A-A639-866C69681D5D}">
          <x14:formula1>
            <xm:f>'Lists (2)'!$O$2:$O$27</xm:f>
          </x14:formula1>
          <xm:sqref>E31:I51</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469B4-782E-4494-B8AD-2F5EBB8F05F5}">
  <sheetPr>
    <tabColor rgb="FF0070C0"/>
  </sheetPr>
  <dimension ref="B6:B14"/>
  <sheetViews>
    <sheetView topLeftCell="A4" workbookViewId="0">
      <selection activeCell="B6" sqref="B6"/>
    </sheetView>
  </sheetViews>
  <sheetFormatPr defaultRowHeight="12.75"/>
  <cols>
    <col min="2" max="2" width="178" customWidth="1"/>
  </cols>
  <sheetData>
    <row r="6" spans="2:2" ht="15">
      <c r="B6" s="871" t="s">
        <v>406</v>
      </c>
    </row>
    <row r="7" spans="2:2" ht="15">
      <c r="B7" s="872" t="s">
        <v>407</v>
      </c>
    </row>
    <row r="8" spans="2:2" ht="15">
      <c r="B8" s="872" t="s">
        <v>408</v>
      </c>
    </row>
    <row r="9" spans="2:2" ht="15">
      <c r="B9" s="872" t="s">
        <v>409</v>
      </c>
    </row>
    <row r="10" spans="2:2" ht="15">
      <c r="B10" s="872" t="s">
        <v>410</v>
      </c>
    </row>
    <row r="11" spans="2:2" ht="30">
      <c r="B11" s="872" t="s">
        <v>411</v>
      </c>
    </row>
    <row r="12" spans="2:2" ht="30">
      <c r="B12" s="872" t="s">
        <v>412</v>
      </c>
    </row>
    <row r="13" spans="2:2" ht="15">
      <c r="B13" s="872" t="s">
        <v>413</v>
      </c>
    </row>
    <row r="14" spans="2:2" ht="15">
      <c r="B14" s="872" t="s">
        <v>414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B9F8A-2C3F-4B07-9616-700DE1266567}">
  <sheetPr>
    <tabColor rgb="FF0070C0"/>
  </sheetPr>
  <dimension ref="B2:L39"/>
  <sheetViews>
    <sheetView tabSelected="1" topLeftCell="A6" workbookViewId="0">
      <selection activeCell="L26" sqref="L26"/>
    </sheetView>
  </sheetViews>
  <sheetFormatPr defaultColWidth="9.140625" defaultRowHeight="15"/>
  <cols>
    <col min="1" max="1" width="9.140625" style="580"/>
    <col min="2" max="2" width="19.85546875" style="580" bestFit="1" customWidth="1"/>
    <col min="3" max="3" width="17.5703125" style="580" customWidth="1"/>
    <col min="4" max="16384" width="9.140625" style="580"/>
  </cols>
  <sheetData>
    <row r="2" spans="2:12">
      <c r="L2" s="553"/>
    </row>
    <row r="3" spans="2:12">
      <c r="B3" s="1112" t="s">
        <v>415</v>
      </c>
      <c r="C3" s="1112"/>
      <c r="D3" s="1112"/>
      <c r="E3" s="1112"/>
      <c r="F3" s="1112"/>
      <c r="G3" s="1112"/>
      <c r="H3" s="1112"/>
      <c r="I3" s="1112"/>
      <c r="J3" s="1112"/>
      <c r="K3" s="1112"/>
      <c r="L3" s="553"/>
    </row>
    <row r="4" spans="2:12">
      <c r="B4" s="1112"/>
      <c r="C4" s="1112"/>
      <c r="D4" s="1112"/>
      <c r="E4" s="1112"/>
      <c r="F4" s="1112"/>
      <c r="G4" s="1112"/>
      <c r="H4" s="1112"/>
      <c r="I4" s="1112"/>
      <c r="J4" s="1112"/>
      <c r="K4" s="1112"/>
      <c r="L4" s="553"/>
    </row>
    <row r="5" spans="2:12">
      <c r="B5" s="1112"/>
      <c r="C5" s="1112"/>
      <c r="D5" s="1112"/>
      <c r="E5" s="1112"/>
      <c r="F5" s="1112"/>
      <c r="G5" s="1112"/>
      <c r="H5" s="1112"/>
      <c r="I5" s="1112"/>
      <c r="J5" s="1112"/>
      <c r="K5" s="1112"/>
      <c r="L5" s="553"/>
    </row>
    <row r="6" spans="2:12">
      <c r="B6" s="553"/>
      <c r="C6" s="553"/>
      <c r="D6" s="553"/>
      <c r="E6" s="553"/>
      <c r="F6" s="553"/>
      <c r="G6" s="553"/>
      <c r="H6" s="553"/>
      <c r="I6" s="553"/>
      <c r="J6" s="553"/>
      <c r="K6" s="553"/>
      <c r="L6" s="553"/>
    </row>
    <row r="7" spans="2:12">
      <c r="B7" s="553"/>
      <c r="C7" s="553"/>
      <c r="D7" s="553"/>
      <c r="E7" s="553"/>
      <c r="F7" s="553"/>
      <c r="G7" s="553"/>
      <c r="H7" s="553"/>
      <c r="I7" s="553"/>
      <c r="J7" s="553"/>
      <c r="K7" s="553"/>
      <c r="L7" s="553"/>
    </row>
    <row r="8" spans="2:12">
      <c r="B8" s="553"/>
      <c r="C8" s="553"/>
      <c r="D8" s="553"/>
      <c r="E8" s="553"/>
      <c r="F8" s="553"/>
      <c r="G8" s="553"/>
      <c r="H8" s="553"/>
      <c r="I8" s="553"/>
      <c r="J8" s="553"/>
      <c r="K8" s="553"/>
      <c r="L8" s="553"/>
    </row>
    <row r="9" spans="2:12">
      <c r="B9" s="553"/>
      <c r="C9" s="553"/>
      <c r="D9" s="553"/>
      <c r="E9" s="553"/>
      <c r="F9" s="553"/>
      <c r="G9" s="553" t="s">
        <v>416</v>
      </c>
      <c r="H9" s="553"/>
      <c r="I9" s="553"/>
      <c r="J9" s="553"/>
      <c r="K9" s="553"/>
      <c r="L9" s="553"/>
    </row>
    <row r="10" spans="2:12">
      <c r="B10" s="553"/>
      <c r="C10" s="553"/>
      <c r="D10" s="553"/>
      <c r="E10" s="553"/>
      <c r="F10" s="553"/>
      <c r="G10" s="553"/>
      <c r="H10" s="553"/>
      <c r="I10" s="553"/>
      <c r="J10" s="553"/>
      <c r="K10" s="553"/>
      <c r="L10" s="553" t="s">
        <v>417</v>
      </c>
    </row>
    <row r="11" spans="2:12">
      <c r="B11" s="876"/>
      <c r="C11" s="877" t="s">
        <v>8</v>
      </c>
      <c r="D11" s="877" t="s">
        <v>418</v>
      </c>
      <c r="E11" s="877" t="s">
        <v>419</v>
      </c>
      <c r="F11" s="877" t="s">
        <v>420</v>
      </c>
      <c r="G11" s="877" t="s">
        <v>421</v>
      </c>
      <c r="H11" s="877" t="s">
        <v>422</v>
      </c>
      <c r="I11" s="877" t="s">
        <v>423</v>
      </c>
      <c r="J11" s="877" t="s">
        <v>424</v>
      </c>
      <c r="K11" s="877" t="s">
        <v>425</v>
      </c>
      <c r="L11" s="878" t="s">
        <v>426</v>
      </c>
    </row>
    <row r="12" spans="2:12">
      <c r="B12" s="1109" t="s">
        <v>427</v>
      </c>
      <c r="C12" s="879" t="s">
        <v>428</v>
      </c>
      <c r="D12" s="740">
        <v>2</v>
      </c>
      <c r="E12" s="740">
        <v>2</v>
      </c>
      <c r="F12" s="740">
        <v>2</v>
      </c>
      <c r="G12" s="880">
        <v>2</v>
      </c>
      <c r="H12" s="880">
        <v>2</v>
      </c>
      <c r="I12" s="880">
        <v>2</v>
      </c>
      <c r="J12" s="740">
        <v>2</v>
      </c>
      <c r="K12" s="607">
        <v>2</v>
      </c>
      <c r="L12" s="881">
        <v>2</v>
      </c>
    </row>
    <row r="13" spans="2:12">
      <c r="B13" s="1110"/>
      <c r="C13" s="879" t="s">
        <v>97</v>
      </c>
      <c r="D13" s="740">
        <v>12</v>
      </c>
      <c r="E13" s="740">
        <v>8</v>
      </c>
      <c r="F13" s="740">
        <v>10</v>
      </c>
      <c r="G13" s="880">
        <v>16</v>
      </c>
      <c r="H13" s="880">
        <v>16</v>
      </c>
      <c r="I13" s="880">
        <v>16</v>
      </c>
      <c r="J13" s="740">
        <v>8</v>
      </c>
      <c r="K13" s="607">
        <v>2</v>
      </c>
      <c r="L13" s="881">
        <v>20</v>
      </c>
    </row>
    <row r="14" spans="2:12">
      <c r="B14" s="1110"/>
      <c r="C14" s="879" t="s">
        <v>137</v>
      </c>
      <c r="D14" s="740">
        <v>8</v>
      </c>
      <c r="E14" s="740">
        <v>8</v>
      </c>
      <c r="F14" s="740">
        <v>10</v>
      </c>
      <c r="G14" s="880">
        <v>16</v>
      </c>
      <c r="H14" s="880">
        <v>16</v>
      </c>
      <c r="I14" s="880">
        <v>16</v>
      </c>
      <c r="J14" s="740">
        <v>4</v>
      </c>
      <c r="K14" s="607">
        <v>0</v>
      </c>
      <c r="L14" s="881">
        <v>20</v>
      </c>
    </row>
    <row r="15" spans="2:12">
      <c r="B15" s="1111"/>
      <c r="C15" s="879" t="s">
        <v>151</v>
      </c>
      <c r="D15" s="740">
        <v>2</v>
      </c>
      <c r="E15" s="740">
        <v>2</v>
      </c>
      <c r="F15" s="740">
        <v>4</v>
      </c>
      <c r="G15" s="880">
        <v>4</v>
      </c>
      <c r="H15" s="880">
        <v>4</v>
      </c>
      <c r="I15" s="880">
        <v>4</v>
      </c>
      <c r="J15" s="740">
        <v>2</v>
      </c>
      <c r="K15" s="607">
        <v>0</v>
      </c>
      <c r="L15" s="881">
        <v>4</v>
      </c>
    </row>
    <row r="16" spans="2:12">
      <c r="B16" s="882"/>
      <c r="C16" s="882"/>
      <c r="D16" s="883"/>
      <c r="E16" s="883"/>
      <c r="F16" s="883"/>
      <c r="G16" s="883"/>
      <c r="H16" s="883"/>
      <c r="I16" s="883"/>
      <c r="J16" s="883"/>
      <c r="K16" s="883"/>
      <c r="L16" s="883"/>
    </row>
    <row r="17" spans="2:12">
      <c r="B17" s="1109" t="s">
        <v>357</v>
      </c>
      <c r="C17" s="879" t="s">
        <v>428</v>
      </c>
      <c r="D17" s="740">
        <v>2</v>
      </c>
      <c r="E17" s="740">
        <v>2</v>
      </c>
      <c r="F17" s="740">
        <v>2</v>
      </c>
      <c r="G17" s="880">
        <v>2</v>
      </c>
      <c r="H17" s="880">
        <v>2</v>
      </c>
      <c r="I17" s="880">
        <v>2</v>
      </c>
      <c r="J17" s="740">
        <v>2</v>
      </c>
      <c r="K17" s="607">
        <v>2</v>
      </c>
      <c r="L17" s="881">
        <v>2</v>
      </c>
    </row>
    <row r="18" spans="2:12">
      <c r="B18" s="1110"/>
      <c r="C18" s="879" t="s">
        <v>97</v>
      </c>
      <c r="D18" s="740">
        <v>12</v>
      </c>
      <c r="E18" s="740">
        <v>12</v>
      </c>
      <c r="F18" s="740">
        <v>12</v>
      </c>
      <c r="G18" s="880">
        <v>16</v>
      </c>
      <c r="H18" s="880">
        <v>16</v>
      </c>
      <c r="I18" s="880">
        <v>16</v>
      </c>
      <c r="J18" s="740">
        <v>12</v>
      </c>
      <c r="K18" s="607">
        <v>5</v>
      </c>
      <c r="L18" s="881">
        <v>20</v>
      </c>
    </row>
    <row r="19" spans="2:12">
      <c r="B19" s="1110"/>
      <c r="C19" s="879" t="s">
        <v>137</v>
      </c>
      <c r="D19" s="740">
        <v>8</v>
      </c>
      <c r="E19" s="740">
        <v>12</v>
      </c>
      <c r="F19" s="740">
        <v>12</v>
      </c>
      <c r="G19" s="880">
        <v>16</v>
      </c>
      <c r="H19" s="880">
        <v>16</v>
      </c>
      <c r="I19" s="880">
        <v>16</v>
      </c>
      <c r="J19" s="740">
        <v>8</v>
      </c>
      <c r="K19" s="607">
        <v>5</v>
      </c>
      <c r="L19" s="881">
        <v>20</v>
      </c>
    </row>
    <row r="20" spans="2:12">
      <c r="B20" s="1111"/>
      <c r="C20" s="879" t="s">
        <v>151</v>
      </c>
      <c r="D20" s="740">
        <v>2</v>
      </c>
      <c r="E20" s="740">
        <v>8</v>
      </c>
      <c r="F20" s="740">
        <v>4</v>
      </c>
      <c r="G20" s="880">
        <v>8</v>
      </c>
      <c r="H20" s="880">
        <v>8</v>
      </c>
      <c r="I20" s="880">
        <v>8</v>
      </c>
      <c r="J20" s="740">
        <v>4</v>
      </c>
      <c r="K20" s="607">
        <v>3</v>
      </c>
      <c r="L20" s="881">
        <v>8</v>
      </c>
    </row>
    <row r="21" spans="2:12">
      <c r="B21" s="882"/>
      <c r="C21" s="882"/>
      <c r="D21" s="883"/>
      <c r="E21" s="883"/>
      <c r="F21" s="883"/>
      <c r="G21" s="883"/>
      <c r="H21" s="883"/>
      <c r="I21" s="883"/>
      <c r="J21" s="883"/>
      <c r="K21" s="883"/>
      <c r="L21" s="883"/>
    </row>
    <row r="22" spans="2:12">
      <c r="B22" s="1109" t="s">
        <v>164</v>
      </c>
      <c r="C22" s="879" t="s">
        <v>428</v>
      </c>
      <c r="D22" s="740">
        <v>10</v>
      </c>
      <c r="E22" s="740">
        <v>10</v>
      </c>
      <c r="F22" s="740">
        <v>10</v>
      </c>
      <c r="G22" s="881">
        <v>10</v>
      </c>
      <c r="H22" s="881">
        <v>10</v>
      </c>
      <c r="I22" s="881">
        <v>10</v>
      </c>
      <c r="J22" s="740">
        <v>10</v>
      </c>
      <c r="K22" s="607">
        <v>10</v>
      </c>
      <c r="L22" s="881">
        <v>10</v>
      </c>
    </row>
    <row r="23" spans="2:12">
      <c r="B23" s="1110"/>
      <c r="C23" s="879" t="s">
        <v>429</v>
      </c>
      <c r="D23" s="740">
        <v>20</v>
      </c>
      <c r="E23" s="740">
        <v>20</v>
      </c>
      <c r="F23" s="740">
        <v>20</v>
      </c>
      <c r="G23" s="881">
        <v>20</v>
      </c>
      <c r="H23" s="881">
        <v>20</v>
      </c>
      <c r="I23" s="881">
        <v>20</v>
      </c>
      <c r="J23" s="740">
        <v>20</v>
      </c>
      <c r="K23" s="607">
        <v>20</v>
      </c>
      <c r="L23" s="881">
        <v>20</v>
      </c>
    </row>
    <row r="24" spans="2:12">
      <c r="B24" s="1110"/>
      <c r="C24" s="879" t="s">
        <v>97</v>
      </c>
      <c r="D24" s="740">
        <v>20</v>
      </c>
      <c r="E24" s="740">
        <v>20</v>
      </c>
      <c r="F24" s="740">
        <v>20</v>
      </c>
      <c r="G24" s="881">
        <v>20</v>
      </c>
      <c r="H24" s="881">
        <v>20</v>
      </c>
      <c r="I24" s="881">
        <v>20</v>
      </c>
      <c r="J24" s="740">
        <v>20</v>
      </c>
      <c r="K24" s="607">
        <v>20</v>
      </c>
      <c r="L24" s="881">
        <v>20</v>
      </c>
    </row>
    <row r="25" spans="2:12">
      <c r="B25" s="1110"/>
      <c r="C25" s="879" t="s">
        <v>137</v>
      </c>
      <c r="D25" s="740">
        <v>20</v>
      </c>
      <c r="E25" s="740">
        <v>20</v>
      </c>
      <c r="F25" s="740">
        <v>20</v>
      </c>
      <c r="G25" s="881">
        <v>20</v>
      </c>
      <c r="H25" s="881">
        <v>20</v>
      </c>
      <c r="I25" s="881">
        <v>20</v>
      </c>
      <c r="J25" s="740">
        <v>20</v>
      </c>
      <c r="K25" s="607">
        <v>20</v>
      </c>
      <c r="L25" s="881">
        <v>20</v>
      </c>
    </row>
    <row r="26" spans="2:12">
      <c r="B26" s="1111"/>
      <c r="C26" s="879" t="s">
        <v>151</v>
      </c>
      <c r="D26" s="740">
        <v>10</v>
      </c>
      <c r="E26" s="740">
        <v>10</v>
      </c>
      <c r="F26" s="740">
        <v>10</v>
      </c>
      <c r="G26" s="881">
        <v>10</v>
      </c>
      <c r="H26" s="881">
        <v>10</v>
      </c>
      <c r="I26" s="881">
        <v>10</v>
      </c>
      <c r="J26" s="740">
        <v>10</v>
      </c>
      <c r="K26" s="607">
        <v>10</v>
      </c>
      <c r="L26" s="881">
        <v>10</v>
      </c>
    </row>
    <row r="27" spans="2:12" ht="12.75" customHeight="1">
      <c r="B27" s="884"/>
      <c r="C27" s="885"/>
      <c r="D27" s="886"/>
      <c r="E27" s="886"/>
      <c r="F27" s="886"/>
      <c r="G27" s="886"/>
      <c r="H27" s="886"/>
      <c r="I27" s="886"/>
      <c r="J27" s="886"/>
      <c r="K27" s="886"/>
      <c r="L27" s="887"/>
    </row>
    <row r="28" spans="2:12" ht="12.75" customHeight="1">
      <c r="B28" s="1109" t="s">
        <v>430</v>
      </c>
      <c r="C28" s="879" t="s">
        <v>429</v>
      </c>
      <c r="D28" s="607"/>
      <c r="E28" s="888"/>
      <c r="F28" s="888"/>
      <c r="G28" s="888"/>
      <c r="H28" s="888"/>
      <c r="I28" s="607"/>
      <c r="J28" s="607"/>
      <c r="K28" s="553"/>
      <c r="L28" s="881" t="s">
        <v>431</v>
      </c>
    </row>
    <row r="29" spans="2:12">
      <c r="B29" s="1110"/>
      <c r="C29" s="879" t="s">
        <v>97</v>
      </c>
      <c r="D29" s="607"/>
      <c r="E29" s="889"/>
      <c r="F29" s="889"/>
      <c r="G29" s="890"/>
      <c r="H29" s="889"/>
      <c r="I29" s="607"/>
      <c r="J29" s="607"/>
      <c r="K29" s="607"/>
      <c r="L29" s="881">
        <v>5</v>
      </c>
    </row>
    <row r="30" spans="2:12" ht="15" customHeight="1">
      <c r="B30" s="1110"/>
      <c r="C30" s="879" t="s">
        <v>137</v>
      </c>
      <c r="D30" s="607"/>
      <c r="E30" s="607"/>
      <c r="F30" s="607"/>
      <c r="G30" s="607"/>
      <c r="H30" s="607"/>
      <c r="I30" s="607"/>
      <c r="J30" s="607"/>
      <c r="K30" s="607"/>
      <c r="L30" s="881">
        <v>5</v>
      </c>
    </row>
    <row r="31" spans="2:12" ht="15" customHeight="1">
      <c r="B31" s="1111"/>
      <c r="C31" s="879" t="s">
        <v>151</v>
      </c>
      <c r="D31" s="607"/>
      <c r="E31" s="607"/>
      <c r="F31" s="607"/>
      <c r="G31" s="607"/>
      <c r="H31" s="607"/>
      <c r="I31" s="607"/>
      <c r="J31" s="607"/>
      <c r="K31" s="607"/>
      <c r="L31" s="881">
        <v>2</v>
      </c>
    </row>
    <row r="32" spans="2:12">
      <c r="B32" s="553"/>
      <c r="C32" s="553"/>
      <c r="D32" s="553"/>
      <c r="E32" s="553"/>
      <c r="F32" s="553"/>
      <c r="G32" s="553"/>
      <c r="H32" s="553"/>
      <c r="I32" s="553"/>
      <c r="J32" s="553"/>
      <c r="K32" s="891" t="s">
        <v>432</v>
      </c>
      <c r="L32" s="553"/>
    </row>
    <row r="33" spans="2:12">
      <c r="B33" s="553"/>
      <c r="C33" s="553"/>
      <c r="D33" s="553"/>
      <c r="E33" s="553"/>
      <c r="F33" s="553"/>
      <c r="G33" s="553"/>
      <c r="H33" s="553"/>
      <c r="I33" s="553"/>
      <c r="J33" s="553"/>
      <c r="K33" s="553"/>
      <c r="L33" s="553"/>
    </row>
    <row r="34" spans="2:12">
      <c r="B34" s="553"/>
      <c r="C34" s="553"/>
      <c r="D34" s="553"/>
      <c r="E34" s="553"/>
      <c r="F34" s="553"/>
      <c r="G34" s="553"/>
      <c r="H34" s="553" t="s">
        <v>433</v>
      </c>
      <c r="I34" s="553"/>
      <c r="J34" s="553"/>
      <c r="K34" s="553"/>
      <c r="L34" s="553"/>
    </row>
    <row r="35" spans="2:12">
      <c r="B35" s="553"/>
      <c r="C35" s="553"/>
      <c r="D35" s="553"/>
      <c r="E35" s="553"/>
      <c r="F35" s="553"/>
      <c r="G35" s="553"/>
      <c r="H35" s="553" t="s">
        <v>434</v>
      </c>
      <c r="I35" s="553"/>
      <c r="J35" s="553"/>
      <c r="K35" s="553"/>
      <c r="L35" s="553"/>
    </row>
    <row r="37" spans="2:12">
      <c r="C37" s="778" t="s">
        <v>435</v>
      </c>
    </row>
    <row r="38" spans="2:12">
      <c r="C38" s="580" t="s">
        <v>436</v>
      </c>
    </row>
    <row r="39" spans="2:12">
      <c r="C39" s="580" t="s">
        <v>437</v>
      </c>
    </row>
  </sheetData>
  <mergeCells count="5">
    <mergeCell ref="B12:B15"/>
    <mergeCell ref="B17:B20"/>
    <mergeCell ref="B22:B26"/>
    <mergeCell ref="B28:B31"/>
    <mergeCell ref="B3:K5"/>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7E389-3BA9-4BE1-8317-3E8F059ECB70}">
  <sheetPr>
    <tabColor rgb="FF0070C0"/>
    <pageSetUpPr fitToPage="1"/>
  </sheetPr>
  <dimension ref="A1:F22"/>
  <sheetViews>
    <sheetView zoomScale="110" zoomScaleNormal="110" workbookViewId="0">
      <selection activeCell="C20" sqref="C20:F20"/>
    </sheetView>
  </sheetViews>
  <sheetFormatPr defaultColWidth="9.140625" defaultRowHeight="12.75"/>
  <cols>
    <col min="1" max="1" width="3.5703125" style="685" customWidth="1"/>
    <col min="2" max="2" width="33.140625" style="686" customWidth="1"/>
    <col min="3" max="3" width="25.5703125" style="687" customWidth="1"/>
    <col min="4" max="4" width="3.5703125" style="685" customWidth="1"/>
    <col min="5" max="5" width="22.5703125" style="688" customWidth="1"/>
    <col min="6" max="6" width="25.5703125" style="688" customWidth="1"/>
    <col min="7" max="7" width="9.140625" style="685"/>
    <col min="8" max="9" width="9.140625" style="685" customWidth="1"/>
    <col min="10" max="16384" width="9.140625" style="685"/>
  </cols>
  <sheetData>
    <row r="1" spans="1:6" ht="50.1" customHeight="1">
      <c r="A1" s="1125" t="s">
        <v>438</v>
      </c>
      <c r="B1" s="1126"/>
      <c r="C1" s="1126"/>
      <c r="D1" s="1126"/>
      <c r="E1" s="1126"/>
      <c r="F1" s="1127"/>
    </row>
    <row r="2" spans="1:6" ht="15">
      <c r="A2" s="1130" t="s">
        <v>439</v>
      </c>
      <c r="B2" s="1131"/>
      <c r="C2" s="1135"/>
      <c r="D2" s="1136"/>
      <c r="E2" s="1136"/>
      <c r="F2" s="1137"/>
    </row>
    <row r="3" spans="1:6" ht="15">
      <c r="A3" s="1130" t="s">
        <v>244</v>
      </c>
      <c r="B3" s="1131"/>
      <c r="C3" s="638"/>
      <c r="D3" s="1134" t="s">
        <v>224</v>
      </c>
      <c r="E3" s="1134"/>
      <c r="F3" s="666"/>
    </row>
    <row r="4" spans="1:6" ht="15">
      <c r="A4" s="1130" t="s">
        <v>240</v>
      </c>
      <c r="B4" s="1131"/>
      <c r="C4" s="1132" t="s">
        <v>440</v>
      </c>
      <c r="D4" s="1132"/>
      <c r="E4" s="1132"/>
      <c r="F4" s="1133"/>
    </row>
    <row r="5" spans="1:6" ht="15">
      <c r="A5" s="1130" t="s">
        <v>255</v>
      </c>
      <c r="B5" s="1131"/>
      <c r="C5" s="1132" t="s">
        <v>256</v>
      </c>
      <c r="D5" s="1132"/>
      <c r="E5" s="1132"/>
      <c r="F5" s="1133"/>
    </row>
    <row r="6" spans="1:6" ht="15">
      <c r="A6" s="1143"/>
      <c r="B6" s="1144"/>
      <c r="C6" s="1144"/>
      <c r="D6" s="1144"/>
      <c r="E6" s="1144"/>
      <c r="F6" s="1145"/>
    </row>
    <row r="7" spans="1:6" ht="15">
      <c r="A7" s="1130" t="s">
        <v>237</v>
      </c>
      <c r="B7" s="1131"/>
      <c r="C7" s="1132" t="s">
        <v>441</v>
      </c>
      <c r="D7" s="1132"/>
      <c r="E7" s="1132"/>
      <c r="F7" s="1133"/>
    </row>
    <row r="8" spans="1:6" ht="15">
      <c r="A8" s="1130" t="s">
        <v>242</v>
      </c>
      <c r="B8" s="1131"/>
      <c r="C8" s="1132" t="s">
        <v>442</v>
      </c>
      <c r="D8" s="1132"/>
      <c r="E8" s="1132"/>
      <c r="F8" s="1133"/>
    </row>
    <row r="9" spans="1:6" ht="15">
      <c r="A9" s="1130" t="s">
        <v>443</v>
      </c>
      <c r="B9" s="1131"/>
      <c r="C9" s="1132" t="s">
        <v>444</v>
      </c>
      <c r="D9" s="1132"/>
      <c r="E9" s="1132"/>
      <c r="F9" s="1133"/>
    </row>
    <row r="10" spans="1:6" ht="15">
      <c r="A10" s="1130" t="s">
        <v>445</v>
      </c>
      <c r="B10" s="1131"/>
      <c r="C10" s="1132" t="s">
        <v>446</v>
      </c>
      <c r="D10" s="1132"/>
      <c r="E10" s="1132"/>
      <c r="F10" s="1133"/>
    </row>
    <row r="11" spans="1:6" ht="15">
      <c r="A11" s="1130" t="s">
        <v>230</v>
      </c>
      <c r="B11" s="1131"/>
      <c r="C11" s="1132" t="s">
        <v>399</v>
      </c>
      <c r="D11" s="1132"/>
      <c r="E11" s="1132"/>
      <c r="F11" s="1133"/>
    </row>
    <row r="12" spans="1:6" ht="15">
      <c r="A12" s="1130" t="s">
        <v>233</v>
      </c>
      <c r="B12" s="1131"/>
      <c r="C12" s="1132" t="s">
        <v>447</v>
      </c>
      <c r="D12" s="1132"/>
      <c r="E12" s="1132"/>
      <c r="F12" s="1133"/>
    </row>
    <row r="13" spans="1:6" ht="15">
      <c r="A13" s="1146"/>
      <c r="B13" s="1147"/>
      <c r="C13" s="1147"/>
      <c r="D13" s="1147"/>
      <c r="E13" s="1147"/>
      <c r="F13" s="1148"/>
    </row>
    <row r="14" spans="1:6" ht="15">
      <c r="A14" s="1138" t="s">
        <v>246</v>
      </c>
      <c r="B14" s="1128"/>
      <c r="C14" s="619" t="s">
        <v>308</v>
      </c>
      <c r="D14" s="1128" t="s">
        <v>252</v>
      </c>
      <c r="E14" s="1128"/>
      <c r="F14" s="667" t="s">
        <v>253</v>
      </c>
    </row>
    <row r="15" spans="1:6" ht="15">
      <c r="A15" s="1138" t="s">
        <v>351</v>
      </c>
      <c r="B15" s="1128"/>
      <c r="C15" s="619" t="s">
        <v>448</v>
      </c>
      <c r="D15" s="1129" t="s">
        <v>239</v>
      </c>
      <c r="E15" s="1129"/>
      <c r="F15" s="668"/>
    </row>
    <row r="16" spans="1:6" ht="15">
      <c r="A16" s="1138" t="s">
        <v>449</v>
      </c>
      <c r="B16" s="1128"/>
      <c r="C16" s="619" t="s">
        <v>256</v>
      </c>
      <c r="D16" s="1142" t="s">
        <v>450</v>
      </c>
      <c r="E16" s="1142"/>
      <c r="F16" s="934"/>
    </row>
    <row r="17" spans="1:6" ht="15.75" thickBot="1">
      <c r="A17" s="1139"/>
      <c r="B17" s="1140"/>
      <c r="C17" s="1140"/>
      <c r="D17" s="1140"/>
      <c r="E17" s="1140"/>
      <c r="F17" s="1141"/>
    </row>
    <row r="18" spans="1:6" ht="15.75" thickBot="1">
      <c r="A18" s="1122" t="s">
        <v>451</v>
      </c>
      <c r="B18" s="1123"/>
      <c r="C18" s="620"/>
      <c r="D18" s="1124" t="s">
        <v>452</v>
      </c>
      <c r="E18" s="1124"/>
      <c r="F18" s="603">
        <f>IF(ISBLANK(C19),IF(ISBLANK(Exp_Opp_Close),"",Exp_Opp_Close+30),C19)</f>
        <v>44495</v>
      </c>
    </row>
    <row r="19" spans="1:6" ht="33.950000000000003" customHeight="1">
      <c r="A19" s="1117" t="s">
        <v>453</v>
      </c>
      <c r="B19" s="1118"/>
      <c r="C19" s="630">
        <v>44495</v>
      </c>
      <c r="D19" s="1119"/>
      <c r="E19" s="1120"/>
      <c r="F19" s="1121"/>
    </row>
    <row r="20" spans="1:6" ht="33.950000000000003" customHeight="1" thickBot="1">
      <c r="A20" s="1113" t="s">
        <v>454</v>
      </c>
      <c r="B20" s="1114"/>
      <c r="C20" s="1115" t="s">
        <v>455</v>
      </c>
      <c r="D20" s="1115"/>
      <c r="E20" s="1115"/>
      <c r="F20" s="1116"/>
    </row>
    <row r="21" spans="1:6" ht="30.75" customHeight="1" thickBot="1">
      <c r="A21" s="1113" t="s">
        <v>456</v>
      </c>
      <c r="B21" s="1114"/>
      <c r="C21" s="1115" t="s">
        <v>457</v>
      </c>
      <c r="D21" s="1115"/>
      <c r="E21" s="1115"/>
      <c r="F21" s="1116"/>
    </row>
    <row r="22" spans="1:6" ht="50.25" customHeight="1" thickBot="1">
      <c r="A22" s="1113" t="s">
        <v>458</v>
      </c>
      <c r="B22" s="1114"/>
      <c r="C22" s="1115" t="s">
        <v>459</v>
      </c>
      <c r="D22" s="1115"/>
      <c r="E22" s="1115"/>
      <c r="F22" s="1116"/>
    </row>
  </sheetData>
  <sheetProtection algorithmName="SHA-512" hashValue="Xa4wKpkZtjmdFYesBbT/0wIKn2fki8TrfKBVRd1F9hokzilo2CBoaDPzi3HgohBNA/XBt1YXXDvnLyGkJjr+/Q==" saltValue="SoqWE4v8JacLGqQMhMLi4A==" spinCount="100000" sheet="1" formatCells="0" insertHyperlinks="0" selectLockedCells="1" autoFilter="0"/>
  <mergeCells count="40">
    <mergeCell ref="C10:F10"/>
    <mergeCell ref="A3:B3"/>
    <mergeCell ref="A14:B14"/>
    <mergeCell ref="A17:F17"/>
    <mergeCell ref="D16:E16"/>
    <mergeCell ref="A16:B16"/>
    <mergeCell ref="A6:F6"/>
    <mergeCell ref="A13:F13"/>
    <mergeCell ref="A5:B5"/>
    <mergeCell ref="C5:F5"/>
    <mergeCell ref="A11:B11"/>
    <mergeCell ref="C11:F11"/>
    <mergeCell ref="A12:B12"/>
    <mergeCell ref="C12:F12"/>
    <mergeCell ref="C8:F8"/>
    <mergeCell ref="A15:B15"/>
    <mergeCell ref="A18:B18"/>
    <mergeCell ref="D18:E18"/>
    <mergeCell ref="A1:F1"/>
    <mergeCell ref="D14:E14"/>
    <mergeCell ref="D15:E15"/>
    <mergeCell ref="A2:B2"/>
    <mergeCell ref="A4:B4"/>
    <mergeCell ref="A7:B7"/>
    <mergeCell ref="A8:B8"/>
    <mergeCell ref="A9:B9"/>
    <mergeCell ref="C7:F7"/>
    <mergeCell ref="D3:E3"/>
    <mergeCell ref="C9:F9"/>
    <mergeCell ref="C2:F2"/>
    <mergeCell ref="A10:B10"/>
    <mergeCell ref="C4:F4"/>
    <mergeCell ref="A21:B21"/>
    <mergeCell ref="C21:F21"/>
    <mergeCell ref="A22:B22"/>
    <mergeCell ref="C22:F22"/>
    <mergeCell ref="A19:B19"/>
    <mergeCell ref="D19:F19"/>
    <mergeCell ref="A20:B20"/>
    <mergeCell ref="C20:F20"/>
  </mergeCells>
  <dataValidations count="2">
    <dataValidation type="list" allowBlank="1" showInputMessage="1" showErrorMessage="1" sqref="C15" xr:uid="{557ED807-5D85-4B30-895B-26BCD7A930F6}">
      <formula1>"ServiceNow, Archer"</formula1>
    </dataValidation>
    <dataValidation type="list" allowBlank="1" showInputMessage="1" showErrorMessage="1" sqref="C16" xr:uid="{DBF0533C-973A-46BC-A595-7DC58D179293}">
      <formula1>"Yes,No"</formula1>
    </dataValidation>
  </dataValidations>
  <pageMargins left="0.70866141732283472" right="0.70866141732283472" top="0.74803149606299213" bottom="0.74803149606299213" header="0.31496062992125984" footer="0.31496062992125984"/>
  <pageSetup scale="76" orientation="portrait" r:id="rId1"/>
  <drawing r:id="rId2"/>
  <extLst>
    <ext xmlns:x14="http://schemas.microsoft.com/office/spreadsheetml/2009/9/main" uri="{CCE6A557-97BC-4b89-ADB6-D9C93CAAB3DF}">
      <x14:dataValidations xmlns:xm="http://schemas.microsoft.com/office/excel/2006/main" count="5">
        <x14:dataValidation type="list" allowBlank="1" showInputMessage="1" showErrorMessage="1" xr:uid="{2CF51CCC-CA29-445C-898D-8FE8719714D5}">
          <x14:formula1>
            <xm:f>'Lists (2)'!$E$2:$E$3</xm:f>
          </x14:formula1>
          <xm:sqref>F14</xm:sqref>
        </x14:dataValidation>
        <x14:dataValidation type="list" allowBlank="1" showInputMessage="1" showErrorMessage="1" xr:uid="{C942700C-25F5-4598-A2EB-50926CE9BC89}">
          <x14:formula1>
            <xm:f>'Lists (2)'!$C$2:$C$6</xm:f>
          </x14:formula1>
          <xm:sqref>C14</xm:sqref>
        </x14:dataValidation>
        <x14:dataValidation type="list" allowBlank="1" showInputMessage="1" showErrorMessage="1" xr:uid="{BE423611-8477-4F39-AC47-E64E316B6961}">
          <x14:formula1>
            <xm:f>'Lists (2)'!$A$2:$A$10</xm:f>
          </x14:formula1>
          <xm:sqref>C11:F11</xm:sqref>
        </x14:dataValidation>
        <x14:dataValidation type="list" allowBlank="1" showInputMessage="1" showErrorMessage="1" xr:uid="{4874145C-EFB9-42BF-9253-CC31F1B712B4}">
          <x14:formula1>
            <xm:f>'Lists (2)'!$B$2:$B$26</xm:f>
          </x14:formula1>
          <xm:sqref>C12:F12</xm:sqref>
        </x14:dataValidation>
        <x14:dataValidation type="list" allowBlank="1" showInputMessage="1" showErrorMessage="1" xr:uid="{C85E80A2-1351-44C7-A83B-F1DBFA5E6ADA}">
          <x14:formula1>
            <xm:f>'Lists (2)'!$H$2:$H$3</xm:f>
          </x14:formula1>
          <xm:sqref>C5:F5</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C1E80-9EBB-4156-B7F6-2A747C729C52}">
  <sheetPr>
    <tabColor rgb="FF0070C0"/>
    <pageSetUpPr fitToPage="1"/>
  </sheetPr>
  <dimension ref="A1:BE75"/>
  <sheetViews>
    <sheetView zoomScaleNormal="100" workbookViewId="0">
      <pane xSplit="11" topLeftCell="N63" activePane="topRight" state="frozen"/>
      <selection pane="topRight" activeCell="N36" sqref="N36"/>
      <selection activeCell="K6" sqref="K6"/>
    </sheetView>
  </sheetViews>
  <sheetFormatPr defaultColWidth="9.140625" defaultRowHeight="15"/>
  <cols>
    <col min="1" max="1" width="1.42578125" style="669" customWidth="1"/>
    <col min="2" max="2" width="9.85546875" style="669" customWidth="1"/>
    <col min="3" max="3" width="8.42578125" style="669" customWidth="1"/>
    <col min="4" max="4" width="22.85546875" style="669" customWidth="1"/>
    <col min="5" max="5" width="31.140625" style="669" customWidth="1"/>
    <col min="6" max="6" width="13.85546875" style="669" customWidth="1"/>
    <col min="7" max="7" width="3.42578125" style="669" customWidth="1"/>
    <col min="8" max="8" width="3" style="669" customWidth="1"/>
    <col min="9" max="10" width="10.85546875" style="669" customWidth="1"/>
    <col min="11" max="14" width="10.42578125" style="669" bestFit="1" customWidth="1"/>
    <col min="15" max="15" width="21.140625" style="669" customWidth="1"/>
    <col min="16" max="17" width="19.140625" style="669" customWidth="1"/>
    <col min="18" max="18" width="22.140625" style="669" customWidth="1"/>
    <col min="19" max="22" width="31.42578125" style="669" customWidth="1"/>
    <col min="23" max="23" width="27" style="669" customWidth="1"/>
    <col min="24" max="24" width="8" style="669" customWidth="1"/>
    <col min="25" max="25" width="8.85546875" style="669" customWidth="1"/>
    <col min="26" max="29" width="8" style="669" customWidth="1"/>
    <col min="30" max="30" width="8.85546875" style="669" customWidth="1"/>
    <col min="31" max="32" width="8" style="669" customWidth="1"/>
    <col min="33" max="33" width="27.85546875" style="669" customWidth="1"/>
    <col min="34" max="35" width="32.5703125" style="669" customWidth="1"/>
    <col min="36" max="36" width="26.42578125" style="669" customWidth="1"/>
    <col min="37" max="37" width="29.85546875" style="669" customWidth="1"/>
    <col min="38" max="38" width="36.140625" style="669" customWidth="1"/>
    <col min="39" max="39" width="25.85546875" style="669" customWidth="1"/>
    <col min="40" max="40" width="25.140625" style="669" customWidth="1"/>
    <col min="41" max="42" width="11.42578125" style="669" customWidth="1"/>
    <col min="43" max="43" width="14" style="669" customWidth="1"/>
    <col min="44" max="44" width="13.5703125" style="669" customWidth="1"/>
    <col min="45" max="45" width="12" style="669" customWidth="1"/>
    <col min="46" max="54" width="9.140625" style="669" customWidth="1"/>
    <col min="55" max="55" width="7.85546875" style="669" customWidth="1"/>
    <col min="56" max="56" width="7" style="669" customWidth="1"/>
    <col min="57" max="57" width="9.140625" style="669" customWidth="1"/>
    <col min="58" max="16384" width="9.140625" style="669"/>
  </cols>
  <sheetData>
    <row r="1" spans="1:45" s="640" customFormat="1" ht="12.75" customHeight="1" thickBot="1">
      <c r="A1" s="639"/>
      <c r="B1" s="639"/>
      <c r="C1" s="639"/>
      <c r="D1" s="639"/>
      <c r="E1" s="639"/>
      <c r="F1" s="639"/>
      <c r="G1" s="639"/>
      <c r="H1" s="639"/>
      <c r="I1" s="639"/>
      <c r="J1" s="639"/>
      <c r="K1" s="639"/>
      <c r="L1" s="639"/>
      <c r="M1" s="639"/>
      <c r="N1" s="639"/>
      <c r="O1" s="1082"/>
      <c r="P1" s="1082"/>
      <c r="Q1" s="1082"/>
      <c r="R1" s="1082"/>
      <c r="S1" s="1082"/>
      <c r="T1" s="1082"/>
      <c r="U1" s="1082"/>
      <c r="V1" s="1082"/>
      <c r="W1" s="1082"/>
      <c r="X1" s="1082"/>
      <c r="Y1" s="1082"/>
      <c r="Z1" s="1082"/>
      <c r="AA1" s="1082"/>
      <c r="AB1" s="1082"/>
      <c r="AC1" s="1082"/>
      <c r="AD1" s="1082"/>
      <c r="AE1" s="1082"/>
      <c r="AF1" s="1082"/>
      <c r="AG1" s="1082"/>
    </row>
    <row r="2" spans="1:45" s="640" customFormat="1" ht="23.25">
      <c r="B2" s="1088" t="s">
        <v>460</v>
      </c>
      <c r="C2" s="1089"/>
      <c r="D2" s="1089"/>
      <c r="E2" s="1089"/>
      <c r="F2" s="1089"/>
      <c r="G2" s="1089"/>
      <c r="H2" s="1089"/>
      <c r="I2" s="1089"/>
      <c r="J2" s="1089"/>
      <c r="K2" s="1089"/>
      <c r="L2" s="1089"/>
      <c r="M2" s="1089"/>
      <c r="N2" s="1089"/>
      <c r="O2" s="1089"/>
      <c r="P2" s="1089"/>
      <c r="Q2" s="1089"/>
      <c r="R2" s="1089"/>
      <c r="S2" s="1089"/>
      <c r="T2" s="1089"/>
      <c r="U2" s="1089"/>
      <c r="V2" s="1089"/>
      <c r="W2" s="1089"/>
      <c r="X2" s="1089"/>
      <c r="Y2" s="1089"/>
      <c r="Z2" s="1089"/>
      <c r="AA2" s="1089"/>
      <c r="AB2" s="1089"/>
      <c r="AC2" s="1089"/>
      <c r="AD2" s="1089"/>
      <c r="AE2" s="1089"/>
      <c r="AF2" s="1089"/>
      <c r="AG2" s="1089"/>
      <c r="AH2" s="1090"/>
    </row>
    <row r="3" spans="1:45" s="640" customFormat="1" ht="15.75" thickBot="1">
      <c r="B3" s="1091" t="s">
        <v>221</v>
      </c>
      <c r="C3" s="1092"/>
      <c r="D3" s="1092"/>
      <c r="E3" s="1092"/>
      <c r="F3" s="1092"/>
      <c r="G3" s="1092"/>
      <c r="H3" s="1092"/>
      <c r="I3" s="1092"/>
      <c r="J3" s="1092"/>
      <c r="K3" s="1092"/>
      <c r="L3" s="1092"/>
      <c r="M3" s="1092"/>
      <c r="N3" s="1092"/>
      <c r="O3" s="1092"/>
      <c r="P3" s="1092"/>
      <c r="Q3" s="1092"/>
      <c r="R3" s="1092"/>
      <c r="S3" s="1092"/>
      <c r="T3" s="1092"/>
      <c r="U3" s="1092"/>
      <c r="V3" s="1092"/>
      <c r="W3" s="1092"/>
      <c r="X3" s="1092"/>
      <c r="Y3" s="1092"/>
      <c r="Z3" s="1092"/>
      <c r="AA3" s="1092"/>
      <c r="AB3" s="1092"/>
      <c r="AC3" s="1092"/>
      <c r="AD3" s="1092"/>
      <c r="AE3" s="1092"/>
      <c r="AF3" s="1092"/>
      <c r="AG3" s="1092"/>
      <c r="AH3" s="1093"/>
    </row>
    <row r="4" spans="1:45">
      <c r="A4" s="947"/>
      <c r="B4" s="478" t="s">
        <v>222</v>
      </c>
      <c r="C4" s="478" t="s">
        <v>222</v>
      </c>
      <c r="D4" s="478" t="s">
        <v>222</v>
      </c>
      <c r="E4" s="478"/>
      <c r="F4" s="478" t="s">
        <v>222</v>
      </c>
      <c r="G4" s="478" t="s">
        <v>222</v>
      </c>
      <c r="H4" s="478" t="s">
        <v>222</v>
      </c>
      <c r="I4" s="478" t="s">
        <v>222</v>
      </c>
      <c r="J4" s="478"/>
      <c r="K4" s="478" t="s">
        <v>222</v>
      </c>
      <c r="L4" s="478" t="s">
        <v>222</v>
      </c>
      <c r="M4" s="478" t="s">
        <v>222</v>
      </c>
      <c r="N4" s="478" t="s">
        <v>222</v>
      </c>
      <c r="O4" s="478" t="s">
        <v>222</v>
      </c>
      <c r="P4" s="478" t="s">
        <v>222</v>
      </c>
      <c r="Q4" s="478" t="s">
        <v>222</v>
      </c>
      <c r="R4" s="478" t="s">
        <v>222</v>
      </c>
      <c r="S4" s="478"/>
      <c r="T4" s="478"/>
      <c r="U4" s="478"/>
      <c r="V4" s="478"/>
      <c r="W4" s="478"/>
      <c r="X4" s="478"/>
      <c r="Y4" s="478"/>
      <c r="Z4" s="478"/>
      <c r="AA4" s="478"/>
      <c r="AB4" s="478"/>
      <c r="AC4" s="478"/>
      <c r="AD4" s="478"/>
      <c r="AE4" s="478"/>
      <c r="AF4" s="478"/>
      <c r="AG4" s="637"/>
      <c r="AH4" s="637"/>
      <c r="AI4" s="947"/>
      <c r="AJ4" s="947"/>
      <c r="AK4" s="947"/>
      <c r="AL4" s="947"/>
      <c r="AM4" s="947"/>
      <c r="AN4" s="947"/>
      <c r="AO4" s="947"/>
      <c r="AP4" s="947"/>
      <c r="AQ4" s="947"/>
      <c r="AR4" s="947"/>
      <c r="AS4" s="947"/>
    </row>
    <row r="5" spans="1:45" ht="15.75" thickBot="1">
      <c r="A5" s="947"/>
      <c r="B5" s="478" t="s">
        <v>222</v>
      </c>
      <c r="C5" s="478" t="s">
        <v>222</v>
      </c>
      <c r="D5" s="478" t="s">
        <v>222</v>
      </c>
      <c r="E5" s="478"/>
      <c r="F5" s="478" t="s">
        <v>222</v>
      </c>
      <c r="G5" s="478" t="s">
        <v>222</v>
      </c>
      <c r="H5" s="478" t="s">
        <v>222</v>
      </c>
      <c r="I5" s="478" t="s">
        <v>222</v>
      </c>
      <c r="J5" s="478"/>
      <c r="K5" s="478" t="s">
        <v>222</v>
      </c>
      <c r="L5" s="478" t="s">
        <v>222</v>
      </c>
      <c r="M5" s="478" t="s">
        <v>222</v>
      </c>
      <c r="N5" s="478" t="s">
        <v>222</v>
      </c>
      <c r="O5" s="478" t="s">
        <v>222</v>
      </c>
      <c r="P5" s="478" t="s">
        <v>222</v>
      </c>
      <c r="Q5" s="478" t="s">
        <v>222</v>
      </c>
      <c r="R5" s="478" t="s">
        <v>222</v>
      </c>
      <c r="S5" s="478"/>
      <c r="T5" s="478"/>
      <c r="U5" s="478"/>
      <c r="V5" s="478"/>
      <c r="W5" s="478"/>
      <c r="X5" s="478"/>
      <c r="Y5" s="478"/>
      <c r="Z5" s="478"/>
      <c r="AA5" s="478"/>
      <c r="AB5" s="478"/>
      <c r="AC5" s="478"/>
      <c r="AD5" s="478"/>
      <c r="AE5" s="478"/>
      <c r="AF5" s="478"/>
      <c r="AG5" s="637"/>
      <c r="AH5" s="637"/>
      <c r="AI5" s="947"/>
      <c r="AJ5" s="947"/>
      <c r="AK5" s="947"/>
      <c r="AL5" s="947"/>
      <c r="AM5" s="947"/>
      <c r="AN5" s="947"/>
      <c r="AO5" s="947"/>
      <c r="AP5" s="947"/>
      <c r="AQ5" s="947"/>
      <c r="AR5" s="947"/>
      <c r="AS5" s="947"/>
    </row>
    <row r="6" spans="1:45" ht="18.75">
      <c r="A6" s="947"/>
      <c r="B6" s="1030" t="s">
        <v>223</v>
      </c>
      <c r="C6" s="1031"/>
      <c r="D6" s="1031"/>
      <c r="E6" s="1031"/>
      <c r="F6" s="1031"/>
      <c r="G6" s="1031"/>
      <c r="H6" s="1031"/>
      <c r="I6" s="1031"/>
      <c r="J6" s="1031"/>
      <c r="K6" s="1031"/>
      <c r="L6" s="1032"/>
      <c r="M6" s="478" t="s">
        <v>222</v>
      </c>
      <c r="N6" s="478" t="s">
        <v>222</v>
      </c>
      <c r="O6" s="1106" t="str">
        <f>"Financial Dashboard (" &amp;E17&amp; ")"</f>
        <v>Financial Dashboard (USD)</v>
      </c>
      <c r="P6" s="1097"/>
      <c r="Q6" s="1097"/>
      <c r="R6" s="1098"/>
      <c r="S6" s="637"/>
      <c r="T6" s="637"/>
      <c r="U6" s="637"/>
      <c r="V6" s="637"/>
      <c r="W6" s="637"/>
      <c r="X6" s="637"/>
      <c r="Y6" s="637"/>
      <c r="Z6" s="637"/>
      <c r="AA6" s="637"/>
      <c r="AB6" s="637"/>
      <c r="AC6" s="637"/>
      <c r="AD6" s="637"/>
      <c r="AE6" s="637"/>
      <c r="AF6" s="637"/>
      <c r="AG6" s="637"/>
      <c r="AH6" s="637"/>
      <c r="AI6" s="947"/>
      <c r="AJ6" s="947"/>
      <c r="AK6" s="947"/>
      <c r="AL6" s="947"/>
      <c r="AM6" s="947"/>
      <c r="AN6" s="947"/>
      <c r="AO6" s="947"/>
      <c r="AP6" s="947"/>
      <c r="AQ6" s="947"/>
      <c r="AR6" s="947"/>
      <c r="AS6" s="947"/>
    </row>
    <row r="7" spans="1:45">
      <c r="A7" s="947"/>
      <c r="B7" s="1349" t="s">
        <v>224</v>
      </c>
      <c r="C7" s="1350"/>
      <c r="D7" s="1350"/>
      <c r="E7" s="1164" t="str">
        <f>IF(ISBLANK(Date),"",Date)</f>
        <v/>
      </c>
      <c r="F7" s="1164"/>
      <c r="G7" s="1164"/>
      <c r="H7" s="1164"/>
      <c r="I7" s="1164"/>
      <c r="J7" s="1164"/>
      <c r="K7" s="1164"/>
      <c r="L7" s="1165"/>
      <c r="M7" s="478" t="s">
        <v>222</v>
      </c>
      <c r="N7" s="478" t="s">
        <v>222</v>
      </c>
      <c r="O7" s="948"/>
      <c r="P7" s="488" t="s">
        <v>225</v>
      </c>
      <c r="Q7" s="488" t="s">
        <v>226</v>
      </c>
      <c r="R7" s="487" t="s">
        <v>227</v>
      </c>
      <c r="S7" s="637"/>
      <c r="T7" s="637"/>
      <c r="U7" s="637"/>
      <c r="V7" s="637"/>
      <c r="W7" s="637"/>
      <c r="X7" s="637"/>
      <c r="Y7" s="637"/>
      <c r="Z7" s="637"/>
      <c r="AA7" s="637"/>
      <c r="AB7" s="637"/>
      <c r="AC7" s="637"/>
      <c r="AD7" s="637"/>
      <c r="AE7" s="637"/>
      <c r="AF7" s="637"/>
      <c r="AG7" s="637"/>
      <c r="AH7" s="637"/>
      <c r="AI7" s="947"/>
      <c r="AJ7" s="947"/>
      <c r="AK7" s="947"/>
      <c r="AL7" s="947"/>
      <c r="AM7" s="947"/>
      <c r="AN7" s="481"/>
      <c r="AO7" s="481"/>
      <c r="AP7" s="481"/>
      <c r="AQ7" s="481"/>
      <c r="AR7" s="481"/>
      <c r="AS7" s="481"/>
    </row>
    <row r="8" spans="1:45">
      <c r="A8" s="947"/>
      <c r="B8" s="1349" t="s">
        <v>228</v>
      </c>
      <c r="C8" s="1350"/>
      <c r="D8" s="1350"/>
      <c r="E8" s="1053" t="str">
        <f>IF(ISBLANK(Pre_Sales_Lead),"",Pre_Sales_Lead)</f>
        <v>Jason Hagen</v>
      </c>
      <c r="F8" s="1053"/>
      <c r="G8" s="1053"/>
      <c r="H8" s="1053"/>
      <c r="I8" s="1053"/>
      <c r="J8" s="1053"/>
      <c r="K8" s="1053"/>
      <c r="L8" s="1054"/>
      <c r="M8" s="478" t="s">
        <v>222</v>
      </c>
      <c r="N8" s="478" t="s">
        <v>222</v>
      </c>
      <c r="O8" s="485" t="s">
        <v>229</v>
      </c>
      <c r="P8" s="674">
        <f ca="1">AU42</f>
        <v>125000</v>
      </c>
      <c r="Q8" s="674">
        <f ca="1">AV42</f>
        <v>108712.44845429689</v>
      </c>
      <c r="R8" s="675">
        <f ca="1">AW42</f>
        <v>16287.551545703114</v>
      </c>
      <c r="S8" s="637"/>
      <c r="T8" s="637"/>
      <c r="U8" s="637"/>
      <c r="V8" s="637"/>
      <c r="W8" s="637"/>
      <c r="X8" s="637"/>
      <c r="Y8" s="637"/>
      <c r="Z8" s="637"/>
      <c r="AA8" s="637"/>
      <c r="AB8" s="637"/>
      <c r="AC8" s="637"/>
      <c r="AD8" s="637"/>
      <c r="AE8" s="637"/>
      <c r="AF8" s="637"/>
      <c r="AG8" s="637"/>
      <c r="AH8" s="637"/>
      <c r="AI8" s="947"/>
      <c r="AJ8" s="947"/>
      <c r="AK8" s="641"/>
      <c r="AL8" s="641"/>
      <c r="AM8" s="486"/>
      <c r="AN8" s="950"/>
      <c r="AO8" s="950"/>
      <c r="AP8" s="950"/>
      <c r="AQ8" s="950"/>
      <c r="AR8" s="641"/>
      <c r="AS8" s="950"/>
    </row>
    <row r="9" spans="1:45">
      <c r="A9" s="947"/>
      <c r="B9" s="1349" t="s">
        <v>230</v>
      </c>
      <c r="C9" s="1350"/>
      <c r="D9" s="1350"/>
      <c r="E9" s="1053" t="str">
        <f>IF(ISBLANK(Practice),"",Practice)</f>
        <v>Technology</v>
      </c>
      <c r="F9" s="1053"/>
      <c r="G9" s="1053"/>
      <c r="H9" s="1053"/>
      <c r="I9" s="1053"/>
      <c r="J9" s="1053"/>
      <c r="K9" s="1053"/>
      <c r="L9" s="1054"/>
      <c r="M9" s="478" t="s">
        <v>222</v>
      </c>
      <c r="N9" s="478" t="s">
        <v>222</v>
      </c>
      <c r="O9" s="485" t="s">
        <v>232</v>
      </c>
      <c r="P9" s="674">
        <f ca="1">AX42</f>
        <v>63504.874362000002</v>
      </c>
      <c r="Q9" s="674">
        <f ca="1">AY42</f>
        <v>59011.100000000006</v>
      </c>
      <c r="R9" s="675">
        <f ca="1">AZ42</f>
        <v>4493.7743619999992</v>
      </c>
      <c r="S9" s="637"/>
      <c r="T9" s="637"/>
      <c r="U9" s="637"/>
      <c r="V9" s="637"/>
      <c r="W9" s="637"/>
      <c r="X9" s="637"/>
      <c r="Y9" s="637"/>
      <c r="Z9" s="637"/>
      <c r="AA9" s="637"/>
      <c r="AB9" s="637"/>
      <c r="AC9" s="637"/>
      <c r="AD9" s="637"/>
      <c r="AE9" s="637"/>
      <c r="AF9" s="637"/>
      <c r="AG9" s="637"/>
      <c r="AH9" s="637"/>
      <c r="AI9" s="947"/>
      <c r="AJ9" s="947"/>
      <c r="AK9" s="641"/>
      <c r="AL9" s="641"/>
      <c r="AM9" s="641"/>
      <c r="AN9" s="947"/>
      <c r="AO9" s="947"/>
      <c r="AP9" s="947"/>
      <c r="AQ9" s="947"/>
      <c r="AR9" s="947"/>
      <c r="AS9" s="947"/>
    </row>
    <row r="10" spans="1:45">
      <c r="A10" s="947"/>
      <c r="B10" s="1349" t="s">
        <v>233</v>
      </c>
      <c r="C10" s="1350"/>
      <c r="D10" s="1350"/>
      <c r="E10" s="1053" t="str">
        <f>IF(ISBLANK(Practice_Capability),"",Practice_Capability)</f>
        <v>Technology: ITSM</v>
      </c>
      <c r="F10" s="1053"/>
      <c r="G10" s="1053"/>
      <c r="H10" s="1053"/>
      <c r="I10" s="1053"/>
      <c r="J10" s="1053"/>
      <c r="K10" s="1053"/>
      <c r="L10" s="1054"/>
      <c r="M10" s="478" t="s">
        <v>222</v>
      </c>
      <c r="N10" s="478" t="s">
        <v>222</v>
      </c>
      <c r="O10" s="485" t="s">
        <v>235</v>
      </c>
      <c r="P10" s="674">
        <f ca="1">P8-P9</f>
        <v>61495.125637999998</v>
      </c>
      <c r="Q10" s="674">
        <f ca="1">Q8-Q9</f>
        <v>49701.34845429688</v>
      </c>
      <c r="R10" s="675">
        <f ca="1">R8-R9</f>
        <v>11793.777183703114</v>
      </c>
      <c r="S10" s="637"/>
      <c r="T10" s="637"/>
      <c r="U10" s="637"/>
      <c r="V10" s="637"/>
      <c r="W10" s="637"/>
      <c r="X10" s="637"/>
      <c r="Y10" s="637"/>
      <c r="Z10" s="637"/>
      <c r="AA10" s="637"/>
      <c r="AB10" s="637"/>
      <c r="AC10" s="637"/>
      <c r="AD10" s="637"/>
      <c r="AE10" s="637"/>
      <c r="AF10" s="637"/>
      <c r="AG10" s="637"/>
      <c r="AH10" s="637"/>
      <c r="AI10" s="947"/>
      <c r="AJ10" s="477" t="s">
        <v>236</v>
      </c>
      <c r="AK10" s="641"/>
      <c r="AL10" s="641"/>
      <c r="AM10" s="641"/>
      <c r="AN10" s="950"/>
      <c r="AO10" s="950"/>
      <c r="AP10" s="950"/>
      <c r="AQ10" s="947"/>
      <c r="AR10" s="947"/>
      <c r="AS10" s="947"/>
    </row>
    <row r="11" spans="1:45">
      <c r="A11" s="947"/>
      <c r="B11" s="1349" t="s">
        <v>237</v>
      </c>
      <c r="C11" s="1350"/>
      <c r="D11" s="1350"/>
      <c r="E11" s="1053" t="str">
        <f>IF(ISBLANK(Client),"",Client)</f>
        <v>Boeing ITSM Now Assist AI POC</v>
      </c>
      <c r="F11" s="1053"/>
      <c r="G11" s="1053"/>
      <c r="H11" s="1053"/>
      <c r="I11" s="1053"/>
      <c r="J11" s="1053"/>
      <c r="K11" s="1053"/>
      <c r="L11" s="1054"/>
      <c r="M11" s="478" t="s">
        <v>222</v>
      </c>
      <c r="N11" s="478" t="s">
        <v>222</v>
      </c>
      <c r="O11" s="485" t="s">
        <v>238</v>
      </c>
      <c r="P11" s="676">
        <f ca="1">IFERROR(P10/P8,"")</f>
        <v>0.49196100510399998</v>
      </c>
      <c r="Q11" s="676">
        <f ca="1">IFERROR(Q10/Q8,"")</f>
        <v>0.45718175941177069</v>
      </c>
      <c r="R11" s="677">
        <f ca="1">IFERROR(R10/R8,"")</f>
        <v>0.72409761225372626</v>
      </c>
      <c r="S11" s="637"/>
      <c r="T11" s="637"/>
      <c r="U11" s="637"/>
      <c r="V11" s="637"/>
      <c r="W11" s="637"/>
      <c r="X11" s="637"/>
      <c r="Y11" s="637"/>
      <c r="Z11" s="637"/>
      <c r="AA11" s="637"/>
      <c r="AB11" s="637"/>
      <c r="AC11" s="637"/>
      <c r="AD11" s="637"/>
      <c r="AE11" s="637"/>
      <c r="AF11" s="637"/>
      <c r="AG11" s="637"/>
      <c r="AH11" s="637"/>
      <c r="AI11" s="947"/>
      <c r="AJ11" s="642">
        <f ca="1">0.3125*R13^5-0.4276*R13^4+0.3734*R13^3-0.1274*R13^2+0.0669*R13+0.5</f>
        <v>0.5170136388394968</v>
      </c>
      <c r="AK11" s="643"/>
      <c r="AL11" s="643"/>
      <c r="AM11" s="643"/>
      <c r="AN11" s="947"/>
      <c r="AO11" s="947"/>
      <c r="AP11" s="947"/>
      <c r="AQ11" s="947"/>
      <c r="AR11" s="951"/>
      <c r="AS11" s="947"/>
    </row>
    <row r="12" spans="1:45">
      <c r="A12" s="947"/>
      <c r="B12" s="1349" t="s">
        <v>239</v>
      </c>
      <c r="C12" s="1350"/>
      <c r="D12" s="1350"/>
      <c r="E12" s="1053" t="str">
        <f>IF(ISBLANK(Partner),"",Partner)</f>
        <v/>
      </c>
      <c r="F12" s="1053"/>
      <c r="G12" s="1053"/>
      <c r="H12" s="1053"/>
      <c r="I12" s="1053"/>
      <c r="J12" s="1053"/>
      <c r="K12" s="1053"/>
      <c r="L12" s="1054"/>
      <c r="M12" s="478" t="s">
        <v>222</v>
      </c>
      <c r="N12" s="478" t="s">
        <v>222</v>
      </c>
      <c r="O12" s="485" t="s">
        <v>14</v>
      </c>
      <c r="P12" s="674">
        <f ca="1">IFERROR(J45+K45,0)</f>
        <v>557.75</v>
      </c>
      <c r="Q12" s="674">
        <f ca="1">IFERROR(BB42+BD42,"")</f>
        <v>380.65</v>
      </c>
      <c r="R12" s="675">
        <f ca="1">IFERROR(BC42+BE42,"")</f>
        <v>177.1</v>
      </c>
      <c r="S12" s="637"/>
      <c r="T12" s="637"/>
      <c r="U12" s="637"/>
      <c r="V12" s="637"/>
      <c r="W12" s="637"/>
      <c r="X12" s="637"/>
      <c r="Y12" s="637"/>
      <c r="Z12" s="637"/>
      <c r="AA12" s="637"/>
      <c r="AB12" s="637"/>
      <c r="AC12" s="637"/>
      <c r="AD12" s="637"/>
      <c r="AE12" s="637"/>
      <c r="AF12" s="637"/>
      <c r="AG12" s="637"/>
      <c r="AH12" s="637"/>
      <c r="AI12" s="947"/>
      <c r="AJ12" s="642">
        <v>0.55000000000000004</v>
      </c>
      <c r="AK12" s="641"/>
      <c r="AL12" s="641"/>
      <c r="AM12" s="641"/>
      <c r="AN12" s="950"/>
      <c r="AO12" s="950"/>
      <c r="AP12" s="950"/>
      <c r="AQ12" s="950"/>
      <c r="AR12" s="643"/>
      <c r="AS12" s="947"/>
    </row>
    <row r="13" spans="1:45">
      <c r="A13" s="947"/>
      <c r="B13" s="1349" t="s">
        <v>240</v>
      </c>
      <c r="C13" s="1350"/>
      <c r="D13" s="1350"/>
      <c r="E13" s="1053" t="str">
        <f>IF(ISBLANK(Engagement_Title),"",Engagement_Title)</f>
        <v>Acme Opportunity</v>
      </c>
      <c r="F13" s="1053"/>
      <c r="G13" s="1053"/>
      <c r="H13" s="1053"/>
      <c r="I13" s="1053"/>
      <c r="J13" s="1053"/>
      <c r="K13" s="1053"/>
      <c r="L13" s="1054"/>
      <c r="M13" s="478" t="s">
        <v>222</v>
      </c>
      <c r="N13" s="478" t="s">
        <v>222</v>
      </c>
      <c r="O13" s="485" t="s">
        <v>241</v>
      </c>
      <c r="P13" s="678">
        <f ca="1">IFERROR(P12/P12,"")</f>
        <v>1</v>
      </c>
      <c r="Q13" s="678">
        <f ca="1">IFERROR(Q12/P12,"")</f>
        <v>0.68247422680412362</v>
      </c>
      <c r="R13" s="679">
        <f ca="1">IFERROR(R12/P12,"")</f>
        <v>0.31752577319587627</v>
      </c>
      <c r="S13" s="637"/>
      <c r="T13" s="637"/>
      <c r="U13" s="637"/>
      <c r="V13" s="637"/>
      <c r="W13" s="637"/>
      <c r="X13" s="637"/>
      <c r="Y13" s="637"/>
      <c r="Z13" s="637"/>
      <c r="AA13" s="637"/>
      <c r="AB13" s="637"/>
      <c r="AC13" s="637"/>
      <c r="AD13" s="637"/>
      <c r="AE13" s="637"/>
      <c r="AF13" s="637"/>
      <c r="AG13" s="637"/>
      <c r="AH13" s="637"/>
      <c r="AI13" s="947"/>
      <c r="AJ13" s="477" t="s">
        <v>461</v>
      </c>
      <c r="AK13" s="643"/>
      <c r="AL13" s="643"/>
      <c r="AM13" s="643"/>
      <c r="AN13" s="947"/>
      <c r="AO13" s="947"/>
      <c r="AP13" s="947"/>
      <c r="AQ13" s="947"/>
      <c r="AR13" s="947"/>
      <c r="AS13" s="947"/>
    </row>
    <row r="14" spans="1:45">
      <c r="A14" s="947"/>
      <c r="B14" s="1349" t="s">
        <v>242</v>
      </c>
      <c r="C14" s="1350"/>
      <c r="D14" s="1350"/>
      <c r="E14" s="1053" t="str">
        <f>IF(ISBLANK(Sales_Lead),"",Sales_Lead)</f>
        <v>Harry Tomczyk</v>
      </c>
      <c r="F14" s="1053"/>
      <c r="G14" s="1053"/>
      <c r="H14" s="1053"/>
      <c r="I14" s="1053"/>
      <c r="J14" s="1053"/>
      <c r="K14" s="1053"/>
      <c r="L14" s="1054"/>
      <c r="M14" s="478" t="s">
        <v>222</v>
      </c>
      <c r="N14" s="478" t="s">
        <v>222</v>
      </c>
      <c r="O14" s="485" t="s">
        <v>243</v>
      </c>
      <c r="P14" s="674">
        <f ca="1">IFERROR(P8/P12,"")</f>
        <v>224.11474675033617</v>
      </c>
      <c r="Q14" s="674">
        <f ca="1">IFERROR(Q8/Q12,"")</f>
        <v>285.59686970785998</v>
      </c>
      <c r="R14" s="675">
        <f ca="1">IFERROR(R8/R12,"")</f>
        <v>91.968105848126001</v>
      </c>
      <c r="S14" s="637"/>
      <c r="T14" s="637"/>
      <c r="U14" s="637"/>
      <c r="V14" s="637"/>
      <c r="W14" s="637"/>
      <c r="X14" s="637"/>
      <c r="Y14" s="637"/>
      <c r="Z14" s="637"/>
      <c r="AA14" s="637"/>
      <c r="AB14" s="637"/>
      <c r="AC14" s="637"/>
      <c r="AD14" s="637"/>
      <c r="AE14" s="637"/>
      <c r="AF14" s="637"/>
      <c r="AG14" s="637"/>
      <c r="AH14" s="637"/>
      <c r="AI14" s="947"/>
      <c r="AJ14" s="642">
        <v>0.5</v>
      </c>
      <c r="AK14" s="642"/>
      <c r="AL14" s="641"/>
      <c r="AM14" s="641"/>
      <c r="AN14" s="947"/>
      <c r="AO14" s="947"/>
      <c r="AP14" s="947"/>
      <c r="AQ14" s="947"/>
      <c r="AR14" s="947"/>
      <c r="AS14" s="947"/>
    </row>
    <row r="15" spans="1:45">
      <c r="A15" s="947"/>
      <c r="B15" s="1349" t="s">
        <v>244</v>
      </c>
      <c r="C15" s="1350"/>
      <c r="D15" s="1350"/>
      <c r="E15" s="1053" t="str">
        <f>IF(ISBLANK(SF_ID),"",SF_ID)</f>
        <v/>
      </c>
      <c r="F15" s="1053"/>
      <c r="G15" s="1053"/>
      <c r="H15" s="1053"/>
      <c r="I15" s="1053"/>
      <c r="J15" s="1053"/>
      <c r="K15" s="1053"/>
      <c r="L15" s="1054"/>
      <c r="M15" s="478" t="s">
        <v>222</v>
      </c>
      <c r="N15" s="478" t="s">
        <v>222</v>
      </c>
      <c r="O15" s="485" t="s">
        <v>245</v>
      </c>
      <c r="P15" s="674">
        <f ca="1">IFERROR(AO42/BA42,"")</f>
        <v>221.21443298969072</v>
      </c>
      <c r="Q15" s="674">
        <f ca="1">IFERROR(AP42/BB42,"")</f>
        <v>279.9365558912387</v>
      </c>
      <c r="R15" s="675">
        <f ca="1">IFERROR(AQ42/BC42,"")</f>
        <v>95</v>
      </c>
      <c r="S15" s="637"/>
      <c r="T15" s="637"/>
      <c r="U15" s="637"/>
      <c r="V15" s="637"/>
      <c r="W15" s="637"/>
      <c r="X15" s="637"/>
      <c r="Y15" s="637"/>
      <c r="Z15" s="637"/>
      <c r="AA15" s="637"/>
      <c r="AB15" s="637"/>
      <c r="AC15" s="637"/>
      <c r="AD15" s="637"/>
      <c r="AE15" s="637"/>
      <c r="AF15" s="637"/>
      <c r="AG15" s="637"/>
      <c r="AH15" s="637"/>
      <c r="AI15" s="947"/>
      <c r="AJ15" s="947"/>
      <c r="AK15" s="641"/>
      <c r="AL15" s="641"/>
      <c r="AM15" s="641"/>
      <c r="AN15" s="952"/>
      <c r="AO15" s="952"/>
      <c r="AP15" s="952"/>
      <c r="AQ15" s="952"/>
      <c r="AR15" s="952"/>
      <c r="AS15" s="947"/>
    </row>
    <row r="16" spans="1:45">
      <c r="A16" s="947"/>
      <c r="B16" s="1349" t="s">
        <v>246</v>
      </c>
      <c r="C16" s="1350"/>
      <c r="D16" s="1350"/>
      <c r="E16" s="1053" t="str">
        <f>Client_Location</f>
        <v>USA</v>
      </c>
      <c r="F16" s="1053"/>
      <c r="G16" s="1053"/>
      <c r="H16" s="1053"/>
      <c r="I16" s="1053"/>
      <c r="J16" s="1053"/>
      <c r="K16" s="1053"/>
      <c r="L16" s="1054"/>
      <c r="M16" s="478" t="s">
        <v>222</v>
      </c>
      <c r="N16" s="478" t="s">
        <v>222</v>
      </c>
      <c r="O16" s="485" t="s">
        <v>248</v>
      </c>
      <c r="P16" s="680">
        <f ca="1">IFERROR(P14-P15,"")</f>
        <v>2.9003137606454459</v>
      </c>
      <c r="Q16" s="680">
        <f ca="1">IFERROR(Q14-Q15,"")</f>
        <v>5.660313816621283</v>
      </c>
      <c r="R16" s="681">
        <f ca="1">IFERROR(R14-R15,"")</f>
        <v>-3.031894151873999</v>
      </c>
      <c r="S16" s="637"/>
      <c r="T16" s="637"/>
      <c r="U16" s="637"/>
      <c r="V16" s="637"/>
      <c r="W16" s="637"/>
      <c r="X16" s="637"/>
      <c r="Y16" s="637"/>
      <c r="Z16" s="637"/>
      <c r="AA16" s="637"/>
      <c r="AB16" s="637"/>
      <c r="AC16" s="637"/>
      <c r="AD16" s="637"/>
      <c r="AE16" s="637"/>
      <c r="AF16" s="637"/>
      <c r="AG16" s="637"/>
      <c r="AH16" s="637"/>
      <c r="AI16" s="947"/>
      <c r="AJ16" s="477" t="s">
        <v>249</v>
      </c>
      <c r="AK16" s="641"/>
      <c r="AL16" s="641"/>
      <c r="AM16" s="641"/>
      <c r="AN16" s="947"/>
      <c r="AO16" s="947"/>
      <c r="AP16" s="947"/>
      <c r="AQ16" s="947"/>
      <c r="AR16" s="947"/>
      <c r="AS16" s="947"/>
    </row>
    <row r="17" spans="2:57">
      <c r="B17" s="1349" t="s">
        <v>250</v>
      </c>
      <c r="C17" s="1350"/>
      <c r="D17" s="1350"/>
      <c r="E17" s="1053" t="str">
        <f>IFERROR(VLOOKUP(E16,'Lists (2)'!C2:D6,2),"")</f>
        <v>USD</v>
      </c>
      <c r="F17" s="1053"/>
      <c r="G17" s="1053"/>
      <c r="H17" s="1053"/>
      <c r="I17" s="1053"/>
      <c r="J17" s="1053"/>
      <c r="K17" s="1053"/>
      <c r="L17" s="1054"/>
      <c r="M17" s="478" t="s">
        <v>222</v>
      </c>
      <c r="N17" s="478" t="s">
        <v>222</v>
      </c>
      <c r="O17" s="485" t="s">
        <v>251</v>
      </c>
      <c r="P17" s="676">
        <f ca="1">IFERROR(P16/P15,"")</f>
        <v>1.3110870395968284E-2</v>
      </c>
      <c r="Q17" s="676">
        <f ca="1">IFERROR(Q16/Q15,"")</f>
        <v>2.0219988056223836E-2</v>
      </c>
      <c r="R17" s="677">
        <f ca="1">IFERROR(R16/R15,"")</f>
        <v>-3.1914675282884199E-2</v>
      </c>
      <c r="S17" s="637"/>
      <c r="T17" s="637"/>
      <c r="U17" s="637"/>
      <c r="V17" s="637"/>
      <c r="W17" s="637"/>
      <c r="X17" s="637"/>
      <c r="Y17" s="637"/>
      <c r="Z17" s="637"/>
      <c r="AA17" s="637"/>
      <c r="AB17" s="637"/>
      <c r="AC17" s="637"/>
      <c r="AD17" s="637"/>
      <c r="AE17" s="637"/>
      <c r="AF17" s="637"/>
      <c r="AG17" s="637"/>
      <c r="AH17" s="637"/>
      <c r="AI17" s="947"/>
      <c r="AJ17" s="642">
        <v>0.25</v>
      </c>
      <c r="AK17" s="643"/>
      <c r="AL17" s="643"/>
      <c r="AM17" s="643"/>
      <c r="AN17" s="947"/>
      <c r="AO17" s="947"/>
      <c r="AP17" s="947"/>
      <c r="AQ17" s="947"/>
      <c r="AR17" s="947"/>
      <c r="AS17" s="947"/>
      <c r="AT17" s="947"/>
      <c r="AU17" s="947"/>
      <c r="AV17" s="947"/>
      <c r="AW17" s="947"/>
      <c r="AX17" s="947"/>
      <c r="AY17" s="947"/>
      <c r="AZ17" s="947"/>
      <c r="BA17" s="947"/>
      <c r="BB17" s="947"/>
      <c r="BC17" s="947"/>
      <c r="BD17" s="947"/>
      <c r="BE17" s="947"/>
    </row>
    <row r="18" spans="2:57" ht="15.75" thickBot="1">
      <c r="B18" s="1349" t="s">
        <v>252</v>
      </c>
      <c r="C18" s="1350"/>
      <c r="D18" s="1350"/>
      <c r="E18" s="1053" t="str">
        <f>IF(ISBLANK(Contract_Type),"",Contract_Type)</f>
        <v>Fixed Price</v>
      </c>
      <c r="F18" s="1053"/>
      <c r="G18" s="1053"/>
      <c r="H18" s="1053"/>
      <c r="I18" s="1053"/>
      <c r="J18" s="1053"/>
      <c r="K18" s="1053"/>
      <c r="L18" s="1054"/>
      <c r="M18" s="478" t="s">
        <v>222</v>
      </c>
      <c r="N18" s="478" t="s">
        <v>222</v>
      </c>
      <c r="O18" s="787" t="s">
        <v>254</v>
      </c>
      <c r="P18" s="788">
        <f ca="1">IFERROR(P10/P8-$AJ$17,"")</f>
        <v>0.24196100510399998</v>
      </c>
      <c r="Q18" s="788">
        <f t="shared" ref="Q18:R18" ca="1" si="0">IFERROR(Q10/Q8-$AJ$17,"")</f>
        <v>0.20718175941177069</v>
      </c>
      <c r="R18" s="844">
        <f t="shared" ca="1" si="0"/>
        <v>0.47409761225372626</v>
      </c>
      <c r="S18" s="478"/>
      <c r="T18" s="478"/>
      <c r="U18" s="478"/>
      <c r="V18" s="478"/>
      <c r="W18" s="478"/>
      <c r="X18" s="478"/>
      <c r="Y18" s="478"/>
      <c r="Z18" s="478"/>
      <c r="AA18" s="478"/>
      <c r="AB18" s="478"/>
      <c r="AC18" s="478"/>
      <c r="AD18" s="478"/>
      <c r="AE18" s="478"/>
      <c r="AF18" s="478"/>
      <c r="AG18" s="637"/>
      <c r="AH18" s="637"/>
      <c r="AI18" s="947"/>
      <c r="AJ18" s="947"/>
      <c r="AK18" s="947"/>
      <c r="AL18" s="947"/>
      <c r="AM18" s="947"/>
      <c r="AN18" s="947"/>
      <c r="AO18" s="947"/>
      <c r="AP18" s="947"/>
      <c r="AQ18" s="947"/>
      <c r="AR18" s="947"/>
      <c r="AS18" s="947"/>
      <c r="AT18" s="947"/>
      <c r="AU18" s="947"/>
      <c r="AV18" s="947"/>
      <c r="AW18" s="947"/>
      <c r="AX18" s="947"/>
      <c r="AY18" s="947"/>
      <c r="AZ18" s="947"/>
      <c r="BA18" s="947"/>
      <c r="BB18" s="947"/>
      <c r="BC18" s="947"/>
      <c r="BD18" s="947"/>
      <c r="BE18" s="947"/>
    </row>
    <row r="19" spans="2:57">
      <c r="B19" s="1349" t="s">
        <v>255</v>
      </c>
      <c r="C19" s="1350"/>
      <c r="D19" s="1350"/>
      <c r="E19" s="1053" t="str">
        <f>IF(ISBLANK('Opportunity Details'!C5),"",'Opportunity Details'!C5)</f>
        <v>No</v>
      </c>
      <c r="F19" s="1053"/>
      <c r="G19" s="1053"/>
      <c r="H19" s="1053"/>
      <c r="I19" s="1053"/>
      <c r="J19" s="1053"/>
      <c r="K19" s="1053"/>
      <c r="L19" s="1054"/>
      <c r="M19" s="478"/>
      <c r="N19" s="478"/>
      <c r="O19" s="478"/>
      <c r="P19" s="478"/>
      <c r="Q19" s="478"/>
      <c r="R19" s="478"/>
      <c r="S19" s="478"/>
      <c r="T19" s="478"/>
      <c r="U19" s="478"/>
      <c r="V19" s="478"/>
      <c r="W19" s="478"/>
      <c r="X19" s="478"/>
      <c r="Y19" s="478"/>
      <c r="Z19" s="478"/>
      <c r="AA19" s="478"/>
      <c r="AB19" s="478"/>
      <c r="AC19" s="478"/>
      <c r="AD19" s="478"/>
      <c r="AE19" s="478"/>
      <c r="AF19" s="478"/>
      <c r="AG19" s="637"/>
      <c r="AH19" s="637"/>
      <c r="AI19" s="947"/>
      <c r="AJ19" s="947"/>
      <c r="AK19" s="947"/>
      <c r="AL19" s="947"/>
      <c r="AM19" s="947"/>
      <c r="AN19" s="947"/>
      <c r="AO19" s="947"/>
      <c r="AP19" s="947"/>
      <c r="AQ19" s="947"/>
      <c r="AR19" s="947"/>
      <c r="AS19" s="947"/>
      <c r="AT19" s="947"/>
      <c r="AU19" s="947"/>
      <c r="AV19" s="947"/>
      <c r="AW19" s="947"/>
      <c r="AX19" s="947"/>
      <c r="AY19" s="947"/>
      <c r="AZ19" s="947"/>
      <c r="BA19" s="947"/>
      <c r="BB19" s="947"/>
      <c r="BC19" s="947"/>
      <c r="BD19" s="947"/>
      <c r="BE19" s="947"/>
    </row>
    <row r="20" spans="2:57">
      <c r="B20" s="1156"/>
      <c r="C20" s="1157"/>
      <c r="D20" s="1157"/>
      <c r="E20" s="1157"/>
      <c r="F20" s="1157"/>
      <c r="G20" s="1157"/>
      <c r="H20" s="1157"/>
      <c r="I20" s="1157"/>
      <c r="J20" s="1157"/>
      <c r="K20" s="1157"/>
      <c r="L20" s="1158"/>
      <c r="M20" s="478"/>
      <c r="N20" s="478"/>
      <c r="O20" s="478"/>
      <c r="P20" s="478"/>
      <c r="Q20" s="478"/>
      <c r="R20" s="478"/>
      <c r="S20" s="478"/>
      <c r="T20" s="478"/>
      <c r="U20" s="478"/>
      <c r="V20" s="478"/>
      <c r="W20" s="478"/>
      <c r="X20" s="478"/>
      <c r="Y20" s="478"/>
      <c r="Z20" s="478"/>
      <c r="AA20" s="478"/>
      <c r="AB20" s="478"/>
      <c r="AC20" s="478"/>
      <c r="AD20" s="478"/>
      <c r="AE20" s="478"/>
      <c r="AF20" s="478"/>
      <c r="AG20" s="637"/>
      <c r="AH20" s="637"/>
      <c r="AI20" s="947"/>
      <c r="AJ20" s="947"/>
      <c r="AK20" s="947"/>
      <c r="AL20" s="947"/>
      <c r="AM20" s="947"/>
      <c r="AN20" s="947"/>
      <c r="AO20" s="947"/>
      <c r="AP20" s="947"/>
      <c r="AQ20" s="947"/>
      <c r="AR20" s="947"/>
      <c r="AS20" s="947"/>
      <c r="AT20" s="947"/>
      <c r="AU20" s="947"/>
      <c r="AV20" s="947"/>
      <c r="AW20" s="947"/>
      <c r="AX20" s="947"/>
      <c r="AY20" s="947"/>
      <c r="AZ20" s="947"/>
      <c r="BA20" s="947"/>
      <c r="BB20" s="947"/>
      <c r="BC20" s="947"/>
      <c r="BD20" s="947"/>
      <c r="BE20" s="947"/>
    </row>
    <row r="21" spans="2:57" ht="30" customHeight="1">
      <c r="B21" s="1159" t="s">
        <v>271</v>
      </c>
      <c r="C21" s="1160"/>
      <c r="D21" s="1160"/>
      <c r="E21" s="1027"/>
      <c r="F21" s="1027"/>
      <c r="G21" s="1027"/>
      <c r="H21" s="1027"/>
      <c r="I21" s="1027"/>
      <c r="J21" s="1027"/>
      <c r="K21" s="1027"/>
      <c r="L21" s="1161"/>
      <c r="M21" s="478"/>
      <c r="N21" s="478"/>
      <c r="O21" s="478"/>
      <c r="P21" s="478"/>
      <c r="Q21" s="478"/>
      <c r="R21" s="478"/>
      <c r="S21" s="478"/>
      <c r="T21" s="478"/>
      <c r="U21" s="478"/>
      <c r="V21" s="478"/>
      <c r="W21" s="478"/>
      <c r="X21" s="478"/>
      <c r="Y21" s="478"/>
      <c r="Z21" s="478"/>
      <c r="AA21" s="478"/>
      <c r="AB21" s="478"/>
      <c r="AC21" s="478"/>
      <c r="AD21" s="478"/>
      <c r="AE21" s="478"/>
      <c r="AF21" s="478"/>
      <c r="AG21" s="637"/>
      <c r="AH21" s="637"/>
      <c r="AI21" s="947"/>
      <c r="AJ21" s="947"/>
      <c r="AK21" s="947"/>
      <c r="AL21" s="947"/>
      <c r="AM21" s="947"/>
      <c r="AN21" s="947"/>
      <c r="AO21" s="947"/>
      <c r="AP21" s="947"/>
      <c r="AQ21" s="947"/>
      <c r="AR21" s="947"/>
      <c r="AS21" s="947"/>
      <c r="AT21" s="947"/>
      <c r="AU21" s="947"/>
      <c r="AV21" s="947"/>
      <c r="AW21" s="947"/>
      <c r="AX21" s="947"/>
      <c r="AY21" s="947"/>
      <c r="AZ21" s="947"/>
      <c r="BA21" s="947"/>
      <c r="BB21" s="947"/>
      <c r="BC21" s="947"/>
      <c r="BD21" s="947"/>
      <c r="BE21" s="947"/>
    </row>
    <row r="22" spans="2:57" ht="57" customHeight="1" thickBot="1">
      <c r="B22" s="1351" t="s">
        <v>269</v>
      </c>
      <c r="C22" s="1352"/>
      <c r="D22" s="1352"/>
      <c r="E22" s="1077" t="s">
        <v>462</v>
      </c>
      <c r="F22" s="1077"/>
      <c r="G22" s="1077"/>
      <c r="H22" s="1077"/>
      <c r="I22" s="1077"/>
      <c r="J22" s="1077"/>
      <c r="K22" s="1077"/>
      <c r="L22" s="1162"/>
      <c r="M22" s="478"/>
      <c r="N22" s="478"/>
      <c r="O22" s="478"/>
      <c r="P22" s="478"/>
      <c r="Q22" s="478"/>
      <c r="R22" s="478"/>
      <c r="S22" s="478"/>
      <c r="T22" s="478"/>
      <c r="U22" s="478"/>
      <c r="V22" s="478"/>
      <c r="W22" s="478"/>
      <c r="X22" s="478"/>
      <c r="Y22" s="478"/>
      <c r="Z22" s="478"/>
      <c r="AA22" s="478"/>
      <c r="AB22" s="478"/>
      <c r="AC22" s="478"/>
      <c r="AD22" s="478"/>
      <c r="AE22" s="478"/>
      <c r="AF22" s="478"/>
      <c r="AG22" s="637"/>
      <c r="AH22" s="637"/>
      <c r="AI22" s="947"/>
      <c r="AJ22" s="947"/>
      <c r="AK22" s="947"/>
      <c r="AL22" s="947"/>
      <c r="AM22" s="947"/>
      <c r="AN22" s="947"/>
      <c r="AO22" s="947"/>
      <c r="AP22" s="947"/>
      <c r="AQ22" s="947"/>
      <c r="AR22" s="947"/>
      <c r="AS22" s="947"/>
      <c r="AT22" s="947"/>
      <c r="AU22" s="947"/>
      <c r="AV22" s="947"/>
      <c r="AW22" s="947"/>
      <c r="AX22" s="947"/>
      <c r="AY22" s="947"/>
      <c r="AZ22" s="947"/>
      <c r="BA22" s="947"/>
      <c r="BB22" s="947"/>
      <c r="BC22" s="947"/>
      <c r="BD22" s="947"/>
      <c r="BE22" s="947"/>
    </row>
    <row r="23" spans="2:57">
      <c r="B23" s="478" t="s">
        <v>222</v>
      </c>
      <c r="C23" s="478" t="s">
        <v>222</v>
      </c>
      <c r="D23" s="478" t="s">
        <v>222</v>
      </c>
      <c r="E23" s="478"/>
      <c r="F23" s="478" t="s">
        <v>222</v>
      </c>
      <c r="G23" s="478" t="s">
        <v>222</v>
      </c>
      <c r="H23" s="478" t="s">
        <v>222</v>
      </c>
      <c r="I23" s="478" t="s">
        <v>222</v>
      </c>
      <c r="J23" s="478"/>
      <c r="K23" s="478" t="s">
        <v>222</v>
      </c>
      <c r="L23" s="478" t="s">
        <v>222</v>
      </c>
      <c r="M23" s="478" t="s">
        <v>222</v>
      </c>
      <c r="N23" s="478" t="s">
        <v>222</v>
      </c>
      <c r="O23" s="478" t="s">
        <v>222</v>
      </c>
      <c r="P23" s="478" t="s">
        <v>222</v>
      </c>
      <c r="Q23" s="478" t="s">
        <v>222</v>
      </c>
      <c r="R23" s="478" t="s">
        <v>222</v>
      </c>
      <c r="S23" s="478"/>
      <c r="T23" s="478"/>
      <c r="U23" s="478"/>
      <c r="V23" s="478"/>
      <c r="W23" s="478"/>
      <c r="X23" s="478"/>
      <c r="Y23" s="478"/>
      <c r="Z23" s="478"/>
      <c r="AA23" s="478"/>
      <c r="AB23" s="478"/>
      <c r="AC23" s="478"/>
      <c r="AD23" s="478"/>
      <c r="AE23" s="478"/>
      <c r="AF23" s="478"/>
      <c r="AG23" s="637"/>
      <c r="AH23" s="637"/>
      <c r="AI23" s="947"/>
      <c r="AJ23" s="947"/>
      <c r="AK23" s="947"/>
      <c r="AL23" s="947"/>
      <c r="AM23" s="947"/>
      <c r="AN23" s="947"/>
      <c r="AO23" s="947"/>
      <c r="AP23" s="947"/>
      <c r="AQ23" s="947"/>
      <c r="AR23" s="947"/>
      <c r="AS23" s="947"/>
      <c r="AT23" s="947"/>
      <c r="AU23" s="947"/>
      <c r="AV23" s="947"/>
      <c r="AW23" s="947"/>
      <c r="AX23" s="947"/>
      <c r="AY23" s="947"/>
      <c r="AZ23" s="947"/>
      <c r="BA23" s="947"/>
      <c r="BB23" s="947"/>
      <c r="BC23" s="947"/>
      <c r="BD23" s="947"/>
      <c r="BE23" s="947"/>
    </row>
    <row r="24" spans="2:57" ht="15.75" thickBot="1">
      <c r="B24" s="478"/>
      <c r="C24" s="478"/>
      <c r="D24" s="478"/>
      <c r="E24" s="478"/>
      <c r="F24" s="478"/>
      <c r="G24" s="478"/>
      <c r="H24" s="478"/>
      <c r="I24" s="478"/>
      <c r="J24" s="478"/>
      <c r="K24" s="478"/>
      <c r="L24" s="478"/>
      <c r="M24" s="478"/>
      <c r="N24" s="478"/>
      <c r="O24" s="478"/>
      <c r="P24" s="478"/>
      <c r="Q24" s="478"/>
      <c r="R24" s="478"/>
      <c r="S24" s="478"/>
      <c r="T24" s="478"/>
      <c r="U24" s="478"/>
      <c r="V24" s="478"/>
      <c r="W24" s="478"/>
      <c r="X24" s="478"/>
      <c r="Y24" s="478"/>
      <c r="Z24" s="478"/>
      <c r="AA24" s="478"/>
      <c r="AB24" s="478"/>
      <c r="AC24" s="478"/>
      <c r="AD24" s="478"/>
      <c r="AE24" s="478"/>
      <c r="AF24" s="478"/>
      <c r="AG24" s="637"/>
      <c r="AH24" s="637"/>
      <c r="AI24" s="947"/>
      <c r="AJ24" s="947"/>
      <c r="AK24" s="947"/>
      <c r="AL24" s="947"/>
      <c r="AM24" s="947"/>
      <c r="AN24" s="947"/>
      <c r="AO24" s="947"/>
      <c r="AP24" s="947"/>
      <c r="AQ24" s="947"/>
      <c r="AR24" s="947"/>
      <c r="AS24" s="947"/>
      <c r="AT24" s="947"/>
      <c r="AU24" s="947"/>
      <c r="AV24" s="947"/>
      <c r="AW24" s="947"/>
      <c r="AX24" s="947"/>
      <c r="AY24" s="947"/>
      <c r="AZ24" s="947"/>
      <c r="BA24" s="947"/>
      <c r="BB24" s="947"/>
      <c r="BC24" s="947"/>
      <c r="BD24" s="947"/>
      <c r="BE24" s="947"/>
    </row>
    <row r="25" spans="2:57" ht="18.75">
      <c r="B25" s="1030" t="s">
        <v>272</v>
      </c>
      <c r="C25" s="1031"/>
      <c r="D25" s="1031"/>
      <c r="E25" s="1031"/>
      <c r="F25" s="1031"/>
      <c r="G25" s="1031"/>
      <c r="H25" s="1031"/>
      <c r="I25" s="1031"/>
      <c r="J25" s="1031"/>
      <c r="K25" s="1031"/>
      <c r="L25" s="1031"/>
      <c r="M25" s="1031"/>
      <c r="N25" s="1031"/>
      <c r="O25" s="1031"/>
      <c r="P25" s="1031"/>
      <c r="Q25" s="1031"/>
      <c r="R25" s="1031"/>
      <c r="S25" s="1031"/>
      <c r="T25" s="1031"/>
      <c r="U25" s="1031"/>
      <c r="V25" s="1031"/>
      <c r="W25" s="1031"/>
      <c r="X25" s="1031"/>
      <c r="Y25" s="1031"/>
      <c r="Z25" s="1031"/>
      <c r="AA25" s="1031"/>
      <c r="AB25" s="1031"/>
      <c r="AC25" s="1031"/>
      <c r="AD25" s="1031"/>
      <c r="AE25" s="1031"/>
      <c r="AF25" s="1031"/>
      <c r="AG25" s="1031"/>
      <c r="AH25" s="1032"/>
      <c r="AI25" s="947"/>
      <c r="AJ25" s="947"/>
      <c r="AK25" s="947"/>
      <c r="AL25" s="947"/>
      <c r="AM25" s="947"/>
      <c r="AN25" s="947"/>
      <c r="AO25" s="947"/>
      <c r="AP25" s="947"/>
      <c r="AQ25" s="947"/>
      <c r="AR25" s="947"/>
      <c r="AS25" s="947"/>
      <c r="AT25" s="947"/>
      <c r="AU25" s="947"/>
      <c r="AV25" s="947"/>
      <c r="AW25" s="947"/>
      <c r="AX25" s="947"/>
      <c r="AY25" s="947"/>
      <c r="AZ25" s="947"/>
      <c r="BA25" s="947"/>
      <c r="BB25" s="947"/>
      <c r="BC25" s="947"/>
      <c r="BD25" s="947"/>
      <c r="BE25" s="947"/>
    </row>
    <row r="26" spans="2:57" s="480" customFormat="1" ht="60">
      <c r="B26" s="483" t="s">
        <v>273</v>
      </c>
      <c r="C26" s="482" t="s">
        <v>274</v>
      </c>
      <c r="D26" s="482" t="s">
        <v>275</v>
      </c>
      <c r="E26" s="1081" t="s">
        <v>276</v>
      </c>
      <c r="F26" s="1081"/>
      <c r="G26" s="1081"/>
      <c r="H26" s="1081"/>
      <c r="I26" s="1081"/>
      <c r="J26" s="482" t="s">
        <v>14</v>
      </c>
      <c r="K26" s="482" t="s">
        <v>403</v>
      </c>
      <c r="L26" s="482" t="s">
        <v>277</v>
      </c>
      <c r="M26" s="482" t="s">
        <v>278</v>
      </c>
      <c r="N26" s="482" t="s">
        <v>279</v>
      </c>
      <c r="O26" s="482" t="s">
        <v>280</v>
      </c>
      <c r="P26" s="482" t="s">
        <v>229</v>
      </c>
      <c r="Q26" s="482" t="s">
        <v>232</v>
      </c>
      <c r="R26" s="482" t="s">
        <v>235</v>
      </c>
      <c r="S26" s="482" t="s">
        <v>238</v>
      </c>
      <c r="T26" s="846" t="s">
        <v>230</v>
      </c>
      <c r="U26" s="482" t="s">
        <v>281</v>
      </c>
      <c r="V26" s="482" t="s">
        <v>282</v>
      </c>
      <c r="W26" s="482" t="s">
        <v>283</v>
      </c>
      <c r="X26" s="482" t="str">
        <f>CONCATENATE("Initiate Hours", " - ", Initiate_Length, " weeks")</f>
        <v>Initiate Hours - 1 weeks</v>
      </c>
      <c r="Y26" s="482" t="str">
        <f>CONCATENATE("Plan Hours", " - ", Plan_Length, " weeks")</f>
        <v>Plan Hours - 1 weeks</v>
      </c>
      <c r="Z26" s="482" t="str">
        <f>CONCATENATE("Execute Hours", " - ", Execute_Length, " weeks")</f>
        <v>Execute Hours - 4 weeks</v>
      </c>
      <c r="AA26" s="482" t="str">
        <f>CONCATENATE("Deliver Hours", " - ", Deliver_Length, " weeks")</f>
        <v>Deliver Hours - 1 weeks</v>
      </c>
      <c r="AB26" s="482" t="str">
        <f>CONCATENATE("Close Hours", " - ", Close_Length, " weeks")</f>
        <v>Close Hours - 1 weeks</v>
      </c>
      <c r="AC26" s="482" t="str">
        <f>CONCATENATE("Initiate Hours", " - ", Initiate_Length, " weeks")</f>
        <v>Initiate Hours - 1 weeks</v>
      </c>
      <c r="AD26" s="482" t="str">
        <f>CONCATENATE("Plan Hours", " - ", Plan_Length, " weeks")</f>
        <v>Plan Hours - 1 weeks</v>
      </c>
      <c r="AE26" s="482" t="str">
        <f>CONCATENATE("Execute Hours", " - ", Execute_Length, " weeks")</f>
        <v>Execute Hours - 4 weeks</v>
      </c>
      <c r="AF26" s="482" t="str">
        <f>CONCATENATE("Deliver Hours", " - ", Deliver_Length, " weeks")</f>
        <v>Deliver Hours - 1 weeks</v>
      </c>
      <c r="AG26" s="482" t="str">
        <f>CONCATENATE("Close Hours", " - ", Close_Length, " weeks")</f>
        <v>Close Hours - 1 weeks</v>
      </c>
      <c r="AH26" s="790" t="s">
        <v>285</v>
      </c>
      <c r="AI26" s="947"/>
      <c r="AJ26" s="481" t="s">
        <v>286</v>
      </c>
      <c r="AK26" s="480" t="s">
        <v>287</v>
      </c>
      <c r="AL26" s="480" t="s">
        <v>288</v>
      </c>
      <c r="AM26" s="480" t="s">
        <v>277</v>
      </c>
      <c r="AN26" s="480" t="s">
        <v>280</v>
      </c>
      <c r="AO26" s="480" t="s">
        <v>289</v>
      </c>
      <c r="AP26" s="480" t="s">
        <v>290</v>
      </c>
      <c r="AQ26" s="480" t="s">
        <v>291</v>
      </c>
      <c r="AR26" s="480" t="s">
        <v>292</v>
      </c>
      <c r="AS26" s="480" t="s">
        <v>293</v>
      </c>
      <c r="AT26" s="480" t="s">
        <v>294</v>
      </c>
      <c r="AU26" s="480" t="s">
        <v>295</v>
      </c>
      <c r="AV26" s="480" t="s">
        <v>296</v>
      </c>
      <c r="AW26" s="480" t="s">
        <v>297</v>
      </c>
      <c r="AX26" s="480" t="s">
        <v>298</v>
      </c>
      <c r="AY26" s="480" t="s">
        <v>299</v>
      </c>
      <c r="AZ26" s="480" t="s">
        <v>300</v>
      </c>
      <c r="BA26" s="480" t="s">
        <v>301</v>
      </c>
      <c r="BB26" s="480" t="s">
        <v>302</v>
      </c>
      <c r="BC26" s="480" t="s">
        <v>303</v>
      </c>
      <c r="BD26" s="480" t="s">
        <v>304</v>
      </c>
      <c r="BE26" s="480" t="s">
        <v>305</v>
      </c>
    </row>
    <row r="27" spans="2:57">
      <c r="B27" s="953" t="s">
        <v>306</v>
      </c>
      <c r="C27" s="949" t="s">
        <v>308</v>
      </c>
      <c r="D27" s="954" t="s">
        <v>308</v>
      </c>
      <c r="E27" s="1163" t="s">
        <v>158</v>
      </c>
      <c r="F27" s="1163"/>
      <c r="G27" s="1163"/>
      <c r="H27" s="1163"/>
      <c r="I27" s="1163"/>
      <c r="J27" s="941">
        <f ca="1">SUMIF(TandE[Billable/ Non-Billable],"Billable*",TandE[Role 1])+SUM(Role2_OvSight)</f>
        <v>80</v>
      </c>
      <c r="K27" s="670">
        <f ca="1">SUMIF(TandE[Billable/ Non-Billable],"Non-Billable*",TandE[Role 1])</f>
        <v>0</v>
      </c>
      <c r="L27" s="671">
        <f>IFERROR(INDEX(Bill_Rates!$L:$L,MATCH(Pricing!$AM27,Bill_Rates!$J:$J,0)),"")</f>
        <v>219</v>
      </c>
      <c r="M27" s="672"/>
      <c r="N27" s="671">
        <f t="shared" ref="N27:N41" si="1">IFERROR(L27+M27,"")</f>
        <v>219</v>
      </c>
      <c r="O27" s="671">
        <f>IFERROR(INDEX(Bill_Rates!$O:$O,MATCH($AN27,Bill_Rates!$J:$J,0)),"")</f>
        <v>123</v>
      </c>
      <c r="P27" s="689">
        <f t="shared" ref="P27:P41" ca="1" si="2">IFERROR(N27*J27,"")</f>
        <v>17520</v>
      </c>
      <c r="Q27" s="689">
        <f ca="1">IFERROR((J27+K27)*O27,"")</f>
        <v>9840</v>
      </c>
      <c r="R27" s="689">
        <f t="shared" ref="R27:R41" ca="1" si="3">IFERROR(P27-Q27,"")</f>
        <v>7680</v>
      </c>
      <c r="S27" s="683">
        <f t="shared" ref="S27:S41" ca="1" si="4">IFERROR(R27/P27,"")</f>
        <v>0.43835616438356162</v>
      </c>
      <c r="T27" s="784" t="s">
        <v>360</v>
      </c>
      <c r="U27" s="784"/>
      <c r="V27" s="784"/>
      <c r="W27" s="784"/>
      <c r="X27" s="758">
        <v>10</v>
      </c>
      <c r="Y27" s="758">
        <v>10</v>
      </c>
      <c r="Z27" s="758">
        <v>10</v>
      </c>
      <c r="AA27" s="758">
        <v>10</v>
      </c>
      <c r="AB27" s="758">
        <v>10</v>
      </c>
      <c r="AC27" s="764">
        <f ca="1">'T&amp;E Summary'!D11</f>
        <v>10</v>
      </c>
      <c r="AD27" s="764">
        <f ca="1">'T&amp;E Summary'!E11</f>
        <v>10</v>
      </c>
      <c r="AE27" s="764">
        <f ca="1">'T&amp;E Summary'!F11</f>
        <v>40</v>
      </c>
      <c r="AF27" s="764">
        <f ca="1">'T&amp;E Summary'!G11</f>
        <v>10</v>
      </c>
      <c r="AG27" s="764">
        <f ca="1">'T&amp;E Summary'!H11</f>
        <v>10</v>
      </c>
      <c r="AH27" s="834" t="s">
        <v>463</v>
      </c>
      <c r="AI27" s="947"/>
      <c r="AJ27" s="947"/>
      <c r="AK27" s="947" t="str">
        <f t="shared" ref="AK27:AK41" si="5">IF(OR(G27="Change Management",G27="Enablement",G27="Strategy"),G27,"")</f>
        <v/>
      </c>
      <c r="AL27" s="947" t="str">
        <f t="shared" ref="AL27:AL41" si="6">E27</f>
        <v>Project Manager</v>
      </c>
      <c r="AM27" s="947" t="str">
        <f t="shared" ref="AM27:AM41" si="7">E$16&amp;C27&amp;AJ27&amp;F27&amp;AK27&amp;H27&amp;E27</f>
        <v>USAUSAProject Manager</v>
      </c>
      <c r="AN27" s="947" t="str">
        <f t="shared" ref="AN27:AN41" si="8">E$16&amp;D27&amp;H27&amp;E27</f>
        <v>USAUSAProject Manager</v>
      </c>
      <c r="AO27" s="644">
        <f t="shared" ref="AO27:AO41" ca="1" si="9">IFERROR(L27*J27,"")</f>
        <v>17520</v>
      </c>
      <c r="AP27" s="644">
        <f t="shared" ref="AP27:AP41" ca="1" si="10">IFERROR(AO27-AQ27,"")</f>
        <v>17520</v>
      </c>
      <c r="AQ27" s="644">
        <f t="shared" ref="AQ27:AQ41" ca="1" si="11">IF(D27="India",AO27,0)</f>
        <v>0</v>
      </c>
      <c r="AR27" s="951">
        <f t="shared" ref="AR27:AR41" ca="1" si="12">IFERROR(P27+P27/$P$42*$P$43,"")</f>
        <v>20148</v>
      </c>
      <c r="AS27" s="951">
        <f t="shared" ref="AS27:AS41" ca="1" si="13">IFERROR(Q27+Q27/$Q$42*$Q$43,"")</f>
        <v>11316</v>
      </c>
      <c r="AT27" s="951">
        <f t="shared" ref="AT27:AT41" ca="1" si="14">IFERROR(P27/$P$42*$P$44,"")</f>
        <v>-643.01687759955109</v>
      </c>
      <c r="AU27" s="951">
        <f t="shared" ref="AU27:AU41" ca="1" si="15">IFERROR(AR27+AT27,"")</f>
        <v>19504.983122400448</v>
      </c>
      <c r="AV27" s="951">
        <f t="shared" ref="AV27:AV41" ca="1" si="16">IFERROR(AU27-AW27,"")</f>
        <v>19504.983122400448</v>
      </c>
      <c r="AW27" s="951">
        <f t="shared" ref="AW27:AW41" ca="1" si="17">IF(D27="India",AU27,0)</f>
        <v>0</v>
      </c>
      <c r="AX27" s="951">
        <f t="shared" ref="AX27:AX41" ca="1" si="18">AS27</f>
        <v>11316</v>
      </c>
      <c r="AY27" s="951">
        <f t="shared" ref="AY27:AY41" ca="1" si="19">IFERROR(AX27-AZ27,"")</f>
        <v>11316</v>
      </c>
      <c r="AZ27" s="951">
        <f t="shared" ref="AZ27:AZ41" ca="1" si="20">IF(D27="India",AX27,0)</f>
        <v>0</v>
      </c>
      <c r="BA27" s="950"/>
      <c r="BB27" s="950"/>
      <c r="BC27" s="947"/>
      <c r="BD27" s="947"/>
      <c r="BE27" s="947"/>
    </row>
    <row r="28" spans="2:57">
      <c r="B28" s="953" t="s">
        <v>306</v>
      </c>
      <c r="C28" s="949" t="str" cm="1">
        <f t="array" ref="C28">IFERROR(_xlfn.IFS(B28="Onshore",$E$16,B28="Offshore","India"),"")</f>
        <v>USA</v>
      </c>
      <c r="D28" s="954" t="s">
        <v>308</v>
      </c>
      <c r="E28" s="1163" t="s">
        <v>167</v>
      </c>
      <c r="F28" s="1163"/>
      <c r="G28" s="1163"/>
      <c r="H28" s="1163"/>
      <c r="I28" s="1163"/>
      <c r="J28" s="941">
        <f ca="1">SUMIF(TandE[Billable/ Non-Billable],"Billable*",TandE[Role 2])+SUM(Role2_OvSight)</f>
        <v>79</v>
      </c>
      <c r="K28" s="670">
        <f ca="1">SUMIF(TandE[Billable/ Non-Billable],"Non-Billable*",TandE[Role 2])</f>
        <v>0</v>
      </c>
      <c r="L28" s="671">
        <f>IFERROR(INDEX(Bill_Rates!$L:$L,MATCH(Pricing!$AM28,Bill_Rates!$J:$J,0)),"")</f>
        <v>289</v>
      </c>
      <c r="M28" s="672">
        <v>50</v>
      </c>
      <c r="N28" s="671">
        <f t="shared" si="1"/>
        <v>339</v>
      </c>
      <c r="O28" s="671">
        <f>IFERROR(INDEX(Bill_Rates!$O:$O,MATCH($AN28,Bill_Rates!$J:$J,0)),"")</f>
        <v>178</v>
      </c>
      <c r="P28" s="689">
        <f t="shared" ca="1" si="2"/>
        <v>26781</v>
      </c>
      <c r="Q28" s="689">
        <f t="shared" ref="Q28:Q41" ca="1" si="21">IFERROR((J28+K28)*O28,"")</f>
        <v>14062</v>
      </c>
      <c r="R28" s="689">
        <f t="shared" ca="1" si="3"/>
        <v>12719</v>
      </c>
      <c r="S28" s="683">
        <f t="shared" ca="1" si="4"/>
        <v>0.47492625368731561</v>
      </c>
      <c r="T28" s="784" t="s">
        <v>399</v>
      </c>
      <c r="U28" s="784" t="s">
        <v>464</v>
      </c>
      <c r="V28" s="784"/>
      <c r="W28" s="784"/>
      <c r="X28" s="758">
        <v>2</v>
      </c>
      <c r="Y28" s="758"/>
      <c r="Z28" s="758">
        <v>8</v>
      </c>
      <c r="AA28" s="758">
        <v>8</v>
      </c>
      <c r="AB28" s="758">
        <v>2</v>
      </c>
      <c r="AC28" s="764">
        <f ca="1">'T&amp;E Summary'!D12</f>
        <v>2</v>
      </c>
      <c r="AD28" s="764">
        <f ca="1">'T&amp;E Summary'!E12</f>
        <v>31</v>
      </c>
      <c r="AE28" s="764">
        <f ca="1">'T&amp;E Summary'!F12</f>
        <v>36</v>
      </c>
      <c r="AF28" s="764">
        <f ca="1">'T&amp;E Summary'!G12</f>
        <v>8</v>
      </c>
      <c r="AG28" s="764">
        <f ca="1">'T&amp;E Summary'!H12</f>
        <v>2</v>
      </c>
      <c r="AH28" s="834"/>
      <c r="AI28" s="947"/>
      <c r="AJ28" s="947"/>
      <c r="AK28" s="947" t="str">
        <f t="shared" si="5"/>
        <v/>
      </c>
      <c r="AL28" s="947" t="str">
        <f t="shared" si="6"/>
        <v>Solution Architect</v>
      </c>
      <c r="AM28" s="947" t="str">
        <f t="shared" si="7"/>
        <v>USAUSASolution Architect</v>
      </c>
      <c r="AN28" s="947" t="str">
        <f t="shared" si="8"/>
        <v>USAUSASolution Architect</v>
      </c>
      <c r="AO28" s="644">
        <f t="shared" ca="1" si="9"/>
        <v>22831</v>
      </c>
      <c r="AP28" s="644">
        <f t="shared" ca="1" si="10"/>
        <v>22831</v>
      </c>
      <c r="AQ28" s="644">
        <f t="shared" ca="1" si="11"/>
        <v>0</v>
      </c>
      <c r="AR28" s="951">
        <f t="shared" ca="1" si="12"/>
        <v>30798.15</v>
      </c>
      <c r="AS28" s="951">
        <f t="shared" ca="1" si="13"/>
        <v>16171.3</v>
      </c>
      <c r="AT28" s="951">
        <f t="shared" ca="1" si="14"/>
        <v>-982.91295656356056</v>
      </c>
      <c r="AU28" s="951">
        <f t="shared" ca="1" si="15"/>
        <v>29815.237043436442</v>
      </c>
      <c r="AV28" s="951">
        <f t="shared" ca="1" si="16"/>
        <v>29815.237043436442</v>
      </c>
      <c r="AW28" s="951">
        <f t="shared" ca="1" si="17"/>
        <v>0</v>
      </c>
      <c r="AX28" s="951">
        <f t="shared" ca="1" si="18"/>
        <v>16171.3</v>
      </c>
      <c r="AY28" s="951">
        <f t="shared" ca="1" si="19"/>
        <v>16171.3</v>
      </c>
      <c r="AZ28" s="951">
        <f t="shared" ca="1" si="20"/>
        <v>0</v>
      </c>
      <c r="BA28" s="950"/>
      <c r="BB28" s="950"/>
      <c r="BC28" s="947"/>
      <c r="BD28" s="947"/>
      <c r="BE28" s="947"/>
    </row>
    <row r="29" spans="2:57">
      <c r="B29" s="953" t="s">
        <v>306</v>
      </c>
      <c r="C29" s="949" t="str" cm="1">
        <f t="array" ref="C29">IFERROR(_xlfn.IFS(B29="Onshore",$E$16,B29="Offshore","India"),"")</f>
        <v>USA</v>
      </c>
      <c r="D29" s="954" t="s">
        <v>308</v>
      </c>
      <c r="E29" s="1163" t="s">
        <v>370</v>
      </c>
      <c r="F29" s="1163"/>
      <c r="G29" s="1163"/>
      <c r="H29" s="1163"/>
      <c r="I29" s="1163"/>
      <c r="J29" s="941">
        <f ca="1">SUMIF(TandE[Billable/ Non-Billable],"Billable*",TandE[Role 3])+SUM(Role3_OvSight)</f>
        <v>120</v>
      </c>
      <c r="K29" s="670">
        <f ca="1">SUMIF(TandE[Billable/ Non-Billable],"Non-Billable*",TandE[Role 3])</f>
        <v>0</v>
      </c>
      <c r="L29" s="671">
        <f>IFERROR(INDEX(Bill_Rates!$L:$L,MATCH(Pricing!$AM29,Bill_Rates!$J:$J,0)),"")</f>
        <v>289</v>
      </c>
      <c r="M29" s="672"/>
      <c r="N29" s="671">
        <f t="shared" si="1"/>
        <v>289</v>
      </c>
      <c r="O29" s="671">
        <f>IFERROR(INDEX(Bill_Rates!$O:$O,MATCH($AN29,Bill_Rates!$J:$J,0)),"")</f>
        <v>137</v>
      </c>
      <c r="P29" s="689">
        <f t="shared" ca="1" si="2"/>
        <v>34680</v>
      </c>
      <c r="Q29" s="689">
        <f t="shared" ca="1" si="21"/>
        <v>16440</v>
      </c>
      <c r="R29" s="689">
        <f t="shared" ca="1" si="3"/>
        <v>18240</v>
      </c>
      <c r="S29" s="683">
        <f t="shared" ca="1" si="4"/>
        <v>0.52595155709342556</v>
      </c>
      <c r="T29" s="784" t="s">
        <v>399</v>
      </c>
      <c r="U29" s="784" t="s">
        <v>464</v>
      </c>
      <c r="V29" s="784"/>
      <c r="W29" s="784"/>
      <c r="X29" s="758">
        <v>2</v>
      </c>
      <c r="Y29" s="758"/>
      <c r="Z29" s="758">
        <v>8</v>
      </c>
      <c r="AA29" s="758">
        <v>4</v>
      </c>
      <c r="AB29" s="758">
        <v>2</v>
      </c>
      <c r="AC29" s="764">
        <f ca="1">'T&amp;E Summary'!D13</f>
        <v>2</v>
      </c>
      <c r="AD29" s="764">
        <f ca="1">'T&amp;E Summary'!E13</f>
        <v>40</v>
      </c>
      <c r="AE29" s="764">
        <f ca="1">'T&amp;E Summary'!F13</f>
        <v>72</v>
      </c>
      <c r="AF29" s="764">
        <f ca="1">'T&amp;E Summary'!G13</f>
        <v>4</v>
      </c>
      <c r="AG29" s="764">
        <f ca="1">'T&amp;E Summary'!H13</f>
        <v>2</v>
      </c>
      <c r="AH29" s="834"/>
      <c r="AI29" s="947"/>
      <c r="AJ29" s="947"/>
      <c r="AK29" s="947" t="str">
        <f t="shared" si="5"/>
        <v/>
      </c>
      <c r="AL29" s="947" t="str">
        <f t="shared" si="6"/>
        <v>Business Process Consultant</v>
      </c>
      <c r="AM29" s="947" t="str">
        <f t="shared" si="7"/>
        <v>USAUSABusiness Process Consultant</v>
      </c>
      <c r="AN29" s="947" t="str">
        <f t="shared" si="8"/>
        <v>USAUSABusiness Process Consultant</v>
      </c>
      <c r="AO29" s="644">
        <f t="shared" ca="1" si="9"/>
        <v>34680</v>
      </c>
      <c r="AP29" s="644">
        <f t="shared" ca="1" si="10"/>
        <v>34680</v>
      </c>
      <c r="AQ29" s="644">
        <f t="shared" ca="1" si="11"/>
        <v>0</v>
      </c>
      <c r="AR29" s="951">
        <f t="shared" ca="1" si="12"/>
        <v>39882</v>
      </c>
      <c r="AS29" s="951">
        <f t="shared" ca="1" si="13"/>
        <v>18906</v>
      </c>
      <c r="AT29" s="951">
        <f t="shared" ca="1" si="14"/>
        <v>-1272.8210796319884</v>
      </c>
      <c r="AU29" s="951">
        <f t="shared" ca="1" si="15"/>
        <v>38609.178920368009</v>
      </c>
      <c r="AV29" s="951">
        <f t="shared" ca="1" si="16"/>
        <v>38609.178920368009</v>
      </c>
      <c r="AW29" s="951">
        <f t="shared" ca="1" si="17"/>
        <v>0</v>
      </c>
      <c r="AX29" s="951">
        <f t="shared" ca="1" si="18"/>
        <v>18906</v>
      </c>
      <c r="AY29" s="951">
        <f t="shared" ca="1" si="19"/>
        <v>18906</v>
      </c>
      <c r="AZ29" s="951">
        <f t="shared" ca="1" si="20"/>
        <v>0</v>
      </c>
      <c r="BA29" s="950"/>
      <c r="BB29" s="950"/>
      <c r="BC29" s="947"/>
      <c r="BD29" s="947"/>
      <c r="BE29" s="947"/>
    </row>
    <row r="30" spans="2:57">
      <c r="B30" s="953" t="s">
        <v>310</v>
      </c>
      <c r="C30" s="949" t="str" cm="1">
        <f t="array" ref="C30">IFERROR(_xlfn.IFS(B30="Onshore",$E$16,B30="Offshore","India"),"")</f>
        <v>India</v>
      </c>
      <c r="D30" s="954" t="s">
        <v>227</v>
      </c>
      <c r="E30" s="1163" t="s">
        <v>379</v>
      </c>
      <c r="F30" s="1163"/>
      <c r="G30" s="1163"/>
      <c r="H30" s="1163"/>
      <c r="I30" s="1163"/>
      <c r="J30" s="941">
        <f ca="1">SUMIF(TandE[Billable/ Non-Billable],"Billable*",TandE[Role 4])+SUM(Role4_OvSight)</f>
        <v>154</v>
      </c>
      <c r="K30" s="670">
        <f ca="1">SUMIF(TandE[Billable/ Non-Billable],"Non-Billable*",TandE[Role 4])</f>
        <v>0</v>
      </c>
      <c r="L30" s="671">
        <f>IFERROR(INDEX(Bill_Rates!$L:$L,MATCH(Pricing!$AM30,Bill_Rates!$J:$J,0)),"")</f>
        <v>95</v>
      </c>
      <c r="M30" s="672"/>
      <c r="N30" s="671">
        <f t="shared" si="1"/>
        <v>95</v>
      </c>
      <c r="O30" s="671">
        <f>IFERROR(INDEX(Bill_Rates!$O:$O,MATCH($AN30,Bill_Rates!$J:$J,0)),"")</f>
        <v>25.374219999999998</v>
      </c>
      <c r="P30" s="689">
        <f t="shared" ca="1" si="2"/>
        <v>14630</v>
      </c>
      <c r="Q30" s="689">
        <f t="shared" ca="1" si="21"/>
        <v>3907.6298799999995</v>
      </c>
      <c r="R30" s="689">
        <f t="shared" ca="1" si="3"/>
        <v>10722.37012</v>
      </c>
      <c r="S30" s="683">
        <f t="shared" ca="1" si="4"/>
        <v>0.73290294736842099</v>
      </c>
      <c r="T30" s="784" t="s">
        <v>399</v>
      </c>
      <c r="U30" s="784" t="s">
        <v>464</v>
      </c>
      <c r="V30" s="784"/>
      <c r="W30" s="784"/>
      <c r="X30" s="758"/>
      <c r="Y30" s="758"/>
      <c r="Z30" s="758"/>
      <c r="AA30" s="758">
        <v>20</v>
      </c>
      <c r="AB30" s="758">
        <v>10</v>
      </c>
      <c r="AC30" s="764">
        <f ca="1">'T&amp;E Summary'!D14</f>
        <v>0</v>
      </c>
      <c r="AD30" s="764">
        <f ca="1">'T&amp;E Summary'!E14</f>
        <v>0</v>
      </c>
      <c r="AE30" s="764">
        <f ca="1">'T&amp;E Summary'!F14</f>
        <v>124</v>
      </c>
      <c r="AF30" s="764">
        <f ca="1">'T&amp;E Summary'!G14</f>
        <v>20</v>
      </c>
      <c r="AG30" s="764">
        <f ca="1">'T&amp;E Summary'!H14</f>
        <v>10</v>
      </c>
      <c r="AH30" s="834"/>
      <c r="AI30" s="947"/>
      <c r="AJ30" s="947"/>
      <c r="AK30" s="947" t="str">
        <f t="shared" si="5"/>
        <v/>
      </c>
      <c r="AL30" s="947" t="str">
        <f t="shared" si="6"/>
        <v>Senior Technical Consultant</v>
      </c>
      <c r="AM30" s="947" t="str">
        <f t="shared" si="7"/>
        <v>USAIndiaSenior Technical Consultant</v>
      </c>
      <c r="AN30" s="947" t="str">
        <f t="shared" si="8"/>
        <v>USAIndiaSenior Technical Consultant</v>
      </c>
      <c r="AO30" s="644">
        <f t="shared" ca="1" si="9"/>
        <v>14630</v>
      </c>
      <c r="AP30" s="644">
        <f t="shared" ca="1" si="10"/>
        <v>0</v>
      </c>
      <c r="AQ30" s="644">
        <f t="shared" ca="1" si="11"/>
        <v>14630</v>
      </c>
      <c r="AR30" s="951">
        <f t="shared" ca="1" si="12"/>
        <v>16824.5</v>
      </c>
      <c r="AS30" s="951">
        <f t="shared" ca="1" si="13"/>
        <v>4493.7743619999992</v>
      </c>
      <c r="AT30" s="951">
        <f t="shared" ca="1" si="14"/>
        <v>-536.94845429688553</v>
      </c>
      <c r="AU30" s="951">
        <f t="shared" ca="1" si="15"/>
        <v>16287.551545703114</v>
      </c>
      <c r="AV30" s="951">
        <f t="shared" ca="1" si="16"/>
        <v>0</v>
      </c>
      <c r="AW30" s="951">
        <f t="shared" ca="1" si="17"/>
        <v>16287.551545703114</v>
      </c>
      <c r="AX30" s="951">
        <f t="shared" ca="1" si="18"/>
        <v>4493.7743619999992</v>
      </c>
      <c r="AY30" s="951">
        <f t="shared" ca="1" si="19"/>
        <v>0</v>
      </c>
      <c r="AZ30" s="951">
        <f t="shared" ca="1" si="20"/>
        <v>4493.7743619999992</v>
      </c>
      <c r="BA30" s="950"/>
      <c r="BB30" s="950"/>
      <c r="BC30" s="947"/>
      <c r="BD30" s="947"/>
      <c r="BE30" s="947"/>
    </row>
    <row r="31" spans="2:57">
      <c r="B31" s="953" t="s">
        <v>306</v>
      </c>
      <c r="C31" s="949" t="str" cm="1">
        <f t="array" ref="C31">IFERROR(_xlfn.IFS(B31="Onshore",$E$16,B31="Offshore","India"),"")</f>
        <v>USA</v>
      </c>
      <c r="D31" s="954" t="s">
        <v>308</v>
      </c>
      <c r="E31" s="1163" t="s">
        <v>372</v>
      </c>
      <c r="F31" s="1163"/>
      <c r="G31" s="1163"/>
      <c r="H31" s="1163"/>
      <c r="I31" s="1163"/>
      <c r="J31" s="941">
        <f ca="1">SUMIF(TandE[Billable/ Non-Billable],"Billable*",TandE[Role 5])+SUM(Role5_OvSight)</f>
        <v>52</v>
      </c>
      <c r="K31" s="670">
        <f ca="1">SUMIF(TandE[Billable/ Non-Billable],"Non-Billable*",TandE[Role 5])</f>
        <v>0</v>
      </c>
      <c r="L31" s="671">
        <f>IFERROR(INDEX(Bill_Rates!$L:$L,MATCH(Pricing!$AM31,Bill_Rates!$J:$J,0)),"")</f>
        <v>339</v>
      </c>
      <c r="M31" s="672">
        <v>20</v>
      </c>
      <c r="N31" s="671">
        <f t="shared" si="1"/>
        <v>359</v>
      </c>
      <c r="O31" s="671">
        <f>IFERROR(INDEX(Bill_Rates!$O:$O,MATCH($AN31,Bill_Rates!$J:$J,0)),"")</f>
        <v>211</v>
      </c>
      <c r="P31" s="689">
        <f t="shared" ca="1" si="2"/>
        <v>18668</v>
      </c>
      <c r="Q31" s="689">
        <f t="shared" ca="1" si="21"/>
        <v>10972</v>
      </c>
      <c r="R31" s="689">
        <f t="shared" ca="1" si="3"/>
        <v>7696</v>
      </c>
      <c r="S31" s="683">
        <f t="shared" ca="1" si="4"/>
        <v>0.41225626740947074</v>
      </c>
      <c r="T31" s="784" t="s">
        <v>399</v>
      </c>
      <c r="U31" s="784" t="s">
        <v>464</v>
      </c>
      <c r="V31" s="784"/>
      <c r="W31" s="784"/>
      <c r="X31" s="758">
        <v>2</v>
      </c>
      <c r="Y31" s="758">
        <v>2</v>
      </c>
      <c r="Z31" s="758">
        <v>2</v>
      </c>
      <c r="AA31" s="758">
        <v>2</v>
      </c>
      <c r="AB31" s="758">
        <v>2</v>
      </c>
      <c r="AC31" s="764">
        <f ca="1">'T&amp;E Summary'!D15</f>
        <v>2</v>
      </c>
      <c r="AD31" s="764">
        <f ca="1">'T&amp;E Summary'!E15</f>
        <v>38</v>
      </c>
      <c r="AE31" s="764">
        <f ca="1">'T&amp;E Summary'!F15</f>
        <v>8</v>
      </c>
      <c r="AF31" s="764">
        <f ca="1">'T&amp;E Summary'!G15</f>
        <v>2</v>
      </c>
      <c r="AG31" s="764">
        <f ca="1">'T&amp;E Summary'!H15</f>
        <v>2</v>
      </c>
      <c r="AH31" s="834" t="s">
        <v>465</v>
      </c>
      <c r="AI31" s="947"/>
      <c r="AJ31" s="947"/>
      <c r="AK31" s="947" t="str">
        <f t="shared" si="5"/>
        <v/>
      </c>
      <c r="AL31" s="947" t="str">
        <f t="shared" si="6"/>
        <v>Workflow/Practice Strategist</v>
      </c>
      <c r="AM31" s="947" t="str">
        <f t="shared" si="7"/>
        <v>USAUSAWorkflow/Practice Strategist</v>
      </c>
      <c r="AN31" s="947" t="str">
        <f t="shared" si="8"/>
        <v>USAUSAWorkflow/Practice Strategist</v>
      </c>
      <c r="AO31" s="644">
        <f t="shared" ca="1" si="9"/>
        <v>17628</v>
      </c>
      <c r="AP31" s="644">
        <f t="shared" ca="1" si="10"/>
        <v>17628</v>
      </c>
      <c r="AQ31" s="644">
        <f t="shared" ca="1" si="11"/>
        <v>0</v>
      </c>
      <c r="AR31" s="951">
        <f t="shared" ca="1" si="12"/>
        <v>21468.2</v>
      </c>
      <c r="AS31" s="951">
        <f t="shared" ca="1" si="13"/>
        <v>12617.8</v>
      </c>
      <c r="AT31" s="951">
        <f t="shared" ca="1" si="14"/>
        <v>-685.15063190801493</v>
      </c>
      <c r="AU31" s="951">
        <f t="shared" ca="1" si="15"/>
        <v>20783.049368091986</v>
      </c>
      <c r="AV31" s="951">
        <f t="shared" ca="1" si="16"/>
        <v>20783.049368091986</v>
      </c>
      <c r="AW31" s="951">
        <f t="shared" ca="1" si="17"/>
        <v>0</v>
      </c>
      <c r="AX31" s="951">
        <f t="shared" ca="1" si="18"/>
        <v>12617.8</v>
      </c>
      <c r="AY31" s="951">
        <f t="shared" ca="1" si="19"/>
        <v>12617.8</v>
      </c>
      <c r="AZ31" s="951">
        <f t="shared" ca="1" si="20"/>
        <v>0</v>
      </c>
      <c r="BA31" s="950"/>
      <c r="BB31" s="950"/>
      <c r="BC31" s="947"/>
      <c r="BD31" s="947"/>
      <c r="BE31" s="947"/>
    </row>
    <row r="32" spans="2:57">
      <c r="B32" s="953" t="s">
        <v>310</v>
      </c>
      <c r="C32" s="949" t="str" cm="1">
        <f t="array" ref="C32">IFERROR(_xlfn.IFS(B32="Onshore",$E$16,B32="Offshore","India"),"")</f>
        <v>India</v>
      </c>
      <c r="D32" s="954"/>
      <c r="E32" s="1163"/>
      <c r="F32" s="1163"/>
      <c r="G32" s="1163"/>
      <c r="H32" s="1163"/>
      <c r="I32" s="1163"/>
      <c r="J32" s="670">
        <f ca="1">SUMIF(TandE[Billable/ Non-Billable],"Billable*",TandE[Role 6])+SUM(Role6_OvSight)</f>
        <v>0</v>
      </c>
      <c r="K32" s="670">
        <f ca="1">SUMIF(TandE[Billable/ Non-Billable],"Non-Billable*",TandE[Role 6])</f>
        <v>0</v>
      </c>
      <c r="L32" s="671" t="str">
        <f>IFERROR(INDEX(Bill_Rates!$L:$L,MATCH(Pricing!$AM32,Bill_Rates!$J:$J,0)),"")</f>
        <v/>
      </c>
      <c r="M32" s="672"/>
      <c r="N32" s="671" t="str">
        <f t="shared" si="1"/>
        <v/>
      </c>
      <c r="O32" s="671" t="str">
        <f>IFERROR(INDEX(Bill_Rates!$O:$O,MATCH($AN32,Bill_Rates!$J:$J,0)),"")</f>
        <v/>
      </c>
      <c r="P32" s="689" t="str">
        <f t="shared" ca="1" si="2"/>
        <v/>
      </c>
      <c r="Q32" s="689" t="str">
        <f t="shared" ca="1" si="21"/>
        <v/>
      </c>
      <c r="R32" s="689" t="str">
        <f t="shared" ca="1" si="3"/>
        <v/>
      </c>
      <c r="S32" s="683" t="str">
        <f t="shared" ca="1" si="4"/>
        <v/>
      </c>
      <c r="T32" s="784"/>
      <c r="U32" s="784"/>
      <c r="V32" s="784"/>
      <c r="W32" s="784"/>
      <c r="X32" s="758"/>
      <c r="Y32" s="758"/>
      <c r="Z32" s="758"/>
      <c r="AA32" s="758"/>
      <c r="AB32" s="758"/>
      <c r="AC32" s="764">
        <f ca="1">'T&amp;E Summary'!D16</f>
        <v>0</v>
      </c>
      <c r="AD32" s="764">
        <f ca="1">'T&amp;E Summary'!E16</f>
        <v>0</v>
      </c>
      <c r="AE32" s="764">
        <f ca="1">'T&amp;E Summary'!F16</f>
        <v>0</v>
      </c>
      <c r="AF32" s="764">
        <f ca="1">'T&amp;E Summary'!G16</f>
        <v>0</v>
      </c>
      <c r="AG32" s="764">
        <f ca="1">'T&amp;E Summary'!H16</f>
        <v>0</v>
      </c>
      <c r="AH32" s="834"/>
      <c r="AI32" s="947"/>
      <c r="AJ32" s="947"/>
      <c r="AK32" s="947" t="str">
        <f t="shared" si="5"/>
        <v/>
      </c>
      <c r="AL32" s="947">
        <f t="shared" si="6"/>
        <v>0</v>
      </c>
      <c r="AM32" s="947" t="str">
        <f t="shared" si="7"/>
        <v>USAIndia</v>
      </c>
      <c r="AN32" s="947" t="str">
        <f t="shared" si="8"/>
        <v>USA</v>
      </c>
      <c r="AO32" s="644" t="str">
        <f t="shared" ca="1" si="9"/>
        <v/>
      </c>
      <c r="AP32" s="644" t="str">
        <f t="shared" ca="1" si="10"/>
        <v/>
      </c>
      <c r="AQ32" s="644">
        <f t="shared" ca="1" si="11"/>
        <v>0</v>
      </c>
      <c r="AR32" s="951" t="str">
        <f t="shared" ca="1" si="12"/>
        <v/>
      </c>
      <c r="AS32" s="951" t="str">
        <f t="shared" ca="1" si="13"/>
        <v/>
      </c>
      <c r="AT32" s="951" t="str">
        <f t="shared" ca="1" si="14"/>
        <v/>
      </c>
      <c r="AU32" s="951" t="str">
        <f t="shared" ca="1" si="15"/>
        <v/>
      </c>
      <c r="AV32" s="951" t="str">
        <f t="shared" ca="1" si="16"/>
        <v/>
      </c>
      <c r="AW32" s="951">
        <f t="shared" ca="1" si="17"/>
        <v>0</v>
      </c>
      <c r="AX32" s="951" t="str">
        <f t="shared" ca="1" si="18"/>
        <v/>
      </c>
      <c r="AY32" s="951" t="str">
        <f t="shared" ca="1" si="19"/>
        <v/>
      </c>
      <c r="AZ32" s="951">
        <f t="shared" ca="1" si="20"/>
        <v>0</v>
      </c>
      <c r="BA32" s="950"/>
      <c r="BB32" s="950"/>
      <c r="BC32" s="947"/>
      <c r="BD32" s="947"/>
      <c r="BE32" s="947"/>
    </row>
    <row r="33" spans="2:57">
      <c r="B33" s="953" t="s">
        <v>310</v>
      </c>
      <c r="C33" s="949" t="str" cm="1">
        <f t="array" ref="C33">IFERROR(_xlfn.IFS(B33="Onshore",$E$16,B33="Offshore","India"),"")</f>
        <v>India</v>
      </c>
      <c r="D33" s="954"/>
      <c r="E33" s="1163"/>
      <c r="F33" s="1163"/>
      <c r="G33" s="1163"/>
      <c r="H33" s="1163"/>
      <c r="I33" s="1163"/>
      <c r="J33" s="670">
        <f ca="1">SUMIF(TandE[Billable/ Non-Billable],"Billable*",TandE[Role 7])+SUM(Role7_OvSight)</f>
        <v>0</v>
      </c>
      <c r="K33" s="670">
        <f ca="1">SUMIF(TandE[Billable/ Non-Billable],"Non-Billable*",TandE[Role 7])</f>
        <v>0</v>
      </c>
      <c r="L33" s="671" t="str">
        <f>IFERROR(INDEX(Bill_Rates!$L:$L,MATCH(Pricing!$AM33,Bill_Rates!$J:$J,0)),"")</f>
        <v/>
      </c>
      <c r="M33" s="672"/>
      <c r="N33" s="671" t="str">
        <f t="shared" si="1"/>
        <v/>
      </c>
      <c r="O33" s="671" t="str">
        <f>IFERROR(INDEX(Bill_Rates!$O:$O,MATCH($AN33,Bill_Rates!$J:$J,0)),"")</f>
        <v/>
      </c>
      <c r="P33" s="689" t="str">
        <f t="shared" ca="1" si="2"/>
        <v/>
      </c>
      <c r="Q33" s="689" t="str">
        <f t="shared" ca="1" si="21"/>
        <v/>
      </c>
      <c r="R33" s="689" t="str">
        <f t="shared" ca="1" si="3"/>
        <v/>
      </c>
      <c r="S33" s="683" t="str">
        <f t="shared" ca="1" si="4"/>
        <v/>
      </c>
      <c r="T33" s="784"/>
      <c r="U33" s="784"/>
      <c r="V33" s="784"/>
      <c r="W33" s="784"/>
      <c r="X33" s="758"/>
      <c r="Y33" s="758"/>
      <c r="Z33" s="758"/>
      <c r="AA33" s="758"/>
      <c r="AB33" s="758"/>
      <c r="AC33" s="764">
        <f ca="1">'T&amp;E Summary'!D17</f>
        <v>0</v>
      </c>
      <c r="AD33" s="764">
        <f ca="1">'T&amp;E Summary'!E17</f>
        <v>0</v>
      </c>
      <c r="AE33" s="764">
        <f ca="1">'T&amp;E Summary'!F17</f>
        <v>0</v>
      </c>
      <c r="AF33" s="764">
        <f ca="1">'T&amp;E Summary'!G17</f>
        <v>0</v>
      </c>
      <c r="AG33" s="764">
        <f ca="1">'T&amp;E Summary'!H17</f>
        <v>0</v>
      </c>
      <c r="AH33" s="834"/>
      <c r="AI33" s="947"/>
      <c r="AJ33" s="947"/>
      <c r="AK33" s="947" t="str">
        <f t="shared" si="5"/>
        <v/>
      </c>
      <c r="AL33" s="947">
        <f t="shared" si="6"/>
        <v>0</v>
      </c>
      <c r="AM33" s="947" t="str">
        <f t="shared" si="7"/>
        <v>USAIndia</v>
      </c>
      <c r="AN33" s="947" t="str">
        <f t="shared" si="8"/>
        <v>USA</v>
      </c>
      <c r="AO33" s="644" t="str">
        <f t="shared" ca="1" si="9"/>
        <v/>
      </c>
      <c r="AP33" s="644" t="str">
        <f t="shared" ca="1" si="10"/>
        <v/>
      </c>
      <c r="AQ33" s="644">
        <f t="shared" ca="1" si="11"/>
        <v>0</v>
      </c>
      <c r="AR33" s="951" t="str">
        <f t="shared" ca="1" si="12"/>
        <v/>
      </c>
      <c r="AS33" s="951" t="str">
        <f t="shared" ca="1" si="13"/>
        <v/>
      </c>
      <c r="AT33" s="951" t="str">
        <f t="shared" ca="1" si="14"/>
        <v/>
      </c>
      <c r="AU33" s="951" t="str">
        <f t="shared" ca="1" si="15"/>
        <v/>
      </c>
      <c r="AV33" s="951" t="str">
        <f t="shared" ca="1" si="16"/>
        <v/>
      </c>
      <c r="AW33" s="951">
        <f t="shared" ca="1" si="17"/>
        <v>0</v>
      </c>
      <c r="AX33" s="951" t="str">
        <f t="shared" ca="1" si="18"/>
        <v/>
      </c>
      <c r="AY33" s="951" t="str">
        <f t="shared" ca="1" si="19"/>
        <v/>
      </c>
      <c r="AZ33" s="951">
        <f t="shared" ca="1" si="20"/>
        <v>0</v>
      </c>
      <c r="BA33" s="950"/>
      <c r="BB33" s="950"/>
      <c r="BC33" s="947"/>
      <c r="BD33" s="947"/>
      <c r="BE33" s="947"/>
    </row>
    <row r="34" spans="2:57">
      <c r="B34" s="953" t="s">
        <v>306</v>
      </c>
      <c r="C34" s="949" t="str" cm="1">
        <f t="array" ref="C34">IFERROR(_xlfn.IFS(B34="Onshore",$E$16,B34="Offshore","India"),"")</f>
        <v>USA</v>
      </c>
      <c r="D34" s="954"/>
      <c r="E34" s="1163"/>
      <c r="F34" s="1163"/>
      <c r="G34" s="1163"/>
      <c r="H34" s="1163"/>
      <c r="I34" s="1163"/>
      <c r="J34" s="670">
        <f ca="1">SUMIF(TandE[Billable/ Non-Billable],"Billable*",TandE[Role 8])+SUM(Role8_OvSight)</f>
        <v>0</v>
      </c>
      <c r="K34" s="670">
        <f ca="1">SUMIF(TandE[Billable/ Non-Billable],"Non-Billable*",TandE[Role 8])</f>
        <v>0</v>
      </c>
      <c r="L34" s="671" t="str">
        <f>IFERROR(INDEX(Bill_Rates!$L:$L,MATCH(Pricing!$AM34,Bill_Rates!$J:$J,0)),"")</f>
        <v/>
      </c>
      <c r="M34" s="672"/>
      <c r="N34" s="671" t="str">
        <f t="shared" si="1"/>
        <v/>
      </c>
      <c r="O34" s="671" t="str">
        <f>IFERROR(INDEX(Bill_Rates!$O:$O,MATCH($AN34,Bill_Rates!$J:$J,0)),"")</f>
        <v/>
      </c>
      <c r="P34" s="689" t="str">
        <f t="shared" ca="1" si="2"/>
        <v/>
      </c>
      <c r="Q34" s="689" t="str">
        <f t="shared" ca="1" si="21"/>
        <v/>
      </c>
      <c r="R34" s="689" t="str">
        <f t="shared" ca="1" si="3"/>
        <v/>
      </c>
      <c r="S34" s="683" t="str">
        <f t="shared" ca="1" si="4"/>
        <v/>
      </c>
      <c r="T34" s="784"/>
      <c r="U34" s="784"/>
      <c r="V34" s="784"/>
      <c r="W34" s="784"/>
      <c r="X34" s="758"/>
      <c r="Y34" s="758"/>
      <c r="Z34" s="758"/>
      <c r="AA34" s="758"/>
      <c r="AB34" s="758"/>
      <c r="AC34" s="764">
        <f ca="1">'T&amp;E Summary'!D18</f>
        <v>0</v>
      </c>
      <c r="AD34" s="764">
        <f ca="1">'T&amp;E Summary'!E18</f>
        <v>0</v>
      </c>
      <c r="AE34" s="764">
        <f ca="1">'T&amp;E Summary'!F18</f>
        <v>0</v>
      </c>
      <c r="AF34" s="764">
        <f ca="1">'T&amp;E Summary'!G18</f>
        <v>0</v>
      </c>
      <c r="AG34" s="764">
        <f ca="1">'T&amp;E Summary'!H18</f>
        <v>0</v>
      </c>
      <c r="AH34" s="834"/>
      <c r="AI34" s="947"/>
      <c r="AJ34" s="947"/>
      <c r="AK34" s="947" t="str">
        <f t="shared" si="5"/>
        <v/>
      </c>
      <c r="AL34" s="947">
        <f t="shared" si="6"/>
        <v>0</v>
      </c>
      <c r="AM34" s="947" t="str">
        <f t="shared" si="7"/>
        <v>USAUSA</v>
      </c>
      <c r="AN34" s="947" t="str">
        <f t="shared" si="8"/>
        <v>USA</v>
      </c>
      <c r="AO34" s="644" t="str">
        <f t="shared" ca="1" si="9"/>
        <v/>
      </c>
      <c r="AP34" s="644" t="str">
        <f t="shared" ca="1" si="10"/>
        <v/>
      </c>
      <c r="AQ34" s="644">
        <f t="shared" ca="1" si="11"/>
        <v>0</v>
      </c>
      <c r="AR34" s="951" t="str">
        <f t="shared" ca="1" si="12"/>
        <v/>
      </c>
      <c r="AS34" s="951" t="str">
        <f t="shared" ca="1" si="13"/>
        <v/>
      </c>
      <c r="AT34" s="951" t="str">
        <f t="shared" ca="1" si="14"/>
        <v/>
      </c>
      <c r="AU34" s="951" t="str">
        <f t="shared" ca="1" si="15"/>
        <v/>
      </c>
      <c r="AV34" s="951" t="str">
        <f t="shared" ca="1" si="16"/>
        <v/>
      </c>
      <c r="AW34" s="951">
        <f t="shared" ca="1" si="17"/>
        <v>0</v>
      </c>
      <c r="AX34" s="951" t="str">
        <f t="shared" ca="1" si="18"/>
        <v/>
      </c>
      <c r="AY34" s="951" t="str">
        <f t="shared" ca="1" si="19"/>
        <v/>
      </c>
      <c r="AZ34" s="951">
        <f t="shared" ca="1" si="20"/>
        <v>0</v>
      </c>
      <c r="BA34" s="950"/>
      <c r="BB34" s="950"/>
      <c r="BC34" s="947"/>
      <c r="BD34" s="947"/>
      <c r="BE34" s="947"/>
    </row>
    <row r="35" spans="2:57">
      <c r="B35" s="953" t="s">
        <v>306</v>
      </c>
      <c r="C35" s="949" t="str" cm="1">
        <f t="array" ref="C35">IFERROR(_xlfn.IFS(B35="Onshore",$E$16,B35="Offshore","India"),"")</f>
        <v>USA</v>
      </c>
      <c r="D35" s="954"/>
      <c r="E35" s="1163"/>
      <c r="F35" s="1163"/>
      <c r="G35" s="1163"/>
      <c r="H35" s="1163"/>
      <c r="I35" s="1163"/>
      <c r="J35" s="670">
        <f ca="1">SUMIF(TandE[Billable/ Non-Billable],"Billable*",TandE[Role 9])+SUM(Role9_OvSight)</f>
        <v>0</v>
      </c>
      <c r="K35" s="670">
        <f ca="1">SUMIF(TandE[Billable/ Non-Billable],"Non-Billable*",TandE[Role 9])</f>
        <v>0</v>
      </c>
      <c r="L35" s="671" t="str">
        <f>IFERROR(INDEX(Bill_Rates!$L:$L,MATCH(Pricing!$AM35,Bill_Rates!$J:$J,0)),"")</f>
        <v/>
      </c>
      <c r="M35" s="672"/>
      <c r="N35" s="671" t="str">
        <f t="shared" si="1"/>
        <v/>
      </c>
      <c r="O35" s="671" t="str">
        <f>IFERROR(INDEX(Bill_Rates!$O:$O,MATCH($AN35,Bill_Rates!$J:$J,0)),"")</f>
        <v/>
      </c>
      <c r="P35" s="689" t="str">
        <f t="shared" ca="1" si="2"/>
        <v/>
      </c>
      <c r="Q35" s="689" t="str">
        <f t="shared" ca="1" si="21"/>
        <v/>
      </c>
      <c r="R35" s="689" t="str">
        <f t="shared" ca="1" si="3"/>
        <v/>
      </c>
      <c r="S35" s="683" t="str">
        <f t="shared" ca="1" si="4"/>
        <v/>
      </c>
      <c r="T35" s="784"/>
      <c r="U35" s="784"/>
      <c r="V35" s="784"/>
      <c r="W35" s="784"/>
      <c r="X35" s="758"/>
      <c r="Y35" s="758"/>
      <c r="Z35" s="758"/>
      <c r="AA35" s="758"/>
      <c r="AB35" s="758"/>
      <c r="AC35" s="764">
        <f ca="1">'T&amp;E Summary'!D19</f>
        <v>0</v>
      </c>
      <c r="AD35" s="764">
        <f ca="1">'T&amp;E Summary'!E19</f>
        <v>0</v>
      </c>
      <c r="AE35" s="764">
        <f ca="1">'T&amp;E Summary'!F19</f>
        <v>0</v>
      </c>
      <c r="AF35" s="764">
        <f ca="1">'T&amp;E Summary'!G19</f>
        <v>0</v>
      </c>
      <c r="AG35" s="764">
        <f ca="1">'T&amp;E Summary'!H19</f>
        <v>0</v>
      </c>
      <c r="AH35" s="834"/>
      <c r="AI35" s="947"/>
      <c r="AJ35" s="947"/>
      <c r="AK35" s="947" t="str">
        <f t="shared" si="5"/>
        <v/>
      </c>
      <c r="AL35" s="947">
        <f t="shared" si="6"/>
        <v>0</v>
      </c>
      <c r="AM35" s="947" t="str">
        <f t="shared" si="7"/>
        <v>USAUSA</v>
      </c>
      <c r="AN35" s="947" t="str">
        <f t="shared" si="8"/>
        <v>USA</v>
      </c>
      <c r="AO35" s="644" t="str">
        <f t="shared" ca="1" si="9"/>
        <v/>
      </c>
      <c r="AP35" s="644" t="str">
        <f t="shared" ca="1" si="10"/>
        <v/>
      </c>
      <c r="AQ35" s="644">
        <f t="shared" ca="1" si="11"/>
        <v>0</v>
      </c>
      <c r="AR35" s="951" t="str">
        <f t="shared" ca="1" si="12"/>
        <v/>
      </c>
      <c r="AS35" s="951" t="str">
        <f t="shared" ca="1" si="13"/>
        <v/>
      </c>
      <c r="AT35" s="951" t="str">
        <f t="shared" ca="1" si="14"/>
        <v/>
      </c>
      <c r="AU35" s="951" t="str">
        <f t="shared" ca="1" si="15"/>
        <v/>
      </c>
      <c r="AV35" s="951" t="str">
        <f t="shared" ca="1" si="16"/>
        <v/>
      </c>
      <c r="AW35" s="951">
        <f t="shared" ca="1" si="17"/>
        <v>0</v>
      </c>
      <c r="AX35" s="951" t="str">
        <f t="shared" ca="1" si="18"/>
        <v/>
      </c>
      <c r="AY35" s="951" t="str">
        <f t="shared" ca="1" si="19"/>
        <v/>
      </c>
      <c r="AZ35" s="951">
        <f t="shared" ca="1" si="20"/>
        <v>0</v>
      </c>
      <c r="BA35" s="950"/>
      <c r="BB35" s="950"/>
      <c r="BC35" s="947"/>
      <c r="BD35" s="947"/>
      <c r="BE35" s="947"/>
    </row>
    <row r="36" spans="2:57">
      <c r="B36" s="953" t="s">
        <v>306</v>
      </c>
      <c r="C36" s="949" t="str" cm="1">
        <f t="array" ref="C36">IFERROR(_xlfn.IFS(B36="Onshore",$E$16,B36="Offshore","India"),"")</f>
        <v>USA</v>
      </c>
      <c r="D36" s="954"/>
      <c r="E36" s="1163"/>
      <c r="F36" s="1163"/>
      <c r="G36" s="1163"/>
      <c r="H36" s="1163"/>
      <c r="I36" s="1163"/>
      <c r="J36" s="670">
        <f ca="1">SUMIF(TandE[Billable/ Non-Billable],"Billable*",TandE[Role 10])+SUM(Role10_OvSight)</f>
        <v>0</v>
      </c>
      <c r="K36" s="670">
        <f ca="1">SUMIF(TandE[Billable/ Non-Billable],"Non-Billable*",TandE[Role 10])</f>
        <v>0</v>
      </c>
      <c r="L36" s="671" t="str">
        <f>IFERROR(INDEX(Bill_Rates!$L:$L,MATCH(Pricing!$AM36,Bill_Rates!$J:$J,0)),"")</f>
        <v/>
      </c>
      <c r="M36" s="672"/>
      <c r="N36" s="671" t="str">
        <f t="shared" si="1"/>
        <v/>
      </c>
      <c r="O36" s="671" t="str">
        <f>IFERROR(INDEX(Bill_Rates!$O:$O,MATCH($AN36,Bill_Rates!$J:$J,0)),"")</f>
        <v/>
      </c>
      <c r="P36" s="689" t="str">
        <f t="shared" ca="1" si="2"/>
        <v/>
      </c>
      <c r="Q36" s="689" t="str">
        <f t="shared" ca="1" si="21"/>
        <v/>
      </c>
      <c r="R36" s="689" t="str">
        <f t="shared" ca="1" si="3"/>
        <v/>
      </c>
      <c r="S36" s="683" t="str">
        <f t="shared" ca="1" si="4"/>
        <v/>
      </c>
      <c r="T36" s="784"/>
      <c r="U36" s="784"/>
      <c r="V36" s="784"/>
      <c r="W36" s="784"/>
      <c r="X36" s="758"/>
      <c r="Y36" s="758"/>
      <c r="Z36" s="758"/>
      <c r="AA36" s="758"/>
      <c r="AB36" s="758"/>
      <c r="AC36" s="764">
        <f ca="1">'T&amp;E Summary'!D20</f>
        <v>0</v>
      </c>
      <c r="AD36" s="764">
        <f ca="1">'T&amp;E Summary'!E20</f>
        <v>0</v>
      </c>
      <c r="AE36" s="764">
        <f ca="1">'T&amp;E Summary'!F20</f>
        <v>0</v>
      </c>
      <c r="AF36" s="764">
        <f ca="1">'T&amp;E Summary'!G20</f>
        <v>0</v>
      </c>
      <c r="AG36" s="764">
        <f ca="1">'T&amp;E Summary'!H20</f>
        <v>0</v>
      </c>
      <c r="AH36" s="834"/>
      <c r="AI36" s="947"/>
      <c r="AJ36" s="947"/>
      <c r="AK36" s="947" t="str">
        <f t="shared" si="5"/>
        <v/>
      </c>
      <c r="AL36" s="947">
        <f t="shared" si="6"/>
        <v>0</v>
      </c>
      <c r="AM36" s="947" t="str">
        <f t="shared" si="7"/>
        <v>USAUSA</v>
      </c>
      <c r="AN36" s="947" t="str">
        <f t="shared" si="8"/>
        <v>USA</v>
      </c>
      <c r="AO36" s="644" t="str">
        <f t="shared" ca="1" si="9"/>
        <v/>
      </c>
      <c r="AP36" s="644" t="str">
        <f t="shared" ca="1" si="10"/>
        <v/>
      </c>
      <c r="AQ36" s="644">
        <f t="shared" ca="1" si="11"/>
        <v>0</v>
      </c>
      <c r="AR36" s="951" t="str">
        <f t="shared" ca="1" si="12"/>
        <v/>
      </c>
      <c r="AS36" s="951" t="str">
        <f t="shared" ca="1" si="13"/>
        <v/>
      </c>
      <c r="AT36" s="951" t="str">
        <f t="shared" ca="1" si="14"/>
        <v/>
      </c>
      <c r="AU36" s="951" t="str">
        <f t="shared" ca="1" si="15"/>
        <v/>
      </c>
      <c r="AV36" s="951" t="str">
        <f t="shared" ca="1" si="16"/>
        <v/>
      </c>
      <c r="AW36" s="951">
        <f t="shared" ca="1" si="17"/>
        <v>0</v>
      </c>
      <c r="AX36" s="951" t="str">
        <f t="shared" ca="1" si="18"/>
        <v/>
      </c>
      <c r="AY36" s="951" t="str">
        <f t="shared" ca="1" si="19"/>
        <v/>
      </c>
      <c r="AZ36" s="951">
        <f t="shared" ca="1" si="20"/>
        <v>0</v>
      </c>
      <c r="BA36" s="950"/>
      <c r="BB36" s="950"/>
      <c r="BC36" s="947"/>
      <c r="BD36" s="947"/>
      <c r="BE36" s="947"/>
    </row>
    <row r="37" spans="2:57">
      <c r="B37" s="953" t="s">
        <v>306</v>
      </c>
      <c r="C37" s="949" t="str" cm="1">
        <f t="array" ref="C37">IFERROR(_xlfn.IFS(B37="Onshore",$E$16,B37="Offshore","India"),"")</f>
        <v>USA</v>
      </c>
      <c r="D37" s="954"/>
      <c r="E37" s="1163"/>
      <c r="F37" s="1163"/>
      <c r="G37" s="1163"/>
      <c r="H37" s="1163"/>
      <c r="I37" s="1163"/>
      <c r="J37" s="670">
        <f ca="1">SUMIF(TandE[Billable/ Non-Billable],"Billable*",TandE[Role 11])+SUM(Role11_OvSight)</f>
        <v>0</v>
      </c>
      <c r="K37" s="670">
        <f ca="1">SUMIF(TandE[Billable/ Non-Billable],"Non-Billable*",TandE[Role 11])</f>
        <v>0</v>
      </c>
      <c r="L37" s="671" t="str">
        <f>IFERROR(INDEX(Bill_Rates!$L:$L,MATCH(Pricing!$AM37,Bill_Rates!$J:$J,0)),"")</f>
        <v/>
      </c>
      <c r="M37" s="672"/>
      <c r="N37" s="671" t="str">
        <f t="shared" si="1"/>
        <v/>
      </c>
      <c r="O37" s="671" t="str">
        <f>IFERROR(INDEX(Bill_Rates!$O:$O,MATCH($AN37,Bill_Rates!$J:$J,0)),"")</f>
        <v/>
      </c>
      <c r="P37" s="689" t="str">
        <f t="shared" ca="1" si="2"/>
        <v/>
      </c>
      <c r="Q37" s="689" t="str">
        <f t="shared" ca="1" si="21"/>
        <v/>
      </c>
      <c r="R37" s="689" t="str">
        <f t="shared" ca="1" si="3"/>
        <v/>
      </c>
      <c r="S37" s="683" t="str">
        <f t="shared" ca="1" si="4"/>
        <v/>
      </c>
      <c r="T37" s="784"/>
      <c r="U37" s="784"/>
      <c r="V37" s="784"/>
      <c r="W37" s="784"/>
      <c r="X37" s="758"/>
      <c r="Y37" s="758"/>
      <c r="Z37" s="758"/>
      <c r="AA37" s="758"/>
      <c r="AB37" s="758"/>
      <c r="AC37" s="764">
        <f ca="1">'T&amp;E Summary'!D21</f>
        <v>0</v>
      </c>
      <c r="AD37" s="764">
        <f ca="1">'T&amp;E Summary'!E21</f>
        <v>0</v>
      </c>
      <c r="AE37" s="764">
        <f ca="1">'T&amp;E Summary'!F21</f>
        <v>0</v>
      </c>
      <c r="AF37" s="764">
        <f ca="1">'T&amp;E Summary'!G21</f>
        <v>0</v>
      </c>
      <c r="AG37" s="764">
        <f ca="1">'T&amp;E Summary'!H21</f>
        <v>0</v>
      </c>
      <c r="AH37" s="834"/>
      <c r="AI37" s="947"/>
      <c r="AJ37" s="947"/>
      <c r="AK37" s="947" t="str">
        <f t="shared" si="5"/>
        <v/>
      </c>
      <c r="AL37" s="947">
        <f t="shared" si="6"/>
        <v>0</v>
      </c>
      <c r="AM37" s="947" t="str">
        <f t="shared" si="7"/>
        <v>USAUSA</v>
      </c>
      <c r="AN37" s="947" t="str">
        <f t="shared" si="8"/>
        <v>USA</v>
      </c>
      <c r="AO37" s="644" t="str">
        <f t="shared" ca="1" si="9"/>
        <v/>
      </c>
      <c r="AP37" s="644" t="str">
        <f t="shared" ca="1" si="10"/>
        <v/>
      </c>
      <c r="AQ37" s="644">
        <f t="shared" ca="1" si="11"/>
        <v>0</v>
      </c>
      <c r="AR37" s="951" t="str">
        <f t="shared" ca="1" si="12"/>
        <v/>
      </c>
      <c r="AS37" s="951" t="str">
        <f t="shared" ca="1" si="13"/>
        <v/>
      </c>
      <c r="AT37" s="951" t="str">
        <f t="shared" ca="1" si="14"/>
        <v/>
      </c>
      <c r="AU37" s="951" t="str">
        <f t="shared" ca="1" si="15"/>
        <v/>
      </c>
      <c r="AV37" s="951" t="str">
        <f t="shared" ca="1" si="16"/>
        <v/>
      </c>
      <c r="AW37" s="951">
        <f t="shared" ca="1" si="17"/>
        <v>0</v>
      </c>
      <c r="AX37" s="951" t="str">
        <f t="shared" ca="1" si="18"/>
        <v/>
      </c>
      <c r="AY37" s="951" t="str">
        <f t="shared" ca="1" si="19"/>
        <v/>
      </c>
      <c r="AZ37" s="951">
        <f t="shared" ca="1" si="20"/>
        <v>0</v>
      </c>
      <c r="BA37" s="950"/>
      <c r="BB37" s="950"/>
      <c r="BC37" s="947"/>
      <c r="BD37" s="947"/>
      <c r="BE37" s="947"/>
    </row>
    <row r="38" spans="2:57">
      <c r="B38" s="953" t="s">
        <v>306</v>
      </c>
      <c r="C38" s="949" t="str" cm="1">
        <f t="array" ref="C38">IFERROR(_xlfn.IFS(B38="Onshore",$E$16,B38="Offshore","India"),"")</f>
        <v>USA</v>
      </c>
      <c r="D38" s="954"/>
      <c r="E38" s="1163"/>
      <c r="F38" s="1163"/>
      <c r="G38" s="1163"/>
      <c r="H38" s="1163"/>
      <c r="I38" s="1163"/>
      <c r="J38" s="670">
        <f ca="1">SUMIF(TandE[Billable/ Non-Billable],"Billable*",TandE[Role 12])+SUM(Role12_OvSight)</f>
        <v>0</v>
      </c>
      <c r="K38" s="670">
        <f ca="1">SUMIF(TandE[Billable/ Non-Billable],"Non-Billable*",TandE[Role 12])</f>
        <v>0</v>
      </c>
      <c r="L38" s="671" t="str">
        <f>IFERROR(INDEX(Bill_Rates!$L:$L,MATCH(Pricing!$AM38,Bill_Rates!$J:$J,0)),"")</f>
        <v/>
      </c>
      <c r="M38" s="672"/>
      <c r="N38" s="671" t="str">
        <f t="shared" si="1"/>
        <v/>
      </c>
      <c r="O38" s="671" t="str">
        <f>IFERROR(INDEX(Bill_Rates!$O:$O,MATCH($AN38,Bill_Rates!$J:$J,0)),"")</f>
        <v/>
      </c>
      <c r="P38" s="689" t="str">
        <f t="shared" ca="1" si="2"/>
        <v/>
      </c>
      <c r="Q38" s="689" t="str">
        <f t="shared" ca="1" si="21"/>
        <v/>
      </c>
      <c r="R38" s="689" t="str">
        <f t="shared" ca="1" si="3"/>
        <v/>
      </c>
      <c r="S38" s="683" t="str">
        <f t="shared" ca="1" si="4"/>
        <v/>
      </c>
      <c r="T38" s="784"/>
      <c r="U38" s="784"/>
      <c r="V38" s="784"/>
      <c r="W38" s="784"/>
      <c r="X38" s="758"/>
      <c r="Y38" s="758"/>
      <c r="Z38" s="758"/>
      <c r="AA38" s="758"/>
      <c r="AB38" s="758"/>
      <c r="AC38" s="764">
        <f ca="1">'T&amp;E Summary'!D22</f>
        <v>0</v>
      </c>
      <c r="AD38" s="764">
        <f ca="1">'T&amp;E Summary'!E22</f>
        <v>0</v>
      </c>
      <c r="AE38" s="764">
        <f ca="1">'T&amp;E Summary'!F22</f>
        <v>0</v>
      </c>
      <c r="AF38" s="764">
        <f ca="1">'T&amp;E Summary'!G22</f>
        <v>0</v>
      </c>
      <c r="AG38" s="764">
        <f ca="1">'T&amp;E Summary'!H22</f>
        <v>0</v>
      </c>
      <c r="AH38" s="834"/>
      <c r="AI38" s="947"/>
      <c r="AJ38" s="947"/>
      <c r="AK38" s="947" t="str">
        <f t="shared" si="5"/>
        <v/>
      </c>
      <c r="AL38" s="947">
        <f t="shared" si="6"/>
        <v>0</v>
      </c>
      <c r="AM38" s="947" t="str">
        <f t="shared" si="7"/>
        <v>USAUSA</v>
      </c>
      <c r="AN38" s="947" t="str">
        <f t="shared" si="8"/>
        <v>USA</v>
      </c>
      <c r="AO38" s="644" t="str">
        <f t="shared" ca="1" si="9"/>
        <v/>
      </c>
      <c r="AP38" s="644" t="str">
        <f t="shared" ca="1" si="10"/>
        <v/>
      </c>
      <c r="AQ38" s="644">
        <f t="shared" ca="1" si="11"/>
        <v>0</v>
      </c>
      <c r="AR38" s="951" t="str">
        <f t="shared" ca="1" si="12"/>
        <v/>
      </c>
      <c r="AS38" s="951" t="str">
        <f t="shared" ca="1" si="13"/>
        <v/>
      </c>
      <c r="AT38" s="951" t="str">
        <f t="shared" ca="1" si="14"/>
        <v/>
      </c>
      <c r="AU38" s="951" t="str">
        <f t="shared" ca="1" si="15"/>
        <v/>
      </c>
      <c r="AV38" s="951" t="str">
        <f t="shared" ca="1" si="16"/>
        <v/>
      </c>
      <c r="AW38" s="951">
        <f t="shared" ca="1" si="17"/>
        <v>0</v>
      </c>
      <c r="AX38" s="951" t="str">
        <f t="shared" ca="1" si="18"/>
        <v/>
      </c>
      <c r="AY38" s="951" t="str">
        <f t="shared" ca="1" si="19"/>
        <v/>
      </c>
      <c r="AZ38" s="951">
        <f t="shared" ca="1" si="20"/>
        <v>0</v>
      </c>
      <c r="BA38" s="950"/>
      <c r="BB38" s="950"/>
      <c r="BC38" s="947"/>
      <c r="BD38" s="947"/>
      <c r="BE38" s="947"/>
    </row>
    <row r="39" spans="2:57">
      <c r="B39" s="953" t="s">
        <v>306</v>
      </c>
      <c r="C39" s="949" t="str" cm="1">
        <f t="array" ref="C39">IFERROR(_xlfn.IFS(B39="Onshore",$E$16,B39="Offshore","India"),"")</f>
        <v>USA</v>
      </c>
      <c r="D39" s="954"/>
      <c r="E39" s="1163"/>
      <c r="F39" s="1163"/>
      <c r="G39" s="1163"/>
      <c r="H39" s="1163"/>
      <c r="I39" s="1163"/>
      <c r="J39" s="670">
        <f ca="1">SUMIF(TandE[Billable/ Non-Billable],"Billable*",TandE[Role 13])+SUM(Role13_OvSight)</f>
        <v>0</v>
      </c>
      <c r="K39" s="670">
        <f ca="1">SUMIF(TandE[Billable/ Non-Billable],"Non-Billable*",TandE[Role 13])</f>
        <v>0</v>
      </c>
      <c r="L39" s="671" t="str">
        <f>IFERROR(INDEX(Bill_Rates!$L:$L,MATCH(Pricing!$AM39,Bill_Rates!$J:$J,0)),"")</f>
        <v/>
      </c>
      <c r="M39" s="672"/>
      <c r="N39" s="671" t="str">
        <f t="shared" si="1"/>
        <v/>
      </c>
      <c r="O39" s="671" t="str">
        <f>IFERROR(INDEX(Bill_Rates!$O:$O,MATCH($AN39,Bill_Rates!$J:$J,0)),"")</f>
        <v/>
      </c>
      <c r="P39" s="689" t="str">
        <f t="shared" ca="1" si="2"/>
        <v/>
      </c>
      <c r="Q39" s="689" t="str">
        <f t="shared" ca="1" si="21"/>
        <v/>
      </c>
      <c r="R39" s="689" t="str">
        <f t="shared" ca="1" si="3"/>
        <v/>
      </c>
      <c r="S39" s="683" t="str">
        <f t="shared" ca="1" si="4"/>
        <v/>
      </c>
      <c r="T39" s="784"/>
      <c r="U39" s="784"/>
      <c r="V39" s="784"/>
      <c r="W39" s="784"/>
      <c r="X39" s="758"/>
      <c r="Y39" s="758"/>
      <c r="Z39" s="758"/>
      <c r="AA39" s="758"/>
      <c r="AB39" s="758"/>
      <c r="AC39" s="764">
        <f ca="1">'T&amp;E Summary'!D23</f>
        <v>0</v>
      </c>
      <c r="AD39" s="764">
        <f ca="1">'T&amp;E Summary'!E23</f>
        <v>0</v>
      </c>
      <c r="AE39" s="764">
        <f ca="1">'T&amp;E Summary'!F23</f>
        <v>0</v>
      </c>
      <c r="AF39" s="764">
        <f ca="1">'T&amp;E Summary'!G23</f>
        <v>0</v>
      </c>
      <c r="AG39" s="764">
        <f ca="1">'T&amp;E Summary'!H23</f>
        <v>0</v>
      </c>
      <c r="AH39" s="834"/>
      <c r="AI39" s="947"/>
      <c r="AJ39" s="947"/>
      <c r="AK39" s="947" t="str">
        <f t="shared" si="5"/>
        <v/>
      </c>
      <c r="AL39" s="947">
        <f t="shared" si="6"/>
        <v>0</v>
      </c>
      <c r="AM39" s="947" t="str">
        <f t="shared" si="7"/>
        <v>USAUSA</v>
      </c>
      <c r="AN39" s="947" t="str">
        <f t="shared" si="8"/>
        <v>USA</v>
      </c>
      <c r="AO39" s="644" t="str">
        <f t="shared" ca="1" si="9"/>
        <v/>
      </c>
      <c r="AP39" s="644" t="str">
        <f t="shared" ca="1" si="10"/>
        <v/>
      </c>
      <c r="AQ39" s="644">
        <f t="shared" ca="1" si="11"/>
        <v>0</v>
      </c>
      <c r="AR39" s="951" t="str">
        <f t="shared" ca="1" si="12"/>
        <v/>
      </c>
      <c r="AS39" s="951" t="str">
        <f t="shared" ca="1" si="13"/>
        <v/>
      </c>
      <c r="AT39" s="951" t="str">
        <f t="shared" ca="1" si="14"/>
        <v/>
      </c>
      <c r="AU39" s="951" t="str">
        <f t="shared" ca="1" si="15"/>
        <v/>
      </c>
      <c r="AV39" s="951" t="str">
        <f t="shared" ca="1" si="16"/>
        <v/>
      </c>
      <c r="AW39" s="951">
        <f t="shared" ca="1" si="17"/>
        <v>0</v>
      </c>
      <c r="AX39" s="951" t="str">
        <f t="shared" ca="1" si="18"/>
        <v/>
      </c>
      <c r="AY39" s="951" t="str">
        <f t="shared" ca="1" si="19"/>
        <v/>
      </c>
      <c r="AZ39" s="951">
        <f t="shared" ca="1" si="20"/>
        <v>0</v>
      </c>
      <c r="BA39" s="950"/>
      <c r="BB39" s="950"/>
      <c r="BC39" s="947"/>
      <c r="BD39" s="947"/>
      <c r="BE39" s="947"/>
    </row>
    <row r="40" spans="2:57">
      <c r="B40" s="953" t="s">
        <v>306</v>
      </c>
      <c r="C40" s="949" t="str" cm="1">
        <f t="array" ref="C40">IFERROR(_xlfn.IFS(B40="Onshore",$E$16,B40="Offshore","India"),"")</f>
        <v>USA</v>
      </c>
      <c r="D40" s="954"/>
      <c r="E40" s="1163"/>
      <c r="F40" s="1163"/>
      <c r="G40" s="1163"/>
      <c r="H40" s="1163"/>
      <c r="I40" s="1163"/>
      <c r="J40" s="670">
        <f ca="1">SUMIF(TandE[Billable/ Non-Billable],"Billable*",TandE[Role 14])+SUM(Role14_OvSight)</f>
        <v>0</v>
      </c>
      <c r="K40" s="670">
        <f ca="1">SUMIF(TandE[Billable/ Non-Billable],"Non-Billable*",TandE[Role 14])</f>
        <v>0</v>
      </c>
      <c r="L40" s="671" t="str">
        <f>IFERROR(INDEX(Bill_Rates!$L:$L,MATCH(Pricing!$AM40,Bill_Rates!$J:$J,0)),"")</f>
        <v/>
      </c>
      <c r="M40" s="672"/>
      <c r="N40" s="671" t="str">
        <f t="shared" si="1"/>
        <v/>
      </c>
      <c r="O40" s="671" t="str">
        <f>IFERROR(INDEX(Bill_Rates!$O:$O,MATCH($AN40,Bill_Rates!$J:$J,0)),"")</f>
        <v/>
      </c>
      <c r="P40" s="689" t="str">
        <f t="shared" ca="1" si="2"/>
        <v/>
      </c>
      <c r="Q40" s="689" t="str">
        <f t="shared" ca="1" si="21"/>
        <v/>
      </c>
      <c r="R40" s="689" t="str">
        <f t="shared" ca="1" si="3"/>
        <v/>
      </c>
      <c r="S40" s="683" t="str">
        <f t="shared" ca="1" si="4"/>
        <v/>
      </c>
      <c r="T40" s="784"/>
      <c r="U40" s="784"/>
      <c r="V40" s="784"/>
      <c r="W40" s="784"/>
      <c r="X40" s="758"/>
      <c r="Y40" s="758"/>
      <c r="Z40" s="758"/>
      <c r="AA40" s="758"/>
      <c r="AB40" s="758"/>
      <c r="AC40" s="764">
        <f ca="1">'T&amp;E Summary'!D24</f>
        <v>0</v>
      </c>
      <c r="AD40" s="764">
        <f ca="1">'T&amp;E Summary'!E24</f>
        <v>0</v>
      </c>
      <c r="AE40" s="764">
        <f ca="1">'T&amp;E Summary'!F24</f>
        <v>0</v>
      </c>
      <c r="AF40" s="764">
        <f ca="1">'T&amp;E Summary'!G24</f>
        <v>0</v>
      </c>
      <c r="AG40" s="764">
        <f ca="1">'T&amp;E Summary'!H24</f>
        <v>0</v>
      </c>
      <c r="AH40" s="834"/>
      <c r="AI40" s="947"/>
      <c r="AJ40" s="947"/>
      <c r="AK40" s="947" t="str">
        <f t="shared" si="5"/>
        <v/>
      </c>
      <c r="AL40" s="947">
        <f t="shared" si="6"/>
        <v>0</v>
      </c>
      <c r="AM40" s="947" t="str">
        <f t="shared" si="7"/>
        <v>USAUSA</v>
      </c>
      <c r="AN40" s="947" t="str">
        <f t="shared" si="8"/>
        <v>USA</v>
      </c>
      <c r="AO40" s="644" t="str">
        <f t="shared" ca="1" si="9"/>
        <v/>
      </c>
      <c r="AP40" s="644" t="str">
        <f t="shared" ca="1" si="10"/>
        <v/>
      </c>
      <c r="AQ40" s="644">
        <f t="shared" ca="1" si="11"/>
        <v>0</v>
      </c>
      <c r="AR40" s="951" t="str">
        <f t="shared" ca="1" si="12"/>
        <v/>
      </c>
      <c r="AS40" s="951" t="str">
        <f t="shared" ca="1" si="13"/>
        <v/>
      </c>
      <c r="AT40" s="951" t="str">
        <f t="shared" ca="1" si="14"/>
        <v/>
      </c>
      <c r="AU40" s="951" t="str">
        <f t="shared" ca="1" si="15"/>
        <v/>
      </c>
      <c r="AV40" s="951" t="str">
        <f t="shared" ca="1" si="16"/>
        <v/>
      </c>
      <c r="AW40" s="951">
        <f t="shared" ca="1" si="17"/>
        <v>0</v>
      </c>
      <c r="AX40" s="951" t="str">
        <f t="shared" ca="1" si="18"/>
        <v/>
      </c>
      <c r="AY40" s="951" t="str">
        <f t="shared" ca="1" si="19"/>
        <v/>
      </c>
      <c r="AZ40" s="951">
        <f t="shared" ca="1" si="20"/>
        <v>0</v>
      </c>
      <c r="BA40" s="950"/>
      <c r="BB40" s="950"/>
      <c r="BC40" s="947"/>
      <c r="BD40" s="947"/>
      <c r="BE40" s="947"/>
    </row>
    <row r="41" spans="2:57">
      <c r="B41" s="953" t="s">
        <v>310</v>
      </c>
      <c r="C41" s="949" t="str" cm="1">
        <f t="array" ref="C41">IFERROR(_xlfn.IFS(B41="Onshore",$E$16,B41="Offshore","India"),"")</f>
        <v>India</v>
      </c>
      <c r="D41" s="954"/>
      <c r="E41" s="1163"/>
      <c r="F41" s="1163"/>
      <c r="G41" s="1163"/>
      <c r="H41" s="1163"/>
      <c r="I41" s="1163"/>
      <c r="J41" s="941">
        <f ca="1">SUMIF(TandE[Billable/ Non-Billable],"Billable*",TandE[Role 15])+SUM(Role15_OvSight)</f>
        <v>0</v>
      </c>
      <c r="K41" s="670">
        <f ca="1">SUMIF(TandE[Billable/ Non-Billable],"Non-Billable*",TandE[Role 15])</f>
        <v>0</v>
      </c>
      <c r="L41" s="853" t="str">
        <f>IFERROR(INDEX(Bill_Rates!$L:$L,MATCH(Pricing!$AM41,Bill_Rates!$J:$J,0)),"")</f>
        <v/>
      </c>
      <c r="M41" s="854"/>
      <c r="N41" s="853" t="str">
        <f t="shared" si="1"/>
        <v/>
      </c>
      <c r="O41" s="853" t="str">
        <f>IFERROR(INDEX(Bill_Rates!$O:$O,MATCH($AN41,Bill_Rates!$J:$J,0)),"")</f>
        <v/>
      </c>
      <c r="P41" s="689" t="str">
        <f t="shared" ca="1" si="2"/>
        <v/>
      </c>
      <c r="Q41" s="689" t="str">
        <f t="shared" ca="1" si="21"/>
        <v/>
      </c>
      <c r="R41" s="689" t="str">
        <f t="shared" ca="1" si="3"/>
        <v/>
      </c>
      <c r="S41" s="858" t="str">
        <f t="shared" ca="1" si="4"/>
        <v/>
      </c>
      <c r="T41" s="859"/>
      <c r="U41" s="859"/>
      <c r="V41" s="859"/>
      <c r="W41" s="859"/>
      <c r="X41" s="860"/>
      <c r="Y41" s="860"/>
      <c r="Z41" s="860"/>
      <c r="AA41" s="860"/>
      <c r="AB41" s="860"/>
      <c r="AC41" s="861">
        <f ca="1">'T&amp;E Summary'!D25</f>
        <v>0</v>
      </c>
      <c r="AD41" s="861">
        <f ca="1">'T&amp;E Summary'!E25</f>
        <v>0</v>
      </c>
      <c r="AE41" s="861">
        <f ca="1">'T&amp;E Summary'!F25</f>
        <v>0</v>
      </c>
      <c r="AF41" s="861">
        <f ca="1">'T&amp;E Summary'!G25</f>
        <v>0</v>
      </c>
      <c r="AG41" s="861">
        <f ca="1">'T&amp;E Summary'!H25</f>
        <v>0</v>
      </c>
      <c r="AH41" s="862"/>
      <c r="AI41" s="947"/>
      <c r="AJ41" s="947"/>
      <c r="AK41" s="947" t="str">
        <f t="shared" si="5"/>
        <v/>
      </c>
      <c r="AL41" s="947">
        <f t="shared" si="6"/>
        <v>0</v>
      </c>
      <c r="AM41" s="947" t="str">
        <f t="shared" si="7"/>
        <v>USAIndia</v>
      </c>
      <c r="AN41" s="947" t="str">
        <f t="shared" si="8"/>
        <v>USA</v>
      </c>
      <c r="AO41" s="645" t="str">
        <f t="shared" ca="1" si="9"/>
        <v/>
      </c>
      <c r="AP41" s="645" t="str">
        <f t="shared" ca="1" si="10"/>
        <v/>
      </c>
      <c r="AQ41" s="644">
        <f t="shared" ca="1" si="11"/>
        <v>0</v>
      </c>
      <c r="AR41" s="973" t="str">
        <f t="shared" ca="1" si="12"/>
        <v/>
      </c>
      <c r="AS41" s="973" t="str">
        <f t="shared" ca="1" si="13"/>
        <v/>
      </c>
      <c r="AT41" s="973" t="str">
        <f t="shared" ca="1" si="14"/>
        <v/>
      </c>
      <c r="AU41" s="973" t="str">
        <f t="shared" ca="1" si="15"/>
        <v/>
      </c>
      <c r="AV41" s="973" t="str">
        <f t="shared" ca="1" si="16"/>
        <v/>
      </c>
      <c r="AW41" s="951">
        <f t="shared" ca="1" si="17"/>
        <v>0</v>
      </c>
      <c r="AX41" s="973" t="str">
        <f t="shared" ca="1" si="18"/>
        <v/>
      </c>
      <c r="AY41" s="973" t="str">
        <f t="shared" ca="1" si="19"/>
        <v/>
      </c>
      <c r="AZ41" s="951">
        <f t="shared" ca="1" si="20"/>
        <v>0</v>
      </c>
      <c r="BA41" s="974"/>
      <c r="BB41" s="974"/>
      <c r="BC41" s="975"/>
      <c r="BD41" s="975"/>
      <c r="BE41" s="975"/>
    </row>
    <row r="42" spans="2:57">
      <c r="B42" s="1367" t="s">
        <v>313</v>
      </c>
      <c r="C42" s="1368"/>
      <c r="D42" s="1368"/>
      <c r="E42" s="1368"/>
      <c r="F42" s="1368"/>
      <c r="G42" s="1368"/>
      <c r="H42" s="1368"/>
      <c r="I42" s="1368"/>
      <c r="J42" s="976">
        <f ca="1">SUM(J27:J41)</f>
        <v>485</v>
      </c>
      <c r="K42" s="847">
        <f ca="1">SUM(K27:K41)</f>
        <v>0</v>
      </c>
      <c r="L42" s="855" t="s">
        <v>222</v>
      </c>
      <c r="M42" s="856" t="s">
        <v>222</v>
      </c>
      <c r="N42" s="929" t="s">
        <v>222</v>
      </c>
      <c r="O42" s="792" t="s">
        <v>222</v>
      </c>
      <c r="P42" s="850">
        <f ca="1">SUM(P27:P41)</f>
        <v>112279</v>
      </c>
      <c r="Q42" s="689">
        <f ca="1">SUM(Q27:Q41)</f>
        <v>55221.62988</v>
      </c>
      <c r="R42" s="689">
        <f ca="1">SUM(R27:R41)</f>
        <v>57057.37012</v>
      </c>
      <c r="S42" s="724">
        <f ca="1">IFERROR(R42/P42,"")</f>
        <v>0.50817490465714865</v>
      </c>
      <c r="T42" s="726"/>
      <c r="U42" s="726"/>
      <c r="V42" s="726"/>
      <c r="W42" s="726"/>
      <c r="X42" s="726"/>
      <c r="Y42" s="726"/>
      <c r="Z42" s="726"/>
      <c r="AA42" s="726"/>
      <c r="AB42" s="726"/>
      <c r="AC42" s="726"/>
      <c r="AD42" s="726"/>
      <c r="AE42" s="726"/>
      <c r="AF42" s="726"/>
      <c r="AG42" s="726"/>
      <c r="AH42" s="970"/>
      <c r="AI42" s="947"/>
      <c r="AJ42" s="947" t="str">
        <f>IF(C27="India","India","")</f>
        <v/>
      </c>
      <c r="AK42" s="947" t="str">
        <f>F42&amp;G42</f>
        <v/>
      </c>
      <c r="AL42" s="947"/>
      <c r="AM42" s="947"/>
      <c r="AN42" s="947"/>
      <c r="AO42" s="951">
        <f t="shared" ref="AO42:AZ42" ca="1" si="22">SUM(AO27:AO41)</f>
        <v>107289</v>
      </c>
      <c r="AP42" s="951">
        <f t="shared" ca="1" si="22"/>
        <v>92659</v>
      </c>
      <c r="AQ42" s="951">
        <f t="shared" ca="1" si="22"/>
        <v>14630</v>
      </c>
      <c r="AR42" s="951">
        <f t="shared" ca="1" si="22"/>
        <v>129120.84999999999</v>
      </c>
      <c r="AS42" s="951">
        <f t="shared" ca="1" si="22"/>
        <v>63504.874362000002</v>
      </c>
      <c r="AT42" s="951">
        <f t="shared" ca="1" si="22"/>
        <v>-4120.8500000000004</v>
      </c>
      <c r="AU42" s="951">
        <f t="shared" ca="1" si="22"/>
        <v>125000</v>
      </c>
      <c r="AV42" s="951">
        <f t="shared" ca="1" si="22"/>
        <v>108712.44845429689</v>
      </c>
      <c r="AW42" s="951">
        <f t="shared" ca="1" si="22"/>
        <v>16287.551545703114</v>
      </c>
      <c r="AX42" s="951">
        <f t="shared" ca="1" si="22"/>
        <v>63504.874362000002</v>
      </c>
      <c r="AY42" s="951">
        <f t="shared" ca="1" si="22"/>
        <v>59011.100000000006</v>
      </c>
      <c r="AZ42" s="951">
        <f t="shared" ca="1" si="22"/>
        <v>4493.7743619999992</v>
      </c>
      <c r="BA42" s="951">
        <f ca="1">J42</f>
        <v>485</v>
      </c>
      <c r="BB42" s="951">
        <f ca="1">BA42-BC42</f>
        <v>331</v>
      </c>
      <c r="BC42" s="951">
        <f ca="1">SUMIF(D27:D41,"India",J27:J41)</f>
        <v>154</v>
      </c>
      <c r="BD42" s="950">
        <f ca="1">BB42/BA42*J43</f>
        <v>49.649999999999991</v>
      </c>
      <c r="BE42" s="950">
        <f ca="1">BC42/BA42*J43</f>
        <v>23.099999999999994</v>
      </c>
    </row>
    <row r="43" spans="2:57">
      <c r="B43" s="1367" t="s">
        <v>314</v>
      </c>
      <c r="C43" s="1368"/>
      <c r="D43" s="1368"/>
      <c r="E43" s="1368"/>
      <c r="F43" s="1368"/>
      <c r="G43" s="1368"/>
      <c r="H43" s="1368"/>
      <c r="I43" s="1368"/>
      <c r="J43" s="479">
        <f ca="1">IFERROR(P43/(P42/J42),"")</f>
        <v>72.749999999999986</v>
      </c>
      <c r="K43" s="848" t="str">
        <f ca="1">IFERROR(P43/(P42/K42),"")</f>
        <v/>
      </c>
      <c r="L43" s="857" t="s">
        <v>222</v>
      </c>
      <c r="M43" s="791" t="s">
        <v>222</v>
      </c>
      <c r="N43" s="791" t="s">
        <v>222</v>
      </c>
      <c r="O43" s="792" t="s">
        <v>222</v>
      </c>
      <c r="P43" s="851">
        <f ca="1">IF($E$18="Fixed Price", $P$42*0.15,0)</f>
        <v>16841.849999999999</v>
      </c>
      <c r="Q43" s="691">
        <f ca="1">IFERROR(P43*(1-S42),"")</f>
        <v>8283.2444820000001</v>
      </c>
      <c r="R43" s="692">
        <f ca="1">IFERROR(P43-Q43,"")</f>
        <v>8558.6055179999985</v>
      </c>
      <c r="S43" s="724">
        <f ca="1">IFERROR(R43/P43,"")</f>
        <v>0.50817490465714865</v>
      </c>
      <c r="T43" s="726"/>
      <c r="U43" s="726"/>
      <c r="V43" s="726"/>
      <c r="W43" s="726"/>
      <c r="X43" s="726"/>
      <c r="Y43" s="726"/>
      <c r="Z43" s="726"/>
      <c r="AA43" s="726"/>
      <c r="AB43" s="726"/>
      <c r="AC43" s="726"/>
      <c r="AD43" s="726"/>
      <c r="AE43" s="726"/>
      <c r="AF43" s="726"/>
      <c r="AG43" s="863"/>
      <c r="AH43" s="970"/>
      <c r="AI43" s="947"/>
      <c r="AJ43" s="947"/>
      <c r="AK43" s="947"/>
      <c r="AL43" s="947"/>
      <c r="AM43" s="947"/>
      <c r="AN43" s="950"/>
      <c r="AO43" s="950"/>
      <c r="AP43" s="950"/>
      <c r="AQ43" s="947"/>
      <c r="AR43" s="947"/>
      <c r="AS43" s="947"/>
      <c r="AT43" s="951"/>
      <c r="AU43" s="951"/>
      <c r="AV43" s="951"/>
      <c r="AW43" s="947"/>
      <c r="AX43" s="947"/>
      <c r="AY43" s="951"/>
      <c r="AZ43" s="947"/>
      <c r="BA43" s="947"/>
      <c r="BB43" s="947"/>
      <c r="BC43" s="947"/>
      <c r="BD43" s="947"/>
      <c r="BE43" s="947"/>
    </row>
    <row r="44" spans="2:57">
      <c r="B44" s="1367" t="s">
        <v>315</v>
      </c>
      <c r="C44" s="1368"/>
      <c r="D44" s="1368"/>
      <c r="E44" s="1368"/>
      <c r="F44" s="1368"/>
      <c r="G44" s="1368"/>
      <c r="H44" s="1368"/>
      <c r="I44" s="1368"/>
      <c r="J44" s="789"/>
      <c r="K44" s="849"/>
      <c r="L44" s="857"/>
      <c r="M44" s="791"/>
      <c r="N44" s="791"/>
      <c r="O44" s="792" t="s">
        <v>222</v>
      </c>
      <c r="P44" s="851">
        <v>-4120.8500000000004</v>
      </c>
      <c r="Q44" s="833"/>
      <c r="R44" s="833"/>
      <c r="S44" s="849"/>
      <c r="T44" s="726"/>
      <c r="U44" s="726"/>
      <c r="V44" s="726"/>
      <c r="W44" s="726"/>
      <c r="X44" s="726"/>
      <c r="Y44" s="726"/>
      <c r="Z44" s="726"/>
      <c r="AA44" s="726"/>
      <c r="AB44" s="726"/>
      <c r="AC44" s="726"/>
      <c r="AD44" s="726"/>
      <c r="AE44" s="726"/>
      <c r="AF44" s="726"/>
      <c r="AG44" s="791"/>
      <c r="AH44" s="970"/>
      <c r="AI44" s="947"/>
      <c r="AJ44" s="947"/>
      <c r="AK44" s="947"/>
      <c r="AL44" s="947"/>
      <c r="AM44" s="947"/>
      <c r="AN44" s="950"/>
      <c r="AO44" s="950"/>
      <c r="AP44" s="950"/>
      <c r="AQ44" s="947"/>
      <c r="AR44" s="947"/>
      <c r="AS44" s="947"/>
      <c r="AT44" s="951"/>
      <c r="AU44" s="951"/>
      <c r="AV44" s="951"/>
      <c r="AW44" s="947"/>
      <c r="AX44" s="947"/>
      <c r="AY44" s="951"/>
      <c r="AZ44" s="947"/>
      <c r="BA44" s="947"/>
      <c r="BB44" s="947"/>
      <c r="BC44" s="947"/>
      <c r="BD44" s="947"/>
      <c r="BE44" s="947"/>
    </row>
    <row r="45" spans="2:57" ht="15.75" thickBot="1">
      <c r="B45" s="1353" t="s">
        <v>225</v>
      </c>
      <c r="C45" s="1354"/>
      <c r="D45" s="1354"/>
      <c r="E45" s="1354"/>
      <c r="F45" s="1354"/>
      <c r="G45" s="1354"/>
      <c r="H45" s="1354"/>
      <c r="I45" s="1354"/>
      <c r="J45" s="977">
        <f ca="1">IFERROR(J42+J43,"")</f>
        <v>557.75</v>
      </c>
      <c r="K45" s="978">
        <f ca="1">IFERROR(K42+K43,0)</f>
        <v>0</v>
      </c>
      <c r="L45" s="864" t="s">
        <v>222</v>
      </c>
      <c r="M45" s="673" t="s">
        <v>222</v>
      </c>
      <c r="N45" s="673" t="s">
        <v>222</v>
      </c>
      <c r="O45" s="868" t="s">
        <v>222</v>
      </c>
      <c r="P45" s="852">
        <f ca="1">SUM(P42:P44)</f>
        <v>125000</v>
      </c>
      <c r="Q45" s="694">
        <f ca="1">SUM(Q42:Q43)</f>
        <v>63504.874362000002</v>
      </c>
      <c r="R45" s="694">
        <f ca="1">P45-Q45</f>
        <v>61495.125637999998</v>
      </c>
      <c r="S45" s="725">
        <f ca="1">IFERROR(R45/P45,"")</f>
        <v>0.49196100510399998</v>
      </c>
      <c r="T45" s="727"/>
      <c r="U45" s="727"/>
      <c r="V45" s="727"/>
      <c r="W45" s="727"/>
      <c r="X45" s="727"/>
      <c r="Y45" s="727"/>
      <c r="Z45" s="727"/>
      <c r="AA45" s="727"/>
      <c r="AB45" s="727"/>
      <c r="AC45" s="727"/>
      <c r="AD45" s="727"/>
      <c r="AE45" s="727"/>
      <c r="AF45" s="727"/>
      <c r="AG45" s="865"/>
      <c r="AH45" s="972"/>
      <c r="AI45" s="947"/>
      <c r="AJ45" s="947"/>
      <c r="AK45" s="947"/>
      <c r="AL45" s="947"/>
      <c r="AM45" s="947"/>
      <c r="AN45" s="950"/>
      <c r="AO45" s="950"/>
      <c r="AP45" s="950"/>
      <c r="AQ45" s="947"/>
      <c r="AR45" s="947"/>
      <c r="AS45" s="947"/>
      <c r="AT45" s="951"/>
      <c r="AU45" s="951"/>
      <c r="AV45" s="951"/>
      <c r="AW45" s="947"/>
      <c r="AX45" s="947"/>
      <c r="AY45" s="951"/>
      <c r="AZ45" s="947"/>
      <c r="BA45" s="947"/>
      <c r="BB45" s="947"/>
      <c r="BC45" s="947"/>
      <c r="BD45" s="947"/>
      <c r="BE45" s="947"/>
    </row>
    <row r="46" spans="2:57">
      <c r="B46" s="478" t="s">
        <v>222</v>
      </c>
      <c r="C46" s="478" t="s">
        <v>222</v>
      </c>
      <c r="D46" s="478" t="s">
        <v>222</v>
      </c>
      <c r="E46" s="478"/>
      <c r="F46" s="478" t="s">
        <v>222</v>
      </c>
      <c r="G46" s="478" t="s">
        <v>222</v>
      </c>
      <c r="H46" s="478" t="s">
        <v>222</v>
      </c>
      <c r="I46" s="478" t="s">
        <v>222</v>
      </c>
      <c r="J46" s="478"/>
      <c r="K46" s="478" t="s">
        <v>222</v>
      </c>
      <c r="L46" s="478" t="s">
        <v>222</v>
      </c>
      <c r="M46" s="478" t="s">
        <v>222</v>
      </c>
      <c r="N46" s="478" t="s">
        <v>222</v>
      </c>
      <c r="O46" s="478" t="s">
        <v>222</v>
      </c>
      <c r="P46" s="478" t="s">
        <v>222</v>
      </c>
      <c r="Q46" s="478" t="s">
        <v>222</v>
      </c>
      <c r="R46" s="478" t="s">
        <v>222</v>
      </c>
      <c r="S46" s="478"/>
      <c r="T46" s="478"/>
      <c r="U46" s="478"/>
      <c r="V46" s="478"/>
      <c r="W46" s="478"/>
      <c r="X46" s="478"/>
      <c r="Y46" s="478"/>
      <c r="Z46" s="478"/>
      <c r="AA46" s="478"/>
      <c r="AB46" s="478"/>
      <c r="AC46" s="478"/>
      <c r="AD46" s="478"/>
      <c r="AE46" s="478"/>
      <c r="AF46" s="478"/>
      <c r="AG46" s="478"/>
      <c r="AH46" s="947"/>
      <c r="AI46" s="947"/>
      <c r="AJ46" s="947"/>
      <c r="AK46" s="947"/>
      <c r="AL46" s="947"/>
      <c r="AM46" s="947"/>
      <c r="AN46" s="947"/>
      <c r="AO46" s="947"/>
      <c r="AP46" s="947"/>
      <c r="AQ46" s="947"/>
      <c r="AR46" s="947"/>
      <c r="AS46" s="947"/>
      <c r="AT46" s="951"/>
      <c r="AU46" s="951"/>
      <c r="AV46" s="951"/>
      <c r="AW46" s="947"/>
      <c r="AX46" s="947"/>
      <c r="AY46" s="951"/>
      <c r="AZ46" s="947"/>
      <c r="BA46" s="947"/>
      <c r="BB46" s="947"/>
      <c r="BC46" s="947"/>
      <c r="BD46" s="947"/>
      <c r="BE46" s="947"/>
    </row>
    <row r="47" spans="2:57" ht="15.75" thickBot="1">
      <c r="B47" s="478" t="s">
        <v>222</v>
      </c>
      <c r="C47" s="478" t="s">
        <v>222</v>
      </c>
      <c r="D47" s="478" t="s">
        <v>222</v>
      </c>
      <c r="E47" s="478"/>
      <c r="F47" s="478" t="s">
        <v>222</v>
      </c>
      <c r="G47" s="478" t="s">
        <v>222</v>
      </c>
      <c r="H47" s="478" t="s">
        <v>222</v>
      </c>
      <c r="I47" s="478" t="s">
        <v>222</v>
      </c>
      <c r="J47" s="478"/>
      <c r="K47" s="478" t="s">
        <v>222</v>
      </c>
      <c r="L47" s="478" t="s">
        <v>222</v>
      </c>
      <c r="M47" s="478" t="s">
        <v>222</v>
      </c>
      <c r="N47" s="478" t="s">
        <v>222</v>
      </c>
      <c r="O47" s="478" t="s">
        <v>222</v>
      </c>
      <c r="P47" s="478" t="s">
        <v>222</v>
      </c>
      <c r="Q47" s="478" t="s">
        <v>222</v>
      </c>
      <c r="R47" s="478" t="s">
        <v>222</v>
      </c>
      <c r="S47" s="478"/>
      <c r="T47" s="478"/>
      <c r="U47" s="478"/>
      <c r="V47" s="478"/>
      <c r="W47" s="478"/>
      <c r="X47" s="478"/>
      <c r="Y47" s="478"/>
      <c r="Z47" s="478"/>
      <c r="AA47" s="478"/>
      <c r="AB47" s="478"/>
      <c r="AC47" s="478"/>
      <c r="AD47" s="478"/>
      <c r="AE47" s="478"/>
      <c r="AF47" s="478"/>
      <c r="AG47" s="478"/>
      <c r="AH47" s="947"/>
      <c r="AI47" s="947"/>
      <c r="AJ47" s="947"/>
      <c r="AK47" s="947"/>
      <c r="AL47" s="947"/>
      <c r="AM47" s="947"/>
      <c r="AN47" s="947"/>
      <c r="AO47" s="947"/>
      <c r="AP47" s="947"/>
      <c r="AQ47" s="947"/>
      <c r="AR47" s="947"/>
      <c r="AS47" s="947"/>
      <c r="AT47" s="951"/>
      <c r="AU47" s="947"/>
      <c r="AV47" s="951"/>
      <c r="AW47" s="947"/>
      <c r="AX47" s="947"/>
      <c r="AY47" s="951"/>
      <c r="AZ47" s="947"/>
      <c r="BA47" s="947"/>
      <c r="BB47" s="947"/>
      <c r="BC47" s="947"/>
      <c r="BD47" s="947"/>
      <c r="BE47" s="947"/>
    </row>
    <row r="48" spans="2:57" ht="18.75">
      <c r="B48" s="1153" t="s">
        <v>316</v>
      </c>
      <c r="C48" s="1154"/>
      <c r="D48" s="1154"/>
      <c r="E48" s="1154"/>
      <c r="F48" s="1154"/>
      <c r="G48" s="1154"/>
      <c r="H48" s="1154"/>
      <c r="I48" s="1154"/>
      <c r="J48" s="1154"/>
      <c r="K48" s="1154"/>
      <c r="L48" s="1154"/>
      <c r="M48" s="1154"/>
      <c r="N48" s="1154"/>
      <c r="O48" s="1154"/>
      <c r="P48" s="1154"/>
      <c r="Q48" s="1154"/>
      <c r="R48" s="1154"/>
      <c r="S48" s="1154"/>
      <c r="T48" s="1154"/>
      <c r="U48" s="1154"/>
      <c r="V48" s="1154"/>
      <c r="W48" s="1154"/>
      <c r="X48" s="1154"/>
      <c r="Y48" s="1154"/>
      <c r="Z48" s="1154"/>
      <c r="AA48" s="1154"/>
      <c r="AB48" s="1154"/>
      <c r="AC48" s="1154"/>
      <c r="AD48" s="1154"/>
      <c r="AE48" s="1154"/>
      <c r="AF48" s="1154"/>
      <c r="AG48" s="1155"/>
      <c r="AH48" s="947"/>
      <c r="AI48" s="947"/>
      <c r="AJ48" s="947"/>
      <c r="AK48" s="947"/>
      <c r="AL48" s="947"/>
      <c r="AM48" s="947"/>
      <c r="AN48" s="947"/>
      <c r="AO48" s="947"/>
      <c r="AP48" s="947"/>
      <c r="AQ48" s="947"/>
      <c r="AR48" s="947"/>
      <c r="AS48" s="947"/>
      <c r="AT48" s="947"/>
      <c r="AU48" s="947"/>
      <c r="AV48" s="951"/>
      <c r="AW48" s="947"/>
      <c r="AX48" s="947"/>
      <c r="AY48" s="951"/>
      <c r="AZ48" s="947"/>
      <c r="BA48" s="947"/>
      <c r="BB48" s="947"/>
      <c r="BC48" s="947"/>
      <c r="BD48" s="947"/>
      <c r="BE48" s="947"/>
    </row>
    <row r="49" spans="2:56">
      <c r="B49" s="1355" t="s">
        <v>317</v>
      </c>
      <c r="C49" s="1356"/>
      <c r="D49" s="1356"/>
      <c r="E49" s="1356"/>
      <c r="F49" s="1356"/>
      <c r="G49" s="1356"/>
      <c r="H49" s="1356"/>
      <c r="I49" s="646"/>
      <c r="J49" s="1369"/>
      <c r="K49" s="1370"/>
      <c r="L49" s="1370"/>
      <c r="M49" s="1370"/>
      <c r="N49" s="1370"/>
      <c r="O49" s="1370"/>
      <c r="P49" s="1370"/>
      <c r="Q49" s="1370"/>
      <c r="R49" s="1370"/>
      <c r="S49" s="1370"/>
      <c r="T49" s="1370"/>
      <c r="U49" s="1370"/>
      <c r="V49" s="1370"/>
      <c r="W49" s="1370"/>
      <c r="X49" s="1370"/>
      <c r="Y49" s="1370"/>
      <c r="Z49" s="1370"/>
      <c r="AA49" s="1370"/>
      <c r="AB49" s="1370"/>
      <c r="AC49" s="1370"/>
      <c r="AD49" s="1370"/>
      <c r="AE49" s="1370"/>
      <c r="AF49" s="1370"/>
      <c r="AG49" s="1371"/>
      <c r="AH49" s="947"/>
      <c r="AI49" s="947"/>
      <c r="AJ49" s="477" t="s">
        <v>318</v>
      </c>
      <c r="AK49" s="947"/>
      <c r="AL49" s="947"/>
      <c r="AM49" s="947"/>
      <c r="AN49" s="947"/>
      <c r="AO49" s="947"/>
      <c r="AP49" s="947"/>
      <c r="AQ49" s="947"/>
      <c r="AR49" s="947"/>
      <c r="AS49" s="947"/>
      <c r="AT49" s="947"/>
      <c r="AU49" s="951"/>
      <c r="AV49" s="947"/>
      <c r="AW49" s="947"/>
      <c r="AX49" s="947"/>
      <c r="AY49" s="947"/>
      <c r="AZ49" s="947"/>
      <c r="BA49" s="947"/>
      <c r="BB49" s="947"/>
      <c r="BC49" s="947"/>
      <c r="BD49" s="947"/>
    </row>
    <row r="50" spans="2:56" ht="15" customHeight="1">
      <c r="B50" s="1372" t="s">
        <v>319</v>
      </c>
      <c r="C50" s="1373"/>
      <c r="D50" s="1373"/>
      <c r="E50" s="1373"/>
      <c r="F50" s="1373"/>
      <c r="G50" s="1373"/>
      <c r="H50" s="1374"/>
      <c r="I50" s="684" t="str">
        <f>India_Leverage</f>
        <v>No</v>
      </c>
      <c r="J50" s="1044" t="s">
        <v>320</v>
      </c>
      <c r="K50" s="1044"/>
      <c r="L50" s="1033"/>
      <c r="M50" s="1033"/>
      <c r="N50" s="1033"/>
      <c r="O50" s="1033"/>
      <c r="P50" s="1033"/>
      <c r="Q50" s="1033"/>
      <c r="R50" s="1033"/>
      <c r="S50" s="1033"/>
      <c r="T50" s="1033"/>
      <c r="U50" s="1033"/>
      <c r="V50" s="1033"/>
      <c r="W50" s="1033"/>
      <c r="X50" s="1033"/>
      <c r="Y50" s="1033"/>
      <c r="Z50" s="1033"/>
      <c r="AA50" s="1033"/>
      <c r="AB50" s="1033"/>
      <c r="AC50" s="1033"/>
      <c r="AD50" s="1033"/>
      <c r="AE50" s="1033"/>
      <c r="AF50" s="1033"/>
      <c r="AG50" s="1045"/>
      <c r="AH50" s="947"/>
      <c r="AI50" s="947"/>
      <c r="AJ50" s="947" t="s">
        <v>321</v>
      </c>
      <c r="AK50" s="947"/>
      <c r="AL50" s="947"/>
      <c r="AM50" s="947"/>
      <c r="AN50" s="947"/>
      <c r="AO50" s="947"/>
      <c r="AP50" s="947"/>
      <c r="AQ50" s="947"/>
      <c r="AR50" s="947"/>
      <c r="AS50" s="947"/>
      <c r="AT50" s="947"/>
      <c r="AU50" s="947"/>
      <c r="AV50" s="947"/>
      <c r="AW50" s="947"/>
      <c r="AX50" s="947"/>
      <c r="AY50" s="947"/>
      <c r="AZ50" s="947"/>
      <c r="BA50" s="947"/>
      <c r="BB50" s="947"/>
      <c r="BC50" s="947"/>
      <c r="BD50" s="947"/>
    </row>
    <row r="51" spans="2:56">
      <c r="B51" s="1355" t="s">
        <v>322</v>
      </c>
      <c r="C51" s="1356"/>
      <c r="D51" s="1356"/>
      <c r="E51" s="1356"/>
      <c r="F51" s="1356"/>
      <c r="G51" s="1356"/>
      <c r="H51" s="1356"/>
      <c r="I51" s="1033"/>
      <c r="J51" s="1033"/>
      <c r="K51" s="1033"/>
      <c r="L51" s="1069"/>
      <c r="M51" s="1069"/>
      <c r="N51" s="1069"/>
      <c r="O51" s="1069"/>
      <c r="P51" s="1069"/>
      <c r="Q51" s="1069"/>
      <c r="R51" s="1069"/>
      <c r="S51" s="1069"/>
      <c r="T51" s="1069"/>
      <c r="U51" s="1069"/>
      <c r="V51" s="1069"/>
      <c r="W51" s="1069"/>
      <c r="X51" s="1069"/>
      <c r="Y51" s="1069"/>
      <c r="Z51" s="1069"/>
      <c r="AA51" s="1069"/>
      <c r="AB51" s="1069"/>
      <c r="AC51" s="1069"/>
      <c r="AD51" s="1069"/>
      <c r="AE51" s="1069"/>
      <c r="AF51" s="1069"/>
      <c r="AG51" s="1071"/>
      <c r="AH51" s="947"/>
      <c r="AI51" s="947"/>
      <c r="AJ51" s="947" t="s">
        <v>323</v>
      </c>
      <c r="AK51" s="947"/>
      <c r="AL51" s="947"/>
      <c r="AM51" s="947"/>
      <c r="AN51" s="947"/>
      <c r="AO51" s="947"/>
      <c r="AP51" s="947"/>
      <c r="AQ51" s="947"/>
      <c r="AR51" s="947"/>
      <c r="AS51" s="947"/>
      <c r="AT51" s="947"/>
      <c r="AU51" s="947"/>
      <c r="AV51" s="947"/>
      <c r="AW51" s="947"/>
      <c r="AX51" s="947"/>
      <c r="AY51" s="947"/>
      <c r="AZ51" s="947"/>
      <c r="BA51" s="947"/>
      <c r="BB51" s="947"/>
      <c r="BC51" s="947"/>
      <c r="BD51" s="947"/>
    </row>
    <row r="52" spans="2:56">
      <c r="B52" s="1355" t="s">
        <v>324</v>
      </c>
      <c r="C52" s="1356"/>
      <c r="D52" s="1356"/>
      <c r="E52" s="1356"/>
      <c r="F52" s="1356"/>
      <c r="G52" s="1356"/>
      <c r="H52" s="1356"/>
      <c r="I52" s="647"/>
      <c r="J52" s="1044" t="s">
        <v>325</v>
      </c>
      <c r="K52" s="1044"/>
      <c r="L52" s="1044"/>
      <c r="M52" s="1044"/>
      <c r="N52" s="1033"/>
      <c r="O52" s="1033"/>
      <c r="P52" s="1033"/>
      <c r="Q52" s="1033"/>
      <c r="R52" s="1033"/>
      <c r="S52" s="1033"/>
      <c r="T52" s="1033"/>
      <c r="U52" s="1033"/>
      <c r="V52" s="1033"/>
      <c r="W52" s="1033"/>
      <c r="X52" s="1033"/>
      <c r="Y52" s="1033"/>
      <c r="Z52" s="1033"/>
      <c r="AA52" s="1033"/>
      <c r="AB52" s="1033"/>
      <c r="AC52" s="1033"/>
      <c r="AD52" s="1033"/>
      <c r="AE52" s="1033"/>
      <c r="AF52" s="1033"/>
      <c r="AG52" s="1045"/>
      <c r="AH52" s="947"/>
      <c r="AI52" s="947"/>
      <c r="AJ52" s="947"/>
      <c r="AK52" s="947"/>
      <c r="AL52" s="947"/>
      <c r="AM52" s="947"/>
      <c r="AN52" s="947"/>
      <c r="AO52" s="947"/>
      <c r="AP52" s="947"/>
      <c r="AQ52" s="947"/>
      <c r="AR52" s="947"/>
      <c r="AS52" s="947"/>
      <c r="AT52" s="947"/>
      <c r="AU52" s="947"/>
      <c r="AV52" s="947"/>
      <c r="AW52" s="947"/>
      <c r="AX52" s="947"/>
      <c r="AY52" s="947"/>
      <c r="AZ52" s="947"/>
      <c r="BA52" s="947"/>
      <c r="BB52" s="947"/>
      <c r="BC52" s="947"/>
      <c r="BD52" s="947"/>
    </row>
    <row r="53" spans="2:56">
      <c r="B53" s="1355" t="s">
        <v>326</v>
      </c>
      <c r="C53" s="1356"/>
      <c r="D53" s="1356"/>
      <c r="E53" s="1356"/>
      <c r="F53" s="1356"/>
      <c r="G53" s="1356"/>
      <c r="H53" s="1356"/>
      <c r="I53" s="647"/>
      <c r="J53" s="1044" t="s">
        <v>327</v>
      </c>
      <c r="K53" s="1044"/>
      <c r="L53" s="1044"/>
      <c r="M53" s="1033"/>
      <c r="N53" s="1033"/>
      <c r="O53" s="1033"/>
      <c r="P53" s="1033"/>
      <c r="Q53" s="1033"/>
      <c r="R53" s="1033"/>
      <c r="S53" s="1033"/>
      <c r="T53" s="1033"/>
      <c r="U53" s="1033"/>
      <c r="V53" s="1033"/>
      <c r="W53" s="1033"/>
      <c r="X53" s="1033"/>
      <c r="Y53" s="1033"/>
      <c r="Z53" s="1033"/>
      <c r="AA53" s="1033"/>
      <c r="AB53" s="1033"/>
      <c r="AC53" s="1033"/>
      <c r="AD53" s="1033"/>
      <c r="AE53" s="1033"/>
      <c r="AF53" s="1033"/>
      <c r="AG53" s="1045"/>
      <c r="AH53" s="947"/>
      <c r="AI53" s="947"/>
      <c r="AJ53" s="947"/>
      <c r="AK53" s="947"/>
      <c r="AL53" s="947"/>
      <c r="AM53" s="947"/>
      <c r="AN53" s="947"/>
      <c r="AO53" s="947"/>
      <c r="AP53" s="947"/>
      <c r="AQ53" s="947"/>
      <c r="AR53" s="947"/>
      <c r="AS53" s="947"/>
      <c r="AT53" s="947"/>
      <c r="AU53" s="947"/>
      <c r="AV53" s="947"/>
      <c r="AW53" s="947"/>
      <c r="AX53" s="947"/>
      <c r="AY53" s="947"/>
      <c r="AZ53" s="947"/>
      <c r="BA53" s="947"/>
      <c r="BB53" s="947"/>
      <c r="BC53" s="947"/>
      <c r="BD53" s="947"/>
    </row>
    <row r="54" spans="2:56" ht="30" customHeight="1">
      <c r="B54" s="1049" t="s">
        <v>328</v>
      </c>
      <c r="C54" s="1050"/>
      <c r="D54" s="1050"/>
      <c r="E54" s="1050"/>
      <c r="F54" s="1050"/>
      <c r="G54" s="1050"/>
      <c r="H54" s="1050"/>
      <c r="I54" s="647"/>
      <c r="J54" s="647"/>
      <c r="K54" s="1046" t="s">
        <v>222</v>
      </c>
      <c r="L54" s="1046"/>
      <c r="M54" s="1046"/>
      <c r="N54" s="1046"/>
      <c r="O54" s="1046"/>
      <c r="P54" s="1046"/>
      <c r="Q54" s="1046"/>
      <c r="R54" s="1046"/>
      <c r="S54" s="1046"/>
      <c r="T54" s="1046"/>
      <c r="U54" s="1046"/>
      <c r="V54" s="1046"/>
      <c r="W54" s="1046"/>
      <c r="X54" s="1046"/>
      <c r="Y54" s="1046"/>
      <c r="Z54" s="1046"/>
      <c r="AA54" s="1046"/>
      <c r="AB54" s="1046"/>
      <c r="AC54" s="1046"/>
      <c r="AD54" s="1046"/>
      <c r="AE54" s="1046"/>
      <c r="AF54" s="1046"/>
      <c r="AG54" s="1048"/>
      <c r="AH54" s="947"/>
      <c r="AI54" s="947"/>
      <c r="AJ54" s="947"/>
      <c r="AK54" s="947"/>
      <c r="AL54" s="947"/>
      <c r="AM54" s="947"/>
      <c r="AN54" s="947"/>
      <c r="AO54" s="947"/>
      <c r="AP54" s="947"/>
      <c r="AQ54" s="947"/>
      <c r="AR54" s="947"/>
      <c r="AS54" s="947"/>
      <c r="AT54" s="947"/>
      <c r="AU54" s="947"/>
      <c r="AV54" s="947"/>
      <c r="AW54" s="947"/>
      <c r="AX54" s="947"/>
      <c r="AY54" s="947"/>
      <c r="AZ54" s="947"/>
      <c r="BA54" s="947"/>
      <c r="BB54" s="947"/>
      <c r="BC54" s="947"/>
      <c r="BD54" s="947"/>
    </row>
    <row r="55" spans="2:56">
      <c r="B55" s="1355" t="s">
        <v>329</v>
      </c>
      <c r="C55" s="1356"/>
      <c r="D55" s="1356"/>
      <c r="E55" s="1356"/>
      <c r="F55" s="1356"/>
      <c r="G55" s="1356"/>
      <c r="H55" s="1356"/>
      <c r="I55" s="647"/>
      <c r="J55" s="1044" t="s">
        <v>330</v>
      </c>
      <c r="K55" s="1044"/>
      <c r="L55" s="1044"/>
      <c r="M55" s="1033"/>
      <c r="N55" s="1033"/>
      <c r="O55" s="1033"/>
      <c r="P55" s="1033"/>
      <c r="Q55" s="1033"/>
      <c r="R55" s="1033"/>
      <c r="S55" s="1033"/>
      <c r="T55" s="1033"/>
      <c r="U55" s="1033"/>
      <c r="V55" s="1033"/>
      <c r="W55" s="1033"/>
      <c r="X55" s="1033"/>
      <c r="Y55" s="1033"/>
      <c r="Z55" s="1033"/>
      <c r="AA55" s="1033"/>
      <c r="AB55" s="1033"/>
      <c r="AC55" s="1033"/>
      <c r="AD55" s="1033"/>
      <c r="AE55" s="1033"/>
      <c r="AF55" s="1033"/>
      <c r="AG55" s="1045"/>
      <c r="AH55" s="947"/>
      <c r="AI55" s="947"/>
      <c r="AJ55" s="947"/>
      <c r="AK55" s="947"/>
      <c r="AL55" s="947"/>
      <c r="AM55" s="947"/>
      <c r="AN55" s="947"/>
      <c r="AO55" s="947"/>
      <c r="AP55" s="947"/>
      <c r="AQ55" s="947"/>
      <c r="AR55" s="947"/>
      <c r="AS55" s="947"/>
      <c r="AT55" s="947"/>
      <c r="AU55" s="947"/>
      <c r="AV55" s="947"/>
      <c r="AW55" s="947"/>
      <c r="AX55" s="947"/>
      <c r="AY55" s="947"/>
      <c r="AZ55" s="947"/>
      <c r="BA55" s="947"/>
      <c r="BB55" s="947"/>
      <c r="BC55" s="947"/>
      <c r="BD55" s="947"/>
    </row>
    <row r="56" spans="2:56">
      <c r="B56" s="1355" t="s">
        <v>331</v>
      </c>
      <c r="C56" s="1356"/>
      <c r="D56" s="1356"/>
      <c r="E56" s="1356"/>
      <c r="F56" s="1356"/>
      <c r="G56" s="1356"/>
      <c r="H56" s="1356"/>
      <c r="I56" s="1033"/>
      <c r="J56" s="1033"/>
      <c r="K56" s="1033"/>
      <c r="L56" s="1033"/>
      <c r="M56" s="1033"/>
      <c r="N56" s="1033"/>
      <c r="O56" s="1033"/>
      <c r="P56" s="1033"/>
      <c r="Q56" s="1033"/>
      <c r="R56" s="1033"/>
      <c r="S56" s="1033"/>
      <c r="T56" s="1033"/>
      <c r="U56" s="1033"/>
      <c r="V56" s="1033"/>
      <c r="W56" s="1033"/>
      <c r="X56" s="1033"/>
      <c r="Y56" s="1033"/>
      <c r="Z56" s="1033"/>
      <c r="AA56" s="1033"/>
      <c r="AB56" s="1033"/>
      <c r="AC56" s="1033"/>
      <c r="AD56" s="1033"/>
      <c r="AE56" s="1033"/>
      <c r="AF56" s="1033"/>
      <c r="AG56" s="1045"/>
      <c r="AH56" s="947"/>
      <c r="AI56" s="947"/>
      <c r="AJ56" s="947"/>
      <c r="AK56" s="947"/>
      <c r="AL56" s="947"/>
      <c r="AM56" s="947"/>
      <c r="AN56" s="947"/>
      <c r="AO56" s="947"/>
      <c r="AP56" s="947"/>
      <c r="AQ56" s="947"/>
      <c r="AR56" s="947"/>
      <c r="AS56" s="947"/>
      <c r="AT56" s="947"/>
      <c r="AU56" s="947"/>
      <c r="AV56" s="947"/>
      <c r="AW56" s="947"/>
      <c r="AX56" s="947"/>
      <c r="AY56" s="947"/>
      <c r="AZ56" s="947"/>
      <c r="BA56" s="947"/>
      <c r="BB56" s="947"/>
      <c r="BC56" s="947"/>
      <c r="BD56" s="947"/>
    </row>
    <row r="57" spans="2:56">
      <c r="B57" s="1355" t="s">
        <v>332</v>
      </c>
      <c r="C57" s="1356"/>
      <c r="D57" s="1356"/>
      <c r="E57" s="1356"/>
      <c r="F57" s="1356"/>
      <c r="G57" s="1356"/>
      <c r="H57" s="1356"/>
      <c r="I57" s="647"/>
      <c r="J57" s="1044" t="s">
        <v>333</v>
      </c>
      <c r="K57" s="1044"/>
      <c r="L57" s="1044"/>
      <c r="M57" s="1033"/>
      <c r="N57" s="1033"/>
      <c r="O57" s="841" t="s">
        <v>334</v>
      </c>
      <c r="P57" s="785"/>
      <c r="Q57" s="841" t="s">
        <v>335</v>
      </c>
      <c r="R57" s="785"/>
      <c r="S57" s="1149"/>
      <c r="T57" s="1150"/>
      <c r="U57" s="1150"/>
      <c r="V57" s="1150"/>
      <c r="W57" s="1150"/>
      <c r="X57" s="1150"/>
      <c r="Y57" s="1150"/>
      <c r="Z57" s="1150"/>
      <c r="AA57" s="1150"/>
      <c r="AB57" s="1150"/>
      <c r="AC57" s="1150"/>
      <c r="AD57" s="1150"/>
      <c r="AE57" s="1150"/>
      <c r="AF57" s="1150"/>
      <c r="AG57" s="1151"/>
      <c r="AH57" s="947"/>
      <c r="AI57" s="947"/>
      <c r="AJ57" s="947"/>
      <c r="AK57" s="947"/>
      <c r="AL57" s="947"/>
      <c r="AM57" s="947"/>
      <c r="AN57" s="947"/>
      <c r="AO57" s="947"/>
      <c r="AP57" s="947"/>
      <c r="AQ57" s="947"/>
      <c r="AR57" s="947"/>
      <c r="AS57" s="947"/>
      <c r="AT57" s="947"/>
      <c r="AU57" s="947"/>
      <c r="AV57" s="947"/>
      <c r="AW57" s="947"/>
      <c r="AX57" s="947"/>
      <c r="AY57" s="947"/>
      <c r="AZ57" s="947"/>
      <c r="BA57" s="947"/>
      <c r="BB57" s="947"/>
      <c r="BC57" s="947"/>
      <c r="BD57" s="947"/>
    </row>
    <row r="58" spans="2:56" ht="15.75" thickBot="1">
      <c r="B58" s="1360" t="s">
        <v>269</v>
      </c>
      <c r="C58" s="1361"/>
      <c r="D58" s="1361"/>
      <c r="E58" s="1361"/>
      <c r="F58" s="1361"/>
      <c r="G58" s="1361"/>
      <c r="H58" s="1361"/>
      <c r="I58" s="1041"/>
      <c r="J58" s="1041"/>
      <c r="K58" s="1041"/>
      <c r="L58" s="1041"/>
      <c r="M58" s="1041"/>
      <c r="N58" s="1041"/>
      <c r="O58" s="1041"/>
      <c r="P58" s="1041"/>
      <c r="Q58" s="1041"/>
      <c r="R58" s="1041"/>
      <c r="S58" s="1041"/>
      <c r="T58" s="1041"/>
      <c r="U58" s="1041"/>
      <c r="V58" s="1041"/>
      <c r="W58" s="1041"/>
      <c r="X58" s="1041"/>
      <c r="Y58" s="1041"/>
      <c r="Z58" s="1041"/>
      <c r="AA58" s="1041"/>
      <c r="AB58" s="1041"/>
      <c r="AC58" s="1041"/>
      <c r="AD58" s="1041"/>
      <c r="AE58" s="1041"/>
      <c r="AF58" s="1041"/>
      <c r="AG58" s="1152"/>
      <c r="AH58" s="947"/>
      <c r="AI58" s="947"/>
      <c r="AJ58" s="947"/>
      <c r="AK58" s="947"/>
      <c r="AL58" s="947"/>
      <c r="AM58" s="947"/>
      <c r="AN58" s="947"/>
      <c r="AO58" s="947"/>
      <c r="AP58" s="947"/>
      <c r="AQ58" s="947"/>
      <c r="AR58" s="947"/>
      <c r="AS58" s="947"/>
      <c r="AT58" s="947"/>
      <c r="AU58" s="947"/>
      <c r="AV58" s="947"/>
      <c r="AW58" s="947"/>
      <c r="AX58" s="947"/>
      <c r="AY58" s="947"/>
      <c r="AZ58" s="947"/>
      <c r="BA58" s="947"/>
      <c r="BB58" s="947"/>
      <c r="BC58" s="947"/>
      <c r="BD58" s="947"/>
    </row>
    <row r="59" spans="2:56" ht="8.25" customHeight="1">
      <c r="B59" s="947"/>
      <c r="C59" s="640"/>
      <c r="D59" s="640"/>
      <c r="E59" s="640"/>
      <c r="F59" s="640"/>
      <c r="G59" s="640"/>
      <c r="H59" s="640"/>
      <c r="I59" s="640"/>
      <c r="J59" s="640"/>
      <c r="K59" s="640"/>
      <c r="L59" s="640"/>
      <c r="M59" s="640"/>
      <c r="N59" s="640"/>
      <c r="O59" s="640"/>
      <c r="P59" s="640"/>
      <c r="Q59" s="640"/>
      <c r="R59" s="640"/>
      <c r="S59" s="640"/>
      <c r="T59" s="640"/>
      <c r="U59" s="640"/>
      <c r="V59" s="640"/>
      <c r="W59" s="640"/>
      <c r="X59" s="640"/>
      <c r="Y59" s="640"/>
      <c r="Z59" s="640"/>
      <c r="AA59" s="640"/>
      <c r="AB59" s="640"/>
      <c r="AC59" s="640"/>
      <c r="AD59" s="640"/>
      <c r="AE59" s="640"/>
      <c r="AF59" s="640"/>
      <c r="AG59" s="947"/>
      <c r="AH59" s="947"/>
      <c r="AI59" s="947"/>
      <c r="AJ59" s="947"/>
      <c r="AK59" s="947"/>
      <c r="AL59" s="947"/>
      <c r="AM59" s="947"/>
      <c r="AN59" s="947"/>
      <c r="AO59" s="947"/>
      <c r="AP59" s="947"/>
      <c r="AQ59" s="947"/>
      <c r="AR59" s="947"/>
      <c r="AS59" s="947"/>
      <c r="AT59" s="947"/>
      <c r="AU59" s="947"/>
      <c r="AV59" s="947"/>
      <c r="AW59" s="947"/>
      <c r="AX59" s="947"/>
      <c r="AY59" s="947"/>
      <c r="AZ59" s="947"/>
      <c r="BA59" s="947"/>
      <c r="BB59" s="947"/>
      <c r="BC59" s="947"/>
      <c r="BD59" s="947"/>
    </row>
    <row r="60" spans="2:56">
      <c r="B60" s="947"/>
      <c r="C60" s="640"/>
      <c r="D60" s="640"/>
      <c r="E60" s="640"/>
      <c r="F60" s="640"/>
      <c r="G60" s="640"/>
      <c r="H60" s="640"/>
      <c r="I60" s="640"/>
      <c r="J60" s="640"/>
      <c r="K60" s="640"/>
      <c r="L60" s="640"/>
      <c r="M60" s="640"/>
      <c r="N60" s="640"/>
      <c r="O60" s="640"/>
      <c r="P60" s="640"/>
      <c r="Q60" s="640"/>
      <c r="R60" s="640"/>
      <c r="S60" s="640"/>
      <c r="T60" s="640"/>
      <c r="U60" s="640"/>
      <c r="V60" s="640"/>
      <c r="W60" s="640"/>
      <c r="X60" s="640"/>
      <c r="Y60" s="640"/>
      <c r="Z60" s="640"/>
      <c r="AA60" s="640"/>
      <c r="AB60" s="640"/>
      <c r="AC60" s="640"/>
      <c r="AD60" s="640"/>
      <c r="AE60" s="640"/>
      <c r="AF60" s="640"/>
      <c r="AG60" s="947"/>
      <c r="AH60" s="947"/>
      <c r="AI60" s="947"/>
      <c r="AJ60" s="947"/>
      <c r="AK60" s="947"/>
      <c r="AL60" s="947"/>
      <c r="AM60" s="947"/>
      <c r="AN60" s="947"/>
      <c r="AO60" s="947"/>
      <c r="AP60" s="947"/>
      <c r="AQ60" s="947"/>
      <c r="AR60" s="947"/>
      <c r="AS60" s="947"/>
      <c r="AT60" s="947"/>
      <c r="AU60" s="947"/>
      <c r="AV60" s="947"/>
      <c r="AW60" s="947"/>
      <c r="AX60" s="947"/>
      <c r="AY60" s="947"/>
      <c r="AZ60" s="947"/>
      <c r="BA60" s="947"/>
      <c r="BB60" s="947"/>
      <c r="BC60" s="947"/>
      <c r="BD60" s="947"/>
    </row>
    <row r="61" spans="2:56" ht="15.75" thickBot="1">
      <c r="B61" s="947"/>
      <c r="C61" s="640"/>
      <c r="D61" s="640"/>
      <c r="E61" s="640"/>
      <c r="F61" s="640"/>
      <c r="G61" s="640"/>
      <c r="H61" s="640"/>
      <c r="I61" s="640"/>
      <c r="J61" s="640"/>
      <c r="K61" s="640"/>
      <c r="L61" s="640"/>
      <c r="M61" s="640"/>
      <c r="N61" s="640"/>
      <c r="O61" s="640"/>
      <c r="P61" s="640"/>
      <c r="Q61" s="640"/>
      <c r="R61" s="640"/>
      <c r="S61" s="640"/>
      <c r="T61" s="640"/>
      <c r="U61" s="640"/>
      <c r="V61" s="640"/>
      <c r="W61" s="640"/>
      <c r="X61" s="640"/>
      <c r="Y61" s="640"/>
      <c r="Z61" s="640"/>
      <c r="AA61" s="640"/>
      <c r="AB61" s="640"/>
      <c r="AC61" s="640"/>
      <c r="AD61" s="640"/>
      <c r="AE61" s="640"/>
      <c r="AF61" s="640"/>
      <c r="AG61" s="947"/>
      <c r="AH61" s="947"/>
      <c r="AI61" s="947"/>
      <c r="AJ61" s="947"/>
      <c r="AK61" s="947"/>
      <c r="AL61" s="947"/>
      <c r="AM61" s="947"/>
      <c r="AN61" s="947"/>
      <c r="AO61" s="947"/>
      <c r="AP61" s="947"/>
      <c r="AQ61" s="947"/>
      <c r="AR61" s="947"/>
      <c r="AS61" s="947"/>
      <c r="AT61" s="947"/>
      <c r="AU61" s="947"/>
      <c r="AV61" s="947"/>
      <c r="AW61" s="947"/>
      <c r="AX61" s="947"/>
      <c r="AY61" s="947"/>
      <c r="AZ61" s="947"/>
      <c r="BA61" s="947"/>
      <c r="BB61" s="947"/>
      <c r="BC61" s="947"/>
      <c r="BD61" s="947"/>
    </row>
    <row r="62" spans="2:56">
      <c r="B62" s="947"/>
      <c r="C62" s="640"/>
      <c r="D62" s="648" t="s">
        <v>336</v>
      </c>
      <c r="E62" s="649" t="str">
        <f>E11</f>
        <v>Boeing ITSM Now Assist AI POC</v>
      </c>
      <c r="F62" s="947"/>
      <c r="G62" s="640"/>
      <c r="H62" s="640"/>
      <c r="I62" s="640"/>
      <c r="J62" s="640"/>
      <c r="K62" s="640"/>
      <c r="L62" s="640"/>
      <c r="M62" s="640"/>
      <c r="N62" s="640"/>
      <c r="O62" s="640"/>
      <c r="P62" s="640"/>
      <c r="Q62" s="640"/>
      <c r="R62" s="640"/>
      <c r="S62" s="640"/>
      <c r="T62" s="640"/>
      <c r="U62" s="640"/>
      <c r="V62" s="640"/>
      <c r="W62" s="640"/>
      <c r="X62" s="640"/>
      <c r="Y62" s="640"/>
      <c r="Z62" s="640"/>
      <c r="AA62" s="640"/>
      <c r="AB62" s="640"/>
      <c r="AC62" s="640"/>
      <c r="AD62" s="640"/>
      <c r="AE62" s="640"/>
      <c r="AF62" s="640"/>
      <c r="AG62" s="947"/>
      <c r="AH62" s="947"/>
      <c r="AI62" s="947"/>
      <c r="AJ62" s="947"/>
      <c r="AK62" s="950"/>
      <c r="AL62" s="947"/>
      <c r="AM62" s="947"/>
      <c r="AN62" s="950"/>
      <c r="AO62" s="947"/>
      <c r="AP62" s="947"/>
      <c r="AQ62" s="950"/>
      <c r="AR62" s="947"/>
      <c r="AS62" s="947"/>
      <c r="AT62" s="947"/>
      <c r="AU62" s="947"/>
      <c r="AV62" s="947"/>
      <c r="AW62" s="947"/>
      <c r="AX62" s="947"/>
      <c r="AY62" s="947"/>
      <c r="AZ62" s="947"/>
      <c r="BA62" s="947"/>
      <c r="BB62" s="947"/>
      <c r="BC62" s="947"/>
      <c r="BD62" s="947"/>
    </row>
    <row r="63" spans="2:56">
      <c r="B63" s="947"/>
      <c r="C63" s="640"/>
      <c r="D63" s="650" t="s">
        <v>230</v>
      </c>
      <c r="E63" s="651" t="str">
        <f>E9</f>
        <v>Technology</v>
      </c>
      <c r="F63" s="947"/>
      <c r="G63" s="640"/>
      <c r="H63" s="640"/>
      <c r="I63" s="640"/>
      <c r="J63" s="640"/>
      <c r="K63" s="640"/>
      <c r="L63" s="640"/>
      <c r="M63" s="640"/>
      <c r="N63" s="640"/>
      <c r="O63" s="640"/>
      <c r="P63" s="640"/>
      <c r="Q63" s="640"/>
      <c r="R63" s="640"/>
      <c r="S63" s="640"/>
      <c r="T63" s="640"/>
      <c r="U63" s="640"/>
      <c r="V63" s="640"/>
      <c r="W63" s="640"/>
      <c r="X63" s="640"/>
      <c r="Y63" s="640"/>
      <c r="Z63" s="640"/>
      <c r="AA63" s="640"/>
      <c r="AB63" s="640"/>
      <c r="AC63" s="640"/>
      <c r="AD63" s="640"/>
      <c r="AE63" s="640"/>
      <c r="AF63" s="640"/>
      <c r="AG63" s="947"/>
      <c r="AH63" s="947"/>
      <c r="AI63" s="947"/>
      <c r="AJ63" s="947"/>
      <c r="AK63" s="947"/>
      <c r="AL63" s="947"/>
      <c r="AM63" s="947"/>
      <c r="AN63" s="947"/>
      <c r="AO63" s="947"/>
      <c r="AP63" s="947"/>
      <c r="AQ63" s="947"/>
      <c r="AR63" s="947"/>
      <c r="AS63" s="947"/>
      <c r="AT63" s="947"/>
      <c r="AU63" s="947"/>
      <c r="AV63" s="947"/>
      <c r="AW63" s="947"/>
      <c r="AX63" s="947"/>
      <c r="AY63" s="947"/>
      <c r="AZ63" s="947"/>
      <c r="BA63" s="947"/>
      <c r="BB63" s="947"/>
      <c r="BC63" s="947"/>
      <c r="BD63" s="947"/>
    </row>
    <row r="64" spans="2:56">
      <c r="B64" s="947"/>
      <c r="C64" s="640"/>
      <c r="D64" s="650" t="s">
        <v>242</v>
      </c>
      <c r="E64" s="651" t="str">
        <f>E14</f>
        <v>Harry Tomczyk</v>
      </c>
      <c r="F64" s="947"/>
      <c r="G64" s="640"/>
      <c r="H64" s="640"/>
      <c r="I64" s="640"/>
      <c r="J64" s="640"/>
      <c r="K64" s="640"/>
      <c r="L64" s="640"/>
      <c r="M64" s="640"/>
      <c r="N64" s="640"/>
      <c r="O64" s="640"/>
      <c r="P64" s="640"/>
      <c r="Q64" s="640"/>
      <c r="R64" s="640"/>
      <c r="S64" s="640"/>
      <c r="T64" s="640"/>
      <c r="U64" s="640"/>
      <c r="V64" s="640"/>
      <c r="W64" s="640"/>
      <c r="X64" s="640"/>
      <c r="Y64" s="640"/>
      <c r="Z64" s="640"/>
      <c r="AA64" s="640"/>
      <c r="AB64" s="640"/>
      <c r="AC64" s="640"/>
      <c r="AD64" s="640"/>
      <c r="AE64" s="640"/>
      <c r="AF64" s="640"/>
      <c r="AG64" s="947"/>
      <c r="AH64" s="947"/>
      <c r="AI64" s="947"/>
      <c r="AJ64" s="947"/>
      <c r="AK64" s="947"/>
      <c r="AL64" s="947"/>
      <c r="AM64" s="947"/>
      <c r="AN64" s="947"/>
      <c r="AO64" s="947"/>
      <c r="AP64" s="947"/>
      <c r="AQ64" s="947"/>
      <c r="AR64" s="947"/>
      <c r="AS64" s="947"/>
      <c r="AT64" s="947"/>
      <c r="AU64" s="947"/>
      <c r="AV64" s="947"/>
      <c r="AW64" s="947"/>
      <c r="AX64" s="947"/>
      <c r="AY64" s="947"/>
      <c r="AZ64" s="947"/>
      <c r="BA64" s="947"/>
      <c r="BB64" s="947"/>
      <c r="BC64" s="947"/>
      <c r="BD64" s="947"/>
    </row>
    <row r="65" spans="3:43">
      <c r="C65" s="640"/>
      <c r="D65" s="650" t="s">
        <v>246</v>
      </c>
      <c r="E65" s="651" t="str">
        <f>E16</f>
        <v>USA</v>
      </c>
      <c r="F65" s="947"/>
      <c r="G65" s="640"/>
      <c r="H65" s="640"/>
      <c r="I65" s="640"/>
      <c r="J65" s="640"/>
      <c r="K65" s="640"/>
      <c r="L65" s="640"/>
      <c r="M65" s="640"/>
      <c r="N65" s="640"/>
      <c r="O65" s="640"/>
      <c r="P65" s="640"/>
      <c r="Q65" s="640"/>
      <c r="R65" s="640"/>
      <c r="S65" s="640"/>
      <c r="T65" s="640"/>
      <c r="U65" s="640"/>
      <c r="V65" s="640"/>
      <c r="W65" s="640"/>
      <c r="X65" s="640"/>
      <c r="Y65" s="640"/>
      <c r="Z65" s="640"/>
      <c r="AA65" s="640"/>
      <c r="AB65" s="640"/>
      <c r="AC65" s="640"/>
      <c r="AD65" s="640"/>
      <c r="AE65" s="640"/>
      <c r="AF65" s="640"/>
      <c r="AG65" s="947"/>
      <c r="AH65" s="947"/>
      <c r="AI65" s="947"/>
      <c r="AJ65" s="947"/>
      <c r="AK65" s="950"/>
      <c r="AL65" s="947"/>
      <c r="AM65" s="957"/>
      <c r="AN65" s="950"/>
      <c r="AO65" s="947"/>
      <c r="AP65" s="947"/>
      <c r="AQ65" s="947"/>
    </row>
    <row r="66" spans="3:43">
      <c r="C66" s="640"/>
      <c r="D66" s="650" t="s">
        <v>255</v>
      </c>
      <c r="E66" s="651" t="str">
        <f>E19</f>
        <v>No</v>
      </c>
      <c r="F66" s="947"/>
      <c r="G66" s="640"/>
      <c r="H66" s="640"/>
      <c r="I66" s="640"/>
      <c r="J66" s="640"/>
      <c r="K66" s="640"/>
      <c r="L66" s="640"/>
      <c r="M66" s="640"/>
      <c r="N66" s="640"/>
      <c r="O66" s="640"/>
      <c r="P66" s="640"/>
      <c r="Q66" s="640"/>
      <c r="R66" s="640"/>
      <c r="S66" s="640"/>
      <c r="T66" s="640"/>
      <c r="U66" s="640"/>
      <c r="V66" s="640"/>
      <c r="W66" s="640"/>
      <c r="X66" s="640"/>
      <c r="Y66" s="640"/>
      <c r="Z66" s="640"/>
      <c r="AA66" s="640"/>
      <c r="AB66" s="640"/>
      <c r="AC66" s="640"/>
      <c r="AD66" s="640"/>
      <c r="AE66" s="640"/>
      <c r="AF66" s="640"/>
      <c r="AG66" s="947"/>
      <c r="AH66" s="947"/>
      <c r="AI66" s="947"/>
      <c r="AJ66" s="947"/>
      <c r="AK66" s="950"/>
      <c r="AL66" s="947"/>
      <c r="AM66" s="957"/>
      <c r="AN66" s="950"/>
      <c r="AO66" s="947"/>
      <c r="AP66" s="947"/>
      <c r="AQ66" s="947"/>
    </row>
    <row r="67" spans="3:43">
      <c r="C67" s="640"/>
      <c r="D67" s="650" t="s">
        <v>337</v>
      </c>
      <c r="E67" s="651" t="str">
        <f>E17</f>
        <v>USD</v>
      </c>
      <c r="F67" s="947"/>
      <c r="G67" s="640"/>
      <c r="H67" s="640"/>
      <c r="I67" s="640"/>
      <c r="J67" s="640"/>
      <c r="K67" s="640"/>
      <c r="L67" s="640"/>
      <c r="M67" s="640"/>
      <c r="N67" s="640"/>
      <c r="O67" s="640"/>
      <c r="P67" s="640"/>
      <c r="Q67" s="640"/>
      <c r="R67" s="640"/>
      <c r="S67" s="640"/>
      <c r="T67" s="640"/>
      <c r="U67" s="640"/>
      <c r="V67" s="640"/>
      <c r="W67" s="640"/>
      <c r="X67" s="640"/>
      <c r="Y67" s="640"/>
      <c r="Z67" s="640"/>
      <c r="AA67" s="640"/>
      <c r="AB67" s="640"/>
      <c r="AC67" s="640"/>
      <c r="AD67" s="640"/>
      <c r="AE67" s="640"/>
      <c r="AF67" s="640"/>
      <c r="AG67" s="947"/>
      <c r="AH67" s="947"/>
      <c r="AI67" s="947"/>
      <c r="AJ67" s="947"/>
      <c r="AK67" s="950"/>
      <c r="AL67" s="947"/>
      <c r="AM67" s="947"/>
      <c r="AN67" s="950"/>
      <c r="AO67" s="947"/>
      <c r="AP67" s="947"/>
      <c r="AQ67" s="947"/>
    </row>
    <row r="68" spans="3:43">
      <c r="C68" s="640"/>
      <c r="D68" s="650" t="s">
        <v>338</v>
      </c>
      <c r="E68" s="703">
        <f ca="1">P8</f>
        <v>125000</v>
      </c>
      <c r="F68" s="947"/>
      <c r="G68" s="640"/>
      <c r="H68" s="640"/>
      <c r="I68" s="640"/>
      <c r="J68" s="640"/>
      <c r="K68" s="640"/>
      <c r="L68" s="640"/>
      <c r="M68" s="640"/>
      <c r="N68" s="640"/>
      <c r="O68" s="640"/>
      <c r="P68" s="640"/>
      <c r="Q68" s="640"/>
      <c r="R68" s="640"/>
      <c r="S68" s="640"/>
      <c r="T68" s="640"/>
      <c r="U68" s="640"/>
      <c r="V68" s="640"/>
      <c r="W68" s="640"/>
      <c r="X68" s="640"/>
      <c r="Y68" s="640"/>
      <c r="Z68" s="640"/>
      <c r="AA68" s="640"/>
      <c r="AB68" s="640"/>
      <c r="AC68" s="640"/>
      <c r="AD68" s="640"/>
      <c r="AE68" s="640"/>
      <c r="AF68" s="640"/>
      <c r="AG68" s="947"/>
      <c r="AH68" s="947"/>
      <c r="AI68" s="947"/>
      <c r="AJ68" s="947"/>
      <c r="AK68" s="947"/>
      <c r="AL68" s="947"/>
      <c r="AM68" s="947"/>
      <c r="AN68" s="947"/>
      <c r="AO68" s="947"/>
      <c r="AP68" s="947"/>
      <c r="AQ68" s="947"/>
    </row>
    <row r="69" spans="3:43">
      <c r="C69" s="640"/>
      <c r="D69" s="650" t="s">
        <v>254</v>
      </c>
      <c r="E69" s="704">
        <f ca="1">P11</f>
        <v>0.49196100510399998</v>
      </c>
      <c r="F69" s="947"/>
      <c r="G69" s="640"/>
      <c r="H69" s="640"/>
      <c r="I69" s="640"/>
      <c r="J69" s="640"/>
      <c r="K69" s="640"/>
      <c r="L69" s="640"/>
      <c r="M69" s="640"/>
      <c r="N69" s="640"/>
      <c r="O69" s="640"/>
      <c r="P69" s="640"/>
      <c r="Q69" s="640"/>
      <c r="R69" s="640"/>
      <c r="S69" s="640"/>
      <c r="T69" s="640"/>
      <c r="U69" s="640"/>
      <c r="V69" s="640"/>
      <c r="W69" s="640"/>
      <c r="X69" s="640"/>
      <c r="Y69" s="640"/>
      <c r="Z69" s="640"/>
      <c r="AA69" s="640"/>
      <c r="AB69" s="640"/>
      <c r="AC69" s="640"/>
      <c r="AD69" s="640"/>
      <c r="AE69" s="640"/>
      <c r="AF69" s="640"/>
      <c r="AG69" s="947"/>
      <c r="AH69" s="947"/>
      <c r="AI69" s="947"/>
      <c r="AJ69" s="947"/>
      <c r="AK69" s="947"/>
      <c r="AL69" s="947"/>
      <c r="AM69" s="947"/>
      <c r="AN69" s="947"/>
      <c r="AO69" s="947"/>
      <c r="AP69" s="947"/>
      <c r="AQ69" s="947"/>
    </row>
    <row r="70" spans="3:43">
      <c r="C70" s="640"/>
      <c r="D70" s="650" t="s">
        <v>243</v>
      </c>
      <c r="E70" s="652">
        <f ca="1">P14</f>
        <v>224.11474675033617</v>
      </c>
      <c r="F70" s="947"/>
      <c r="G70" s="640"/>
      <c r="H70" s="640"/>
      <c r="I70" s="640"/>
      <c r="J70" s="640"/>
      <c r="K70" s="640"/>
      <c r="L70" s="640"/>
      <c r="M70" s="640"/>
      <c r="N70" s="640"/>
      <c r="O70" s="640"/>
      <c r="P70" s="640"/>
      <c r="Q70" s="640"/>
      <c r="R70" s="640"/>
      <c r="S70" s="640"/>
      <c r="T70" s="640"/>
      <c r="U70" s="640"/>
      <c r="V70" s="640"/>
      <c r="W70" s="640"/>
      <c r="X70" s="640"/>
      <c r="Y70" s="640"/>
      <c r="Z70" s="640"/>
      <c r="AA70" s="640"/>
      <c r="AB70" s="640"/>
      <c r="AC70" s="640"/>
      <c r="AD70" s="640"/>
      <c r="AE70" s="640"/>
      <c r="AF70" s="640"/>
      <c r="AG70" s="947"/>
      <c r="AH70" s="947"/>
      <c r="AI70" s="947"/>
      <c r="AJ70" s="947"/>
      <c r="AK70" s="947"/>
      <c r="AL70" s="947"/>
      <c r="AM70" s="947"/>
      <c r="AN70" s="947"/>
      <c r="AO70" s="947"/>
      <c r="AP70" s="947"/>
      <c r="AQ70" s="947"/>
    </row>
    <row r="71" spans="3:43">
      <c r="C71" s="640"/>
      <c r="D71" s="650" t="s">
        <v>339</v>
      </c>
      <c r="E71" s="704">
        <f ca="1">IFERROR(-P17,"")</f>
        <v>-1.3110870395968284E-2</v>
      </c>
      <c r="F71" s="947"/>
      <c r="G71" s="640"/>
      <c r="H71" s="640"/>
      <c r="I71" s="640"/>
      <c r="J71" s="640"/>
      <c r="K71" s="640"/>
      <c r="L71" s="640"/>
      <c r="M71" s="640"/>
      <c r="N71" s="640"/>
      <c r="O71" s="640"/>
      <c r="P71" s="640"/>
      <c r="Q71" s="640"/>
      <c r="R71" s="640"/>
      <c r="S71" s="640"/>
      <c r="T71" s="640"/>
      <c r="U71" s="640"/>
      <c r="V71" s="640"/>
      <c r="W71" s="640"/>
      <c r="X71" s="640"/>
      <c r="Y71" s="640"/>
      <c r="Z71" s="640"/>
      <c r="AA71" s="640"/>
      <c r="AB71" s="640"/>
      <c r="AC71" s="640"/>
      <c r="AD71" s="640"/>
      <c r="AE71" s="640"/>
      <c r="AF71" s="640"/>
      <c r="AG71" s="947"/>
      <c r="AH71" s="947"/>
      <c r="AI71" s="947"/>
      <c r="AJ71" s="947"/>
      <c r="AK71" s="947"/>
      <c r="AL71" s="947"/>
      <c r="AM71" s="947"/>
      <c r="AN71" s="947"/>
      <c r="AO71" s="947"/>
      <c r="AP71" s="947"/>
      <c r="AQ71" s="947"/>
    </row>
    <row r="72" spans="3:43">
      <c r="C72" s="640"/>
      <c r="D72" s="650" t="s">
        <v>340</v>
      </c>
      <c r="E72" s="653">
        <f>I49</f>
        <v>0</v>
      </c>
      <c r="F72" s="947"/>
      <c r="G72" s="640"/>
      <c r="H72" s="640"/>
      <c r="I72" s="640"/>
      <c r="J72" s="640"/>
      <c r="K72" s="640"/>
      <c r="L72" s="640"/>
      <c r="M72" s="640"/>
      <c r="N72" s="640"/>
      <c r="O72" s="640"/>
      <c r="P72" s="640"/>
      <c r="Q72" s="640"/>
      <c r="R72" s="640"/>
      <c r="S72" s="640"/>
      <c r="T72" s="640"/>
      <c r="U72" s="640"/>
      <c r="V72" s="640"/>
      <c r="W72" s="640"/>
      <c r="X72" s="640"/>
      <c r="Y72" s="640"/>
      <c r="Z72" s="640"/>
      <c r="AA72" s="640"/>
      <c r="AB72" s="640"/>
      <c r="AC72" s="640"/>
      <c r="AD72" s="640"/>
      <c r="AE72" s="640"/>
      <c r="AF72" s="640"/>
      <c r="AG72" s="947"/>
      <c r="AH72" s="947"/>
      <c r="AI72" s="947"/>
      <c r="AJ72" s="947"/>
      <c r="AK72" s="947"/>
      <c r="AL72" s="947"/>
      <c r="AM72" s="947"/>
      <c r="AN72" s="947"/>
      <c r="AO72" s="947"/>
      <c r="AP72" s="947"/>
      <c r="AQ72" s="947"/>
    </row>
    <row r="73" spans="3:43">
      <c r="C73" s="640"/>
      <c r="D73" s="650" t="s">
        <v>341</v>
      </c>
      <c r="E73" s="651" t="str">
        <f>I50</f>
        <v>No</v>
      </c>
      <c r="F73" s="947"/>
      <c r="G73" s="640"/>
      <c r="H73" s="640"/>
      <c r="I73" s="640"/>
      <c r="J73" s="640"/>
      <c r="K73" s="640"/>
      <c r="L73" s="640"/>
      <c r="M73" s="640"/>
      <c r="N73" s="640"/>
      <c r="O73" s="640"/>
      <c r="P73" s="640"/>
      <c r="Q73" s="640"/>
      <c r="R73" s="640"/>
      <c r="S73" s="640"/>
      <c r="T73" s="640"/>
      <c r="U73" s="640"/>
      <c r="V73" s="640"/>
      <c r="W73" s="640"/>
      <c r="X73" s="640"/>
      <c r="Y73" s="640"/>
      <c r="Z73" s="640"/>
      <c r="AA73" s="640"/>
      <c r="AB73" s="640"/>
      <c r="AC73" s="640"/>
      <c r="AD73" s="640"/>
      <c r="AE73" s="640"/>
      <c r="AF73" s="640"/>
      <c r="AG73" s="947"/>
      <c r="AH73" s="947"/>
      <c r="AI73" s="947"/>
      <c r="AJ73" s="947"/>
      <c r="AK73" s="947"/>
      <c r="AL73" s="947"/>
      <c r="AM73" s="947"/>
      <c r="AN73" s="947"/>
      <c r="AO73" s="947"/>
      <c r="AP73" s="947"/>
      <c r="AQ73" s="947"/>
    </row>
    <row r="74" spans="3:43" ht="15.75" thickBot="1">
      <c r="C74" s="640"/>
      <c r="D74" s="654" t="s">
        <v>303</v>
      </c>
      <c r="E74" s="655">
        <f ca="1">R13</f>
        <v>0.31752577319587627</v>
      </c>
      <c r="F74" s="947"/>
      <c r="G74" s="640"/>
      <c r="H74" s="640"/>
      <c r="I74" s="640"/>
      <c r="J74" s="640"/>
      <c r="K74" s="640"/>
      <c r="L74" s="640"/>
      <c r="M74" s="640"/>
      <c r="N74" s="640"/>
      <c r="O74" s="640"/>
      <c r="P74" s="640"/>
      <c r="Q74" s="640"/>
      <c r="R74" s="640"/>
      <c r="S74" s="640"/>
      <c r="T74" s="640"/>
      <c r="U74" s="640"/>
      <c r="V74" s="640"/>
      <c r="W74" s="640"/>
      <c r="X74" s="640"/>
      <c r="Y74" s="640"/>
      <c r="Z74" s="640"/>
      <c r="AA74" s="640"/>
      <c r="AB74" s="640"/>
      <c r="AC74" s="640"/>
      <c r="AD74" s="640"/>
      <c r="AE74" s="640"/>
      <c r="AF74" s="640"/>
      <c r="AG74" s="947"/>
      <c r="AH74" s="947"/>
      <c r="AI74" s="947"/>
      <c r="AJ74" s="947"/>
      <c r="AK74" s="947"/>
      <c r="AL74" s="947"/>
      <c r="AM74" s="947"/>
      <c r="AN74" s="947"/>
      <c r="AO74" s="947"/>
      <c r="AP74" s="947"/>
      <c r="AQ74" s="947"/>
    </row>
    <row r="75" spans="3:43">
      <c r="C75" s="640"/>
      <c r="D75" s="640"/>
      <c r="E75" s="640"/>
      <c r="F75" s="640"/>
      <c r="G75" s="640"/>
      <c r="H75" s="640"/>
      <c r="I75" s="640"/>
      <c r="J75" s="640"/>
      <c r="K75" s="640"/>
      <c r="L75" s="640"/>
      <c r="M75" s="640"/>
      <c r="N75" s="640"/>
      <c r="O75" s="640"/>
      <c r="P75" s="640"/>
      <c r="Q75" s="640"/>
      <c r="R75" s="640"/>
      <c r="S75" s="640"/>
      <c r="T75" s="640"/>
      <c r="U75" s="640"/>
      <c r="V75" s="640"/>
      <c r="W75" s="640"/>
      <c r="X75" s="640"/>
      <c r="Y75" s="640"/>
      <c r="Z75" s="640"/>
      <c r="AA75" s="640"/>
      <c r="AB75" s="640"/>
      <c r="AC75" s="640"/>
      <c r="AD75" s="640"/>
      <c r="AE75" s="640"/>
      <c r="AF75" s="640"/>
      <c r="AG75" s="947"/>
      <c r="AH75" s="947"/>
      <c r="AI75" s="947"/>
      <c r="AJ75" s="947"/>
      <c r="AK75" s="947"/>
      <c r="AL75" s="947"/>
      <c r="AM75" s="947"/>
      <c r="AN75" s="947"/>
      <c r="AO75" s="947"/>
      <c r="AP75" s="947"/>
      <c r="AQ75" s="947"/>
    </row>
  </sheetData>
  <mergeCells count="85">
    <mergeCell ref="E41:I41"/>
    <mergeCell ref="E36:I36"/>
    <mergeCell ref="E37:I37"/>
    <mergeCell ref="E38:I38"/>
    <mergeCell ref="E39:I39"/>
    <mergeCell ref="E40:I40"/>
    <mergeCell ref="B15:D15"/>
    <mergeCell ref="B16:D16"/>
    <mergeCell ref="B17:D17"/>
    <mergeCell ref="E9:L9"/>
    <mergeCell ref="E10:L10"/>
    <mergeCell ref="E11:L11"/>
    <mergeCell ref="E12:L12"/>
    <mergeCell ref="E13:L13"/>
    <mergeCell ref="E14:L14"/>
    <mergeCell ref="E15:L15"/>
    <mergeCell ref="E16:L16"/>
    <mergeCell ref="E17:L17"/>
    <mergeCell ref="E7:L7"/>
    <mergeCell ref="E8:L8"/>
    <mergeCell ref="B12:D12"/>
    <mergeCell ref="B13:D13"/>
    <mergeCell ref="B14:D14"/>
    <mergeCell ref="B7:D7"/>
    <mergeCell ref="B8:D8"/>
    <mergeCell ref="B9:D9"/>
    <mergeCell ref="B10:D10"/>
    <mergeCell ref="B11:D11"/>
    <mergeCell ref="O1:AG1"/>
    <mergeCell ref="O6:R6"/>
    <mergeCell ref="B2:AH2"/>
    <mergeCell ref="B3:AH3"/>
    <mergeCell ref="B6:L6"/>
    <mergeCell ref="E30:I30"/>
    <mergeCell ref="E31:I31"/>
    <mergeCell ref="J52:M52"/>
    <mergeCell ref="J53:L53"/>
    <mergeCell ref="J55:L55"/>
    <mergeCell ref="K54:AG54"/>
    <mergeCell ref="M55:AG55"/>
    <mergeCell ref="M53:AG53"/>
    <mergeCell ref="E32:I32"/>
    <mergeCell ref="E33:I33"/>
    <mergeCell ref="E34:I34"/>
    <mergeCell ref="E35:I35"/>
    <mergeCell ref="J49:AG49"/>
    <mergeCell ref="L50:AG50"/>
    <mergeCell ref="L51:AG51"/>
    <mergeCell ref="N52:AG52"/>
    <mergeCell ref="B25:AH25"/>
    <mergeCell ref="E27:I27"/>
    <mergeCell ref="E28:I28"/>
    <mergeCell ref="E29:I29"/>
    <mergeCell ref="E26:I26"/>
    <mergeCell ref="B18:D18"/>
    <mergeCell ref="B19:D19"/>
    <mergeCell ref="B20:L20"/>
    <mergeCell ref="B21:D21"/>
    <mergeCell ref="B22:D22"/>
    <mergeCell ref="E21:L21"/>
    <mergeCell ref="E18:L18"/>
    <mergeCell ref="E19:L19"/>
    <mergeCell ref="E22:L22"/>
    <mergeCell ref="B54:H54"/>
    <mergeCell ref="B42:I42"/>
    <mergeCell ref="B43:I43"/>
    <mergeCell ref="B44:I44"/>
    <mergeCell ref="B45:I45"/>
    <mergeCell ref="B48:AG48"/>
    <mergeCell ref="J50:K50"/>
    <mergeCell ref="I51:K51"/>
    <mergeCell ref="B50:H50"/>
    <mergeCell ref="B49:H49"/>
    <mergeCell ref="B51:H51"/>
    <mergeCell ref="B52:H52"/>
    <mergeCell ref="B53:H53"/>
    <mergeCell ref="S57:AG57"/>
    <mergeCell ref="B55:H55"/>
    <mergeCell ref="B56:H56"/>
    <mergeCell ref="B57:H57"/>
    <mergeCell ref="B58:H58"/>
    <mergeCell ref="I56:AG56"/>
    <mergeCell ref="I58:AG58"/>
    <mergeCell ref="J57:L57"/>
    <mergeCell ref="M57:N57"/>
  </mergeCells>
  <conditionalFormatting sqref="E69">
    <cfRule type="cellIs" dxfId="773" priority="15" operator="lessThan">
      <formula>0.5</formula>
    </cfRule>
  </conditionalFormatting>
  <conditionalFormatting sqref="E71">
    <cfRule type="cellIs" dxfId="772" priority="25" operator="greaterThan">
      <formula>0.1</formula>
    </cfRule>
  </conditionalFormatting>
  <conditionalFormatting sqref="E72">
    <cfRule type="cellIs" dxfId="771" priority="24" operator="lessThan">
      <formula>0.25</formula>
    </cfRule>
  </conditionalFormatting>
  <conditionalFormatting sqref="E73">
    <cfRule type="cellIs" dxfId="770" priority="23" operator="equal">
      <formula>"Yes"</formula>
    </cfRule>
  </conditionalFormatting>
  <conditionalFormatting sqref="I49">
    <cfRule type="cellIs" dxfId="769" priority="28" operator="between">
      <formula>0</formula>
      <formula>0.24999</formula>
    </cfRule>
  </conditionalFormatting>
  <conditionalFormatting sqref="I50">
    <cfRule type="cellIs" dxfId="768" priority="27" operator="equal">
      <formula>"Yes"</formula>
    </cfRule>
  </conditionalFormatting>
  <conditionalFormatting sqref="M27:M41">
    <cfRule type="cellIs" dxfId="767" priority="14" operator="lessThan">
      <formula>0</formula>
    </cfRule>
  </conditionalFormatting>
  <conditionalFormatting sqref="P11">
    <cfRule type="cellIs" dxfId="766" priority="31" operator="lessThan">
      <formula>$AJ$12</formula>
    </cfRule>
  </conditionalFormatting>
  <conditionalFormatting sqref="P17">
    <cfRule type="cellIs" dxfId="765" priority="35" operator="lessThan">
      <formula>-0.1</formula>
    </cfRule>
  </conditionalFormatting>
  <conditionalFormatting sqref="P43:P44">
    <cfRule type="cellIs" dxfId="764" priority="30" operator="lessThan">
      <formula>-0.001</formula>
    </cfRule>
  </conditionalFormatting>
  <conditionalFormatting sqref="P16:Q16">
    <cfRule type="cellIs" dxfId="763" priority="13" operator="lessThan">
      <formula>0</formula>
    </cfRule>
  </conditionalFormatting>
  <conditionalFormatting sqref="P8:R10 P14:R15 P16:Q16 L27:R41 P42:R43 P44 P45:R45 E68 E70">
    <cfRule type="expression" dxfId="762" priority="71">
      <formula>$E$17="EUR"</formula>
    </cfRule>
    <cfRule type="expression" dxfId="761" priority="72">
      <formula>$E$17="USD"</formula>
    </cfRule>
    <cfRule type="expression" dxfId="760" priority="73">
      <formula>$E$17="CAD"</formula>
    </cfRule>
    <cfRule type="expression" dxfId="759" priority="74">
      <formula>$E$17="INR"</formula>
    </cfRule>
    <cfRule type="expression" dxfId="758" priority="75">
      <formula>$E$17="GBP"</formula>
    </cfRule>
  </conditionalFormatting>
  <conditionalFormatting sqref="Q13">
    <cfRule type="cellIs" dxfId="757" priority="2" operator="greaterThan">
      <formula>SUM(1-$AJ$14)</formula>
    </cfRule>
  </conditionalFormatting>
  <conditionalFormatting sqref="Q43">
    <cfRule type="cellIs" dxfId="756" priority="32" operator="lessThan">
      <formula>-0.001</formula>
    </cfRule>
  </conditionalFormatting>
  <conditionalFormatting sqref="R13">
    <cfRule type="cellIs" dxfId="755" priority="4" operator="lessThan">
      <formula>$AJ$14</formula>
    </cfRule>
  </conditionalFormatting>
  <dataValidations count="3">
    <dataValidation type="decimal" operator="lessThanOrEqual" allowBlank="1" showInputMessage="1" showErrorMessage="1" errorTitle="Error" error="One-time discount must be equal to or less than zero." sqref="P44" xr:uid="{79AF41E7-06C5-4858-8C78-A21E92F24715}">
      <formula1>0</formula1>
    </dataValidation>
    <dataValidation type="decimal" operator="greaterThanOrEqual" allowBlank="1" showInputMessage="1" showErrorMessage="1" errorTitle="Error" error="Contingency must be equal to or greater than zero." sqref="P43" xr:uid="{10555275-1ACF-414F-B932-A4B3BB0770D1}">
      <formula1>0</formula1>
    </dataValidation>
    <dataValidation type="list" allowBlank="1" showInputMessage="1" showErrorMessage="1" sqref="U27:W41" xr:uid="{7E073181-842D-4D36-9EBB-914055CC5364}">
      <formula1>SKILLS</formula1>
    </dataValidation>
  </dataValidations>
  <printOptions horizontalCentered="1"/>
  <pageMargins left="0.31496062992125984" right="0.31496062992125984" top="0.35433070866141736" bottom="0.35433070866141736" header="0.31496062992125984" footer="0.31496062992125984"/>
  <pageSetup scale="51" orientation="landscape" r:id="rId1"/>
  <extLst>
    <ext xmlns:x14="http://schemas.microsoft.com/office/spreadsheetml/2009/9/main" uri="{78C0D931-6437-407d-A8EE-F0AAD7539E65}">
      <x14:conditionalFormattings>
        <x14:conditionalFormatting xmlns:xm="http://schemas.microsoft.com/office/excel/2006/main">
          <x14:cfRule type="containsText" priority="1" operator="containsText" id="{D5A936FB-4320-4892-AD9E-C7C8B2D90316}">
            <xm:f>NOT(ISERROR(SEARCH("*---*",E27)))</xm:f>
            <xm:f>"*---*"</xm:f>
            <x14:dxf>
              <font>
                <color rgb="FF9C0006"/>
              </font>
              <fill>
                <patternFill>
                  <bgColor rgb="FFFFC7CE"/>
                </patternFill>
              </fill>
            </x14:dxf>
          </x14:cfRule>
          <xm:sqref>E27:I41</xm:sqref>
        </x14:conditionalFormatting>
      </x14:conditionalFormattings>
    </ext>
    <ext xmlns:x14="http://schemas.microsoft.com/office/spreadsheetml/2009/9/main" uri="{CCE6A557-97BC-4b89-ADB6-D9C93CAAB3DF}">
      <x14:dataValidations xmlns:xm="http://schemas.microsoft.com/office/excel/2006/main" count="7">
        <x14:dataValidation type="list" allowBlank="1" showInputMessage="1" showErrorMessage="1" xr:uid="{687C635F-D9EC-4F8C-962F-01D474B942B7}">
          <x14:formula1>
            <xm:f>'Lists (2)'!$C$2:$C$6</xm:f>
          </x14:formula1>
          <xm:sqref>E16 C27:C41</xm:sqref>
        </x14:dataValidation>
        <x14:dataValidation type="list" allowBlank="1" showInputMessage="1" showErrorMessage="1" xr:uid="{81C12172-A9E3-4369-A59C-3CF8D5DCFEAF}">
          <x14:formula1>
            <xm:f>'Lists (2)'!$A$2:$A$10</xm:f>
          </x14:formula1>
          <xm:sqref>T27:T41</xm:sqref>
        </x14:dataValidation>
        <x14:dataValidation type="list" allowBlank="1" showInputMessage="1" showErrorMessage="1" xr:uid="{A8A1ED06-DB66-4E6B-93C7-49BBB6C4B90F}">
          <x14:formula1>
            <xm:f>'Lists (2)'!$H$2:$H$3</xm:f>
          </x14:formula1>
          <xm:sqref>I52:I55 J54 I57</xm:sqref>
        </x14:dataValidation>
        <x14:dataValidation type="list" allowBlank="1" showInputMessage="1" showErrorMessage="1" xr:uid="{5060E015-9BF0-411D-B122-404CEBB121D1}">
          <x14:formula1>
            <xm:f>'Lists (2)'!$I$2:$I$4</xm:f>
          </x14:formula1>
          <xm:sqref>N52:AG52</xm:sqref>
        </x14:dataValidation>
        <x14:dataValidation type="list" allowBlank="1" showInputMessage="1" showErrorMessage="1" xr:uid="{997CA77B-0EBE-43BF-8699-81767E74928C}">
          <x14:formula1>
            <xm:f>'Lists (2)'!$P$2:$P$5</xm:f>
          </x14:formula1>
          <xm:sqref>D27:D41</xm:sqref>
        </x14:dataValidation>
        <x14:dataValidation type="list" allowBlank="1" showInputMessage="1" showErrorMessage="1" xr:uid="{A58CE6D8-8E11-4F88-8A73-CF81D31AB2D0}">
          <x14:formula1>
            <xm:f>'Lists (2)'!$S$2:$S$3</xm:f>
          </x14:formula1>
          <xm:sqref>B27:B41</xm:sqref>
        </x14:dataValidation>
        <x14:dataValidation type="list" allowBlank="1" showInputMessage="1" showErrorMessage="1" xr:uid="{68576536-B231-4FA6-8BFF-B65670B247D3}">
          <x14:formula1>
            <xm:f>'Lists (2)'!$O$2:$O$30</xm:f>
          </x14:formula1>
          <xm:sqref>E27:I41</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796A3-4B9B-4821-9F61-FFAB0221C764}">
  <sheetPr>
    <tabColor rgb="FF0070C0"/>
  </sheetPr>
  <dimension ref="A1:Z243"/>
  <sheetViews>
    <sheetView zoomScale="77" zoomScaleNormal="77" workbookViewId="0">
      <pane ySplit="2" topLeftCell="A13" activePane="bottomLeft" state="frozen"/>
      <selection pane="bottomLeft" activeCell="J60" sqref="J60"/>
      <selection activeCell="F19" sqref="F19:K19"/>
    </sheetView>
  </sheetViews>
  <sheetFormatPr defaultColWidth="8.85546875" defaultRowHeight="15"/>
  <cols>
    <col min="1" max="1" width="8.85546875" style="553"/>
    <col min="2" max="2" width="16.140625" style="553" customWidth="1"/>
    <col min="3" max="3" width="15" style="553" customWidth="1"/>
    <col min="4" max="4" width="19.5703125" style="553" customWidth="1"/>
    <col min="5" max="5" width="44.42578125" style="553" customWidth="1"/>
    <col min="6" max="6" width="60.85546875" style="553" customWidth="1"/>
    <col min="7" max="7" width="31.140625" style="553" customWidth="1"/>
    <col min="8" max="8" width="18.85546875" style="553" customWidth="1"/>
    <col min="9" max="9" width="21.42578125" style="553" customWidth="1"/>
    <col min="10" max="10" width="16.42578125" style="553" customWidth="1"/>
    <col min="11" max="11" width="15" style="553" customWidth="1"/>
    <col min="12" max="12" width="17.42578125" style="553" customWidth="1"/>
    <col min="13" max="13" width="33.140625" style="553" customWidth="1"/>
    <col min="14" max="14" width="17.5703125" style="553" customWidth="1"/>
    <col min="15" max="15" width="17.140625" style="553" customWidth="1"/>
    <col min="16" max="16" width="13.140625" style="553" customWidth="1"/>
    <col min="17" max="17" width="8" style="553" customWidth="1"/>
    <col min="18" max="18" width="13.140625" style="553" customWidth="1"/>
    <col min="19" max="19" width="14.140625" style="553" customWidth="1"/>
    <col min="20" max="20" width="13.140625" style="553" customWidth="1"/>
    <col min="21" max="21" width="14.140625" style="553" customWidth="1"/>
    <col min="22" max="22" width="13.140625" style="553" customWidth="1"/>
    <col min="23" max="23" width="19.140625" style="553" customWidth="1"/>
    <col min="24" max="24" width="12.42578125" style="553" bestFit="1" customWidth="1"/>
    <col min="25" max="25" width="8.85546875" style="553"/>
    <col min="26" max="26" width="13.140625" style="553" customWidth="1"/>
    <col min="27" max="27" width="9" style="553" customWidth="1"/>
    <col min="28" max="28" width="14.140625" style="553" customWidth="1"/>
    <col min="29" max="29" width="9" style="553" customWidth="1"/>
    <col min="30" max="30" width="14.140625" style="553" customWidth="1"/>
    <col min="31" max="31" width="15.140625" style="553" bestFit="1" customWidth="1"/>
    <col min="32" max="32" width="14.140625" style="553" customWidth="1"/>
    <col min="33" max="33" width="15.140625" style="553" bestFit="1" customWidth="1"/>
    <col min="34" max="34" width="14.140625" style="553" customWidth="1"/>
    <col min="35" max="35" width="15.140625" style="553" bestFit="1" customWidth="1"/>
    <col min="36" max="36" width="14.140625" style="553" customWidth="1"/>
    <col min="37" max="37" width="15.140625" style="553" bestFit="1" customWidth="1"/>
    <col min="38" max="38" width="14.140625" style="553" customWidth="1"/>
    <col min="39" max="39" width="15.140625" style="553" bestFit="1" customWidth="1"/>
    <col min="40" max="16384" width="8.85546875" style="553"/>
  </cols>
  <sheetData>
    <row r="1" spans="1:26" ht="19.5" thickBot="1">
      <c r="B1" s="604" t="s">
        <v>8</v>
      </c>
      <c r="C1" s="604" t="s">
        <v>466</v>
      </c>
      <c r="D1" s="604" t="s">
        <v>467</v>
      </c>
      <c r="E1" s="605" t="s">
        <v>9</v>
      </c>
      <c r="F1" s="605" t="s">
        <v>10</v>
      </c>
      <c r="G1" s="605" t="s">
        <v>11</v>
      </c>
      <c r="H1" s="605" t="s">
        <v>468</v>
      </c>
      <c r="I1" s="605" t="s">
        <v>230</v>
      </c>
      <c r="J1" s="605" t="s">
        <v>469</v>
      </c>
      <c r="K1" s="605" t="s">
        <v>13</v>
      </c>
      <c r="L1" s="605" t="s">
        <v>470</v>
      </c>
      <c r="M1" s="605" t="s">
        <v>471</v>
      </c>
      <c r="N1" s="605" t="s">
        <v>472</v>
      </c>
      <c r="O1" s="605" t="s">
        <v>473</v>
      </c>
      <c r="P1" s="605" t="s">
        <v>474</v>
      </c>
      <c r="Q1" s="605" t="s">
        <v>475</v>
      </c>
      <c r="R1" s="605" t="s">
        <v>476</v>
      </c>
      <c r="S1" s="605" t="s">
        <v>477</v>
      </c>
      <c r="T1" s="605" t="s">
        <v>478</v>
      </c>
      <c r="U1" s="605" t="s">
        <v>479</v>
      </c>
      <c r="V1" s="605" t="s">
        <v>480</v>
      </c>
      <c r="W1" s="605" t="s">
        <v>481</v>
      </c>
      <c r="X1" s="605" t="s">
        <v>482</v>
      </c>
      <c r="Y1" s="605" t="s">
        <v>483</v>
      </c>
      <c r="Z1" s="605" t="s">
        <v>484</v>
      </c>
    </row>
    <row r="2" spans="1:26" ht="92.45" customHeight="1" thickBot="1">
      <c r="A2" s="575" t="s">
        <v>485</v>
      </c>
      <c r="B2" s="615" t="s">
        <v>486</v>
      </c>
      <c r="C2" s="739" t="s">
        <v>486</v>
      </c>
      <c r="D2" s="739" t="s">
        <v>486</v>
      </c>
      <c r="E2" s="615" t="s">
        <v>486</v>
      </c>
      <c r="F2" s="615" t="s">
        <v>486</v>
      </c>
      <c r="G2" s="615" t="s">
        <v>486</v>
      </c>
      <c r="H2" s="615" t="s">
        <v>486</v>
      </c>
      <c r="I2" s="615" t="s">
        <v>486</v>
      </c>
      <c r="J2" s="615" t="s">
        <v>486</v>
      </c>
      <c r="K2" s="616" t="s">
        <v>485</v>
      </c>
      <c r="L2" s="617" t="str">
        <f ca="1">Role_1</f>
        <v>Project Manager-PMO</v>
      </c>
      <c r="M2" s="617" t="str">
        <f ca="1">Role_2</f>
        <v>Solution Architect-Technology</v>
      </c>
      <c r="N2" s="617" t="str">
        <f ca="1">Role_3</f>
        <v>Business Process Consultant-Technology</v>
      </c>
      <c r="O2" s="617" t="str">
        <f ca="1">Role_4</f>
        <v>Senior Technical Consultant-Technology</v>
      </c>
      <c r="P2" s="617" t="str">
        <f ca="1">Role_5</f>
        <v>Workflow/Practice Strategist-Technology</v>
      </c>
      <c r="Q2" s="617" t="str">
        <f ca="1">Role_6</f>
        <v>-</v>
      </c>
      <c r="R2" s="617" t="str">
        <f ca="1">Role_7</f>
        <v>-</v>
      </c>
      <c r="S2" s="617" t="str">
        <f ca="1">Role_8</f>
        <v>-</v>
      </c>
      <c r="T2" s="617" t="str">
        <f ca="1">Role_9</f>
        <v>-</v>
      </c>
      <c r="U2" s="617" t="str">
        <f ca="1">Role_10</f>
        <v>-</v>
      </c>
      <c r="V2" s="617" t="str">
        <f ca="1">Role_11</f>
        <v>-</v>
      </c>
      <c r="W2" s="617" t="str">
        <f ca="1">Role_12</f>
        <v>-</v>
      </c>
      <c r="X2" s="617" t="str">
        <f ca="1">Role_13</f>
        <v>-</v>
      </c>
      <c r="Y2" s="617" t="str">
        <f ca="1">Role_14</f>
        <v>-</v>
      </c>
      <c r="Z2" s="636" t="str">
        <f ca="1">Role_15</f>
        <v>-</v>
      </c>
    </row>
    <row r="3" spans="1:26">
      <c r="A3" s="1183" t="s">
        <v>487</v>
      </c>
      <c r="B3" s="607" t="s">
        <v>487</v>
      </c>
      <c r="C3" s="607">
        <v>1</v>
      </c>
      <c r="D3" s="607">
        <f>INITIATE_END</f>
        <v>1</v>
      </c>
      <c r="E3" s="753"/>
      <c r="F3" s="754"/>
      <c r="G3" s="754"/>
      <c r="H3" s="753"/>
      <c r="I3" s="753"/>
      <c r="J3" s="753"/>
      <c r="K3" s="753" t="s">
        <v>488</v>
      </c>
      <c r="L3" s="748"/>
      <c r="M3" s="748"/>
      <c r="N3" s="748"/>
      <c r="O3" s="748"/>
      <c r="P3" s="748"/>
      <c r="Q3" s="748"/>
      <c r="R3" s="748"/>
      <c r="S3" s="748"/>
      <c r="T3" s="748"/>
      <c r="U3" s="748"/>
      <c r="V3" s="748"/>
      <c r="W3" s="748"/>
      <c r="X3" s="748"/>
      <c r="Y3" s="748"/>
      <c r="Z3" s="748"/>
    </row>
    <row r="4" spans="1:26">
      <c r="A4" s="1184"/>
      <c r="B4" s="607" t="s">
        <v>487</v>
      </c>
      <c r="C4" s="607">
        <v>1</v>
      </c>
      <c r="D4" s="607">
        <f t="shared" ref="D4:D13" si="0">INITIATE_END</f>
        <v>1</v>
      </c>
      <c r="E4" s="607"/>
      <c r="F4" s="608"/>
      <c r="G4" s="608"/>
      <c r="H4" s="607"/>
      <c r="I4" s="607"/>
      <c r="J4" s="607"/>
      <c r="K4" s="607" t="s">
        <v>488</v>
      </c>
      <c r="L4" s="700"/>
      <c r="M4" s="700"/>
      <c r="N4" s="700"/>
      <c r="O4" s="700"/>
      <c r="P4" s="607"/>
      <c r="Q4" s="607"/>
      <c r="R4" s="607"/>
      <c r="S4" s="607"/>
      <c r="T4" s="607"/>
      <c r="U4" s="607"/>
      <c r="V4" s="607"/>
      <c r="W4" s="607"/>
      <c r="X4" s="607"/>
      <c r="Y4" s="607"/>
      <c r="Z4" s="609"/>
    </row>
    <row r="5" spans="1:26">
      <c r="A5" s="1184"/>
      <c r="B5" s="607" t="s">
        <v>487</v>
      </c>
      <c r="C5" s="607">
        <v>1</v>
      </c>
      <c r="D5" s="607">
        <f t="shared" si="0"/>
        <v>1</v>
      </c>
      <c r="E5" s="607"/>
      <c r="F5" s="608"/>
      <c r="G5" s="608"/>
      <c r="H5" s="607"/>
      <c r="I5" s="607"/>
      <c r="J5" s="607"/>
      <c r="K5" s="607" t="s">
        <v>488</v>
      </c>
      <c r="L5" s="700"/>
      <c r="M5" s="700"/>
      <c r="N5" s="700"/>
      <c r="O5" s="700"/>
      <c r="P5" s="607"/>
      <c r="Q5" s="607"/>
      <c r="R5" s="607"/>
      <c r="S5" s="607"/>
      <c r="T5" s="607"/>
      <c r="U5" s="607"/>
      <c r="V5" s="607"/>
      <c r="W5" s="607"/>
      <c r="X5" s="607"/>
      <c r="Y5" s="607"/>
      <c r="Z5" s="609"/>
    </row>
    <row r="6" spans="1:26">
      <c r="A6" s="1184"/>
      <c r="B6" s="607" t="s">
        <v>487</v>
      </c>
      <c r="C6" s="607">
        <v>1</v>
      </c>
      <c r="D6" s="607">
        <f t="shared" si="0"/>
        <v>1</v>
      </c>
      <c r="E6" s="607"/>
      <c r="F6" s="608"/>
      <c r="G6" s="608"/>
      <c r="H6" s="607"/>
      <c r="I6" s="607"/>
      <c r="J6" s="607"/>
      <c r="K6" s="607" t="s">
        <v>488</v>
      </c>
      <c r="L6" s="700"/>
      <c r="M6" s="700"/>
      <c r="N6" s="700"/>
      <c r="O6" s="700"/>
      <c r="P6" s="607"/>
      <c r="Q6" s="607"/>
      <c r="R6" s="607"/>
      <c r="S6" s="607"/>
      <c r="T6" s="607"/>
      <c r="U6" s="607"/>
      <c r="V6" s="607"/>
      <c r="W6" s="607"/>
      <c r="X6" s="607"/>
      <c r="Y6" s="607"/>
      <c r="Z6" s="609"/>
    </row>
    <row r="7" spans="1:26">
      <c r="A7" s="1184"/>
      <c r="B7" s="607" t="s">
        <v>487</v>
      </c>
      <c r="C7" s="607">
        <v>1</v>
      </c>
      <c r="D7" s="607">
        <f t="shared" si="0"/>
        <v>1</v>
      </c>
      <c r="E7" s="607"/>
      <c r="F7" s="608"/>
      <c r="G7" s="608"/>
      <c r="H7" s="607"/>
      <c r="I7" s="607"/>
      <c r="J7" s="607"/>
      <c r="K7" s="607" t="s">
        <v>488</v>
      </c>
      <c r="L7" s="700"/>
      <c r="M7" s="700"/>
      <c r="N7" s="700"/>
      <c r="O7" s="700"/>
      <c r="P7" s="607"/>
      <c r="Q7" s="607"/>
      <c r="R7" s="607"/>
      <c r="S7" s="607"/>
      <c r="T7" s="607"/>
      <c r="U7" s="607"/>
      <c r="V7" s="607"/>
      <c r="W7" s="607"/>
      <c r="X7" s="607"/>
      <c r="Y7" s="607"/>
      <c r="Z7" s="614"/>
    </row>
    <row r="8" spans="1:26">
      <c r="A8" s="1184"/>
      <c r="B8" s="606" t="s">
        <v>487</v>
      </c>
      <c r="C8" s="607">
        <v>1</v>
      </c>
      <c r="D8" s="607">
        <f t="shared" si="0"/>
        <v>1</v>
      </c>
      <c r="E8" s="607"/>
      <c r="F8" s="608"/>
      <c r="G8" s="608"/>
      <c r="H8" s="607"/>
      <c r="I8" s="607"/>
      <c r="J8" s="607"/>
      <c r="K8" s="607" t="s">
        <v>488</v>
      </c>
      <c r="L8" s="607"/>
      <c r="M8" s="607"/>
      <c r="N8" s="607"/>
      <c r="O8" s="607"/>
      <c r="P8" s="607"/>
      <c r="Q8" s="607"/>
      <c r="R8" s="607"/>
      <c r="S8" s="607"/>
      <c r="T8" s="607"/>
      <c r="U8" s="607"/>
      <c r="V8" s="607"/>
      <c r="W8" s="607"/>
      <c r="X8" s="607"/>
      <c r="Y8" s="607"/>
      <c r="Z8" s="614"/>
    </row>
    <row r="9" spans="1:26">
      <c r="A9" s="1184"/>
      <c r="B9" s="606" t="s">
        <v>487</v>
      </c>
      <c r="C9" s="607">
        <v>1</v>
      </c>
      <c r="D9" s="607">
        <f t="shared" si="0"/>
        <v>1</v>
      </c>
      <c r="E9" s="607"/>
      <c r="F9" s="608"/>
      <c r="G9" s="608"/>
      <c r="H9" s="607"/>
      <c r="I9" s="607"/>
      <c r="J9" s="607"/>
      <c r="K9" s="607" t="s">
        <v>488</v>
      </c>
      <c r="L9" s="607"/>
      <c r="M9" s="607"/>
      <c r="N9" s="607"/>
      <c r="O9" s="607"/>
      <c r="P9" s="607"/>
      <c r="Q9" s="607"/>
      <c r="R9" s="607"/>
      <c r="S9" s="607"/>
      <c r="T9" s="607"/>
      <c r="U9" s="607"/>
      <c r="V9" s="607"/>
      <c r="W9" s="607"/>
      <c r="X9" s="607"/>
      <c r="Y9" s="607"/>
      <c r="Z9" s="614"/>
    </row>
    <row r="10" spans="1:26">
      <c r="A10" s="1184"/>
      <c r="B10" s="606" t="s">
        <v>487</v>
      </c>
      <c r="C10" s="607">
        <v>1</v>
      </c>
      <c r="D10" s="607">
        <f t="shared" si="0"/>
        <v>1</v>
      </c>
      <c r="E10" s="607"/>
      <c r="F10" s="608"/>
      <c r="G10" s="608"/>
      <c r="H10" s="607"/>
      <c r="I10" s="607"/>
      <c r="J10" s="607"/>
      <c r="K10" s="607" t="s">
        <v>488</v>
      </c>
      <c r="L10" s="607"/>
      <c r="M10" s="607"/>
      <c r="N10" s="607"/>
      <c r="O10" s="607"/>
      <c r="P10" s="607"/>
      <c r="Q10" s="607"/>
      <c r="R10" s="607"/>
      <c r="S10" s="607"/>
      <c r="T10" s="607"/>
      <c r="U10" s="607"/>
      <c r="V10" s="607"/>
      <c r="W10" s="607"/>
      <c r="X10" s="607"/>
      <c r="Y10" s="607"/>
      <c r="Z10" s="614"/>
    </row>
    <row r="11" spans="1:26">
      <c r="A11" s="1184"/>
      <c r="B11" s="606" t="s">
        <v>487</v>
      </c>
      <c r="C11" s="607">
        <v>1</v>
      </c>
      <c r="D11" s="607">
        <f t="shared" si="0"/>
        <v>1</v>
      </c>
      <c r="E11" s="607"/>
      <c r="F11" s="608"/>
      <c r="G11" s="608"/>
      <c r="H11" s="607"/>
      <c r="I11" s="607"/>
      <c r="J11" s="607"/>
      <c r="K11" s="607" t="s">
        <v>488</v>
      </c>
      <c r="L11" s="607"/>
      <c r="M11" s="607"/>
      <c r="N11" s="607"/>
      <c r="O11" s="607"/>
      <c r="P11" s="607"/>
      <c r="Q11" s="607"/>
      <c r="R11" s="607"/>
      <c r="S11" s="607"/>
      <c r="T11" s="607"/>
      <c r="U11" s="607"/>
      <c r="V11" s="607"/>
      <c r="W11" s="607"/>
      <c r="X11" s="607"/>
      <c r="Y11" s="607"/>
      <c r="Z11" s="614"/>
    </row>
    <row r="12" spans="1:26">
      <c r="A12" s="1184"/>
      <c r="B12" s="606" t="s">
        <v>487</v>
      </c>
      <c r="C12" s="607">
        <v>1</v>
      </c>
      <c r="D12" s="607">
        <f t="shared" si="0"/>
        <v>1</v>
      </c>
      <c r="E12" s="607"/>
      <c r="F12" s="608"/>
      <c r="G12" s="608"/>
      <c r="H12" s="607"/>
      <c r="I12" s="607"/>
      <c r="J12" s="607"/>
      <c r="K12" s="607" t="s">
        <v>488</v>
      </c>
      <c r="L12" s="607"/>
      <c r="M12" s="607"/>
      <c r="N12" s="607"/>
      <c r="O12" s="607"/>
      <c r="P12" s="607"/>
      <c r="Q12" s="607"/>
      <c r="R12" s="607"/>
      <c r="S12" s="607"/>
      <c r="T12" s="607"/>
      <c r="U12" s="607"/>
      <c r="V12" s="607"/>
      <c r="W12" s="607"/>
      <c r="X12" s="607"/>
      <c r="Y12" s="607"/>
      <c r="Z12" s="614"/>
    </row>
    <row r="13" spans="1:26" ht="75.75" thickBot="1">
      <c r="A13" s="1184"/>
      <c r="B13" s="742" t="s">
        <v>487</v>
      </c>
      <c r="C13" s="744">
        <v>1</v>
      </c>
      <c r="D13" s="744">
        <f t="shared" si="0"/>
        <v>1</v>
      </c>
      <c r="E13" s="744" t="s">
        <v>489</v>
      </c>
      <c r="F13" s="745" t="s">
        <v>490</v>
      </c>
      <c r="G13" s="745"/>
      <c r="H13" s="744"/>
      <c r="I13" s="744"/>
      <c r="J13" s="744"/>
      <c r="K13" s="744" t="s">
        <v>488</v>
      </c>
      <c r="L13" s="744">
        <f>ROUND(Pricing!$X27*Initiate_Length,0)</f>
        <v>10</v>
      </c>
      <c r="M13" s="744">
        <f>ROUND(Pricing!$X28*Initiate_Length,0)</f>
        <v>2</v>
      </c>
      <c r="N13" s="744">
        <f>ROUND(Pricing!$X29*Initiate_Length,0)</f>
        <v>2</v>
      </c>
      <c r="O13" s="744">
        <f>ROUND(Pricing!$X30*Initiate_Length,0)</f>
        <v>0</v>
      </c>
      <c r="P13" s="744">
        <f>ROUND(Pricing!$X31*Initiate_Length,0)</f>
        <v>2</v>
      </c>
      <c r="Q13" s="744">
        <f>ROUND(Pricing!$X32*Initiate_Length,0)</f>
        <v>0</v>
      </c>
      <c r="R13" s="744">
        <f>ROUND(Pricing!$X33*Initiate_Length,0)</f>
        <v>0</v>
      </c>
      <c r="S13" s="744">
        <f>ROUND(Pricing!$X34*Initiate_Length,0)</f>
        <v>0</v>
      </c>
      <c r="T13" s="744">
        <f>ROUND(Pricing!$X35*Initiate_Length,0)</f>
        <v>0</v>
      </c>
      <c r="U13" s="744">
        <f>ROUND(Pricing!$X36*Initiate_Length,0)</f>
        <v>0</v>
      </c>
      <c r="V13" s="744">
        <f>ROUND(Pricing!$X37*Initiate_Length,0)</f>
        <v>0</v>
      </c>
      <c r="W13" s="744">
        <f>ROUND(Pricing!$X38*Initiate_Length,0)</f>
        <v>0</v>
      </c>
      <c r="X13" s="744">
        <f>ROUND(Pricing!$X39*Initiate_Length,0)</f>
        <v>0</v>
      </c>
      <c r="Y13" s="744">
        <f>ROUND(Pricing!$X40*Initiate_Length,0)</f>
        <v>0</v>
      </c>
      <c r="Z13" s="744">
        <f>ROUND(Pricing!$X41*Initiate_Length,0)</f>
        <v>0</v>
      </c>
    </row>
    <row r="14" spans="1:26">
      <c r="A14" s="1189" t="s">
        <v>429</v>
      </c>
      <c r="B14" s="610" t="s">
        <v>429</v>
      </c>
      <c r="C14" s="610">
        <f t="shared" ref="C14:C59" si="1">PLAN_START</f>
        <v>2</v>
      </c>
      <c r="D14" s="610">
        <f t="shared" ref="D14:D60" si="2">PLAN_END</f>
        <v>2</v>
      </c>
      <c r="E14" s="612" t="s">
        <v>491</v>
      </c>
      <c r="F14" s="612"/>
      <c r="G14" s="612"/>
      <c r="H14" s="611"/>
      <c r="I14" s="611"/>
      <c r="J14" s="611"/>
      <c r="K14" s="611" t="s">
        <v>488</v>
      </c>
      <c r="L14" s="607"/>
      <c r="M14" s="607">
        <v>4</v>
      </c>
      <c r="N14" s="737">
        <v>4</v>
      </c>
      <c r="O14" s="737"/>
      <c r="P14" s="611">
        <v>4</v>
      </c>
      <c r="Q14" s="611"/>
      <c r="R14" s="611"/>
      <c r="S14" s="611"/>
      <c r="T14" s="611"/>
      <c r="U14" s="611"/>
      <c r="V14" s="611"/>
      <c r="W14" s="611"/>
      <c r="X14" s="611"/>
      <c r="Y14" s="611"/>
      <c r="Z14" s="749"/>
    </row>
    <row r="15" spans="1:26" ht="30">
      <c r="A15" s="1190"/>
      <c r="B15" s="610" t="s">
        <v>429</v>
      </c>
      <c r="C15" s="610">
        <f t="shared" si="1"/>
        <v>2</v>
      </c>
      <c r="D15" s="610">
        <f t="shared" si="2"/>
        <v>2</v>
      </c>
      <c r="E15" s="608" t="s">
        <v>492</v>
      </c>
      <c r="F15" s="608"/>
      <c r="G15" s="608" t="s">
        <v>493</v>
      </c>
      <c r="H15" s="607"/>
      <c r="I15" s="607"/>
      <c r="J15" s="607"/>
      <c r="K15" s="607" t="s">
        <v>488</v>
      </c>
      <c r="L15" s="607"/>
      <c r="M15" s="607">
        <v>4</v>
      </c>
      <c r="N15" s="700">
        <v>4</v>
      </c>
      <c r="O15" s="700"/>
      <c r="P15" s="607">
        <v>4</v>
      </c>
      <c r="Q15" s="607"/>
      <c r="R15" s="607"/>
      <c r="S15" s="607"/>
      <c r="T15" s="607"/>
      <c r="U15" s="607"/>
      <c r="V15" s="607"/>
      <c r="W15" s="607"/>
      <c r="X15" s="607"/>
      <c r="Y15" s="607"/>
      <c r="Z15" s="614"/>
    </row>
    <row r="16" spans="1:26">
      <c r="A16" s="1190"/>
      <c r="B16" s="610" t="s">
        <v>429</v>
      </c>
      <c r="C16" s="610">
        <f t="shared" si="1"/>
        <v>2</v>
      </c>
      <c r="D16" s="610">
        <f t="shared" si="2"/>
        <v>2</v>
      </c>
      <c r="E16" s="608" t="s">
        <v>494</v>
      </c>
      <c r="F16" s="608"/>
      <c r="G16" s="608"/>
      <c r="H16" s="607"/>
      <c r="I16" s="607"/>
      <c r="J16" s="607"/>
      <c r="K16" s="607" t="s">
        <v>488</v>
      </c>
      <c r="L16" s="607"/>
      <c r="M16" s="607">
        <v>5</v>
      </c>
      <c r="N16" s="700">
        <v>10</v>
      </c>
      <c r="O16" s="700"/>
      <c r="P16" s="607"/>
      <c r="Q16" s="607"/>
      <c r="R16" s="607"/>
      <c r="S16" s="607"/>
      <c r="T16" s="607"/>
      <c r="U16" s="607"/>
      <c r="V16" s="607"/>
      <c r="W16" s="607"/>
      <c r="X16" s="607"/>
      <c r="Y16" s="607"/>
      <c r="Z16" s="614"/>
    </row>
    <row r="17" spans="1:26" ht="45">
      <c r="A17" s="1190"/>
      <c r="B17" s="610" t="s">
        <v>429</v>
      </c>
      <c r="C17" s="610">
        <f t="shared" si="1"/>
        <v>2</v>
      </c>
      <c r="D17" s="610">
        <f t="shared" si="2"/>
        <v>2</v>
      </c>
      <c r="E17" s="607" t="s">
        <v>495</v>
      </c>
      <c r="F17" s="608"/>
      <c r="G17" s="608" t="s">
        <v>496</v>
      </c>
      <c r="H17" s="607"/>
      <c r="I17" s="607"/>
      <c r="J17" s="607"/>
      <c r="K17" s="607" t="s">
        <v>488</v>
      </c>
      <c r="L17" s="607"/>
      <c r="M17" s="607"/>
      <c r="N17" s="700">
        <v>4</v>
      </c>
      <c r="O17" s="700"/>
      <c r="P17" s="607">
        <v>4</v>
      </c>
      <c r="Q17" s="607"/>
      <c r="R17" s="607"/>
      <c r="S17" s="607"/>
      <c r="T17" s="607"/>
      <c r="U17" s="607"/>
      <c r="V17" s="607"/>
      <c r="W17" s="607"/>
      <c r="X17" s="607"/>
      <c r="Y17" s="607"/>
      <c r="Z17" s="614"/>
    </row>
    <row r="18" spans="1:26">
      <c r="A18" s="1190"/>
      <c r="B18" s="610" t="s">
        <v>429</v>
      </c>
      <c r="C18" s="610">
        <f t="shared" si="1"/>
        <v>2</v>
      </c>
      <c r="D18" s="610">
        <f t="shared" si="2"/>
        <v>2</v>
      </c>
      <c r="E18" s="607" t="s">
        <v>497</v>
      </c>
      <c r="F18" s="608"/>
      <c r="G18" s="608"/>
      <c r="H18" s="607"/>
      <c r="I18" s="607"/>
      <c r="J18" s="607"/>
      <c r="K18" s="607" t="s">
        <v>488</v>
      </c>
      <c r="L18" s="607"/>
      <c r="M18" s="607"/>
      <c r="N18" s="700"/>
      <c r="O18" s="700"/>
      <c r="P18" s="607"/>
      <c r="Q18" s="607"/>
      <c r="R18" s="607"/>
      <c r="S18" s="607"/>
      <c r="T18" s="607"/>
      <c r="U18" s="607"/>
      <c r="V18" s="607"/>
      <c r="W18" s="607"/>
      <c r="X18" s="607"/>
      <c r="Y18" s="607"/>
      <c r="Z18" s="614"/>
    </row>
    <row r="19" spans="1:26" ht="45">
      <c r="A19" s="1190"/>
      <c r="B19" s="610" t="s">
        <v>429</v>
      </c>
      <c r="C19" s="610">
        <f t="shared" si="1"/>
        <v>2</v>
      </c>
      <c r="D19" s="610">
        <f t="shared" si="2"/>
        <v>2</v>
      </c>
      <c r="E19" s="607" t="s">
        <v>498</v>
      </c>
      <c r="F19" s="608" t="s">
        <v>499</v>
      </c>
      <c r="G19" s="608"/>
      <c r="H19" s="607"/>
      <c r="I19" s="607"/>
      <c r="J19" s="607"/>
      <c r="K19" s="607" t="s">
        <v>488</v>
      </c>
      <c r="L19" s="607"/>
      <c r="M19" s="607">
        <v>8</v>
      </c>
      <c r="N19" s="700">
        <v>8</v>
      </c>
      <c r="O19" s="700"/>
      <c r="P19" s="607">
        <v>10</v>
      </c>
      <c r="Q19" s="607"/>
      <c r="R19" s="607"/>
      <c r="S19" s="607"/>
      <c r="T19" s="607"/>
      <c r="U19" s="607"/>
      <c r="V19" s="607"/>
      <c r="W19" s="607"/>
      <c r="X19" s="607"/>
      <c r="Y19" s="607"/>
      <c r="Z19" s="614"/>
    </row>
    <row r="20" spans="1:26" ht="30">
      <c r="A20" s="1190"/>
      <c r="B20" s="610" t="s">
        <v>429</v>
      </c>
      <c r="C20" s="610">
        <f t="shared" si="1"/>
        <v>2</v>
      </c>
      <c r="D20" s="610">
        <f t="shared" si="2"/>
        <v>2</v>
      </c>
      <c r="E20" s="607" t="s">
        <v>500</v>
      </c>
      <c r="F20" s="608" t="s">
        <v>501</v>
      </c>
      <c r="G20" s="608"/>
      <c r="H20" s="607"/>
      <c r="I20" s="607"/>
      <c r="J20" s="607"/>
      <c r="K20" s="607" t="s">
        <v>488</v>
      </c>
      <c r="L20" s="607"/>
      <c r="M20" s="607">
        <v>4</v>
      </c>
      <c r="N20" s="700">
        <v>4</v>
      </c>
      <c r="O20" s="700"/>
      <c r="P20" s="607">
        <v>8</v>
      </c>
      <c r="Q20" s="607"/>
      <c r="R20" s="607"/>
      <c r="S20" s="607"/>
      <c r="T20" s="607"/>
      <c r="U20" s="607"/>
      <c r="V20" s="607"/>
      <c r="W20" s="607"/>
      <c r="X20" s="607"/>
      <c r="Y20" s="607"/>
      <c r="Z20" s="614"/>
    </row>
    <row r="21" spans="1:26" ht="30">
      <c r="A21" s="1190"/>
      <c r="B21" s="610" t="s">
        <v>429</v>
      </c>
      <c r="C21" s="610">
        <f t="shared" si="1"/>
        <v>2</v>
      </c>
      <c r="D21" s="610">
        <f t="shared" si="2"/>
        <v>2</v>
      </c>
      <c r="E21" s="607" t="s">
        <v>502</v>
      </c>
      <c r="F21" s="608" t="s">
        <v>503</v>
      </c>
      <c r="G21" s="608"/>
      <c r="H21" s="607"/>
      <c r="I21" s="607"/>
      <c r="J21" s="607"/>
      <c r="K21" s="607" t="s">
        <v>488</v>
      </c>
      <c r="L21" s="607"/>
      <c r="M21" s="607">
        <v>4</v>
      </c>
      <c r="N21" s="700">
        <v>4</v>
      </c>
      <c r="O21" s="700"/>
      <c r="P21" s="607">
        <v>4</v>
      </c>
      <c r="Q21" s="607"/>
      <c r="R21" s="607"/>
      <c r="S21" s="607"/>
      <c r="T21" s="607"/>
      <c r="U21" s="607"/>
      <c r="V21" s="607"/>
      <c r="W21" s="607"/>
      <c r="X21" s="607"/>
      <c r="Y21" s="607"/>
      <c r="Z21" s="614"/>
    </row>
    <row r="22" spans="1:26">
      <c r="A22" s="1190"/>
      <c r="B22" s="610" t="s">
        <v>429</v>
      </c>
      <c r="C22" s="610">
        <f t="shared" si="1"/>
        <v>2</v>
      </c>
      <c r="D22" s="610">
        <f t="shared" si="2"/>
        <v>2</v>
      </c>
      <c r="E22" s="607" t="s">
        <v>504</v>
      </c>
      <c r="F22" s="608" t="s">
        <v>505</v>
      </c>
      <c r="G22" s="608" t="s">
        <v>506</v>
      </c>
      <c r="H22" s="607"/>
      <c r="I22" s="607"/>
      <c r="J22" s="607"/>
      <c r="K22" s="607" t="s">
        <v>488</v>
      </c>
      <c r="L22" s="607"/>
      <c r="M22" s="607">
        <v>2</v>
      </c>
      <c r="N22" s="700">
        <v>2</v>
      </c>
      <c r="O22" s="700"/>
      <c r="P22" s="607">
        <v>2</v>
      </c>
      <c r="Q22" s="607"/>
      <c r="R22" s="607"/>
      <c r="S22" s="607"/>
      <c r="T22" s="607"/>
      <c r="U22" s="607"/>
      <c r="V22" s="607"/>
      <c r="W22" s="607"/>
      <c r="X22" s="607"/>
      <c r="Y22" s="607"/>
      <c r="Z22" s="614"/>
    </row>
    <row r="23" spans="1:26">
      <c r="A23" s="1190"/>
      <c r="B23" s="610" t="s">
        <v>429</v>
      </c>
      <c r="C23" s="610">
        <f t="shared" si="1"/>
        <v>2</v>
      </c>
      <c r="D23" s="607">
        <f t="shared" si="2"/>
        <v>2</v>
      </c>
      <c r="E23" s="607"/>
      <c r="F23" s="608"/>
      <c r="G23" s="608"/>
      <c r="H23" s="607"/>
      <c r="I23" s="607"/>
      <c r="J23" s="607"/>
      <c r="K23" s="607" t="s">
        <v>488</v>
      </c>
      <c r="L23" s="607"/>
      <c r="M23" s="607"/>
      <c r="N23" s="700"/>
      <c r="O23" s="607"/>
      <c r="P23" s="607"/>
      <c r="Q23" s="607"/>
      <c r="R23" s="607"/>
      <c r="S23" s="607"/>
      <c r="T23" s="607"/>
      <c r="U23" s="607"/>
      <c r="V23" s="607"/>
      <c r="W23" s="607"/>
      <c r="X23" s="607"/>
      <c r="Y23" s="607"/>
      <c r="Z23" s="607"/>
    </row>
    <row r="24" spans="1:26">
      <c r="A24" s="1190"/>
      <c r="B24" s="610" t="s">
        <v>429</v>
      </c>
      <c r="C24" s="610">
        <f t="shared" si="1"/>
        <v>2</v>
      </c>
      <c r="D24" s="607">
        <f t="shared" si="2"/>
        <v>2</v>
      </c>
      <c r="E24" s="607"/>
      <c r="F24" s="608"/>
      <c r="G24" s="608"/>
      <c r="H24" s="607"/>
      <c r="I24" s="607"/>
      <c r="J24" s="607"/>
      <c r="K24" s="607" t="s">
        <v>488</v>
      </c>
      <c r="L24" s="607"/>
      <c r="M24" s="607"/>
      <c r="N24" s="607"/>
      <c r="O24" s="607"/>
      <c r="P24" s="607"/>
      <c r="Q24" s="607"/>
      <c r="R24" s="607"/>
      <c r="S24" s="607"/>
      <c r="T24" s="607"/>
      <c r="U24" s="607"/>
      <c r="V24" s="607"/>
      <c r="W24" s="607"/>
      <c r="X24" s="607"/>
      <c r="Y24" s="607"/>
      <c r="Z24" s="607"/>
    </row>
    <row r="25" spans="1:26">
      <c r="A25" s="1190"/>
      <c r="B25" s="606" t="s">
        <v>429</v>
      </c>
      <c r="C25" s="610">
        <f t="shared" si="1"/>
        <v>2</v>
      </c>
      <c r="D25" s="610">
        <f t="shared" si="2"/>
        <v>2</v>
      </c>
      <c r="E25" s="607"/>
      <c r="F25" s="608"/>
      <c r="G25" s="608"/>
      <c r="H25" s="607"/>
      <c r="I25" s="607"/>
      <c r="J25" s="607"/>
      <c r="K25" s="611" t="s">
        <v>488</v>
      </c>
      <c r="L25" s="607"/>
      <c r="M25" s="607"/>
      <c r="N25" s="607"/>
      <c r="O25" s="607"/>
      <c r="P25" s="607"/>
      <c r="Q25" s="607"/>
      <c r="R25" s="607"/>
      <c r="S25" s="607"/>
      <c r="T25" s="607"/>
      <c r="U25" s="607"/>
      <c r="V25" s="607"/>
      <c r="W25" s="607"/>
      <c r="X25" s="607"/>
      <c r="Y25" s="607"/>
      <c r="Z25" s="614"/>
    </row>
    <row r="26" spans="1:26">
      <c r="A26" s="1190"/>
      <c r="B26" s="606" t="s">
        <v>429</v>
      </c>
      <c r="C26" s="610">
        <f t="shared" si="1"/>
        <v>2</v>
      </c>
      <c r="D26" s="610">
        <f t="shared" si="2"/>
        <v>2</v>
      </c>
      <c r="E26" s="607"/>
      <c r="F26" s="608"/>
      <c r="G26" s="608"/>
      <c r="H26" s="607"/>
      <c r="I26" s="607"/>
      <c r="J26" s="607"/>
      <c r="K26" s="611" t="s">
        <v>488</v>
      </c>
      <c r="L26" s="607"/>
      <c r="M26" s="607"/>
      <c r="N26" s="607"/>
      <c r="O26" s="607"/>
      <c r="P26" s="607"/>
      <c r="Q26" s="607"/>
      <c r="R26" s="607"/>
      <c r="S26" s="607"/>
      <c r="T26" s="607"/>
      <c r="U26" s="607"/>
      <c r="V26" s="607"/>
      <c r="W26" s="607"/>
      <c r="X26" s="607"/>
      <c r="Y26" s="607"/>
      <c r="Z26" s="614"/>
    </row>
    <row r="27" spans="1:26">
      <c r="A27" s="1190"/>
      <c r="B27" s="606" t="s">
        <v>429</v>
      </c>
      <c r="C27" s="610">
        <f t="shared" si="1"/>
        <v>2</v>
      </c>
      <c r="D27" s="610">
        <f t="shared" si="2"/>
        <v>2</v>
      </c>
      <c r="E27" s="607"/>
      <c r="F27" s="608"/>
      <c r="G27" s="608"/>
      <c r="H27" s="607"/>
      <c r="I27" s="607"/>
      <c r="J27" s="607"/>
      <c r="K27" s="611" t="s">
        <v>488</v>
      </c>
      <c r="L27" s="607"/>
      <c r="M27" s="607"/>
      <c r="N27" s="607"/>
      <c r="O27" s="607"/>
      <c r="P27" s="607"/>
      <c r="Q27" s="607"/>
      <c r="R27" s="607"/>
      <c r="S27" s="607"/>
      <c r="T27" s="607"/>
      <c r="U27" s="607"/>
      <c r="V27" s="607"/>
      <c r="W27" s="607"/>
      <c r="X27" s="607"/>
      <c r="Y27" s="607"/>
      <c r="Z27" s="614"/>
    </row>
    <row r="28" spans="1:26">
      <c r="A28" s="1190"/>
      <c r="B28" s="606" t="s">
        <v>429</v>
      </c>
      <c r="C28" s="610">
        <f t="shared" si="1"/>
        <v>2</v>
      </c>
      <c r="D28" s="610">
        <f t="shared" si="2"/>
        <v>2</v>
      </c>
      <c r="E28" s="607"/>
      <c r="F28" s="608"/>
      <c r="G28" s="608"/>
      <c r="H28" s="607"/>
      <c r="I28" s="607"/>
      <c r="J28" s="607"/>
      <c r="K28" s="611" t="s">
        <v>488</v>
      </c>
      <c r="L28" s="607"/>
      <c r="M28" s="607"/>
      <c r="N28" s="607"/>
      <c r="O28" s="607"/>
      <c r="P28" s="607"/>
      <c r="Q28" s="607"/>
      <c r="R28" s="607"/>
      <c r="S28" s="607"/>
      <c r="T28" s="607"/>
      <c r="U28" s="607"/>
      <c r="V28" s="607"/>
      <c r="W28" s="607"/>
      <c r="X28" s="607"/>
      <c r="Y28" s="607"/>
      <c r="Z28" s="614"/>
    </row>
    <row r="29" spans="1:26">
      <c r="A29" s="1190"/>
      <c r="B29" s="606" t="s">
        <v>429</v>
      </c>
      <c r="C29" s="610">
        <f t="shared" si="1"/>
        <v>2</v>
      </c>
      <c r="D29" s="610">
        <f t="shared" si="2"/>
        <v>2</v>
      </c>
      <c r="E29" s="607"/>
      <c r="F29" s="608"/>
      <c r="G29" s="608"/>
      <c r="H29" s="607"/>
      <c r="I29" s="607"/>
      <c r="J29" s="607"/>
      <c r="K29" s="611" t="s">
        <v>488</v>
      </c>
      <c r="L29" s="607"/>
      <c r="M29" s="607"/>
      <c r="N29" s="607"/>
      <c r="O29" s="607"/>
      <c r="P29" s="607"/>
      <c r="Q29" s="607"/>
      <c r="R29" s="607"/>
      <c r="S29" s="607"/>
      <c r="T29" s="607"/>
      <c r="U29" s="607"/>
      <c r="V29" s="607"/>
      <c r="W29" s="607"/>
      <c r="X29" s="607"/>
      <c r="Y29" s="607"/>
      <c r="Z29" s="614"/>
    </row>
    <row r="30" spans="1:26">
      <c r="A30" s="1190"/>
      <c r="B30" s="610" t="s">
        <v>429</v>
      </c>
      <c r="C30" s="610">
        <f t="shared" si="1"/>
        <v>2</v>
      </c>
      <c r="D30" s="610">
        <f t="shared" si="2"/>
        <v>2</v>
      </c>
      <c r="E30" s="607"/>
      <c r="F30" s="608"/>
      <c r="G30" s="608"/>
      <c r="H30" s="607"/>
      <c r="I30" s="607"/>
      <c r="J30" s="607"/>
      <c r="K30" s="611" t="s">
        <v>488</v>
      </c>
      <c r="L30" s="607"/>
      <c r="M30" s="607"/>
      <c r="N30" s="607"/>
      <c r="O30" s="607"/>
      <c r="P30" s="607"/>
      <c r="Q30" s="607"/>
      <c r="R30" s="607"/>
      <c r="S30" s="607"/>
      <c r="T30" s="607"/>
      <c r="U30" s="607"/>
      <c r="V30" s="607"/>
      <c r="W30" s="607"/>
      <c r="X30" s="607"/>
      <c r="Y30" s="607"/>
      <c r="Z30" s="614"/>
    </row>
    <row r="31" spans="1:26">
      <c r="A31" s="1190"/>
      <c r="B31" s="610" t="s">
        <v>429</v>
      </c>
      <c r="C31" s="610">
        <f t="shared" si="1"/>
        <v>2</v>
      </c>
      <c r="D31" s="610">
        <f t="shared" si="2"/>
        <v>2</v>
      </c>
      <c r="E31" s="607"/>
      <c r="F31" s="608"/>
      <c r="G31" s="608"/>
      <c r="H31" s="607"/>
      <c r="I31" s="607"/>
      <c r="J31" s="607"/>
      <c r="K31" s="611" t="s">
        <v>488</v>
      </c>
      <c r="L31" s="607"/>
      <c r="M31" s="607"/>
      <c r="N31" s="607"/>
      <c r="O31" s="607"/>
      <c r="P31" s="607"/>
      <c r="Q31" s="607"/>
      <c r="R31" s="607"/>
      <c r="S31" s="607"/>
      <c r="T31" s="607"/>
      <c r="U31" s="607"/>
      <c r="V31" s="607"/>
      <c r="W31" s="607"/>
      <c r="X31" s="607"/>
      <c r="Y31" s="607"/>
      <c r="Z31" s="614"/>
    </row>
    <row r="32" spans="1:26">
      <c r="A32" s="1190"/>
      <c r="B32" s="610" t="s">
        <v>429</v>
      </c>
      <c r="C32" s="610">
        <f t="shared" si="1"/>
        <v>2</v>
      </c>
      <c r="D32" s="610">
        <f t="shared" si="2"/>
        <v>2</v>
      </c>
      <c r="E32" s="607"/>
      <c r="F32" s="608"/>
      <c r="G32" s="608"/>
      <c r="H32" s="607"/>
      <c r="I32" s="607"/>
      <c r="J32" s="607"/>
      <c r="K32" s="611" t="s">
        <v>488</v>
      </c>
      <c r="L32" s="607"/>
      <c r="M32" s="607"/>
      <c r="N32" s="607"/>
      <c r="O32" s="607"/>
      <c r="P32" s="607"/>
      <c r="Q32" s="607"/>
      <c r="R32" s="607"/>
      <c r="S32" s="607"/>
      <c r="T32" s="607"/>
      <c r="U32" s="607"/>
      <c r="V32" s="607"/>
      <c r="W32" s="607"/>
      <c r="X32" s="607"/>
      <c r="Y32" s="607"/>
      <c r="Z32" s="614"/>
    </row>
    <row r="33" spans="1:26">
      <c r="A33" s="1190"/>
      <c r="B33" s="610" t="s">
        <v>429</v>
      </c>
      <c r="C33" s="610">
        <f t="shared" si="1"/>
        <v>2</v>
      </c>
      <c r="D33" s="610">
        <f t="shared" si="2"/>
        <v>2</v>
      </c>
      <c r="E33" s="607"/>
      <c r="F33" s="608"/>
      <c r="G33" s="608"/>
      <c r="H33" s="607"/>
      <c r="I33" s="607"/>
      <c r="J33" s="607"/>
      <c r="K33" s="611" t="s">
        <v>488</v>
      </c>
      <c r="L33" s="607"/>
      <c r="M33" s="607"/>
      <c r="N33" s="607"/>
      <c r="O33" s="607"/>
      <c r="P33" s="607"/>
      <c r="Q33" s="607"/>
      <c r="R33" s="607"/>
      <c r="S33" s="607"/>
      <c r="T33" s="607"/>
      <c r="U33" s="607"/>
      <c r="V33" s="607"/>
      <c r="W33" s="607"/>
      <c r="X33" s="607"/>
      <c r="Y33" s="607"/>
      <c r="Z33" s="614"/>
    </row>
    <row r="34" spans="1:26">
      <c r="A34" s="1190"/>
      <c r="B34" s="610" t="s">
        <v>429</v>
      </c>
      <c r="C34" s="610">
        <f t="shared" si="1"/>
        <v>2</v>
      </c>
      <c r="D34" s="610">
        <f t="shared" si="2"/>
        <v>2</v>
      </c>
      <c r="E34" s="607"/>
      <c r="F34" s="608"/>
      <c r="G34" s="608"/>
      <c r="H34" s="607"/>
      <c r="I34" s="607"/>
      <c r="J34" s="607"/>
      <c r="K34" s="611" t="s">
        <v>488</v>
      </c>
      <c r="L34" s="607"/>
      <c r="M34" s="607"/>
      <c r="N34" s="607"/>
      <c r="O34" s="607"/>
      <c r="P34" s="607"/>
      <c r="Q34" s="607"/>
      <c r="R34" s="607"/>
      <c r="S34" s="607"/>
      <c r="T34" s="607"/>
      <c r="U34" s="607"/>
      <c r="V34" s="607"/>
      <c r="W34" s="607"/>
      <c r="X34" s="607"/>
      <c r="Y34" s="607"/>
      <c r="Z34" s="614"/>
    </row>
    <row r="35" spans="1:26">
      <c r="A35" s="1190"/>
      <c r="B35" s="610" t="s">
        <v>429</v>
      </c>
      <c r="C35" s="610">
        <f t="shared" si="1"/>
        <v>2</v>
      </c>
      <c r="D35" s="610">
        <f t="shared" si="2"/>
        <v>2</v>
      </c>
      <c r="E35" s="607"/>
      <c r="F35" s="608"/>
      <c r="G35" s="608"/>
      <c r="H35" s="607"/>
      <c r="I35" s="607"/>
      <c r="J35" s="607"/>
      <c r="K35" s="611" t="s">
        <v>488</v>
      </c>
      <c r="L35" s="607"/>
      <c r="M35" s="607"/>
      <c r="N35" s="607"/>
      <c r="O35" s="607"/>
      <c r="P35" s="607"/>
      <c r="Q35" s="607"/>
      <c r="R35" s="607"/>
      <c r="S35" s="607"/>
      <c r="T35" s="607"/>
      <c r="U35" s="607"/>
      <c r="V35" s="607"/>
      <c r="W35" s="607"/>
      <c r="X35" s="607"/>
      <c r="Y35" s="607"/>
      <c r="Z35" s="614"/>
    </row>
    <row r="36" spans="1:26">
      <c r="A36" s="1190"/>
      <c r="B36" s="610" t="s">
        <v>429</v>
      </c>
      <c r="C36" s="610">
        <f t="shared" si="1"/>
        <v>2</v>
      </c>
      <c r="D36" s="610">
        <f t="shared" si="2"/>
        <v>2</v>
      </c>
      <c r="E36" s="607"/>
      <c r="F36" s="608"/>
      <c r="G36" s="608"/>
      <c r="H36" s="607"/>
      <c r="I36" s="607"/>
      <c r="J36" s="607"/>
      <c r="K36" s="611" t="s">
        <v>488</v>
      </c>
      <c r="L36" s="607"/>
      <c r="M36" s="607"/>
      <c r="N36" s="607"/>
      <c r="O36" s="607"/>
      <c r="P36" s="607"/>
      <c r="Q36" s="607"/>
      <c r="R36" s="607"/>
      <c r="S36" s="607"/>
      <c r="T36" s="607"/>
      <c r="U36" s="607"/>
      <c r="V36" s="607"/>
      <c r="W36" s="607"/>
      <c r="X36" s="607"/>
      <c r="Y36" s="607"/>
      <c r="Z36" s="614"/>
    </row>
    <row r="37" spans="1:26">
      <c r="A37" s="1190"/>
      <c r="B37" s="610" t="s">
        <v>429</v>
      </c>
      <c r="C37" s="610">
        <f t="shared" si="1"/>
        <v>2</v>
      </c>
      <c r="D37" s="610">
        <f t="shared" si="2"/>
        <v>2</v>
      </c>
      <c r="E37" s="607"/>
      <c r="F37" s="608"/>
      <c r="G37" s="608"/>
      <c r="H37" s="607"/>
      <c r="I37" s="607"/>
      <c r="J37" s="607"/>
      <c r="K37" s="611" t="s">
        <v>488</v>
      </c>
      <c r="L37" s="607"/>
      <c r="M37" s="607"/>
      <c r="N37" s="607"/>
      <c r="O37" s="607"/>
      <c r="P37" s="607"/>
      <c r="Q37" s="607"/>
      <c r="R37" s="607"/>
      <c r="S37" s="607"/>
      <c r="T37" s="607"/>
      <c r="U37" s="607"/>
      <c r="V37" s="607"/>
      <c r="W37" s="607"/>
      <c r="X37" s="607"/>
      <c r="Y37" s="607"/>
      <c r="Z37" s="614"/>
    </row>
    <row r="38" spans="1:26">
      <c r="A38" s="1190"/>
      <c r="B38" s="610" t="s">
        <v>429</v>
      </c>
      <c r="C38" s="610">
        <f t="shared" si="1"/>
        <v>2</v>
      </c>
      <c r="D38" s="610">
        <f t="shared" si="2"/>
        <v>2</v>
      </c>
      <c r="E38" s="607"/>
      <c r="F38" s="608"/>
      <c r="G38" s="608"/>
      <c r="H38" s="607"/>
      <c r="I38" s="607"/>
      <c r="J38" s="607"/>
      <c r="K38" s="611" t="s">
        <v>488</v>
      </c>
      <c r="L38" s="607"/>
      <c r="M38" s="607"/>
      <c r="N38" s="607"/>
      <c r="O38" s="607"/>
      <c r="P38" s="607"/>
      <c r="Q38" s="607"/>
      <c r="R38" s="607"/>
      <c r="S38" s="607"/>
      <c r="T38" s="607"/>
      <c r="U38" s="607"/>
      <c r="V38" s="607"/>
      <c r="W38" s="607"/>
      <c r="X38" s="607"/>
      <c r="Y38" s="607"/>
      <c r="Z38" s="614"/>
    </row>
    <row r="39" spans="1:26">
      <c r="A39" s="1190"/>
      <c r="B39" s="610" t="s">
        <v>429</v>
      </c>
      <c r="C39" s="610">
        <f t="shared" si="1"/>
        <v>2</v>
      </c>
      <c r="D39" s="610">
        <f t="shared" si="2"/>
        <v>2</v>
      </c>
      <c r="E39" s="607"/>
      <c r="F39" s="608"/>
      <c r="G39" s="608"/>
      <c r="H39" s="607"/>
      <c r="I39" s="607"/>
      <c r="J39" s="607"/>
      <c r="K39" s="611" t="s">
        <v>488</v>
      </c>
      <c r="L39" s="607"/>
      <c r="M39" s="607"/>
      <c r="N39" s="607"/>
      <c r="O39" s="607"/>
      <c r="P39" s="607"/>
      <c r="Q39" s="607"/>
      <c r="R39" s="607"/>
      <c r="S39" s="607"/>
      <c r="T39" s="607"/>
      <c r="U39" s="607"/>
      <c r="V39" s="607"/>
      <c r="W39" s="607"/>
      <c r="X39" s="607"/>
      <c r="Y39" s="607"/>
      <c r="Z39" s="614"/>
    </row>
    <row r="40" spans="1:26">
      <c r="A40" s="1190"/>
      <c r="B40" s="610" t="s">
        <v>429</v>
      </c>
      <c r="C40" s="610">
        <f t="shared" si="1"/>
        <v>2</v>
      </c>
      <c r="D40" s="610">
        <f t="shared" si="2"/>
        <v>2</v>
      </c>
      <c r="E40" s="607"/>
      <c r="F40" s="608"/>
      <c r="G40" s="608"/>
      <c r="H40" s="607"/>
      <c r="I40" s="607"/>
      <c r="J40" s="607"/>
      <c r="K40" s="611" t="s">
        <v>488</v>
      </c>
      <c r="L40" s="607"/>
      <c r="M40" s="607"/>
      <c r="N40" s="607"/>
      <c r="O40" s="607"/>
      <c r="P40" s="607"/>
      <c r="Q40" s="607"/>
      <c r="R40" s="607"/>
      <c r="S40" s="607"/>
      <c r="T40" s="607"/>
      <c r="U40" s="607"/>
      <c r="V40" s="607"/>
      <c r="W40" s="607"/>
      <c r="X40" s="607"/>
      <c r="Y40" s="607"/>
      <c r="Z40" s="614"/>
    </row>
    <row r="41" spans="1:26">
      <c r="A41" s="1190"/>
      <c r="B41" s="610" t="s">
        <v>429</v>
      </c>
      <c r="C41" s="610">
        <f t="shared" si="1"/>
        <v>2</v>
      </c>
      <c r="D41" s="610">
        <f t="shared" si="2"/>
        <v>2</v>
      </c>
      <c r="E41" s="607"/>
      <c r="F41" s="608"/>
      <c r="G41" s="608"/>
      <c r="H41" s="607"/>
      <c r="I41" s="607"/>
      <c r="J41" s="607"/>
      <c r="K41" s="611" t="s">
        <v>488</v>
      </c>
      <c r="L41" s="607"/>
      <c r="M41" s="607"/>
      <c r="N41" s="607"/>
      <c r="O41" s="607"/>
      <c r="P41" s="607"/>
      <c r="Q41" s="607"/>
      <c r="R41" s="607"/>
      <c r="S41" s="607"/>
      <c r="T41" s="607"/>
      <c r="U41" s="607"/>
      <c r="V41" s="607"/>
      <c r="W41" s="607"/>
      <c r="X41" s="607"/>
      <c r="Y41" s="607"/>
      <c r="Z41" s="614"/>
    </row>
    <row r="42" spans="1:26">
      <c r="A42" s="1190"/>
      <c r="B42" s="610" t="s">
        <v>429</v>
      </c>
      <c r="C42" s="610">
        <f t="shared" si="1"/>
        <v>2</v>
      </c>
      <c r="D42" s="610">
        <f t="shared" si="2"/>
        <v>2</v>
      </c>
      <c r="E42" s="607"/>
      <c r="F42" s="608"/>
      <c r="G42" s="608"/>
      <c r="H42" s="607"/>
      <c r="I42" s="607"/>
      <c r="J42" s="607"/>
      <c r="K42" s="611" t="s">
        <v>488</v>
      </c>
      <c r="L42" s="607"/>
      <c r="M42" s="607"/>
      <c r="N42" s="607"/>
      <c r="O42" s="607"/>
      <c r="P42" s="607"/>
      <c r="Q42" s="607"/>
      <c r="R42" s="607"/>
      <c r="S42" s="607"/>
      <c r="T42" s="607"/>
      <c r="U42" s="607"/>
      <c r="V42" s="607"/>
      <c r="W42" s="607"/>
      <c r="X42" s="607"/>
      <c r="Y42" s="607"/>
      <c r="Z42" s="614"/>
    </row>
    <row r="43" spans="1:26">
      <c r="A43" s="1190"/>
      <c r="B43" s="610" t="s">
        <v>429</v>
      </c>
      <c r="C43" s="610">
        <f t="shared" si="1"/>
        <v>2</v>
      </c>
      <c r="D43" s="610">
        <f t="shared" si="2"/>
        <v>2</v>
      </c>
      <c r="E43" s="607"/>
      <c r="F43" s="608"/>
      <c r="G43" s="608"/>
      <c r="H43" s="607"/>
      <c r="I43" s="607"/>
      <c r="J43" s="607"/>
      <c r="K43" s="611" t="s">
        <v>488</v>
      </c>
      <c r="L43" s="607"/>
      <c r="M43" s="607"/>
      <c r="N43" s="607"/>
      <c r="O43" s="607"/>
      <c r="P43" s="607"/>
      <c r="Q43" s="607"/>
      <c r="R43" s="607"/>
      <c r="S43" s="607"/>
      <c r="T43" s="607"/>
      <c r="U43" s="607"/>
      <c r="V43" s="607"/>
      <c r="W43" s="607"/>
      <c r="X43" s="607"/>
      <c r="Y43" s="607"/>
      <c r="Z43" s="614"/>
    </row>
    <row r="44" spans="1:26">
      <c r="A44" s="1190"/>
      <c r="B44" s="610" t="s">
        <v>429</v>
      </c>
      <c r="C44" s="610">
        <f t="shared" si="1"/>
        <v>2</v>
      </c>
      <c r="D44" s="610">
        <f t="shared" si="2"/>
        <v>2</v>
      </c>
      <c r="E44" s="607"/>
      <c r="F44" s="608"/>
      <c r="G44" s="608"/>
      <c r="H44" s="607"/>
      <c r="I44" s="607"/>
      <c r="J44" s="607"/>
      <c r="K44" s="611" t="s">
        <v>488</v>
      </c>
      <c r="L44" s="607"/>
      <c r="M44" s="607"/>
      <c r="N44" s="607"/>
      <c r="O44" s="607"/>
      <c r="P44" s="607"/>
      <c r="Q44" s="607"/>
      <c r="R44" s="607"/>
      <c r="S44" s="607"/>
      <c r="T44" s="607"/>
      <c r="U44" s="607"/>
      <c r="V44" s="607"/>
      <c r="W44" s="607"/>
      <c r="X44" s="607"/>
      <c r="Y44" s="607"/>
      <c r="Z44" s="614"/>
    </row>
    <row r="45" spans="1:26">
      <c r="A45" s="1190"/>
      <c r="B45" s="610" t="s">
        <v>429</v>
      </c>
      <c r="C45" s="610">
        <f t="shared" si="1"/>
        <v>2</v>
      </c>
      <c r="D45" s="610">
        <f t="shared" si="2"/>
        <v>2</v>
      </c>
      <c r="E45" s="607"/>
      <c r="F45" s="608"/>
      <c r="G45" s="608"/>
      <c r="H45" s="607"/>
      <c r="I45" s="607"/>
      <c r="J45" s="607"/>
      <c r="K45" s="611" t="s">
        <v>488</v>
      </c>
      <c r="L45" s="607"/>
      <c r="M45" s="607"/>
      <c r="N45" s="607"/>
      <c r="O45" s="607"/>
      <c r="P45" s="607"/>
      <c r="Q45" s="607"/>
      <c r="R45" s="607"/>
      <c r="S45" s="607"/>
      <c r="T45" s="607"/>
      <c r="U45" s="607"/>
      <c r="V45" s="607"/>
      <c r="W45" s="607"/>
      <c r="X45" s="607"/>
      <c r="Y45" s="607"/>
      <c r="Z45" s="614"/>
    </row>
    <row r="46" spans="1:26">
      <c r="A46" s="1190"/>
      <c r="B46" s="610" t="s">
        <v>429</v>
      </c>
      <c r="C46" s="610">
        <f t="shared" si="1"/>
        <v>2</v>
      </c>
      <c r="D46" s="610">
        <f t="shared" si="2"/>
        <v>2</v>
      </c>
      <c r="E46" s="607"/>
      <c r="F46" s="608"/>
      <c r="G46" s="608"/>
      <c r="H46" s="607"/>
      <c r="I46" s="607"/>
      <c r="J46" s="607"/>
      <c r="K46" s="607" t="s">
        <v>488</v>
      </c>
      <c r="L46" s="607"/>
      <c r="M46" s="607"/>
      <c r="N46" s="607"/>
      <c r="O46" s="607"/>
      <c r="P46" s="607"/>
      <c r="Q46" s="607"/>
      <c r="R46" s="607"/>
      <c r="S46" s="607"/>
      <c r="T46" s="607"/>
      <c r="U46" s="607"/>
      <c r="V46" s="607"/>
      <c r="W46" s="607"/>
      <c r="X46" s="607"/>
      <c r="Y46" s="607"/>
      <c r="Z46" s="614"/>
    </row>
    <row r="47" spans="1:26">
      <c r="A47" s="1190"/>
      <c r="B47" s="610" t="s">
        <v>429</v>
      </c>
      <c r="C47" s="610">
        <f t="shared" si="1"/>
        <v>2</v>
      </c>
      <c r="D47" s="610">
        <f t="shared" si="2"/>
        <v>2</v>
      </c>
      <c r="E47" s="607"/>
      <c r="F47" s="608"/>
      <c r="G47" s="608"/>
      <c r="H47" s="607"/>
      <c r="I47" s="607"/>
      <c r="J47" s="607"/>
      <c r="K47" s="611" t="s">
        <v>488</v>
      </c>
      <c r="L47" s="607"/>
      <c r="M47" s="607"/>
      <c r="N47" s="607"/>
      <c r="O47" s="607"/>
      <c r="P47" s="607"/>
      <c r="Q47" s="607"/>
      <c r="R47" s="607"/>
      <c r="S47" s="607"/>
      <c r="T47" s="607"/>
      <c r="U47" s="607"/>
      <c r="V47" s="607"/>
      <c r="W47" s="607"/>
      <c r="X47" s="607"/>
      <c r="Y47" s="607"/>
      <c r="Z47" s="614"/>
    </row>
    <row r="48" spans="1:26">
      <c r="A48" s="1190"/>
      <c r="B48" s="606" t="s">
        <v>429</v>
      </c>
      <c r="C48" s="610">
        <f t="shared" si="1"/>
        <v>2</v>
      </c>
      <c r="D48" s="610">
        <f t="shared" si="2"/>
        <v>2</v>
      </c>
      <c r="E48" s="607"/>
      <c r="F48" s="608"/>
      <c r="G48" s="608"/>
      <c r="H48" s="607"/>
      <c r="I48" s="607"/>
      <c r="J48" s="607"/>
      <c r="K48" s="607" t="s">
        <v>488</v>
      </c>
      <c r="L48" s="607"/>
      <c r="M48" s="607"/>
      <c r="N48" s="607"/>
      <c r="O48" s="607"/>
      <c r="P48" s="607"/>
      <c r="Q48" s="607"/>
      <c r="R48" s="607"/>
      <c r="S48" s="607"/>
      <c r="T48" s="607"/>
      <c r="U48" s="607"/>
      <c r="V48" s="607"/>
      <c r="W48" s="607"/>
      <c r="X48" s="607"/>
      <c r="Y48" s="607"/>
      <c r="Z48" s="609"/>
    </row>
    <row r="49" spans="1:26">
      <c r="A49" s="1190"/>
      <c r="B49" s="606" t="s">
        <v>429</v>
      </c>
      <c r="C49" s="610">
        <f t="shared" si="1"/>
        <v>2</v>
      </c>
      <c r="D49" s="610">
        <f t="shared" si="2"/>
        <v>2</v>
      </c>
      <c r="E49" s="607"/>
      <c r="F49" s="608"/>
      <c r="G49" s="608"/>
      <c r="H49" s="607"/>
      <c r="I49" s="607"/>
      <c r="J49" s="607"/>
      <c r="K49" s="607" t="s">
        <v>488</v>
      </c>
      <c r="L49" s="607"/>
      <c r="M49" s="607"/>
      <c r="N49" s="607"/>
      <c r="O49" s="607"/>
      <c r="P49" s="607"/>
      <c r="Q49" s="607"/>
      <c r="R49" s="607"/>
      <c r="S49" s="607"/>
      <c r="T49" s="607"/>
      <c r="U49" s="607"/>
      <c r="V49" s="607"/>
      <c r="W49" s="607"/>
      <c r="X49" s="607"/>
      <c r="Y49" s="607"/>
      <c r="Z49" s="609"/>
    </row>
    <row r="50" spans="1:26">
      <c r="A50" s="1190"/>
      <c r="B50" s="606" t="s">
        <v>429</v>
      </c>
      <c r="C50" s="610">
        <f t="shared" si="1"/>
        <v>2</v>
      </c>
      <c r="D50" s="610">
        <f t="shared" si="2"/>
        <v>2</v>
      </c>
      <c r="E50" s="607"/>
      <c r="F50" s="608"/>
      <c r="G50" s="608"/>
      <c r="H50" s="607"/>
      <c r="I50" s="607"/>
      <c r="J50" s="607"/>
      <c r="K50" s="607" t="s">
        <v>488</v>
      </c>
      <c r="L50" s="607"/>
      <c r="M50" s="607"/>
      <c r="N50" s="607"/>
      <c r="O50" s="607"/>
      <c r="P50" s="607"/>
      <c r="Q50" s="607"/>
      <c r="R50" s="607"/>
      <c r="S50" s="607"/>
      <c r="T50" s="607"/>
      <c r="U50" s="607"/>
      <c r="V50" s="607"/>
      <c r="W50" s="607"/>
      <c r="X50" s="607"/>
      <c r="Y50" s="607"/>
      <c r="Z50" s="609"/>
    </row>
    <row r="51" spans="1:26">
      <c r="A51" s="1190"/>
      <c r="B51" s="606" t="s">
        <v>429</v>
      </c>
      <c r="C51" s="610">
        <f t="shared" si="1"/>
        <v>2</v>
      </c>
      <c r="D51" s="610">
        <f t="shared" si="2"/>
        <v>2</v>
      </c>
      <c r="E51" s="607"/>
      <c r="F51" s="608"/>
      <c r="G51" s="608"/>
      <c r="H51" s="607"/>
      <c r="I51" s="607"/>
      <c r="J51" s="607"/>
      <c r="K51" s="607" t="s">
        <v>488</v>
      </c>
      <c r="L51" s="607"/>
      <c r="M51" s="607"/>
      <c r="N51" s="607"/>
      <c r="O51" s="607"/>
      <c r="P51" s="607"/>
      <c r="Q51" s="607"/>
      <c r="R51" s="607"/>
      <c r="S51" s="607"/>
      <c r="T51" s="607"/>
      <c r="U51" s="607"/>
      <c r="V51" s="607"/>
      <c r="W51" s="607"/>
      <c r="X51" s="607"/>
      <c r="Y51" s="607"/>
      <c r="Z51" s="609"/>
    </row>
    <row r="52" spans="1:26">
      <c r="A52" s="1190"/>
      <c r="B52" s="606" t="s">
        <v>429</v>
      </c>
      <c r="C52" s="610">
        <f t="shared" si="1"/>
        <v>2</v>
      </c>
      <c r="D52" s="610">
        <f t="shared" si="2"/>
        <v>2</v>
      </c>
      <c r="E52" s="607"/>
      <c r="F52" s="608"/>
      <c r="G52" s="608"/>
      <c r="H52" s="607"/>
      <c r="I52" s="607"/>
      <c r="J52" s="607"/>
      <c r="K52" s="607" t="s">
        <v>488</v>
      </c>
      <c r="L52" s="607"/>
      <c r="M52" s="607"/>
      <c r="N52" s="607"/>
      <c r="O52" s="607"/>
      <c r="P52" s="607"/>
      <c r="Q52" s="607"/>
      <c r="R52" s="607"/>
      <c r="S52" s="607"/>
      <c r="T52" s="607"/>
      <c r="U52" s="607"/>
      <c r="V52" s="607"/>
      <c r="W52" s="607"/>
      <c r="X52" s="607"/>
      <c r="Y52" s="607"/>
      <c r="Z52" s="609"/>
    </row>
    <row r="53" spans="1:26">
      <c r="A53" s="1190"/>
      <c r="B53" s="606" t="s">
        <v>429</v>
      </c>
      <c r="C53" s="610">
        <f t="shared" si="1"/>
        <v>2</v>
      </c>
      <c r="D53" s="610">
        <f t="shared" si="2"/>
        <v>2</v>
      </c>
      <c r="E53" s="607"/>
      <c r="F53" s="608"/>
      <c r="G53" s="608"/>
      <c r="H53" s="607"/>
      <c r="I53" s="607"/>
      <c r="J53" s="607"/>
      <c r="K53" s="607" t="s">
        <v>488</v>
      </c>
      <c r="L53" s="607"/>
      <c r="M53" s="607"/>
      <c r="N53" s="607"/>
      <c r="O53" s="607"/>
      <c r="P53" s="607"/>
      <c r="Q53" s="607"/>
      <c r="R53" s="607"/>
      <c r="S53" s="607"/>
      <c r="T53" s="607"/>
      <c r="U53" s="607"/>
      <c r="V53" s="607"/>
      <c r="W53" s="607"/>
      <c r="X53" s="607"/>
      <c r="Y53" s="607"/>
      <c r="Z53" s="609"/>
    </row>
    <row r="54" spans="1:26">
      <c r="A54" s="1190"/>
      <c r="B54" s="606" t="s">
        <v>429</v>
      </c>
      <c r="C54" s="610">
        <f t="shared" si="1"/>
        <v>2</v>
      </c>
      <c r="D54" s="610">
        <f t="shared" si="2"/>
        <v>2</v>
      </c>
      <c r="E54" s="607"/>
      <c r="F54" s="608"/>
      <c r="G54" s="608"/>
      <c r="H54" s="607"/>
      <c r="I54" s="607"/>
      <c r="J54" s="607"/>
      <c r="K54" s="607" t="s">
        <v>488</v>
      </c>
      <c r="L54" s="607"/>
      <c r="M54" s="607"/>
      <c r="N54" s="607"/>
      <c r="O54" s="607"/>
      <c r="P54" s="607"/>
      <c r="Q54" s="607"/>
      <c r="R54" s="607"/>
      <c r="S54" s="607"/>
      <c r="T54" s="607"/>
      <c r="U54" s="607"/>
      <c r="V54" s="607"/>
      <c r="W54" s="607"/>
      <c r="X54" s="607"/>
      <c r="Y54" s="607"/>
      <c r="Z54" s="609"/>
    </row>
    <row r="55" spans="1:26">
      <c r="A55" s="1190"/>
      <c r="B55" s="606" t="s">
        <v>429</v>
      </c>
      <c r="C55" s="610">
        <f t="shared" si="1"/>
        <v>2</v>
      </c>
      <c r="D55" s="610">
        <f t="shared" si="2"/>
        <v>2</v>
      </c>
      <c r="E55" s="607"/>
      <c r="F55" s="608"/>
      <c r="G55" s="608"/>
      <c r="H55" s="607"/>
      <c r="I55" s="607"/>
      <c r="J55" s="607"/>
      <c r="K55" s="607" t="s">
        <v>488</v>
      </c>
      <c r="L55" s="607"/>
      <c r="M55" s="607"/>
      <c r="N55" s="607"/>
      <c r="O55" s="607"/>
      <c r="P55" s="607"/>
      <c r="Q55" s="607"/>
      <c r="R55" s="607"/>
      <c r="S55" s="607"/>
      <c r="T55" s="607"/>
      <c r="U55" s="607"/>
      <c r="V55" s="607"/>
      <c r="W55" s="607"/>
      <c r="X55" s="607"/>
      <c r="Y55" s="607"/>
      <c r="Z55" s="609"/>
    </row>
    <row r="56" spans="1:26">
      <c r="A56" s="1190"/>
      <c r="B56" s="606" t="s">
        <v>429</v>
      </c>
      <c r="C56" s="610">
        <f t="shared" si="1"/>
        <v>2</v>
      </c>
      <c r="D56" s="610">
        <f t="shared" si="2"/>
        <v>2</v>
      </c>
      <c r="E56" s="607"/>
      <c r="F56" s="608"/>
      <c r="G56" s="608"/>
      <c r="H56" s="607"/>
      <c r="I56" s="607"/>
      <c r="J56" s="607"/>
      <c r="K56" s="607" t="s">
        <v>488</v>
      </c>
      <c r="L56" s="607"/>
      <c r="M56" s="607"/>
      <c r="N56" s="607"/>
      <c r="O56" s="607"/>
      <c r="P56" s="607"/>
      <c r="Q56" s="607"/>
      <c r="R56" s="607"/>
      <c r="S56" s="607"/>
      <c r="T56" s="607"/>
      <c r="U56" s="607"/>
      <c r="V56" s="607"/>
      <c r="W56" s="607"/>
      <c r="X56" s="607"/>
      <c r="Y56" s="607"/>
      <c r="Z56" s="609"/>
    </row>
    <row r="57" spans="1:26">
      <c r="A57" s="1190"/>
      <c r="B57" s="606" t="s">
        <v>429</v>
      </c>
      <c r="C57" s="607">
        <f t="shared" si="1"/>
        <v>2</v>
      </c>
      <c r="D57" s="607">
        <f t="shared" si="2"/>
        <v>2</v>
      </c>
      <c r="E57" s="740"/>
      <c r="F57" s="608"/>
      <c r="G57" s="608"/>
      <c r="H57" s="607"/>
      <c r="I57" s="607"/>
      <c r="J57" s="607"/>
      <c r="K57" s="607" t="s">
        <v>488</v>
      </c>
      <c r="L57" s="607"/>
      <c r="M57" s="607"/>
      <c r="N57" s="607"/>
      <c r="O57" s="607"/>
      <c r="P57" s="607"/>
      <c r="Q57" s="607"/>
      <c r="R57" s="607"/>
      <c r="S57" s="607"/>
      <c r="T57" s="607"/>
      <c r="U57" s="607"/>
      <c r="V57" s="607"/>
      <c r="W57" s="607"/>
      <c r="X57" s="607"/>
      <c r="Y57" s="607"/>
      <c r="Z57" s="607"/>
    </row>
    <row r="58" spans="1:26">
      <c r="A58" s="1190"/>
      <c r="B58" s="606" t="s">
        <v>429</v>
      </c>
      <c r="C58" s="607">
        <f t="shared" si="1"/>
        <v>2</v>
      </c>
      <c r="D58" s="607">
        <f t="shared" si="2"/>
        <v>2</v>
      </c>
      <c r="E58" s="740"/>
      <c r="F58" s="608"/>
      <c r="G58" s="608"/>
      <c r="H58" s="607"/>
      <c r="I58" s="607"/>
      <c r="J58" s="607"/>
      <c r="K58" s="607" t="s">
        <v>488</v>
      </c>
      <c r="L58" s="607"/>
      <c r="M58" s="607"/>
      <c r="N58" s="607"/>
      <c r="O58" s="607"/>
      <c r="P58" s="607"/>
      <c r="Q58" s="607"/>
      <c r="R58" s="607"/>
      <c r="S58" s="607"/>
      <c r="T58" s="607"/>
      <c r="U58" s="607"/>
      <c r="V58" s="607"/>
      <c r="W58" s="607"/>
      <c r="X58" s="607"/>
      <c r="Y58" s="607"/>
      <c r="Z58" s="607"/>
    </row>
    <row r="59" spans="1:26" ht="60.75" thickBot="1">
      <c r="A59" s="1190"/>
      <c r="B59" s="742" t="s">
        <v>429</v>
      </c>
      <c r="C59" s="740">
        <f t="shared" si="1"/>
        <v>2</v>
      </c>
      <c r="D59" s="740">
        <f t="shared" si="2"/>
        <v>2</v>
      </c>
      <c r="E59" s="740" t="s">
        <v>507</v>
      </c>
      <c r="F59" s="741" t="s">
        <v>508</v>
      </c>
      <c r="G59" s="741"/>
      <c r="H59" s="740"/>
      <c r="I59" s="740"/>
      <c r="J59" s="740"/>
      <c r="K59" s="740" t="s">
        <v>488</v>
      </c>
      <c r="L59" s="740">
        <f>ROUND(Pricing!$Y27*Plan_Length,0)</f>
        <v>10</v>
      </c>
      <c r="M59" s="740">
        <f>ROUND(Pricing!$Y28*Plan_Length,0)</f>
        <v>0</v>
      </c>
      <c r="N59" s="740">
        <f>ROUND(Pricing!$Y29*Plan_Length,0)</f>
        <v>0</v>
      </c>
      <c r="O59" s="740">
        <f>ROUND(Pricing!$Y30*Plan_Length,0)</f>
        <v>0</v>
      </c>
      <c r="P59" s="740">
        <f>ROUND(Pricing!$Y31*Plan_Length,0)</f>
        <v>2</v>
      </c>
      <c r="Q59" s="740">
        <f>ROUND(Pricing!$Y32*Plan_Length,0)</f>
        <v>0</v>
      </c>
      <c r="R59" s="740">
        <f>ROUND(Pricing!$Y33*Plan_Length,0)</f>
        <v>0</v>
      </c>
      <c r="S59" s="740">
        <f>ROUND(Pricing!$Y34*Plan_Length,0)</f>
        <v>0</v>
      </c>
      <c r="T59" s="740">
        <f>ROUND(Pricing!$Y35*Plan_Length,0)</f>
        <v>0</v>
      </c>
      <c r="U59" s="740">
        <f>ROUND(Pricing!$Y36*Plan_Length,0)</f>
        <v>0</v>
      </c>
      <c r="V59" s="740">
        <f>ROUND(Pricing!$Y37*Plan_Length,0)</f>
        <v>0</v>
      </c>
      <c r="W59" s="740">
        <f>ROUND(Pricing!$Y38*Plan_Length,0)</f>
        <v>0</v>
      </c>
      <c r="X59" s="740">
        <f>ROUND(Pricing!$Y39*Plan_Length,0)</f>
        <v>0</v>
      </c>
      <c r="Y59" s="740">
        <f>ROUND(Pricing!$Y40*Plan_Length,0)</f>
        <v>0</v>
      </c>
      <c r="Z59" s="740">
        <f>ROUND(Pricing!$Y41*Plan_Length,0)</f>
        <v>0</v>
      </c>
    </row>
    <row r="60" spans="1:26" ht="60.75" thickBot="1">
      <c r="A60" s="1190"/>
      <c r="B60" s="760" t="s">
        <v>429</v>
      </c>
      <c r="C60" s="761">
        <f>PLAN_END</f>
        <v>2</v>
      </c>
      <c r="D60" s="761">
        <f t="shared" si="2"/>
        <v>2</v>
      </c>
      <c r="E60" s="761" t="s">
        <v>509</v>
      </c>
      <c r="F60" s="761"/>
      <c r="G60" s="761"/>
      <c r="H60" s="762"/>
      <c r="I60" s="762"/>
      <c r="J60" s="761" t="s">
        <v>510</v>
      </c>
      <c r="K60" s="762" t="s">
        <v>488</v>
      </c>
      <c r="L60" s="762"/>
      <c r="M60" s="762"/>
      <c r="N60" s="762"/>
      <c r="O60" s="762"/>
      <c r="P60" s="762"/>
      <c r="Q60" s="762"/>
      <c r="R60" s="762"/>
      <c r="S60" s="762"/>
      <c r="T60" s="762"/>
      <c r="U60" s="762"/>
      <c r="V60" s="762"/>
      <c r="W60" s="762"/>
      <c r="X60" s="762"/>
      <c r="Y60" s="762"/>
      <c r="Z60" s="763">
        <f>20*0</f>
        <v>0</v>
      </c>
    </row>
    <row r="61" spans="1:26" ht="60">
      <c r="A61" s="1191" t="s">
        <v>97</v>
      </c>
      <c r="B61" s="610" t="s">
        <v>97</v>
      </c>
      <c r="C61" s="610">
        <f t="shared" ref="C61:C92" si="3">EXECUTE_START</f>
        <v>3</v>
      </c>
      <c r="D61" s="610">
        <f t="shared" ref="D61:D92" si="4">EXECUTE_END</f>
        <v>6</v>
      </c>
      <c r="E61" s="612" t="s">
        <v>511</v>
      </c>
      <c r="F61" s="612" t="s">
        <v>512</v>
      </c>
      <c r="G61" s="612" t="s">
        <v>513</v>
      </c>
      <c r="H61" s="611"/>
      <c r="I61" s="611"/>
      <c r="J61" s="611"/>
      <c r="K61" s="611" t="s">
        <v>488</v>
      </c>
      <c r="L61" s="611"/>
      <c r="M61" s="737"/>
      <c r="N61" s="737"/>
      <c r="O61" s="611">
        <v>120</v>
      </c>
      <c r="P61" s="611"/>
      <c r="Q61" s="611"/>
      <c r="R61" s="611"/>
      <c r="S61" s="611"/>
      <c r="T61" s="611"/>
      <c r="U61" s="611"/>
      <c r="V61" s="611"/>
      <c r="W61" s="611"/>
      <c r="X61" s="611"/>
      <c r="Y61" s="611"/>
      <c r="Z61" s="749"/>
    </row>
    <row r="62" spans="1:26">
      <c r="A62" s="1192"/>
      <c r="B62" s="606" t="s">
        <v>97</v>
      </c>
      <c r="C62" s="610">
        <f t="shared" si="3"/>
        <v>3</v>
      </c>
      <c r="D62" s="610">
        <f t="shared" si="4"/>
        <v>6</v>
      </c>
      <c r="E62" s="608" t="s">
        <v>514</v>
      </c>
      <c r="F62" s="608" t="s">
        <v>515</v>
      </c>
      <c r="G62" s="608"/>
      <c r="H62" s="607"/>
      <c r="I62" s="607"/>
      <c r="J62" s="607"/>
      <c r="K62" s="607" t="s">
        <v>488</v>
      </c>
      <c r="L62" s="607"/>
      <c r="M62" s="700"/>
      <c r="N62" s="700">
        <v>40</v>
      </c>
      <c r="O62" s="607"/>
      <c r="P62" s="607"/>
      <c r="Q62" s="607"/>
      <c r="R62" s="607"/>
      <c r="S62" s="607"/>
      <c r="T62" s="607"/>
      <c r="U62" s="607"/>
      <c r="V62" s="607"/>
      <c r="W62" s="607"/>
      <c r="X62" s="607"/>
      <c r="Y62" s="607"/>
      <c r="Z62" s="614"/>
    </row>
    <row r="63" spans="1:26" ht="30">
      <c r="A63" s="1192"/>
      <c r="B63" s="606" t="s">
        <v>97</v>
      </c>
      <c r="C63" s="610">
        <f t="shared" si="3"/>
        <v>3</v>
      </c>
      <c r="D63" s="610">
        <f t="shared" si="4"/>
        <v>6</v>
      </c>
      <c r="E63" s="608" t="s">
        <v>516</v>
      </c>
      <c r="F63" s="608" t="s">
        <v>517</v>
      </c>
      <c r="G63" s="608"/>
      <c r="H63" s="607"/>
      <c r="I63" s="607"/>
      <c r="J63" s="607"/>
      <c r="K63" s="607" t="s">
        <v>488</v>
      </c>
      <c r="L63" s="607"/>
      <c r="M63" s="700">
        <v>4</v>
      </c>
      <c r="N63" s="700"/>
      <c r="O63" s="607">
        <v>4</v>
      </c>
      <c r="P63" s="607"/>
      <c r="Q63" s="607"/>
      <c r="R63" s="607"/>
      <c r="S63" s="607"/>
      <c r="T63" s="607"/>
      <c r="U63" s="607"/>
      <c r="V63" s="607"/>
      <c r="W63" s="607"/>
      <c r="X63" s="607"/>
      <c r="Y63" s="607"/>
      <c r="Z63" s="614"/>
    </row>
    <row r="64" spans="1:26">
      <c r="A64" s="1192"/>
      <c r="B64" s="606" t="s">
        <v>97</v>
      </c>
      <c r="C64" s="610">
        <f t="shared" si="3"/>
        <v>3</v>
      </c>
      <c r="D64" s="610">
        <f t="shared" si="4"/>
        <v>6</v>
      </c>
      <c r="E64" s="608"/>
      <c r="F64" s="608"/>
      <c r="G64" s="608"/>
      <c r="H64" s="607"/>
      <c r="I64" s="607"/>
      <c r="J64" s="607"/>
      <c r="K64" s="607" t="s">
        <v>488</v>
      </c>
      <c r="L64" s="607"/>
      <c r="M64" s="700"/>
      <c r="N64" s="700"/>
      <c r="O64" s="607"/>
      <c r="P64" s="607"/>
      <c r="Q64" s="607"/>
      <c r="R64" s="607"/>
      <c r="S64" s="607"/>
      <c r="T64" s="607"/>
      <c r="U64" s="607"/>
      <c r="V64" s="607"/>
      <c r="W64" s="607"/>
      <c r="X64" s="607"/>
      <c r="Y64" s="607"/>
      <c r="Z64" s="614"/>
    </row>
    <row r="65" spans="1:26">
      <c r="A65" s="1192"/>
      <c r="B65" s="606" t="s">
        <v>97</v>
      </c>
      <c r="C65" s="610">
        <f t="shared" si="3"/>
        <v>3</v>
      </c>
      <c r="D65" s="610">
        <f t="shared" si="4"/>
        <v>6</v>
      </c>
      <c r="E65" s="607"/>
      <c r="F65" s="608"/>
      <c r="G65" s="608"/>
      <c r="H65" s="607"/>
      <c r="I65" s="607"/>
      <c r="J65" s="607"/>
      <c r="K65" s="607" t="s">
        <v>488</v>
      </c>
      <c r="L65" s="607"/>
      <c r="M65" s="700"/>
      <c r="N65" s="700"/>
      <c r="O65" s="607"/>
      <c r="P65" s="607"/>
      <c r="Q65" s="607"/>
      <c r="R65" s="607"/>
      <c r="S65" s="607"/>
      <c r="T65" s="607"/>
      <c r="U65" s="607"/>
      <c r="V65" s="607"/>
      <c r="W65" s="607"/>
      <c r="X65" s="607"/>
      <c r="Y65" s="607"/>
      <c r="Z65" s="609"/>
    </row>
    <row r="66" spans="1:26">
      <c r="A66" s="1192"/>
      <c r="B66" s="606" t="s">
        <v>97</v>
      </c>
      <c r="C66" s="610">
        <f t="shared" si="3"/>
        <v>3</v>
      </c>
      <c r="D66" s="610">
        <f t="shared" si="4"/>
        <v>6</v>
      </c>
      <c r="E66" s="607"/>
      <c r="F66" s="608"/>
      <c r="G66" s="608"/>
      <c r="H66" s="607"/>
      <c r="I66" s="607"/>
      <c r="J66" s="607"/>
      <c r="K66" s="607" t="s">
        <v>488</v>
      </c>
      <c r="L66" s="607"/>
      <c r="M66" s="700"/>
      <c r="N66" s="700"/>
      <c r="O66" s="607"/>
      <c r="P66" s="607"/>
      <c r="Q66" s="607"/>
      <c r="R66" s="607"/>
      <c r="S66" s="607"/>
      <c r="T66" s="607"/>
      <c r="U66" s="607"/>
      <c r="V66" s="607"/>
      <c r="W66" s="607"/>
      <c r="X66" s="607"/>
      <c r="Y66" s="607"/>
      <c r="Z66" s="609"/>
    </row>
    <row r="67" spans="1:26">
      <c r="A67" s="1192"/>
      <c r="B67" s="606" t="s">
        <v>97</v>
      </c>
      <c r="C67" s="610">
        <f t="shared" si="3"/>
        <v>3</v>
      </c>
      <c r="D67" s="610">
        <f t="shared" si="4"/>
        <v>6</v>
      </c>
      <c r="E67" s="607"/>
      <c r="F67" s="608"/>
      <c r="G67" s="608"/>
      <c r="H67" s="607"/>
      <c r="I67" s="607"/>
      <c r="J67" s="607"/>
      <c r="K67" s="607" t="s">
        <v>488</v>
      </c>
      <c r="L67" s="607"/>
      <c r="M67" s="700"/>
      <c r="N67" s="700"/>
      <c r="O67" s="700"/>
      <c r="P67" s="607"/>
      <c r="Q67" s="607"/>
      <c r="R67" s="607"/>
      <c r="S67" s="607"/>
      <c r="T67" s="607"/>
      <c r="U67" s="607"/>
      <c r="V67" s="607"/>
      <c r="W67" s="607"/>
      <c r="X67" s="607"/>
      <c r="Y67" s="607"/>
      <c r="Z67" s="609"/>
    </row>
    <row r="68" spans="1:26">
      <c r="A68" s="1192"/>
      <c r="B68" s="606" t="s">
        <v>97</v>
      </c>
      <c r="C68" s="610">
        <f t="shared" si="3"/>
        <v>3</v>
      </c>
      <c r="D68" s="610">
        <f t="shared" si="4"/>
        <v>6</v>
      </c>
      <c r="E68" s="607"/>
      <c r="F68" s="608"/>
      <c r="G68" s="608"/>
      <c r="H68" s="607"/>
      <c r="I68" s="607"/>
      <c r="J68" s="607"/>
      <c r="K68" s="607" t="s">
        <v>488</v>
      </c>
      <c r="L68" s="607"/>
      <c r="M68" s="607"/>
      <c r="N68" s="607"/>
      <c r="O68" s="607"/>
      <c r="P68" s="607"/>
      <c r="Q68" s="607"/>
      <c r="R68" s="607"/>
      <c r="S68" s="607"/>
      <c r="T68" s="607"/>
      <c r="U68" s="607"/>
      <c r="V68" s="607"/>
      <c r="W68" s="607"/>
      <c r="X68" s="607"/>
      <c r="Y68" s="607"/>
      <c r="Z68" s="609"/>
    </row>
    <row r="69" spans="1:26">
      <c r="A69" s="1192"/>
      <c r="B69" s="606" t="s">
        <v>97</v>
      </c>
      <c r="C69" s="610">
        <f t="shared" si="3"/>
        <v>3</v>
      </c>
      <c r="D69" s="610">
        <f t="shared" si="4"/>
        <v>6</v>
      </c>
      <c r="E69" s="607"/>
      <c r="F69" s="608"/>
      <c r="G69" s="608"/>
      <c r="H69" s="607"/>
      <c r="I69" s="607"/>
      <c r="J69" s="607"/>
      <c r="K69" s="607" t="s">
        <v>488</v>
      </c>
      <c r="L69" s="607"/>
      <c r="M69" s="607"/>
      <c r="N69" s="607"/>
      <c r="O69" s="607"/>
      <c r="P69" s="607"/>
      <c r="Q69" s="607"/>
      <c r="R69" s="607"/>
      <c r="S69" s="607"/>
      <c r="T69" s="607"/>
      <c r="U69" s="607"/>
      <c r="V69" s="607"/>
      <c r="W69" s="607"/>
      <c r="X69" s="607"/>
      <c r="Y69" s="607"/>
      <c r="Z69" s="609"/>
    </row>
    <row r="70" spans="1:26">
      <c r="A70" s="1192"/>
      <c r="B70" s="606" t="s">
        <v>97</v>
      </c>
      <c r="C70" s="610">
        <f t="shared" si="3"/>
        <v>3</v>
      </c>
      <c r="D70" s="610">
        <f t="shared" si="4"/>
        <v>6</v>
      </c>
      <c r="E70" s="607"/>
      <c r="F70" s="608"/>
      <c r="G70" s="608"/>
      <c r="H70" s="607"/>
      <c r="I70" s="607"/>
      <c r="J70" s="607"/>
      <c r="K70" s="607" t="s">
        <v>488</v>
      </c>
      <c r="L70" s="607"/>
      <c r="M70" s="607"/>
      <c r="N70" s="607"/>
      <c r="O70" s="607"/>
      <c r="P70" s="607"/>
      <c r="Q70" s="607"/>
      <c r="R70" s="607"/>
      <c r="S70" s="607"/>
      <c r="T70" s="607"/>
      <c r="U70" s="607"/>
      <c r="V70" s="607"/>
      <c r="W70" s="607"/>
      <c r="X70" s="607"/>
      <c r="Y70" s="607"/>
      <c r="Z70" s="609"/>
    </row>
    <row r="71" spans="1:26">
      <c r="A71" s="1192"/>
      <c r="B71" s="606" t="s">
        <v>97</v>
      </c>
      <c r="C71" s="610">
        <f t="shared" si="3"/>
        <v>3</v>
      </c>
      <c r="D71" s="610">
        <f t="shared" si="4"/>
        <v>6</v>
      </c>
      <c r="E71" s="607"/>
      <c r="F71" s="608"/>
      <c r="G71" s="608"/>
      <c r="H71" s="607"/>
      <c r="I71" s="607"/>
      <c r="J71" s="607"/>
      <c r="K71" s="607" t="s">
        <v>488</v>
      </c>
      <c r="L71" s="607"/>
      <c r="M71" s="607"/>
      <c r="N71" s="607"/>
      <c r="O71" s="607"/>
      <c r="P71" s="607"/>
      <c r="Q71" s="607"/>
      <c r="R71" s="607"/>
      <c r="S71" s="607"/>
      <c r="T71" s="607"/>
      <c r="U71" s="607"/>
      <c r="V71" s="607"/>
      <c r="W71" s="607"/>
      <c r="X71" s="607"/>
      <c r="Y71" s="607"/>
      <c r="Z71" s="609"/>
    </row>
    <row r="72" spans="1:26">
      <c r="A72" s="1192"/>
      <c r="B72" s="606" t="s">
        <v>97</v>
      </c>
      <c r="C72" s="610">
        <f t="shared" si="3"/>
        <v>3</v>
      </c>
      <c r="D72" s="610">
        <f t="shared" si="4"/>
        <v>6</v>
      </c>
      <c r="E72" s="607"/>
      <c r="F72" s="608"/>
      <c r="G72" s="608"/>
      <c r="H72" s="607"/>
      <c r="I72" s="607"/>
      <c r="J72" s="607"/>
      <c r="K72" s="607" t="s">
        <v>488</v>
      </c>
      <c r="L72" s="607"/>
      <c r="M72" s="607"/>
      <c r="N72" s="607"/>
      <c r="O72" s="607"/>
      <c r="P72" s="607"/>
      <c r="Q72" s="607"/>
      <c r="R72" s="607"/>
      <c r="S72" s="607"/>
      <c r="T72" s="607"/>
      <c r="U72" s="607"/>
      <c r="V72" s="607"/>
      <c r="W72" s="607"/>
      <c r="X72" s="607"/>
      <c r="Y72" s="607"/>
      <c r="Z72" s="609"/>
    </row>
    <row r="73" spans="1:26">
      <c r="A73" s="1192"/>
      <c r="B73" s="606" t="s">
        <v>97</v>
      </c>
      <c r="C73" s="610">
        <f t="shared" si="3"/>
        <v>3</v>
      </c>
      <c r="D73" s="610">
        <f t="shared" si="4"/>
        <v>6</v>
      </c>
      <c r="E73" s="607"/>
      <c r="F73" s="608"/>
      <c r="G73" s="608"/>
      <c r="H73" s="607"/>
      <c r="I73" s="607"/>
      <c r="J73" s="607"/>
      <c r="K73" s="607" t="s">
        <v>488</v>
      </c>
      <c r="L73" s="607"/>
      <c r="M73" s="607"/>
      <c r="N73" s="607"/>
      <c r="O73" s="607"/>
      <c r="P73" s="607"/>
      <c r="Q73" s="607"/>
      <c r="R73" s="607"/>
      <c r="S73" s="607"/>
      <c r="T73" s="607"/>
      <c r="U73" s="607"/>
      <c r="V73" s="607"/>
      <c r="W73" s="607"/>
      <c r="X73" s="607"/>
      <c r="Y73" s="607"/>
      <c r="Z73" s="609"/>
    </row>
    <row r="74" spans="1:26">
      <c r="A74" s="1192"/>
      <c r="B74" s="606" t="s">
        <v>97</v>
      </c>
      <c r="C74" s="610">
        <f t="shared" si="3"/>
        <v>3</v>
      </c>
      <c r="D74" s="610">
        <f t="shared" si="4"/>
        <v>6</v>
      </c>
      <c r="E74" s="607"/>
      <c r="F74" s="608"/>
      <c r="G74" s="608"/>
      <c r="H74" s="607"/>
      <c r="I74" s="607"/>
      <c r="J74" s="607"/>
      <c r="K74" s="607" t="s">
        <v>488</v>
      </c>
      <c r="L74" s="607"/>
      <c r="M74" s="607"/>
      <c r="N74" s="607"/>
      <c r="O74" s="607"/>
      <c r="P74" s="607"/>
      <c r="Q74" s="607"/>
      <c r="R74" s="607"/>
      <c r="S74" s="607"/>
      <c r="T74" s="607"/>
      <c r="U74" s="607"/>
      <c r="V74" s="607"/>
      <c r="W74" s="607"/>
      <c r="X74" s="607"/>
      <c r="Y74" s="607"/>
      <c r="Z74" s="609"/>
    </row>
    <row r="75" spans="1:26">
      <c r="A75" s="1192"/>
      <c r="B75" s="606" t="s">
        <v>97</v>
      </c>
      <c r="C75" s="610">
        <f t="shared" si="3"/>
        <v>3</v>
      </c>
      <c r="D75" s="610">
        <f t="shared" si="4"/>
        <v>6</v>
      </c>
      <c r="E75" s="607"/>
      <c r="F75" s="608"/>
      <c r="G75" s="608"/>
      <c r="H75" s="607"/>
      <c r="I75" s="607"/>
      <c r="J75" s="607"/>
      <c r="K75" s="607" t="s">
        <v>488</v>
      </c>
      <c r="L75" s="607"/>
      <c r="M75" s="607"/>
      <c r="N75" s="607"/>
      <c r="O75" s="607"/>
      <c r="P75" s="607"/>
      <c r="Q75" s="607"/>
      <c r="R75" s="607"/>
      <c r="S75" s="607"/>
      <c r="T75" s="607"/>
      <c r="U75" s="607"/>
      <c r="V75" s="607"/>
      <c r="W75" s="607"/>
      <c r="X75" s="607"/>
      <c r="Y75" s="607"/>
      <c r="Z75" s="609"/>
    </row>
    <row r="76" spans="1:26">
      <c r="A76" s="1192"/>
      <c r="B76" s="606" t="s">
        <v>97</v>
      </c>
      <c r="C76" s="610">
        <f t="shared" si="3"/>
        <v>3</v>
      </c>
      <c r="D76" s="610">
        <f t="shared" si="4"/>
        <v>6</v>
      </c>
      <c r="E76" s="607"/>
      <c r="F76" s="608"/>
      <c r="G76" s="608"/>
      <c r="H76" s="607"/>
      <c r="I76" s="607"/>
      <c r="J76" s="607"/>
      <c r="K76" s="607" t="s">
        <v>488</v>
      </c>
      <c r="L76" s="607"/>
      <c r="M76" s="607"/>
      <c r="N76" s="607"/>
      <c r="O76" s="607"/>
      <c r="P76" s="607"/>
      <c r="Q76" s="607"/>
      <c r="R76" s="607"/>
      <c r="S76" s="607"/>
      <c r="T76" s="607"/>
      <c r="U76" s="607"/>
      <c r="V76" s="607"/>
      <c r="W76" s="607"/>
      <c r="X76" s="607"/>
      <c r="Y76" s="607"/>
      <c r="Z76" s="609"/>
    </row>
    <row r="77" spans="1:26">
      <c r="A77" s="1192"/>
      <c r="B77" s="606" t="s">
        <v>97</v>
      </c>
      <c r="C77" s="610">
        <f t="shared" si="3"/>
        <v>3</v>
      </c>
      <c r="D77" s="610">
        <f t="shared" si="4"/>
        <v>6</v>
      </c>
      <c r="E77" s="607"/>
      <c r="F77" s="608"/>
      <c r="G77" s="608"/>
      <c r="H77" s="607"/>
      <c r="I77" s="607"/>
      <c r="J77" s="607"/>
      <c r="K77" s="607" t="s">
        <v>488</v>
      </c>
      <c r="L77" s="607"/>
      <c r="M77" s="607"/>
      <c r="N77" s="607"/>
      <c r="O77" s="607"/>
      <c r="P77" s="607"/>
      <c r="Q77" s="607"/>
      <c r="R77" s="607"/>
      <c r="S77" s="607"/>
      <c r="T77" s="607"/>
      <c r="U77" s="607"/>
      <c r="V77" s="607"/>
      <c r="W77" s="607"/>
      <c r="X77" s="607"/>
      <c r="Y77" s="607"/>
      <c r="Z77" s="609"/>
    </row>
    <row r="78" spans="1:26">
      <c r="A78" s="1192"/>
      <c r="B78" s="606" t="s">
        <v>97</v>
      </c>
      <c r="C78" s="610">
        <f t="shared" si="3"/>
        <v>3</v>
      </c>
      <c r="D78" s="610">
        <f t="shared" si="4"/>
        <v>6</v>
      </c>
      <c r="E78" s="607"/>
      <c r="F78" s="608"/>
      <c r="G78" s="608"/>
      <c r="H78" s="607"/>
      <c r="I78" s="607"/>
      <c r="J78" s="607"/>
      <c r="K78" s="607" t="s">
        <v>488</v>
      </c>
      <c r="L78" s="607"/>
      <c r="M78" s="607"/>
      <c r="N78" s="607"/>
      <c r="O78" s="607"/>
      <c r="P78" s="607"/>
      <c r="Q78" s="607"/>
      <c r="R78" s="607"/>
      <c r="S78" s="607"/>
      <c r="T78" s="607"/>
      <c r="U78" s="607"/>
      <c r="V78" s="607"/>
      <c r="W78" s="607"/>
      <c r="X78" s="607"/>
      <c r="Y78" s="607"/>
      <c r="Z78" s="609"/>
    </row>
    <row r="79" spans="1:26">
      <c r="A79" s="1192"/>
      <c r="B79" s="606" t="s">
        <v>97</v>
      </c>
      <c r="C79" s="610">
        <f t="shared" si="3"/>
        <v>3</v>
      </c>
      <c r="D79" s="610">
        <f t="shared" si="4"/>
        <v>6</v>
      </c>
      <c r="E79" s="607"/>
      <c r="F79" s="608"/>
      <c r="G79" s="608"/>
      <c r="H79" s="607"/>
      <c r="I79" s="607"/>
      <c r="J79" s="607"/>
      <c r="K79" s="607" t="s">
        <v>488</v>
      </c>
      <c r="L79" s="607"/>
      <c r="M79" s="607"/>
      <c r="N79" s="607"/>
      <c r="O79" s="607"/>
      <c r="P79" s="607"/>
      <c r="Q79" s="607"/>
      <c r="R79" s="607"/>
      <c r="S79" s="607"/>
      <c r="T79" s="607"/>
      <c r="U79" s="607"/>
      <c r="V79" s="607"/>
      <c r="W79" s="607"/>
      <c r="X79" s="607"/>
      <c r="Y79" s="607"/>
      <c r="Z79" s="609"/>
    </row>
    <row r="80" spans="1:26">
      <c r="A80" s="1192"/>
      <c r="B80" s="606" t="s">
        <v>97</v>
      </c>
      <c r="C80" s="610">
        <f t="shared" si="3"/>
        <v>3</v>
      </c>
      <c r="D80" s="610">
        <f t="shared" si="4"/>
        <v>6</v>
      </c>
      <c r="E80" s="607"/>
      <c r="F80" s="608"/>
      <c r="G80" s="608"/>
      <c r="H80" s="607"/>
      <c r="I80" s="607"/>
      <c r="J80" s="607"/>
      <c r="K80" s="607" t="s">
        <v>488</v>
      </c>
      <c r="L80" s="607"/>
      <c r="M80" s="607"/>
      <c r="N80" s="607"/>
      <c r="O80" s="607"/>
      <c r="P80" s="607"/>
      <c r="Q80" s="607"/>
      <c r="R80" s="607"/>
      <c r="S80" s="607"/>
      <c r="T80" s="607"/>
      <c r="U80" s="607"/>
      <c r="V80" s="607"/>
      <c r="W80" s="607"/>
      <c r="X80" s="607"/>
      <c r="Y80" s="607"/>
      <c r="Z80" s="609"/>
    </row>
    <row r="81" spans="1:26">
      <c r="A81" s="1192"/>
      <c r="B81" s="606" t="s">
        <v>97</v>
      </c>
      <c r="C81" s="610">
        <f t="shared" si="3"/>
        <v>3</v>
      </c>
      <c r="D81" s="610">
        <f t="shared" si="4"/>
        <v>6</v>
      </c>
      <c r="E81" s="607"/>
      <c r="F81" s="608"/>
      <c r="G81" s="608"/>
      <c r="H81" s="607"/>
      <c r="I81" s="607"/>
      <c r="J81" s="607"/>
      <c r="K81" s="607" t="s">
        <v>488</v>
      </c>
      <c r="L81" s="607"/>
      <c r="M81" s="607"/>
      <c r="N81" s="607"/>
      <c r="O81" s="607"/>
      <c r="P81" s="607"/>
      <c r="Q81" s="607"/>
      <c r="R81" s="607"/>
      <c r="S81" s="607"/>
      <c r="T81" s="607"/>
      <c r="U81" s="607"/>
      <c r="V81" s="607"/>
      <c r="W81" s="607"/>
      <c r="X81" s="607"/>
      <c r="Y81" s="607"/>
      <c r="Z81" s="609"/>
    </row>
    <row r="82" spans="1:26">
      <c r="A82" s="1192"/>
      <c r="B82" s="606" t="s">
        <v>97</v>
      </c>
      <c r="C82" s="610">
        <f t="shared" si="3"/>
        <v>3</v>
      </c>
      <c r="D82" s="610">
        <f t="shared" si="4"/>
        <v>6</v>
      </c>
      <c r="E82" s="607"/>
      <c r="F82" s="608"/>
      <c r="G82" s="608"/>
      <c r="H82" s="607"/>
      <c r="I82" s="607"/>
      <c r="J82" s="607"/>
      <c r="K82" s="607" t="s">
        <v>488</v>
      </c>
      <c r="L82" s="607"/>
      <c r="M82" s="607"/>
      <c r="N82" s="607"/>
      <c r="O82" s="607"/>
      <c r="P82" s="607"/>
      <c r="Q82" s="607"/>
      <c r="R82" s="607"/>
      <c r="S82" s="607"/>
      <c r="T82" s="607"/>
      <c r="U82" s="607"/>
      <c r="V82" s="607"/>
      <c r="W82" s="607"/>
      <c r="X82" s="607"/>
      <c r="Y82" s="607"/>
      <c r="Z82" s="609"/>
    </row>
    <row r="83" spans="1:26">
      <c r="A83" s="1192"/>
      <c r="B83" s="606" t="s">
        <v>97</v>
      </c>
      <c r="C83" s="610">
        <f t="shared" si="3"/>
        <v>3</v>
      </c>
      <c r="D83" s="610">
        <f t="shared" si="4"/>
        <v>6</v>
      </c>
      <c r="E83" s="607"/>
      <c r="F83" s="608"/>
      <c r="G83" s="608"/>
      <c r="H83" s="607"/>
      <c r="I83" s="607"/>
      <c r="J83" s="607"/>
      <c r="K83" s="607" t="s">
        <v>488</v>
      </c>
      <c r="L83" s="607"/>
      <c r="M83" s="607"/>
      <c r="N83" s="607"/>
      <c r="O83" s="607"/>
      <c r="P83" s="607"/>
      <c r="Q83" s="607"/>
      <c r="R83" s="607"/>
      <c r="S83" s="607"/>
      <c r="T83" s="607"/>
      <c r="U83" s="607"/>
      <c r="V83" s="607"/>
      <c r="W83" s="607"/>
      <c r="X83" s="607"/>
      <c r="Y83" s="607"/>
      <c r="Z83" s="609"/>
    </row>
    <row r="84" spans="1:26">
      <c r="A84" s="1192"/>
      <c r="B84" s="606" t="s">
        <v>97</v>
      </c>
      <c r="C84" s="610">
        <f t="shared" si="3"/>
        <v>3</v>
      </c>
      <c r="D84" s="610">
        <f t="shared" si="4"/>
        <v>6</v>
      </c>
      <c r="E84" s="607"/>
      <c r="F84" s="608"/>
      <c r="G84" s="608"/>
      <c r="H84" s="607"/>
      <c r="I84" s="607"/>
      <c r="J84" s="607"/>
      <c r="K84" s="607" t="s">
        <v>488</v>
      </c>
      <c r="L84" s="607"/>
      <c r="M84" s="607"/>
      <c r="N84" s="607"/>
      <c r="O84" s="607"/>
      <c r="P84" s="607"/>
      <c r="Q84" s="607"/>
      <c r="R84" s="607"/>
      <c r="S84" s="607"/>
      <c r="T84" s="607"/>
      <c r="U84" s="607"/>
      <c r="V84" s="607"/>
      <c r="W84" s="607"/>
      <c r="X84" s="607"/>
      <c r="Y84" s="607"/>
      <c r="Z84" s="609"/>
    </row>
    <row r="85" spans="1:26">
      <c r="A85" s="1192"/>
      <c r="B85" s="606" t="s">
        <v>97</v>
      </c>
      <c r="C85" s="610">
        <f t="shared" si="3"/>
        <v>3</v>
      </c>
      <c r="D85" s="610">
        <f t="shared" si="4"/>
        <v>6</v>
      </c>
      <c r="E85" s="607"/>
      <c r="F85" s="608"/>
      <c r="G85" s="608"/>
      <c r="H85" s="607"/>
      <c r="I85" s="607"/>
      <c r="J85" s="607"/>
      <c r="K85" s="607" t="s">
        <v>488</v>
      </c>
      <c r="L85" s="607"/>
      <c r="M85" s="607"/>
      <c r="N85" s="607"/>
      <c r="O85" s="607"/>
      <c r="P85" s="607"/>
      <c r="Q85" s="607"/>
      <c r="R85" s="607"/>
      <c r="S85" s="607"/>
      <c r="T85" s="607"/>
      <c r="U85" s="607"/>
      <c r="V85" s="607"/>
      <c r="W85" s="607"/>
      <c r="X85" s="607"/>
      <c r="Y85" s="607"/>
      <c r="Z85" s="609"/>
    </row>
    <row r="86" spans="1:26">
      <c r="A86" s="1192"/>
      <c r="B86" s="606" t="s">
        <v>97</v>
      </c>
      <c r="C86" s="610">
        <f t="shared" si="3"/>
        <v>3</v>
      </c>
      <c r="D86" s="610">
        <f t="shared" si="4"/>
        <v>6</v>
      </c>
      <c r="E86" s="607"/>
      <c r="F86" s="608"/>
      <c r="G86" s="608"/>
      <c r="H86" s="607"/>
      <c r="I86" s="607"/>
      <c r="J86" s="607"/>
      <c r="K86" s="607" t="s">
        <v>488</v>
      </c>
      <c r="L86" s="607"/>
      <c r="M86" s="607"/>
      <c r="N86" s="607"/>
      <c r="O86" s="607"/>
      <c r="P86" s="607"/>
      <c r="Q86" s="607"/>
      <c r="R86" s="607"/>
      <c r="S86" s="607"/>
      <c r="T86" s="607"/>
      <c r="U86" s="607"/>
      <c r="V86" s="607"/>
      <c r="W86" s="607"/>
      <c r="X86" s="607"/>
      <c r="Y86" s="607"/>
      <c r="Z86" s="609"/>
    </row>
    <row r="87" spans="1:26">
      <c r="A87" s="1192"/>
      <c r="B87" s="606" t="s">
        <v>97</v>
      </c>
      <c r="C87" s="610">
        <f t="shared" si="3"/>
        <v>3</v>
      </c>
      <c r="D87" s="610">
        <f t="shared" si="4"/>
        <v>6</v>
      </c>
      <c r="E87" s="607"/>
      <c r="F87" s="608"/>
      <c r="G87" s="608"/>
      <c r="H87" s="607"/>
      <c r="I87" s="607"/>
      <c r="J87" s="607"/>
      <c r="K87" s="607" t="s">
        <v>488</v>
      </c>
      <c r="L87" s="607"/>
      <c r="M87" s="607"/>
      <c r="N87" s="607"/>
      <c r="O87" s="607"/>
      <c r="P87" s="607"/>
      <c r="Q87" s="607"/>
      <c r="R87" s="607"/>
      <c r="S87" s="607"/>
      <c r="T87" s="607"/>
      <c r="U87" s="607"/>
      <c r="V87" s="607"/>
      <c r="W87" s="607"/>
      <c r="X87" s="607"/>
      <c r="Y87" s="607"/>
      <c r="Z87" s="609"/>
    </row>
    <row r="88" spans="1:26">
      <c r="A88" s="1192"/>
      <c r="B88" s="606" t="s">
        <v>97</v>
      </c>
      <c r="C88" s="610">
        <f t="shared" si="3"/>
        <v>3</v>
      </c>
      <c r="D88" s="610">
        <f t="shared" si="4"/>
        <v>6</v>
      </c>
      <c r="E88" s="607"/>
      <c r="F88" s="608"/>
      <c r="G88" s="608"/>
      <c r="H88" s="607"/>
      <c r="I88" s="607"/>
      <c r="J88" s="607"/>
      <c r="K88" s="607" t="s">
        <v>488</v>
      </c>
      <c r="L88" s="607"/>
      <c r="M88" s="607"/>
      <c r="N88" s="607"/>
      <c r="O88" s="607"/>
      <c r="P88" s="607"/>
      <c r="Q88" s="607"/>
      <c r="R88" s="607"/>
      <c r="S88" s="607"/>
      <c r="T88" s="607"/>
      <c r="U88" s="607"/>
      <c r="V88" s="607"/>
      <c r="W88" s="607"/>
      <c r="X88" s="607"/>
      <c r="Y88" s="607"/>
      <c r="Z88" s="609"/>
    </row>
    <row r="89" spans="1:26">
      <c r="A89" s="1192"/>
      <c r="B89" s="606" t="s">
        <v>97</v>
      </c>
      <c r="C89" s="610">
        <f t="shared" si="3"/>
        <v>3</v>
      </c>
      <c r="D89" s="610">
        <f t="shared" si="4"/>
        <v>6</v>
      </c>
      <c r="E89" s="607"/>
      <c r="F89" s="608"/>
      <c r="G89" s="608"/>
      <c r="H89" s="607"/>
      <c r="I89" s="607"/>
      <c r="J89" s="607"/>
      <c r="K89" s="607" t="s">
        <v>488</v>
      </c>
      <c r="L89" s="607"/>
      <c r="M89" s="607"/>
      <c r="N89" s="607"/>
      <c r="O89" s="607"/>
      <c r="P89" s="607"/>
      <c r="Q89" s="607"/>
      <c r="R89" s="607"/>
      <c r="S89" s="607"/>
      <c r="T89" s="607"/>
      <c r="U89" s="607"/>
      <c r="V89" s="607"/>
      <c r="W89" s="607"/>
      <c r="X89" s="607"/>
      <c r="Y89" s="607"/>
      <c r="Z89" s="609"/>
    </row>
    <row r="90" spans="1:26">
      <c r="A90" s="1192"/>
      <c r="B90" s="606" t="s">
        <v>97</v>
      </c>
      <c r="C90" s="610">
        <f t="shared" si="3"/>
        <v>3</v>
      </c>
      <c r="D90" s="610">
        <f t="shared" si="4"/>
        <v>6</v>
      </c>
      <c r="E90" s="607"/>
      <c r="F90" s="608"/>
      <c r="G90" s="608"/>
      <c r="H90" s="607"/>
      <c r="I90" s="607"/>
      <c r="J90" s="607"/>
      <c r="K90" s="607" t="s">
        <v>488</v>
      </c>
      <c r="L90" s="607"/>
      <c r="M90" s="607"/>
      <c r="N90" s="607"/>
      <c r="O90" s="607"/>
      <c r="P90" s="607"/>
      <c r="Q90" s="607"/>
      <c r="R90" s="607"/>
      <c r="S90" s="607"/>
      <c r="T90" s="607"/>
      <c r="U90" s="607"/>
      <c r="V90" s="607"/>
      <c r="W90" s="607"/>
      <c r="X90" s="607"/>
      <c r="Y90" s="607"/>
      <c r="Z90" s="609"/>
    </row>
    <row r="91" spans="1:26">
      <c r="A91" s="1192"/>
      <c r="B91" s="606" t="s">
        <v>97</v>
      </c>
      <c r="C91" s="610">
        <f t="shared" si="3"/>
        <v>3</v>
      </c>
      <c r="D91" s="610">
        <f t="shared" si="4"/>
        <v>6</v>
      </c>
      <c r="E91" s="607"/>
      <c r="F91" s="608"/>
      <c r="G91" s="608"/>
      <c r="H91" s="607"/>
      <c r="I91" s="607"/>
      <c r="J91" s="607"/>
      <c r="K91" s="607" t="s">
        <v>488</v>
      </c>
      <c r="L91" s="607"/>
      <c r="M91" s="607"/>
      <c r="N91" s="607"/>
      <c r="O91" s="607"/>
      <c r="P91" s="607"/>
      <c r="Q91" s="607"/>
      <c r="R91" s="607"/>
      <c r="S91" s="607"/>
      <c r="T91" s="607"/>
      <c r="U91" s="607"/>
      <c r="V91" s="607"/>
      <c r="W91" s="607"/>
      <c r="X91" s="607"/>
      <c r="Y91" s="607"/>
      <c r="Z91" s="609"/>
    </row>
    <row r="92" spans="1:26">
      <c r="A92" s="1192"/>
      <c r="B92" s="606" t="s">
        <v>97</v>
      </c>
      <c r="C92" s="610">
        <f t="shared" si="3"/>
        <v>3</v>
      </c>
      <c r="D92" s="610">
        <f t="shared" si="4"/>
        <v>6</v>
      </c>
      <c r="E92" s="607"/>
      <c r="F92" s="608"/>
      <c r="G92" s="608"/>
      <c r="H92" s="607"/>
      <c r="I92" s="607"/>
      <c r="J92" s="607"/>
      <c r="K92" s="607" t="s">
        <v>488</v>
      </c>
      <c r="L92" s="607"/>
      <c r="M92" s="607"/>
      <c r="N92" s="607"/>
      <c r="O92" s="607"/>
      <c r="P92" s="607"/>
      <c r="Q92" s="607"/>
      <c r="R92" s="607"/>
      <c r="S92" s="607"/>
      <c r="T92" s="607"/>
      <c r="U92" s="607"/>
      <c r="V92" s="607"/>
      <c r="W92" s="607"/>
      <c r="X92" s="607"/>
      <c r="Y92" s="607"/>
      <c r="Z92" s="609"/>
    </row>
    <row r="93" spans="1:26">
      <c r="A93" s="1192"/>
      <c r="B93" s="606" t="s">
        <v>97</v>
      </c>
      <c r="C93" s="610">
        <f t="shared" ref="C93:C124" si="5">EXECUTE_START</f>
        <v>3</v>
      </c>
      <c r="D93" s="610">
        <f t="shared" ref="D93:D124" si="6">EXECUTE_END</f>
        <v>6</v>
      </c>
      <c r="E93" s="607"/>
      <c r="F93" s="608"/>
      <c r="G93" s="608"/>
      <c r="H93" s="607"/>
      <c r="I93" s="607"/>
      <c r="J93" s="607"/>
      <c r="K93" s="607" t="s">
        <v>488</v>
      </c>
      <c r="L93" s="607"/>
      <c r="M93" s="607"/>
      <c r="N93" s="607"/>
      <c r="O93" s="607"/>
      <c r="P93" s="607"/>
      <c r="Q93" s="607"/>
      <c r="R93" s="607"/>
      <c r="S93" s="607"/>
      <c r="T93" s="607"/>
      <c r="U93" s="607"/>
      <c r="V93" s="607"/>
      <c r="W93" s="607"/>
      <c r="X93" s="607"/>
      <c r="Y93" s="607"/>
      <c r="Z93" s="609"/>
    </row>
    <row r="94" spans="1:26">
      <c r="A94" s="1192"/>
      <c r="B94" s="606" t="s">
        <v>97</v>
      </c>
      <c r="C94" s="610">
        <f t="shared" si="5"/>
        <v>3</v>
      </c>
      <c r="D94" s="610">
        <f t="shared" si="6"/>
        <v>6</v>
      </c>
      <c r="E94" s="607"/>
      <c r="F94" s="608"/>
      <c r="G94" s="608"/>
      <c r="H94" s="607"/>
      <c r="I94" s="607"/>
      <c r="J94" s="607"/>
      <c r="K94" s="607" t="s">
        <v>488</v>
      </c>
      <c r="L94" s="607"/>
      <c r="M94" s="607"/>
      <c r="N94" s="607"/>
      <c r="O94" s="607"/>
      <c r="P94" s="607"/>
      <c r="Q94" s="607"/>
      <c r="R94" s="607"/>
      <c r="S94" s="607"/>
      <c r="T94" s="607"/>
      <c r="U94" s="607"/>
      <c r="V94" s="607"/>
      <c r="W94" s="607"/>
      <c r="X94" s="607"/>
      <c r="Y94" s="607"/>
      <c r="Z94" s="609"/>
    </row>
    <row r="95" spans="1:26">
      <c r="A95" s="1192"/>
      <c r="B95" s="606" t="s">
        <v>97</v>
      </c>
      <c r="C95" s="610">
        <f t="shared" si="5"/>
        <v>3</v>
      </c>
      <c r="D95" s="610">
        <f t="shared" si="6"/>
        <v>6</v>
      </c>
      <c r="E95" s="607"/>
      <c r="F95" s="608"/>
      <c r="G95" s="608"/>
      <c r="H95" s="607"/>
      <c r="I95" s="607"/>
      <c r="J95" s="607"/>
      <c r="K95" s="607" t="s">
        <v>488</v>
      </c>
      <c r="L95" s="607"/>
      <c r="M95" s="607"/>
      <c r="N95" s="607"/>
      <c r="O95" s="607"/>
      <c r="P95" s="607"/>
      <c r="Q95" s="607"/>
      <c r="R95" s="607"/>
      <c r="S95" s="607"/>
      <c r="T95" s="607"/>
      <c r="U95" s="607"/>
      <c r="V95" s="607"/>
      <c r="W95" s="607"/>
      <c r="X95" s="607"/>
      <c r="Y95" s="607"/>
      <c r="Z95" s="609"/>
    </row>
    <row r="96" spans="1:26">
      <c r="A96" s="1192"/>
      <c r="B96" s="606" t="s">
        <v>97</v>
      </c>
      <c r="C96" s="610">
        <f t="shared" si="5"/>
        <v>3</v>
      </c>
      <c r="D96" s="610">
        <f t="shared" si="6"/>
        <v>6</v>
      </c>
      <c r="E96" s="607"/>
      <c r="F96" s="608"/>
      <c r="G96" s="608"/>
      <c r="H96" s="607"/>
      <c r="I96" s="607"/>
      <c r="J96" s="607"/>
      <c r="K96" s="607" t="s">
        <v>488</v>
      </c>
      <c r="L96" s="607"/>
      <c r="M96" s="607"/>
      <c r="N96" s="607"/>
      <c r="O96" s="607"/>
      <c r="P96" s="607"/>
      <c r="Q96" s="607"/>
      <c r="R96" s="607"/>
      <c r="S96" s="607"/>
      <c r="T96" s="607"/>
      <c r="U96" s="607"/>
      <c r="V96" s="607"/>
      <c r="W96" s="607"/>
      <c r="X96" s="607"/>
      <c r="Y96" s="607"/>
      <c r="Z96" s="609"/>
    </row>
    <row r="97" spans="1:26">
      <c r="A97" s="1192"/>
      <c r="B97" s="606" t="s">
        <v>97</v>
      </c>
      <c r="C97" s="610">
        <f t="shared" si="5"/>
        <v>3</v>
      </c>
      <c r="D97" s="610">
        <f t="shared" si="6"/>
        <v>6</v>
      </c>
      <c r="E97" s="607"/>
      <c r="F97" s="608"/>
      <c r="G97" s="608"/>
      <c r="H97" s="607"/>
      <c r="I97" s="607"/>
      <c r="J97" s="607"/>
      <c r="K97" s="607" t="s">
        <v>488</v>
      </c>
      <c r="L97" s="607"/>
      <c r="M97" s="607"/>
      <c r="N97" s="607"/>
      <c r="O97" s="607"/>
      <c r="P97" s="607"/>
      <c r="Q97" s="607"/>
      <c r="R97" s="607"/>
      <c r="S97" s="607"/>
      <c r="T97" s="607"/>
      <c r="U97" s="607"/>
      <c r="V97" s="607"/>
      <c r="W97" s="607"/>
      <c r="X97" s="607"/>
      <c r="Y97" s="607"/>
      <c r="Z97" s="609"/>
    </row>
    <row r="98" spans="1:26">
      <c r="A98" s="1192"/>
      <c r="B98" s="606" t="s">
        <v>97</v>
      </c>
      <c r="C98" s="610">
        <f t="shared" si="5"/>
        <v>3</v>
      </c>
      <c r="D98" s="610">
        <f t="shared" si="6"/>
        <v>6</v>
      </c>
      <c r="E98" s="607"/>
      <c r="F98" s="608"/>
      <c r="G98" s="608"/>
      <c r="H98" s="607"/>
      <c r="I98" s="607"/>
      <c r="J98" s="607"/>
      <c r="K98" s="607" t="s">
        <v>488</v>
      </c>
      <c r="L98" s="607"/>
      <c r="M98" s="607"/>
      <c r="N98" s="607"/>
      <c r="O98" s="607"/>
      <c r="P98" s="607"/>
      <c r="Q98" s="607"/>
      <c r="R98" s="607"/>
      <c r="S98" s="607"/>
      <c r="T98" s="607"/>
      <c r="U98" s="607"/>
      <c r="V98" s="607"/>
      <c r="W98" s="607"/>
      <c r="X98" s="607"/>
      <c r="Y98" s="607"/>
      <c r="Z98" s="609"/>
    </row>
    <row r="99" spans="1:26">
      <c r="A99" s="1192"/>
      <c r="B99" s="606" t="s">
        <v>97</v>
      </c>
      <c r="C99" s="610">
        <f t="shared" si="5"/>
        <v>3</v>
      </c>
      <c r="D99" s="610">
        <f t="shared" si="6"/>
        <v>6</v>
      </c>
      <c r="E99" s="607"/>
      <c r="F99" s="608"/>
      <c r="G99" s="608"/>
      <c r="H99" s="607"/>
      <c r="I99" s="607"/>
      <c r="J99" s="607"/>
      <c r="K99" s="607" t="s">
        <v>488</v>
      </c>
      <c r="L99" s="607"/>
      <c r="M99" s="607"/>
      <c r="N99" s="607"/>
      <c r="O99" s="607"/>
      <c r="P99" s="607"/>
      <c r="Q99" s="607"/>
      <c r="R99" s="607"/>
      <c r="S99" s="607"/>
      <c r="T99" s="607"/>
      <c r="U99" s="607"/>
      <c r="V99" s="607"/>
      <c r="W99" s="607"/>
      <c r="X99" s="607"/>
      <c r="Y99" s="607"/>
      <c r="Z99" s="609"/>
    </row>
    <row r="100" spans="1:26">
      <c r="A100" s="1192"/>
      <c r="B100" s="606" t="s">
        <v>97</v>
      </c>
      <c r="C100" s="610">
        <f t="shared" si="5"/>
        <v>3</v>
      </c>
      <c r="D100" s="610">
        <f t="shared" si="6"/>
        <v>6</v>
      </c>
      <c r="E100" s="607"/>
      <c r="F100" s="608"/>
      <c r="G100" s="608"/>
      <c r="H100" s="607"/>
      <c r="I100" s="607"/>
      <c r="J100" s="607"/>
      <c r="K100" s="607" t="s">
        <v>488</v>
      </c>
      <c r="L100" s="607"/>
      <c r="M100" s="607"/>
      <c r="N100" s="607"/>
      <c r="O100" s="607"/>
      <c r="P100" s="607"/>
      <c r="Q100" s="607"/>
      <c r="R100" s="607"/>
      <c r="S100" s="607"/>
      <c r="T100" s="607"/>
      <c r="U100" s="607"/>
      <c r="V100" s="607"/>
      <c r="W100" s="607"/>
      <c r="X100" s="607"/>
      <c r="Y100" s="607"/>
      <c r="Z100" s="609"/>
    </row>
    <row r="101" spans="1:26">
      <c r="A101" s="1192"/>
      <c r="B101" s="606" t="s">
        <v>97</v>
      </c>
      <c r="C101" s="610">
        <f t="shared" si="5"/>
        <v>3</v>
      </c>
      <c r="D101" s="610">
        <f t="shared" si="6"/>
        <v>6</v>
      </c>
      <c r="E101" s="607"/>
      <c r="F101" s="608"/>
      <c r="G101" s="608"/>
      <c r="H101" s="607"/>
      <c r="I101" s="607"/>
      <c r="J101" s="607"/>
      <c r="K101" s="607" t="s">
        <v>488</v>
      </c>
      <c r="L101" s="607"/>
      <c r="M101" s="607"/>
      <c r="N101" s="607"/>
      <c r="O101" s="607"/>
      <c r="P101" s="607"/>
      <c r="Q101" s="607"/>
      <c r="R101" s="607"/>
      <c r="S101" s="607"/>
      <c r="T101" s="607"/>
      <c r="U101" s="607"/>
      <c r="V101" s="607"/>
      <c r="W101" s="607"/>
      <c r="X101" s="607"/>
      <c r="Y101" s="607"/>
      <c r="Z101" s="609"/>
    </row>
    <row r="102" spans="1:26">
      <c r="A102" s="1192"/>
      <c r="B102" s="606" t="s">
        <v>97</v>
      </c>
      <c r="C102" s="610">
        <f t="shared" si="5"/>
        <v>3</v>
      </c>
      <c r="D102" s="610">
        <f t="shared" si="6"/>
        <v>6</v>
      </c>
      <c r="E102" s="607"/>
      <c r="F102" s="608"/>
      <c r="G102" s="608"/>
      <c r="H102" s="607"/>
      <c r="I102" s="607"/>
      <c r="J102" s="607"/>
      <c r="K102" s="607" t="s">
        <v>488</v>
      </c>
      <c r="L102" s="607"/>
      <c r="M102" s="607"/>
      <c r="N102" s="607"/>
      <c r="O102" s="607"/>
      <c r="P102" s="607"/>
      <c r="Q102" s="607"/>
      <c r="R102" s="607"/>
      <c r="S102" s="607"/>
      <c r="T102" s="607"/>
      <c r="U102" s="607"/>
      <c r="V102" s="607"/>
      <c r="W102" s="607"/>
      <c r="X102" s="607"/>
      <c r="Y102" s="607"/>
      <c r="Z102" s="609"/>
    </row>
    <row r="103" spans="1:26">
      <c r="A103" s="1192"/>
      <c r="B103" s="606" t="s">
        <v>97</v>
      </c>
      <c r="C103" s="610">
        <f t="shared" si="5"/>
        <v>3</v>
      </c>
      <c r="D103" s="610">
        <f t="shared" si="6"/>
        <v>6</v>
      </c>
      <c r="E103" s="607"/>
      <c r="F103" s="608"/>
      <c r="G103" s="608"/>
      <c r="H103" s="607"/>
      <c r="I103" s="607"/>
      <c r="J103" s="607"/>
      <c r="K103" s="607" t="s">
        <v>488</v>
      </c>
      <c r="L103" s="607"/>
      <c r="M103" s="607"/>
      <c r="N103" s="607"/>
      <c r="O103" s="607"/>
      <c r="P103" s="607"/>
      <c r="Q103" s="607"/>
      <c r="R103" s="607"/>
      <c r="S103" s="607"/>
      <c r="T103" s="607"/>
      <c r="U103" s="607"/>
      <c r="V103" s="607"/>
      <c r="W103" s="607"/>
      <c r="X103" s="607"/>
      <c r="Y103" s="607"/>
      <c r="Z103" s="609"/>
    </row>
    <row r="104" spans="1:26">
      <c r="A104" s="1192"/>
      <c r="B104" s="606" t="s">
        <v>97</v>
      </c>
      <c r="C104" s="610">
        <f t="shared" si="5"/>
        <v>3</v>
      </c>
      <c r="D104" s="610">
        <f t="shared" si="6"/>
        <v>6</v>
      </c>
      <c r="E104" s="607"/>
      <c r="F104" s="608"/>
      <c r="G104" s="608"/>
      <c r="H104" s="607"/>
      <c r="I104" s="607"/>
      <c r="J104" s="607"/>
      <c r="K104" s="607" t="s">
        <v>488</v>
      </c>
      <c r="L104" s="607"/>
      <c r="M104" s="607"/>
      <c r="N104" s="607"/>
      <c r="O104" s="607"/>
      <c r="P104" s="607"/>
      <c r="Q104" s="607"/>
      <c r="R104" s="607"/>
      <c r="S104" s="607"/>
      <c r="T104" s="607"/>
      <c r="U104" s="607"/>
      <c r="V104" s="607"/>
      <c r="W104" s="607"/>
      <c r="X104" s="607"/>
      <c r="Y104" s="607"/>
      <c r="Z104" s="609"/>
    </row>
    <row r="105" spans="1:26">
      <c r="A105" s="1192"/>
      <c r="B105" s="606" t="s">
        <v>97</v>
      </c>
      <c r="C105" s="610">
        <f t="shared" si="5"/>
        <v>3</v>
      </c>
      <c r="D105" s="610">
        <f t="shared" si="6"/>
        <v>6</v>
      </c>
      <c r="E105" s="607"/>
      <c r="F105" s="608"/>
      <c r="G105" s="608"/>
      <c r="H105" s="607"/>
      <c r="I105" s="607"/>
      <c r="J105" s="607"/>
      <c r="K105" s="607" t="s">
        <v>488</v>
      </c>
      <c r="L105" s="607"/>
      <c r="M105" s="607"/>
      <c r="N105" s="607"/>
      <c r="O105" s="607"/>
      <c r="P105" s="607"/>
      <c r="Q105" s="607"/>
      <c r="R105" s="607"/>
      <c r="S105" s="607"/>
      <c r="T105" s="607"/>
      <c r="U105" s="607"/>
      <c r="V105" s="607"/>
      <c r="W105" s="607"/>
      <c r="X105" s="607"/>
      <c r="Y105" s="607"/>
      <c r="Z105" s="609"/>
    </row>
    <row r="106" spans="1:26">
      <c r="A106" s="1192"/>
      <c r="B106" s="606" t="s">
        <v>97</v>
      </c>
      <c r="C106" s="610">
        <f t="shared" si="5"/>
        <v>3</v>
      </c>
      <c r="D106" s="610">
        <f t="shared" si="6"/>
        <v>6</v>
      </c>
      <c r="E106" s="607"/>
      <c r="F106" s="608"/>
      <c r="G106" s="608"/>
      <c r="H106" s="607"/>
      <c r="I106" s="607"/>
      <c r="J106" s="607"/>
      <c r="K106" s="607" t="s">
        <v>488</v>
      </c>
      <c r="L106" s="607"/>
      <c r="M106" s="607"/>
      <c r="N106" s="607"/>
      <c r="O106" s="607"/>
      <c r="P106" s="607"/>
      <c r="Q106" s="607"/>
      <c r="R106" s="607"/>
      <c r="S106" s="607"/>
      <c r="T106" s="607"/>
      <c r="U106" s="607"/>
      <c r="V106" s="607"/>
      <c r="W106" s="607"/>
      <c r="X106" s="607"/>
      <c r="Y106" s="607"/>
      <c r="Z106" s="609"/>
    </row>
    <row r="107" spans="1:26">
      <c r="A107" s="1192"/>
      <c r="B107" s="606" t="s">
        <v>97</v>
      </c>
      <c r="C107" s="610">
        <f t="shared" si="5"/>
        <v>3</v>
      </c>
      <c r="D107" s="610">
        <f t="shared" si="6"/>
        <v>6</v>
      </c>
      <c r="E107" s="607"/>
      <c r="F107" s="608"/>
      <c r="G107" s="608"/>
      <c r="H107" s="607"/>
      <c r="I107" s="607"/>
      <c r="J107" s="607"/>
      <c r="K107" s="607" t="s">
        <v>488</v>
      </c>
      <c r="L107" s="607"/>
      <c r="M107" s="607"/>
      <c r="N107" s="607"/>
      <c r="O107" s="607"/>
      <c r="P107" s="607"/>
      <c r="Q107" s="607"/>
      <c r="R107" s="607"/>
      <c r="S107" s="607"/>
      <c r="T107" s="607"/>
      <c r="U107" s="607"/>
      <c r="V107" s="607"/>
      <c r="W107" s="607"/>
      <c r="X107" s="607"/>
      <c r="Y107" s="607"/>
      <c r="Z107" s="609"/>
    </row>
    <row r="108" spans="1:26">
      <c r="A108" s="1192"/>
      <c r="B108" s="606" t="s">
        <v>97</v>
      </c>
      <c r="C108" s="610">
        <f t="shared" si="5"/>
        <v>3</v>
      </c>
      <c r="D108" s="610">
        <f t="shared" si="6"/>
        <v>6</v>
      </c>
      <c r="E108" s="607"/>
      <c r="F108" s="608"/>
      <c r="G108" s="608"/>
      <c r="H108" s="607"/>
      <c r="I108" s="607"/>
      <c r="J108" s="607"/>
      <c r="K108" s="607" t="s">
        <v>488</v>
      </c>
      <c r="L108" s="607"/>
      <c r="M108" s="607"/>
      <c r="N108" s="607"/>
      <c r="O108" s="607"/>
      <c r="P108" s="607"/>
      <c r="Q108" s="607"/>
      <c r="R108" s="607"/>
      <c r="S108" s="607"/>
      <c r="T108" s="607"/>
      <c r="U108" s="607"/>
      <c r="V108" s="607"/>
      <c r="W108" s="607"/>
      <c r="X108" s="607"/>
      <c r="Y108" s="607"/>
      <c r="Z108" s="609"/>
    </row>
    <row r="109" spans="1:26">
      <c r="A109" s="1192"/>
      <c r="B109" s="606" t="s">
        <v>97</v>
      </c>
      <c r="C109" s="610">
        <f t="shared" si="5"/>
        <v>3</v>
      </c>
      <c r="D109" s="610">
        <f t="shared" si="6"/>
        <v>6</v>
      </c>
      <c r="E109" s="607"/>
      <c r="F109" s="608"/>
      <c r="G109" s="608"/>
      <c r="H109" s="607"/>
      <c r="I109" s="607"/>
      <c r="J109" s="607"/>
      <c r="K109" s="607" t="s">
        <v>488</v>
      </c>
      <c r="L109" s="607"/>
      <c r="M109" s="607"/>
      <c r="N109" s="607"/>
      <c r="O109" s="607"/>
      <c r="P109" s="607"/>
      <c r="Q109" s="607"/>
      <c r="R109" s="607"/>
      <c r="S109" s="607"/>
      <c r="T109" s="607"/>
      <c r="U109" s="607"/>
      <c r="V109" s="607"/>
      <c r="W109" s="607"/>
      <c r="X109" s="607"/>
      <c r="Y109" s="607"/>
      <c r="Z109" s="609"/>
    </row>
    <row r="110" spans="1:26">
      <c r="A110" s="1192"/>
      <c r="B110" s="606" t="s">
        <v>97</v>
      </c>
      <c r="C110" s="610">
        <f t="shared" si="5"/>
        <v>3</v>
      </c>
      <c r="D110" s="610">
        <f t="shared" si="6"/>
        <v>6</v>
      </c>
      <c r="E110" s="607"/>
      <c r="F110" s="608"/>
      <c r="G110" s="608"/>
      <c r="H110" s="607"/>
      <c r="I110" s="607"/>
      <c r="J110" s="607"/>
      <c r="K110" s="607" t="s">
        <v>488</v>
      </c>
      <c r="L110" s="607"/>
      <c r="M110" s="607"/>
      <c r="N110" s="607"/>
      <c r="O110" s="607"/>
      <c r="P110" s="607"/>
      <c r="Q110" s="607"/>
      <c r="R110" s="607"/>
      <c r="S110" s="607"/>
      <c r="T110" s="607"/>
      <c r="U110" s="607"/>
      <c r="V110" s="607"/>
      <c r="W110" s="607"/>
      <c r="X110" s="607"/>
      <c r="Y110" s="607"/>
      <c r="Z110" s="609"/>
    </row>
    <row r="111" spans="1:26">
      <c r="A111" s="1192"/>
      <c r="B111" s="606" t="s">
        <v>97</v>
      </c>
      <c r="C111" s="610">
        <f t="shared" si="5"/>
        <v>3</v>
      </c>
      <c r="D111" s="610">
        <f t="shared" si="6"/>
        <v>6</v>
      </c>
      <c r="E111" s="607"/>
      <c r="F111" s="608"/>
      <c r="G111" s="608"/>
      <c r="H111" s="607"/>
      <c r="I111" s="607"/>
      <c r="J111" s="607"/>
      <c r="K111" s="607" t="s">
        <v>488</v>
      </c>
      <c r="L111" s="607"/>
      <c r="M111" s="607"/>
      <c r="N111" s="607"/>
      <c r="O111" s="607"/>
      <c r="P111" s="607"/>
      <c r="Q111" s="607"/>
      <c r="R111" s="607"/>
      <c r="S111" s="607"/>
      <c r="T111" s="607"/>
      <c r="U111" s="607"/>
      <c r="V111" s="607"/>
      <c r="W111" s="607"/>
      <c r="X111" s="607"/>
      <c r="Y111" s="607"/>
      <c r="Z111" s="609"/>
    </row>
    <row r="112" spans="1:26">
      <c r="A112" s="1192"/>
      <c r="B112" s="606" t="s">
        <v>97</v>
      </c>
      <c r="C112" s="610">
        <f t="shared" si="5"/>
        <v>3</v>
      </c>
      <c r="D112" s="610">
        <f t="shared" si="6"/>
        <v>6</v>
      </c>
      <c r="E112" s="607"/>
      <c r="F112" s="608"/>
      <c r="G112" s="608"/>
      <c r="H112" s="607"/>
      <c r="I112" s="607"/>
      <c r="J112" s="607"/>
      <c r="K112" s="607" t="s">
        <v>488</v>
      </c>
      <c r="L112" s="607"/>
      <c r="M112" s="607"/>
      <c r="N112" s="607"/>
      <c r="O112" s="607"/>
      <c r="P112" s="607"/>
      <c r="Q112" s="607"/>
      <c r="R112" s="607"/>
      <c r="S112" s="607"/>
      <c r="T112" s="607"/>
      <c r="U112" s="607"/>
      <c r="V112" s="607"/>
      <c r="W112" s="607"/>
      <c r="X112" s="607"/>
      <c r="Y112" s="607"/>
      <c r="Z112" s="609"/>
    </row>
    <row r="113" spans="1:26">
      <c r="A113" s="1192"/>
      <c r="B113" s="606" t="s">
        <v>97</v>
      </c>
      <c r="C113" s="610">
        <f t="shared" si="5"/>
        <v>3</v>
      </c>
      <c r="D113" s="610">
        <f t="shared" si="6"/>
        <v>6</v>
      </c>
      <c r="E113" s="607"/>
      <c r="F113" s="608"/>
      <c r="G113" s="608"/>
      <c r="H113" s="607"/>
      <c r="I113" s="607"/>
      <c r="J113" s="607"/>
      <c r="K113" s="607" t="s">
        <v>488</v>
      </c>
      <c r="L113" s="607"/>
      <c r="M113" s="607"/>
      <c r="N113" s="607"/>
      <c r="O113" s="607"/>
      <c r="P113" s="607"/>
      <c r="Q113" s="607"/>
      <c r="R113" s="607"/>
      <c r="S113" s="607"/>
      <c r="T113" s="607"/>
      <c r="U113" s="607"/>
      <c r="V113" s="607"/>
      <c r="W113" s="607"/>
      <c r="X113" s="607"/>
      <c r="Y113" s="607"/>
      <c r="Z113" s="609"/>
    </row>
    <row r="114" spans="1:26">
      <c r="A114" s="1192"/>
      <c r="B114" s="606" t="s">
        <v>97</v>
      </c>
      <c r="C114" s="610">
        <f t="shared" si="5"/>
        <v>3</v>
      </c>
      <c r="D114" s="610">
        <f t="shared" si="6"/>
        <v>6</v>
      </c>
      <c r="E114" s="607"/>
      <c r="F114" s="608"/>
      <c r="G114" s="608"/>
      <c r="H114" s="607"/>
      <c r="I114" s="607"/>
      <c r="J114" s="607"/>
      <c r="K114" s="607" t="s">
        <v>488</v>
      </c>
      <c r="L114" s="607"/>
      <c r="M114" s="607"/>
      <c r="N114" s="607"/>
      <c r="O114" s="607"/>
      <c r="P114" s="607"/>
      <c r="Q114" s="607"/>
      <c r="R114" s="607"/>
      <c r="S114" s="607"/>
      <c r="T114" s="607"/>
      <c r="U114" s="607"/>
      <c r="V114" s="607"/>
      <c r="W114" s="607"/>
      <c r="X114" s="607"/>
      <c r="Y114" s="607"/>
      <c r="Z114" s="609"/>
    </row>
    <row r="115" spans="1:26">
      <c r="A115" s="1192"/>
      <c r="B115" s="606" t="s">
        <v>97</v>
      </c>
      <c r="C115" s="610">
        <f t="shared" si="5"/>
        <v>3</v>
      </c>
      <c r="D115" s="610">
        <f t="shared" si="6"/>
        <v>6</v>
      </c>
      <c r="E115" s="607"/>
      <c r="F115" s="608"/>
      <c r="G115" s="608"/>
      <c r="H115" s="607"/>
      <c r="I115" s="607"/>
      <c r="J115" s="607"/>
      <c r="K115" s="607" t="s">
        <v>488</v>
      </c>
      <c r="L115" s="607"/>
      <c r="M115" s="607"/>
      <c r="N115" s="607"/>
      <c r="O115" s="607"/>
      <c r="P115" s="607"/>
      <c r="Q115" s="607"/>
      <c r="R115" s="607"/>
      <c r="S115" s="607"/>
      <c r="T115" s="607"/>
      <c r="U115" s="607"/>
      <c r="V115" s="607"/>
      <c r="W115" s="607"/>
      <c r="X115" s="607"/>
      <c r="Y115" s="607"/>
      <c r="Z115" s="609"/>
    </row>
    <row r="116" spans="1:26">
      <c r="A116" s="1192"/>
      <c r="B116" s="606" t="s">
        <v>97</v>
      </c>
      <c r="C116" s="610">
        <f t="shared" si="5"/>
        <v>3</v>
      </c>
      <c r="D116" s="610">
        <f t="shared" si="6"/>
        <v>6</v>
      </c>
      <c r="E116" s="607"/>
      <c r="F116" s="608"/>
      <c r="G116" s="608"/>
      <c r="H116" s="607"/>
      <c r="I116" s="607"/>
      <c r="J116" s="607"/>
      <c r="K116" s="607" t="s">
        <v>488</v>
      </c>
      <c r="L116" s="607"/>
      <c r="M116" s="607"/>
      <c r="N116" s="607"/>
      <c r="O116" s="607"/>
      <c r="P116" s="607"/>
      <c r="Q116" s="607"/>
      <c r="R116" s="607"/>
      <c r="S116" s="607"/>
      <c r="T116" s="607"/>
      <c r="U116" s="607"/>
      <c r="V116" s="607"/>
      <c r="W116" s="607"/>
      <c r="X116" s="607"/>
      <c r="Y116" s="607"/>
      <c r="Z116" s="609"/>
    </row>
    <row r="117" spans="1:26">
      <c r="A117" s="1192"/>
      <c r="B117" s="606" t="s">
        <v>97</v>
      </c>
      <c r="C117" s="610">
        <f t="shared" si="5"/>
        <v>3</v>
      </c>
      <c r="D117" s="610">
        <f t="shared" si="6"/>
        <v>6</v>
      </c>
      <c r="E117" s="607"/>
      <c r="F117" s="608"/>
      <c r="G117" s="608"/>
      <c r="H117" s="607"/>
      <c r="I117" s="607"/>
      <c r="J117" s="607"/>
      <c r="K117" s="607" t="s">
        <v>488</v>
      </c>
      <c r="L117" s="607"/>
      <c r="M117" s="607"/>
      <c r="N117" s="607"/>
      <c r="O117" s="607"/>
      <c r="P117" s="607"/>
      <c r="Q117" s="607"/>
      <c r="R117" s="607"/>
      <c r="S117" s="607"/>
      <c r="T117" s="607"/>
      <c r="U117" s="607"/>
      <c r="V117" s="607"/>
      <c r="W117" s="607"/>
      <c r="X117" s="607"/>
      <c r="Y117" s="607"/>
      <c r="Z117" s="609"/>
    </row>
    <row r="118" spans="1:26">
      <c r="A118" s="1192"/>
      <c r="B118" s="606" t="s">
        <v>97</v>
      </c>
      <c r="C118" s="610">
        <f t="shared" si="5"/>
        <v>3</v>
      </c>
      <c r="D118" s="610">
        <f t="shared" si="6"/>
        <v>6</v>
      </c>
      <c r="E118" s="607"/>
      <c r="F118" s="608"/>
      <c r="G118" s="608"/>
      <c r="H118" s="607"/>
      <c r="I118" s="607"/>
      <c r="J118" s="607"/>
      <c r="K118" s="607" t="s">
        <v>488</v>
      </c>
      <c r="L118" s="607"/>
      <c r="M118" s="607"/>
      <c r="N118" s="607"/>
      <c r="O118" s="607"/>
      <c r="P118" s="607"/>
      <c r="Q118" s="607"/>
      <c r="R118" s="607"/>
      <c r="S118" s="607"/>
      <c r="T118" s="607"/>
      <c r="U118" s="607"/>
      <c r="V118" s="607"/>
      <c r="W118" s="607"/>
      <c r="X118" s="607"/>
      <c r="Y118" s="607"/>
      <c r="Z118" s="609"/>
    </row>
    <row r="119" spans="1:26">
      <c r="A119" s="1192"/>
      <c r="B119" s="606" t="s">
        <v>97</v>
      </c>
      <c r="C119" s="610">
        <f t="shared" si="5"/>
        <v>3</v>
      </c>
      <c r="D119" s="610">
        <f t="shared" si="6"/>
        <v>6</v>
      </c>
      <c r="E119" s="607"/>
      <c r="F119" s="608"/>
      <c r="G119" s="608"/>
      <c r="H119" s="607"/>
      <c r="I119" s="607"/>
      <c r="J119" s="607"/>
      <c r="K119" s="607" t="s">
        <v>488</v>
      </c>
      <c r="L119" s="607"/>
      <c r="M119" s="607"/>
      <c r="N119" s="607"/>
      <c r="O119" s="607"/>
      <c r="P119" s="607"/>
      <c r="Q119" s="607"/>
      <c r="R119" s="607"/>
      <c r="S119" s="607"/>
      <c r="T119" s="607"/>
      <c r="U119" s="607"/>
      <c r="V119" s="607"/>
      <c r="W119" s="607"/>
      <c r="X119" s="607"/>
      <c r="Y119" s="607"/>
      <c r="Z119" s="609"/>
    </row>
    <row r="120" spans="1:26">
      <c r="A120" s="1192"/>
      <c r="B120" s="606" t="s">
        <v>97</v>
      </c>
      <c r="C120" s="610">
        <f t="shared" si="5"/>
        <v>3</v>
      </c>
      <c r="D120" s="610">
        <f t="shared" si="6"/>
        <v>6</v>
      </c>
      <c r="E120" s="607"/>
      <c r="F120" s="608"/>
      <c r="G120" s="608"/>
      <c r="H120" s="607"/>
      <c r="I120" s="607"/>
      <c r="J120" s="607"/>
      <c r="K120" s="607" t="s">
        <v>488</v>
      </c>
      <c r="L120" s="607"/>
      <c r="M120" s="607"/>
      <c r="N120" s="607"/>
      <c r="O120" s="607"/>
      <c r="P120" s="607"/>
      <c r="Q120" s="607"/>
      <c r="R120" s="607"/>
      <c r="S120" s="607"/>
      <c r="T120" s="607"/>
      <c r="U120" s="607"/>
      <c r="V120" s="607"/>
      <c r="W120" s="607"/>
      <c r="X120" s="607"/>
      <c r="Y120" s="607"/>
      <c r="Z120" s="609"/>
    </row>
    <row r="121" spans="1:26">
      <c r="A121" s="1192"/>
      <c r="B121" s="606" t="s">
        <v>97</v>
      </c>
      <c r="C121" s="610">
        <f t="shared" si="5"/>
        <v>3</v>
      </c>
      <c r="D121" s="610">
        <f t="shared" si="6"/>
        <v>6</v>
      </c>
      <c r="E121" s="607"/>
      <c r="F121" s="608"/>
      <c r="G121" s="608"/>
      <c r="H121" s="607"/>
      <c r="I121" s="607"/>
      <c r="J121" s="607"/>
      <c r="K121" s="607" t="s">
        <v>488</v>
      </c>
      <c r="L121" s="607"/>
      <c r="M121" s="607"/>
      <c r="N121" s="607"/>
      <c r="O121" s="607"/>
      <c r="P121" s="607"/>
      <c r="Q121" s="607"/>
      <c r="R121" s="607"/>
      <c r="S121" s="607"/>
      <c r="T121" s="607"/>
      <c r="U121" s="607"/>
      <c r="V121" s="607"/>
      <c r="W121" s="607"/>
      <c r="X121" s="607"/>
      <c r="Y121" s="607"/>
      <c r="Z121" s="609"/>
    </row>
    <row r="122" spans="1:26">
      <c r="A122" s="1192"/>
      <c r="B122" s="606" t="s">
        <v>97</v>
      </c>
      <c r="C122" s="610">
        <f t="shared" si="5"/>
        <v>3</v>
      </c>
      <c r="D122" s="610">
        <f t="shared" si="6"/>
        <v>6</v>
      </c>
      <c r="E122" s="607"/>
      <c r="F122" s="608"/>
      <c r="G122" s="608"/>
      <c r="H122" s="607"/>
      <c r="I122" s="607"/>
      <c r="J122" s="607"/>
      <c r="K122" s="607" t="s">
        <v>488</v>
      </c>
      <c r="L122" s="607"/>
      <c r="M122" s="607"/>
      <c r="N122" s="607"/>
      <c r="O122" s="607"/>
      <c r="P122" s="607"/>
      <c r="Q122" s="607"/>
      <c r="R122" s="607"/>
      <c r="S122" s="607"/>
      <c r="T122" s="607"/>
      <c r="U122" s="607"/>
      <c r="V122" s="607"/>
      <c r="W122" s="607"/>
      <c r="X122" s="607"/>
      <c r="Y122" s="607"/>
      <c r="Z122" s="609"/>
    </row>
    <row r="123" spans="1:26" ht="45">
      <c r="A123" s="1193"/>
      <c r="B123" s="740" t="s">
        <v>97</v>
      </c>
      <c r="C123" s="740">
        <f t="shared" si="5"/>
        <v>3</v>
      </c>
      <c r="D123" s="740">
        <f t="shared" si="6"/>
        <v>6</v>
      </c>
      <c r="E123" s="740" t="s">
        <v>518</v>
      </c>
      <c r="F123" s="741" t="s">
        <v>519</v>
      </c>
      <c r="G123" s="741"/>
      <c r="H123" s="740"/>
      <c r="I123" s="740"/>
      <c r="J123" s="740"/>
      <c r="K123" s="740" t="s">
        <v>488</v>
      </c>
      <c r="L123" s="740">
        <f>ROUND(Pricing!$Z27*Execute_Length,0)</f>
        <v>40</v>
      </c>
      <c r="M123" s="740">
        <f>ROUND(Pricing!$Z28*Execute_Length,0)</f>
        <v>32</v>
      </c>
      <c r="N123" s="740">
        <f>ROUND(Pricing!$Z29*Execute_Length,0)</f>
        <v>32</v>
      </c>
      <c r="O123" s="740">
        <f>ROUND(Pricing!$Z30*Execute_Length,0)</f>
        <v>0</v>
      </c>
      <c r="P123" s="740">
        <f>ROUND(Pricing!$Z31*Execute_Length,0)</f>
        <v>8</v>
      </c>
      <c r="Q123" s="740">
        <f>ROUND(Pricing!$Z32*Execute_Length,0)</f>
        <v>0</v>
      </c>
      <c r="R123" s="740">
        <f>ROUND(Pricing!$Z33*Execute_Length,0)</f>
        <v>0</v>
      </c>
      <c r="S123" s="740">
        <f>ROUND(Pricing!$Z34*Execute_Length,0)</f>
        <v>0</v>
      </c>
      <c r="T123" s="740">
        <f>ROUND(Pricing!$Z35*Execute_Length,0)</f>
        <v>0</v>
      </c>
      <c r="U123" s="740">
        <f>ROUND(Pricing!$Z36*Execute_Length,0)</f>
        <v>0</v>
      </c>
      <c r="V123" s="740">
        <f>ROUND(Pricing!$Z37*Execute_Length,0)</f>
        <v>0</v>
      </c>
      <c r="W123" s="740">
        <f>ROUND(Pricing!$Z38*Execute_Length,0)</f>
        <v>0</v>
      </c>
      <c r="X123" s="740">
        <f>ROUND(Pricing!$Z39*Execute_Length,0)</f>
        <v>0</v>
      </c>
      <c r="Y123" s="740">
        <f>ROUND(Pricing!$Z40*Execute_Length,0)</f>
        <v>0</v>
      </c>
      <c r="Z123" s="740">
        <f>ROUND(Pricing!$Z41*Execute_Length,0)</f>
        <v>0</v>
      </c>
    </row>
    <row r="124" spans="1:26" s="714" customFormat="1" ht="105.75" thickBot="1">
      <c r="A124" s="1192"/>
      <c r="B124" s="765" t="s">
        <v>97</v>
      </c>
      <c r="C124" s="761">
        <f t="shared" si="5"/>
        <v>3</v>
      </c>
      <c r="D124" s="761">
        <f t="shared" si="6"/>
        <v>6</v>
      </c>
      <c r="E124" s="761" t="s">
        <v>520</v>
      </c>
      <c r="F124" s="761" t="s">
        <v>521</v>
      </c>
      <c r="G124" s="761"/>
      <c r="H124" s="762"/>
      <c r="I124" s="762"/>
      <c r="J124" s="761" t="s">
        <v>522</v>
      </c>
      <c r="K124" s="762" t="s">
        <v>488</v>
      </c>
      <c r="L124" s="762"/>
      <c r="M124" s="762"/>
      <c r="N124" s="762"/>
      <c r="O124" s="762"/>
      <c r="P124" s="762"/>
      <c r="Q124" s="762"/>
      <c r="R124" s="762"/>
      <c r="S124" s="762"/>
      <c r="T124" s="762"/>
      <c r="U124" s="762"/>
      <c r="V124" s="762"/>
      <c r="W124" s="762"/>
      <c r="X124" s="762"/>
      <c r="Y124" s="762"/>
      <c r="Z124" s="766">
        <f>(Execute_Length*40)*0.5*0</f>
        <v>0</v>
      </c>
    </row>
    <row r="125" spans="1:26" ht="212.25" customHeight="1">
      <c r="A125" s="1178"/>
      <c r="B125" s="713" t="s">
        <v>137</v>
      </c>
      <c r="C125" s="713">
        <f t="shared" ref="C125:C139" si="7">DELIVER_START</f>
        <v>7</v>
      </c>
      <c r="D125" s="713">
        <f t="shared" ref="D125:D139" si="8">DELIVER_END</f>
        <v>7</v>
      </c>
      <c r="E125" s="715" t="s">
        <v>523</v>
      </c>
      <c r="F125" s="716" t="s">
        <v>524</v>
      </c>
      <c r="G125" s="716"/>
      <c r="H125" s="713"/>
      <c r="I125" s="713"/>
      <c r="J125" s="716" t="s">
        <v>525</v>
      </c>
      <c r="K125" s="713" t="s">
        <v>488</v>
      </c>
      <c r="L125" s="713"/>
      <c r="M125" s="713"/>
      <c r="N125" s="713"/>
      <c r="O125" s="713"/>
      <c r="P125" s="713"/>
      <c r="Q125" s="713"/>
      <c r="R125" s="713"/>
      <c r="S125" s="713"/>
      <c r="T125" s="713"/>
      <c r="U125" s="713"/>
      <c r="V125" s="713"/>
      <c r="W125" s="713"/>
      <c r="X125" s="713"/>
      <c r="Y125" s="713"/>
      <c r="Z125" s="717">
        <f>(Deliver_Length*40)*0.3*0</f>
        <v>0</v>
      </c>
    </row>
    <row r="126" spans="1:26" ht="30">
      <c r="A126" s="1178"/>
      <c r="B126" s="607" t="s">
        <v>137</v>
      </c>
      <c r="C126" s="607">
        <f t="shared" si="7"/>
        <v>7</v>
      </c>
      <c r="D126" s="607">
        <f t="shared" si="8"/>
        <v>7</v>
      </c>
      <c r="E126" s="607" t="s">
        <v>526</v>
      </c>
      <c r="F126" s="608" t="s">
        <v>527</v>
      </c>
      <c r="G126" s="608"/>
      <c r="H126" s="607"/>
      <c r="I126" s="607"/>
      <c r="J126" s="607" t="s">
        <v>528</v>
      </c>
      <c r="K126" s="607" t="s">
        <v>488</v>
      </c>
      <c r="L126" s="700"/>
      <c r="M126" s="700"/>
      <c r="N126" s="700"/>
      <c r="O126" s="700"/>
      <c r="P126" s="607"/>
      <c r="Q126" s="607"/>
      <c r="R126" s="607"/>
      <c r="S126" s="607"/>
      <c r="T126" s="607"/>
      <c r="U126" s="607"/>
      <c r="V126" s="607"/>
      <c r="W126" s="607"/>
      <c r="X126" s="607"/>
      <c r="Y126" s="607"/>
      <c r="Z126" s="609"/>
    </row>
    <row r="127" spans="1:26" ht="90">
      <c r="A127" s="1178"/>
      <c r="B127" s="607" t="s">
        <v>137</v>
      </c>
      <c r="C127" s="607">
        <f t="shared" si="7"/>
        <v>7</v>
      </c>
      <c r="D127" s="607">
        <f t="shared" si="8"/>
        <v>7</v>
      </c>
      <c r="E127" s="607" t="s">
        <v>529</v>
      </c>
      <c r="F127" s="608" t="s">
        <v>530</v>
      </c>
      <c r="G127" s="608" t="s">
        <v>531</v>
      </c>
      <c r="H127" s="607"/>
      <c r="I127" s="607"/>
      <c r="J127" s="607" t="s">
        <v>532</v>
      </c>
      <c r="K127" s="607" t="s">
        <v>488</v>
      </c>
      <c r="L127" s="700"/>
      <c r="M127" s="700"/>
      <c r="N127" s="700"/>
      <c r="O127" s="700"/>
      <c r="P127" s="607"/>
      <c r="Q127" s="607"/>
      <c r="R127" s="607"/>
      <c r="S127" s="607"/>
      <c r="T127" s="607"/>
      <c r="U127" s="607"/>
      <c r="V127" s="607"/>
      <c r="W127" s="607"/>
      <c r="X127" s="607"/>
      <c r="Y127" s="607"/>
      <c r="Z127" s="609"/>
    </row>
    <row r="128" spans="1:26" ht="180">
      <c r="A128" s="1178"/>
      <c r="B128" s="607" t="s">
        <v>137</v>
      </c>
      <c r="C128" s="607">
        <f t="shared" si="7"/>
        <v>7</v>
      </c>
      <c r="D128" s="607">
        <f t="shared" si="8"/>
        <v>7</v>
      </c>
      <c r="E128" s="607" t="s">
        <v>533</v>
      </c>
      <c r="F128" s="608" t="s">
        <v>534</v>
      </c>
      <c r="G128" s="608" t="s">
        <v>535</v>
      </c>
      <c r="H128" s="607"/>
      <c r="I128" s="607"/>
      <c r="J128" s="608" t="s">
        <v>536</v>
      </c>
      <c r="K128" s="607" t="s">
        <v>488</v>
      </c>
      <c r="L128" s="700"/>
      <c r="M128" s="700"/>
      <c r="N128" s="700"/>
      <c r="O128" s="700"/>
      <c r="P128" s="607"/>
      <c r="Q128" s="607"/>
      <c r="R128" s="607"/>
      <c r="S128" s="607"/>
      <c r="T128" s="607"/>
      <c r="U128" s="607"/>
      <c r="V128" s="607"/>
      <c r="W128" s="607"/>
      <c r="X128" s="607"/>
      <c r="Y128" s="607"/>
      <c r="Z128" s="609"/>
    </row>
    <row r="129" spans="1:26">
      <c r="A129" s="1178"/>
      <c r="B129" s="607" t="s">
        <v>137</v>
      </c>
      <c r="C129" s="607">
        <f t="shared" si="7"/>
        <v>7</v>
      </c>
      <c r="D129" s="607">
        <f t="shared" si="8"/>
        <v>7</v>
      </c>
      <c r="E129" s="607"/>
      <c r="F129" s="608"/>
      <c r="G129" s="608"/>
      <c r="H129" s="607"/>
      <c r="I129" s="607"/>
      <c r="J129" s="607"/>
      <c r="K129" s="607" t="s">
        <v>488</v>
      </c>
      <c r="L129" s="700"/>
      <c r="M129" s="700"/>
      <c r="N129" s="700"/>
      <c r="O129" s="700"/>
      <c r="P129" s="607"/>
      <c r="Q129" s="607"/>
      <c r="R129" s="607"/>
      <c r="S129" s="607"/>
      <c r="T129" s="607"/>
      <c r="U129" s="607"/>
      <c r="V129" s="607"/>
      <c r="W129" s="607"/>
      <c r="X129" s="607"/>
      <c r="Y129" s="607"/>
      <c r="Z129" s="609"/>
    </row>
    <row r="130" spans="1:26">
      <c r="A130" s="1178"/>
      <c r="B130" s="607" t="s">
        <v>137</v>
      </c>
      <c r="C130" s="607">
        <f t="shared" si="7"/>
        <v>7</v>
      </c>
      <c r="D130" s="607">
        <f t="shared" si="8"/>
        <v>7</v>
      </c>
      <c r="E130" s="607"/>
      <c r="F130" s="608"/>
      <c r="G130" s="608"/>
      <c r="H130" s="613"/>
      <c r="I130" s="613"/>
      <c r="J130" s="613"/>
      <c r="K130" s="607" t="s">
        <v>488</v>
      </c>
      <c r="L130" s="701"/>
      <c r="M130" s="701"/>
      <c r="N130" s="701"/>
      <c r="O130" s="701"/>
      <c r="P130" s="607"/>
      <c r="Q130" s="607"/>
      <c r="R130" s="607"/>
      <c r="S130" s="607"/>
      <c r="T130" s="607"/>
      <c r="U130" s="607"/>
      <c r="V130" s="607"/>
      <c r="W130" s="607"/>
      <c r="X130" s="607"/>
      <c r="Y130" s="607"/>
      <c r="Z130" s="609"/>
    </row>
    <row r="131" spans="1:26">
      <c r="A131" s="1178"/>
      <c r="B131" s="607" t="s">
        <v>137</v>
      </c>
      <c r="C131" s="607">
        <f t="shared" si="7"/>
        <v>7</v>
      </c>
      <c r="D131" s="607">
        <f t="shared" si="8"/>
        <v>7</v>
      </c>
      <c r="E131" s="607"/>
      <c r="F131" s="608"/>
      <c r="G131" s="747"/>
      <c r="H131" s="755"/>
      <c r="I131" s="755"/>
      <c r="J131" s="755"/>
      <c r="K131" s="755" t="s">
        <v>488</v>
      </c>
      <c r="L131" s="750"/>
      <c r="M131" s="750"/>
      <c r="N131" s="750"/>
      <c r="O131" s="750"/>
      <c r="P131" s="606"/>
      <c r="Q131" s="607"/>
      <c r="R131" s="607"/>
      <c r="S131" s="607"/>
      <c r="T131" s="607"/>
      <c r="U131" s="607"/>
      <c r="V131" s="607"/>
      <c r="W131" s="607"/>
      <c r="X131" s="607"/>
      <c r="Y131" s="607"/>
      <c r="Z131" s="609"/>
    </row>
    <row r="132" spans="1:26">
      <c r="A132" s="1178"/>
      <c r="B132" s="607" t="s">
        <v>137</v>
      </c>
      <c r="C132" s="607">
        <f t="shared" si="7"/>
        <v>7</v>
      </c>
      <c r="D132" s="607">
        <f t="shared" si="8"/>
        <v>7</v>
      </c>
      <c r="E132" s="607"/>
      <c r="F132" s="608"/>
      <c r="G132" s="608"/>
      <c r="H132" s="611"/>
      <c r="I132" s="611"/>
      <c r="J132" s="611"/>
      <c r="K132" s="611" t="s">
        <v>488</v>
      </c>
      <c r="L132" s="737"/>
      <c r="M132" s="737"/>
      <c r="N132" s="737"/>
      <c r="O132" s="737"/>
      <c r="P132" s="607"/>
      <c r="Q132" s="607"/>
      <c r="R132" s="607"/>
      <c r="S132" s="607"/>
      <c r="T132" s="607"/>
      <c r="U132" s="607"/>
      <c r="V132" s="607"/>
      <c r="W132" s="607"/>
      <c r="X132" s="607"/>
      <c r="Y132" s="607"/>
      <c r="Z132" s="609"/>
    </row>
    <row r="133" spans="1:26">
      <c r="A133" s="1178"/>
      <c r="B133" s="607" t="s">
        <v>137</v>
      </c>
      <c r="C133" s="607">
        <f t="shared" si="7"/>
        <v>7</v>
      </c>
      <c r="D133" s="607">
        <f t="shared" si="8"/>
        <v>7</v>
      </c>
      <c r="E133" s="607"/>
      <c r="F133" s="608"/>
      <c r="G133" s="608"/>
      <c r="H133" s="607"/>
      <c r="I133" s="607"/>
      <c r="J133" s="607"/>
      <c r="K133" s="607" t="s">
        <v>488</v>
      </c>
      <c r="L133" s="700"/>
      <c r="M133" s="700"/>
      <c r="N133" s="700"/>
      <c r="O133" s="700"/>
      <c r="P133" s="607"/>
      <c r="Q133" s="607"/>
      <c r="R133" s="607"/>
      <c r="S133" s="607"/>
      <c r="T133" s="607"/>
      <c r="U133" s="607"/>
      <c r="V133" s="607"/>
      <c r="W133" s="607"/>
      <c r="X133" s="700"/>
      <c r="Y133" s="607"/>
      <c r="Z133" s="609"/>
    </row>
    <row r="134" spans="1:26">
      <c r="A134" s="1178"/>
      <c r="B134" s="607" t="s">
        <v>137</v>
      </c>
      <c r="C134" s="607">
        <f t="shared" si="7"/>
        <v>7</v>
      </c>
      <c r="D134" s="607">
        <f t="shared" si="8"/>
        <v>7</v>
      </c>
      <c r="E134" s="607"/>
      <c r="F134" s="608"/>
      <c r="G134" s="608"/>
      <c r="H134" s="607"/>
      <c r="I134" s="607"/>
      <c r="J134" s="607"/>
      <c r="K134" s="607" t="s">
        <v>488</v>
      </c>
      <c r="L134" s="700"/>
      <c r="M134" s="700"/>
      <c r="N134" s="700"/>
      <c r="O134" s="700"/>
      <c r="P134" s="607"/>
      <c r="Q134" s="607"/>
      <c r="R134" s="700"/>
      <c r="S134" s="700"/>
      <c r="T134" s="700"/>
      <c r="U134" s="607"/>
      <c r="V134" s="607"/>
      <c r="W134" s="607"/>
      <c r="X134" s="607"/>
      <c r="Y134" s="607"/>
      <c r="Z134" s="609"/>
    </row>
    <row r="135" spans="1:26">
      <c r="A135" s="1178"/>
      <c r="B135" s="607" t="s">
        <v>137</v>
      </c>
      <c r="C135" s="607">
        <f t="shared" si="7"/>
        <v>7</v>
      </c>
      <c r="D135" s="607">
        <f t="shared" si="8"/>
        <v>7</v>
      </c>
      <c r="E135" s="607"/>
      <c r="F135" s="608"/>
      <c r="G135" s="608"/>
      <c r="H135" s="607"/>
      <c r="I135" s="607"/>
      <c r="J135" s="607"/>
      <c r="K135" s="607" t="s">
        <v>488</v>
      </c>
      <c r="L135" s="700"/>
      <c r="M135" s="700"/>
      <c r="N135" s="700"/>
      <c r="O135" s="700"/>
      <c r="P135" s="607"/>
      <c r="Q135" s="607"/>
      <c r="R135" s="607"/>
      <c r="S135" s="607"/>
      <c r="T135" s="607"/>
      <c r="U135" s="607"/>
      <c r="V135" s="607"/>
      <c r="W135" s="607"/>
      <c r="X135" s="607"/>
      <c r="Y135" s="607"/>
      <c r="Z135" s="609"/>
    </row>
    <row r="136" spans="1:26">
      <c r="A136" s="1178"/>
      <c r="B136" s="607" t="s">
        <v>137</v>
      </c>
      <c r="C136" s="607">
        <f t="shared" si="7"/>
        <v>7</v>
      </c>
      <c r="D136" s="607">
        <f t="shared" si="8"/>
        <v>7</v>
      </c>
      <c r="E136" s="607"/>
      <c r="F136" s="608"/>
      <c r="G136" s="608"/>
      <c r="H136" s="607"/>
      <c r="I136" s="607"/>
      <c r="J136" s="607"/>
      <c r="K136" s="607" t="s">
        <v>488</v>
      </c>
      <c r="L136" s="700"/>
      <c r="M136" s="700"/>
      <c r="N136" s="700"/>
      <c r="O136" s="700"/>
      <c r="P136" s="607"/>
      <c r="Q136" s="607"/>
      <c r="R136" s="607"/>
      <c r="S136" s="607"/>
      <c r="T136" s="607"/>
      <c r="U136" s="607"/>
      <c r="V136" s="607"/>
      <c r="W136" s="607"/>
      <c r="X136" s="607"/>
      <c r="Y136" s="607"/>
      <c r="Z136" s="609"/>
    </row>
    <row r="137" spans="1:26">
      <c r="A137" s="1178"/>
      <c r="B137" s="607" t="s">
        <v>137</v>
      </c>
      <c r="C137" s="607">
        <f t="shared" si="7"/>
        <v>7</v>
      </c>
      <c r="D137" s="607">
        <f t="shared" si="8"/>
        <v>7</v>
      </c>
      <c r="E137" s="607"/>
      <c r="F137" s="608"/>
      <c r="G137" s="608"/>
      <c r="H137" s="607"/>
      <c r="I137" s="607"/>
      <c r="J137" s="607"/>
      <c r="K137" s="607" t="s">
        <v>488</v>
      </c>
      <c r="L137" s="700"/>
      <c r="M137" s="700"/>
      <c r="N137" s="700"/>
      <c r="O137" s="700"/>
      <c r="P137" s="607"/>
      <c r="Q137" s="607"/>
      <c r="R137" s="607"/>
      <c r="S137" s="607"/>
      <c r="T137" s="607"/>
      <c r="U137" s="607"/>
      <c r="V137" s="607"/>
      <c r="W137" s="607"/>
      <c r="X137" s="607"/>
      <c r="Y137" s="607"/>
      <c r="Z137" s="609"/>
    </row>
    <row r="138" spans="1:26">
      <c r="A138" s="1178"/>
      <c r="B138" s="607" t="s">
        <v>137</v>
      </c>
      <c r="C138" s="607">
        <f t="shared" si="7"/>
        <v>7</v>
      </c>
      <c r="D138" s="607">
        <f t="shared" si="8"/>
        <v>7</v>
      </c>
      <c r="E138" s="607"/>
      <c r="F138" s="608"/>
      <c r="G138" s="608"/>
      <c r="H138" s="607"/>
      <c r="I138" s="607"/>
      <c r="J138" s="607"/>
      <c r="K138" s="607" t="s">
        <v>488</v>
      </c>
      <c r="L138" s="700"/>
      <c r="M138" s="700"/>
      <c r="N138" s="700"/>
      <c r="O138" s="700"/>
      <c r="P138" s="607"/>
      <c r="Q138" s="607"/>
      <c r="R138" s="607"/>
      <c r="S138" s="607"/>
      <c r="T138" s="607"/>
      <c r="U138" s="607"/>
      <c r="V138" s="607"/>
      <c r="W138" s="607"/>
      <c r="X138" s="607"/>
      <c r="Y138" s="607"/>
      <c r="Z138" s="609"/>
    </row>
    <row r="139" spans="1:26" ht="76.5" customHeight="1" thickBot="1">
      <c r="A139" s="1178"/>
      <c r="B139" s="744" t="s">
        <v>137</v>
      </c>
      <c r="C139" s="744">
        <f t="shared" si="7"/>
        <v>7</v>
      </c>
      <c r="D139" s="744">
        <f t="shared" si="8"/>
        <v>7</v>
      </c>
      <c r="E139" s="744" t="s">
        <v>537</v>
      </c>
      <c r="F139" s="745" t="s">
        <v>538</v>
      </c>
      <c r="G139" s="745"/>
      <c r="H139" s="744"/>
      <c r="I139" s="744"/>
      <c r="J139" s="744"/>
      <c r="K139" s="744" t="s">
        <v>488</v>
      </c>
      <c r="L139" s="744">
        <f>ROUND(Pricing!$AA27*Deliver_Length,0)</f>
        <v>10</v>
      </c>
      <c r="M139" s="744">
        <f>ROUND(Pricing!$AA28*Deliver_Length,0)</f>
        <v>8</v>
      </c>
      <c r="N139" s="744">
        <f>ROUND(Pricing!$AA29*Deliver_Length,0)</f>
        <v>4</v>
      </c>
      <c r="O139" s="744">
        <f>ROUND(Pricing!$AA30*Deliver_Length,0)</f>
        <v>20</v>
      </c>
      <c r="P139" s="744">
        <f>ROUND(Pricing!$AA31*Deliver_Length,0)</f>
        <v>2</v>
      </c>
      <c r="Q139" s="744">
        <f>ROUND(Pricing!$AA32*Deliver_Length,0)</f>
        <v>0</v>
      </c>
      <c r="R139" s="744">
        <f>ROUND(Pricing!$AA33*Deliver_Length,0)</f>
        <v>0</v>
      </c>
      <c r="S139" s="744">
        <f>ROUND(Pricing!$AA34*Deliver_Length,0)</f>
        <v>0</v>
      </c>
      <c r="T139" s="744">
        <f>ROUND(Pricing!$AA35*Deliver_Length,0)</f>
        <v>0</v>
      </c>
      <c r="U139" s="744">
        <f>ROUND(Pricing!$AA36*Deliver_Length,0)</f>
        <v>0</v>
      </c>
      <c r="V139" s="744">
        <f>ROUND(Pricing!$AA37*Deliver_Length,0)</f>
        <v>0</v>
      </c>
      <c r="W139" s="744">
        <f>ROUND(Pricing!$AA38*Deliver_Length,0)</f>
        <v>0</v>
      </c>
      <c r="X139" s="744">
        <f>ROUND(Pricing!$AA39*Deliver_Length,0)</f>
        <v>0</v>
      </c>
      <c r="Y139" s="744">
        <f>ROUND(Pricing!$AA40*Deliver_Length,0)</f>
        <v>0</v>
      </c>
      <c r="Z139" s="744">
        <f>ROUND(Pricing!$AA41*Deliver_Length,0)</f>
        <v>0</v>
      </c>
    </row>
    <row r="140" spans="1:26" ht="15" customHeight="1">
      <c r="A140" s="1179" t="s">
        <v>151</v>
      </c>
      <c r="B140" s="610" t="s">
        <v>151</v>
      </c>
      <c r="C140" s="611">
        <f t="shared" ref="C140:C146" si="9">CLOSE_START</f>
        <v>8</v>
      </c>
      <c r="D140" s="611">
        <f t="shared" ref="D140:D146" si="10">CLOSE_END</f>
        <v>8</v>
      </c>
      <c r="E140" s="752"/>
      <c r="F140" s="756"/>
      <c r="G140" s="756"/>
      <c r="H140" s="752"/>
      <c r="I140" s="752"/>
      <c r="J140" s="752"/>
      <c r="K140" s="752" t="s">
        <v>488</v>
      </c>
      <c r="L140" s="751"/>
      <c r="M140" s="751"/>
      <c r="N140" s="751"/>
      <c r="O140" s="751"/>
      <c r="P140" s="752"/>
      <c r="Q140" s="610"/>
      <c r="R140" s="611"/>
      <c r="S140" s="611"/>
      <c r="T140" s="611"/>
      <c r="U140" s="611"/>
      <c r="V140" s="611"/>
      <c r="W140" s="611"/>
      <c r="X140" s="611"/>
      <c r="Y140" s="611"/>
      <c r="Z140" s="611"/>
    </row>
    <row r="141" spans="1:26">
      <c r="A141" s="1180"/>
      <c r="B141" s="606" t="s">
        <v>151</v>
      </c>
      <c r="C141" s="728">
        <f t="shared" si="9"/>
        <v>8</v>
      </c>
      <c r="D141" s="728">
        <f t="shared" si="10"/>
        <v>8</v>
      </c>
      <c r="E141" s="612"/>
      <c r="F141" s="612"/>
      <c r="G141" s="612"/>
      <c r="H141" s="611"/>
      <c r="I141" s="611"/>
      <c r="J141" s="611"/>
      <c r="K141" s="611" t="s">
        <v>488</v>
      </c>
      <c r="L141" s="737"/>
      <c r="M141" s="737"/>
      <c r="N141" s="737"/>
      <c r="O141" s="737"/>
      <c r="P141" s="611"/>
      <c r="Q141" s="607"/>
      <c r="R141" s="737"/>
      <c r="S141" s="737"/>
      <c r="T141" s="737"/>
      <c r="U141" s="607"/>
      <c r="V141" s="607"/>
      <c r="W141" s="607"/>
      <c r="X141" s="737"/>
      <c r="Y141" s="611"/>
      <c r="Z141" s="738"/>
    </row>
    <row r="142" spans="1:26">
      <c r="A142" s="1180"/>
      <c r="B142" s="606" t="s">
        <v>151</v>
      </c>
      <c r="C142" s="728">
        <f t="shared" si="9"/>
        <v>8</v>
      </c>
      <c r="D142" s="728">
        <f t="shared" si="10"/>
        <v>8</v>
      </c>
      <c r="E142" s="607"/>
      <c r="F142" s="608"/>
      <c r="G142" s="608"/>
      <c r="H142" s="613"/>
      <c r="I142" s="613"/>
      <c r="J142" s="613"/>
      <c r="K142" s="607" t="s">
        <v>488</v>
      </c>
      <c r="L142" s="700"/>
      <c r="M142" s="700"/>
      <c r="N142" s="701"/>
      <c r="O142" s="701"/>
      <c r="P142" s="607"/>
      <c r="Q142" s="607"/>
      <c r="R142" s="607"/>
      <c r="S142" s="607"/>
      <c r="T142" s="607"/>
      <c r="U142" s="607"/>
      <c r="V142" s="607"/>
      <c r="W142" s="607"/>
      <c r="X142" s="607"/>
      <c r="Y142" s="607"/>
      <c r="Z142" s="614"/>
    </row>
    <row r="143" spans="1:26">
      <c r="A143" s="1180"/>
      <c r="B143" s="606" t="s">
        <v>151</v>
      </c>
      <c r="C143" s="728">
        <f t="shared" si="9"/>
        <v>8</v>
      </c>
      <c r="D143" s="728">
        <f t="shared" si="10"/>
        <v>8</v>
      </c>
      <c r="E143" s="607"/>
      <c r="F143" s="608"/>
      <c r="G143" s="608"/>
      <c r="H143" s="607"/>
      <c r="I143" s="607"/>
      <c r="J143" s="607"/>
      <c r="K143" s="607" t="s">
        <v>488</v>
      </c>
      <c r="L143" s="701"/>
      <c r="M143" s="607"/>
      <c r="N143" s="700"/>
      <c r="O143" s="700"/>
      <c r="P143" s="607"/>
      <c r="Q143" s="607"/>
      <c r="R143" s="607"/>
      <c r="S143" s="607"/>
      <c r="T143" s="607"/>
      <c r="U143" s="607"/>
      <c r="V143" s="607"/>
      <c r="W143" s="607"/>
      <c r="X143" s="607"/>
      <c r="Y143" s="607"/>
      <c r="Z143" s="614"/>
    </row>
    <row r="144" spans="1:26">
      <c r="A144" s="1180"/>
      <c r="B144" s="606" t="s">
        <v>151</v>
      </c>
      <c r="C144" s="728">
        <f t="shared" si="9"/>
        <v>8</v>
      </c>
      <c r="D144" s="728">
        <f t="shared" si="10"/>
        <v>8</v>
      </c>
      <c r="E144" s="607"/>
      <c r="F144" s="608"/>
      <c r="G144" s="608"/>
      <c r="H144" s="607"/>
      <c r="I144" s="607"/>
      <c r="J144" s="607"/>
      <c r="K144" s="607" t="s">
        <v>488</v>
      </c>
      <c r="L144" s="607"/>
      <c r="M144" s="607"/>
      <c r="N144" s="607"/>
      <c r="O144" s="607"/>
      <c r="P144" s="607"/>
      <c r="Q144" s="607"/>
      <c r="R144" s="607"/>
      <c r="S144" s="607"/>
      <c r="T144" s="607"/>
      <c r="U144" s="607"/>
      <c r="V144" s="607"/>
      <c r="W144" s="607"/>
      <c r="X144" s="607"/>
      <c r="Y144" s="607"/>
      <c r="Z144" s="614"/>
    </row>
    <row r="145" spans="1:26">
      <c r="A145" s="1180"/>
      <c r="B145" s="606" t="s">
        <v>151</v>
      </c>
      <c r="C145" s="728">
        <f t="shared" si="9"/>
        <v>8</v>
      </c>
      <c r="D145" s="728">
        <f t="shared" si="10"/>
        <v>8</v>
      </c>
      <c r="E145" s="607"/>
      <c r="F145" s="608"/>
      <c r="G145" s="608"/>
      <c r="H145" s="607"/>
      <c r="I145" s="607"/>
      <c r="J145" s="607"/>
      <c r="K145" s="607" t="s">
        <v>488</v>
      </c>
      <c r="L145" s="607"/>
      <c r="M145" s="607"/>
      <c r="N145" s="607"/>
      <c r="O145" s="607"/>
      <c r="P145" s="607"/>
      <c r="Q145" s="607"/>
      <c r="R145" s="607"/>
      <c r="S145" s="607"/>
      <c r="T145" s="607"/>
      <c r="U145" s="607"/>
      <c r="V145" s="607"/>
      <c r="W145" s="607"/>
      <c r="X145" s="607"/>
      <c r="Y145" s="607"/>
      <c r="Z145" s="614"/>
    </row>
    <row r="146" spans="1:26" ht="75.75" thickBot="1">
      <c r="A146" s="1180"/>
      <c r="B146" s="742" t="s">
        <v>151</v>
      </c>
      <c r="C146" s="743">
        <f t="shared" si="9"/>
        <v>8</v>
      </c>
      <c r="D146" s="743">
        <f t="shared" si="10"/>
        <v>8</v>
      </c>
      <c r="E146" s="744" t="s">
        <v>539</v>
      </c>
      <c r="F146" s="745" t="s">
        <v>540</v>
      </c>
      <c r="G146" s="745"/>
      <c r="H146" s="744"/>
      <c r="I146" s="744"/>
      <c r="J146" s="744"/>
      <c r="K146" s="744" t="s">
        <v>488</v>
      </c>
      <c r="L146" s="744">
        <f>ROUND(Pricing!$AB27*Close_Length,0)</f>
        <v>10</v>
      </c>
      <c r="M146" s="744">
        <f>ROUND(Pricing!$AB28*Close_Length,0)</f>
        <v>2</v>
      </c>
      <c r="N146" s="744">
        <f>ROUND(Pricing!$AB29*Close_Length,0)</f>
        <v>2</v>
      </c>
      <c r="O146" s="744">
        <f>ROUND(Pricing!$AB30*Close_Length,0)</f>
        <v>10</v>
      </c>
      <c r="P146" s="744">
        <f>ROUND(Pricing!$AB31*Close_Length,0)</f>
        <v>2</v>
      </c>
      <c r="Q146" s="744">
        <f>ROUND(Pricing!$AB32*Close_Length,0)</f>
        <v>0</v>
      </c>
      <c r="R146" s="744">
        <f>ROUND(Pricing!$AB33*Close_Length,0)</f>
        <v>0</v>
      </c>
      <c r="S146" s="744">
        <f>ROUND(Pricing!$AB34*Close_Length,0)</f>
        <v>0</v>
      </c>
      <c r="T146" s="744">
        <f>ROUND(Pricing!$AB35*Close_Length,0)</f>
        <v>0</v>
      </c>
      <c r="U146" s="744">
        <f>ROUND(Pricing!$AB36*Close_Length,0)</f>
        <v>0</v>
      </c>
      <c r="V146" s="744">
        <f>ROUND(Pricing!$AB37*Close_Length,0)</f>
        <v>0</v>
      </c>
      <c r="W146" s="744">
        <f>ROUND(Pricing!$AB38*Close_Length,0)</f>
        <v>0</v>
      </c>
      <c r="X146" s="744">
        <f>ROUND(Pricing!$AB39*Close_Length,0)</f>
        <v>0</v>
      </c>
      <c r="Y146" s="744">
        <f>ROUND(Pricing!$AB40*Close_Length,0)</f>
        <v>0</v>
      </c>
      <c r="Z146" s="744">
        <f>ROUND(Pricing!$AB41*Close_Length,0)</f>
        <v>0</v>
      </c>
    </row>
    <row r="147" spans="1:26">
      <c r="A147" s="1181" t="s">
        <v>541</v>
      </c>
      <c r="B147" s="930" t="s">
        <v>487</v>
      </c>
      <c r="C147" s="931">
        <v>1</v>
      </c>
      <c r="D147" s="931">
        <f>INITIATE_END</f>
        <v>1</v>
      </c>
      <c r="E147" s="732" t="s">
        <v>542</v>
      </c>
      <c r="F147" s="932"/>
      <c r="G147" s="932"/>
      <c r="H147" s="732" t="s">
        <v>543</v>
      </c>
      <c r="I147" s="732" t="s">
        <v>544</v>
      </c>
      <c r="J147" s="732"/>
      <c r="K147" s="732" t="s">
        <v>488</v>
      </c>
      <c r="L147" s="933" cm="1">
        <f t="array" aca="1" ref="L147" ca="1">IFERROR(IF(AND((SUM(_xlfn._xlws.FILTER(TandE[Role 1], (TandE[[Practice]:[Practice]]&lt;&gt;"Padding")*(TandE[[Phase]:[Phase]]=TandE[[#This Row],[Phase]:[Phase]])))) &gt;0,(SUM(_xlfn._xlws.FILTER(TandE[Role 1], (TandE[[Practice]:[Practice]]&lt;&gt;"Padding")*(TandE[[Phase]:[Phase]]=TandE[[#This Row],[Phase]:[Phase]])))) / INDIRECT(TandE[[#This Row],[Phase]:[Phase]]&amp; "_Length") &lt; SUM(_xlfn._xlws.FILTER(AllocationMinimums[[Min]:[Min]], (AllocationMinimums[[Role]:[Role]]= LEFT(L$2,FIND("-",L$2)-1))*(AllocationMinimums[[Phase]:[Phase]]= TandE[[#This Row],[Phase]:[Phase]])))), (SUM(_xlfn._xlws.FILTER(AllocationMinimums[[Min]:[Min]], (AllocationMinimums[[Role]:[Role]] = LEFT(L$2,FIND("-",L$2)-1))*(AllocationMinimums[[Phase]:[Phase]]= TandE[[#This Row],[Phase]:[Phase]]))) - (SUM(_xlfn._xlws.FILTER(TandE[Role 1], (TandE[[Practice]:[Practice]] &lt;&gt;"Padding")*(TandE[[Phase]:[Phase]]=TandE[[#This Row],[Phase]:[Phase]])))) / INDIRECT(TandE[[#This Row],[Phase]:[Phase]]&amp;"_Length")) *INDIRECT(TandE[[#This Row],[Phase]:[Phase]]&amp;"_Length"), 0), 0)</f>
        <v>0</v>
      </c>
      <c r="M147" s="933" cm="1">
        <f t="array" aca="1" ref="M147" ca="1">IFERROR(IF(AND((SUM(_xlfn._xlws.FILTER(TandE[Role 2], (TandE[[Practice]:[Practice]]&lt;&gt;"Padding")*(TandE[[Phase]:[Phase]]=TandE[[#This Row],[Phase]:[Phase]])))) &gt;0,(SUM(_xlfn._xlws.FILTER(TandE[Role 2], (TandE[[Practice]:[Practice]]&lt;&gt;"Padding")*(TandE[[Phase]:[Phase]]=TandE[[#This Row],[Phase]:[Phase]])))) / INDIRECT(TandE[[#This Row],[Phase]:[Phase]]&amp; "_Length") &lt; SUM(_xlfn._xlws.FILTER(AllocationMinimums[[Min]:[Min]], (AllocationMinimums[[Role]:[Role]]= LEFT(M$2,FIND("-",M$2)-1))*(AllocationMinimums[[Phase]:[Phase]]= TandE[[#This Row],[Phase]:[Phase]])))), (SUM(_xlfn._xlws.FILTER(AllocationMinimums[[Min]:[Min]], (AllocationMinimums[[Role]:[Role]] = LEFT(M$2,FIND("-",M$2)-1))*(AllocationMinimums[[Phase]:[Phase]]= TandE[[#This Row],[Phase]:[Phase]]))) - (SUM(_xlfn._xlws.FILTER(TandE[Role 2], (TandE[[Practice]:[Practice]] &lt;&gt;"Padding")*(TandE[[Phase]:[Phase]]=TandE[[#This Row],[Phase]:[Phase]])))) / INDIRECT(TandE[[#This Row],[Phase]:[Phase]]&amp;"_Length")) *INDIRECT(TandE[[#This Row],[Phase]:[Phase]]&amp;"_Length"), 0), 0)</f>
        <v>0</v>
      </c>
      <c r="N147" s="933" cm="1">
        <f t="array" aca="1" ref="N147" ca="1">IFERROR(IF(AND((SUM(_xlfn._xlws.FILTER(TandE[Role 3], (TandE[[Practice]:[Practice]]&lt;&gt;"Padding")*(TandE[[Phase]:[Phase]]=TandE[[#This Row],[Phase]:[Phase]])))) &gt;0,(SUM(_xlfn._xlws.FILTER(TandE[Role 3], (TandE[[Practice]:[Practice]]&lt;&gt;"Padding")*(TandE[[Phase]:[Phase]]=TandE[[#This Row],[Phase]:[Phase]])))) / INDIRECT(TandE[[#This Row],[Phase]:[Phase]]&amp; "_Length") &lt; SUM(_xlfn._xlws.FILTER(AllocationMinimums[[Min]:[Min]], (AllocationMinimums[[Role]:[Role]]= LEFT(N$2,FIND("-",N$2)-1))*(AllocationMinimums[[Phase]:[Phase]]= TandE[[#This Row],[Phase]:[Phase]])))), (SUM(_xlfn._xlws.FILTER(AllocationMinimums[[Min]:[Min]], (AllocationMinimums[[Role]:[Role]] = LEFT(N$2,FIND("-",N$2)-1))*(AllocationMinimums[[Phase]:[Phase]]= TandE[[#This Row],[Phase]:[Phase]]))) - (SUM(_xlfn._xlws.FILTER(TandE[Role 3], (TandE[[Practice]:[Practice]] &lt;&gt;"Padding")*(TandE[[Phase]:[Phase]]=TandE[[#This Row],[Phase]:[Phase]])))) / INDIRECT(TandE[[#This Row],[Phase]:[Phase]]&amp;"_Length")) *INDIRECT(TandE[[#This Row],[Phase]:[Phase]]&amp;"_Length"), 0), 0)</f>
        <v>0</v>
      </c>
      <c r="O147" s="933" cm="1">
        <f t="array" aca="1" ref="O147" ca="1">IFERROR(IF(AND((SUM(_xlfn._xlws.FILTER(TandE[Role 4], (TandE[[Practice]:[Practice]]&lt;&gt;"Padding")*(TandE[[Phase]:[Phase]]=TandE[[#This Row],[Phase]:[Phase]])))) &gt;0,(SUM(_xlfn._xlws.FILTER(TandE[Role 4], (TandE[[Practice]:[Practice]]&lt;&gt;"Padding")*(TandE[[Phase]:[Phase]]=TandE[[#This Row],[Phase]:[Phase]])))) / INDIRECT(TandE[[#This Row],[Phase]:[Phase]]&amp; "_Length") &lt; SUM(_xlfn._xlws.FILTER(AllocationMinimums[[Min]:[Min]], (AllocationMinimums[[Role]:[Role]]= LEFT(O$2,FIND("-",O$2)-1))*(AllocationMinimums[[Phase]:[Phase]]= TandE[[#This Row],[Phase]:[Phase]])))), (SUM(_xlfn._xlws.FILTER(AllocationMinimums[[Min]:[Min]], (AllocationMinimums[[Role]:[Role]] = LEFT(O$2,FIND("-",O$2)-1))*(AllocationMinimums[[Phase]:[Phase]]= TandE[[#This Row],[Phase]:[Phase]]))) - (SUM(_xlfn._xlws.FILTER(TandE[Role 4], (TandE[[Practice]:[Practice]] &lt;&gt;"Padding")*(TandE[[Phase]:[Phase]]=TandE[[#This Row],[Phase]:[Phase]])))) / INDIRECT(TandE[[#This Row],[Phase]:[Phase]]&amp;"_Length")) *INDIRECT(TandE[[#This Row],[Phase]:[Phase]]&amp;"_Length"), 0), 0)</f>
        <v>0</v>
      </c>
      <c r="P147" s="933" cm="1">
        <f t="array" aca="1" ref="P147" ca="1">IFERROR(IF(AND((SUM(_xlfn._xlws.FILTER(TandE[Role 5], (TandE[[Practice]:[Practice]]&lt;&gt;"Padding")*(TandE[[Phase]:[Phase]]=TandE[[#This Row],[Phase]:[Phase]])))) &gt;0,(SUM(_xlfn._xlws.FILTER(TandE[Role 5], (TandE[[Practice]:[Practice]]&lt;&gt;"Padding")*(TandE[[Phase]:[Phase]]=TandE[[#This Row],[Phase]:[Phase]])))) / INDIRECT(TandE[[#This Row],[Phase]:[Phase]]&amp; "_Length") &lt; SUM(_xlfn._xlws.FILTER(AllocationMinimums[[Min]:[Min]], (AllocationMinimums[[Role]:[Role]]= LEFT(P$2,FIND("-",P$2)-1))*(AllocationMinimums[[Phase]:[Phase]]= TandE[[#This Row],[Phase]:[Phase]])))), (SUM(_xlfn._xlws.FILTER(AllocationMinimums[[Min]:[Min]], (AllocationMinimums[[Role]:[Role]] = LEFT(P$2,FIND("-",P$2)-1))*(AllocationMinimums[[Phase]:[Phase]]= TandE[[#This Row],[Phase]:[Phase]]))) - (SUM(_xlfn._xlws.FILTER(TandE[Role 5], (TandE[[Practice]:[Practice]] &lt;&gt;"Padding")*(TandE[[Phase]:[Phase]]=TandE[[#This Row],[Phase]:[Phase]])))) / INDIRECT(TandE[[#This Row],[Phase]:[Phase]]&amp;"_Length")) *INDIRECT(TandE[[#This Row],[Phase]:[Phase]]&amp;"_Length"), 0), 0)</f>
        <v>0</v>
      </c>
      <c r="Q147" s="933" cm="1">
        <f t="array" aca="1" ref="Q147" ca="1">IFERROR(IF(AND((SUM(_xlfn._xlws.FILTER(TandE[Role 6], (TandE[[Practice]:[Practice]]&lt;&gt;"Padding")*(TandE[[Phase]:[Phase]]=TandE[[#This Row],[Phase]:[Phase]])))) &gt;0,(SUM(_xlfn._xlws.FILTER(TandE[Role 6], (TandE[[Practice]:[Practice]]&lt;&gt;"Padding")*(TandE[[Phase]:[Phase]]=TandE[[#This Row],[Phase]:[Phase]])))) / INDIRECT(TandE[[#This Row],[Phase]:[Phase]]&amp; "_Length") &lt; SUM(_xlfn._xlws.FILTER(AllocationMinimums[[Min]:[Min]], (AllocationMinimums[[Role]:[Role]]= LEFT(Q$2,FIND("-",Q$2)-1))*(AllocationMinimums[[Phase]:[Phase]]= TandE[[#This Row],[Phase]:[Phase]])))), (SUM(_xlfn._xlws.FILTER(AllocationMinimums[[Min]:[Min]], (AllocationMinimums[[Role]:[Role]] = LEFT(Q$2,FIND("-",Q$2)-1))*(AllocationMinimums[[Phase]:[Phase]]= TandE[[#This Row],[Phase]:[Phase]]))) - (SUM(_xlfn._xlws.FILTER(TandE[Role 6], (TandE[[Practice]:[Practice]] &lt;&gt;"Padding")*(TandE[[Phase]:[Phase]]=TandE[[#This Row],[Phase]:[Phase]])))) / INDIRECT(TandE[[#This Row],[Phase]:[Phase]]&amp;"_Length")) *INDIRECT(TandE[[#This Row],[Phase]:[Phase]]&amp;"_Length"), 0), 0)</f>
        <v>0</v>
      </c>
      <c r="R147" s="933" cm="1">
        <f t="array" aca="1" ref="R147" ca="1">IFERROR(IF(AND((SUM(_xlfn._xlws.FILTER(TandE[Role 7], (TandE[[Practice]:[Practice]]&lt;&gt;"Padding")*(TandE[[Phase]:[Phase]]=TandE[[#This Row],[Phase]:[Phase]])))) &gt;0,(SUM(_xlfn._xlws.FILTER(TandE[Role 7], (TandE[[Practice]:[Practice]]&lt;&gt;"Padding")*(TandE[[Phase]:[Phase]]=TandE[[#This Row],[Phase]:[Phase]])))) / INDIRECT(TandE[[#This Row],[Phase]:[Phase]]&amp; "_Length") &lt; SUM(_xlfn._xlws.FILTER(AllocationMinimums[[Min]:[Min]], (AllocationMinimums[[Role]:[Role]]= LEFT(R$2,FIND("-",R$2)-1))*(AllocationMinimums[[Phase]:[Phase]]= TandE[[#This Row],[Phase]:[Phase]])))), (SUM(_xlfn._xlws.FILTER(AllocationMinimums[[Min]:[Min]], (AllocationMinimums[[Role]:[Role]] = LEFT(R$2,FIND("-",R$2)-1))*(AllocationMinimums[[Phase]:[Phase]]= TandE[[#This Row],[Phase]:[Phase]]))) - (SUM(_xlfn._xlws.FILTER(TandE[Role 7], (TandE[[Practice]:[Practice]] &lt;&gt;"Padding")*(TandE[[Phase]:[Phase]]=TandE[[#This Row],[Phase]:[Phase]])))) / INDIRECT(TandE[[#This Row],[Phase]:[Phase]]&amp;"_Length")) *INDIRECT(TandE[[#This Row],[Phase]:[Phase]]&amp;"_Length"), 0), 0)</f>
        <v>0</v>
      </c>
      <c r="S147" s="933" cm="1">
        <f t="array" aca="1" ref="S147" ca="1">IFERROR(IF(AND((SUM(_xlfn._xlws.FILTER(TandE[Role 8], (TandE[[Practice]:[Practice]]&lt;&gt;"Padding")*(TandE[[Phase]:[Phase]]=TandE[[#This Row],[Phase]:[Phase]])))) &gt;0,(SUM(_xlfn._xlws.FILTER(TandE[Role 8], (TandE[[Practice]:[Practice]]&lt;&gt;"Padding")*(TandE[[Phase]:[Phase]]=TandE[[#This Row],[Phase]:[Phase]])))) / INDIRECT(TandE[[#This Row],[Phase]:[Phase]]&amp; "_Length") &lt; SUM(_xlfn._xlws.FILTER(AllocationMinimums[[Min]:[Min]], (AllocationMinimums[[Role]:[Role]]= LEFT(S$2,FIND("-",S$2)-1))*(AllocationMinimums[[Phase]:[Phase]]= TandE[[#This Row],[Phase]:[Phase]])))), (SUM(_xlfn._xlws.FILTER(AllocationMinimums[[Min]:[Min]], (AllocationMinimums[[Role]:[Role]] = LEFT(S$2,FIND("-",S$2)-1))*(AllocationMinimums[[Phase]:[Phase]]= TandE[[#This Row],[Phase]:[Phase]]))) - (SUM(_xlfn._xlws.FILTER(TandE[Role 8], (TandE[[Practice]:[Practice]] &lt;&gt;"Padding")*(TandE[[Phase]:[Phase]]=TandE[[#This Row],[Phase]:[Phase]])))) / INDIRECT(TandE[[#This Row],[Phase]:[Phase]]&amp;"_Length")) *INDIRECT(TandE[[#This Row],[Phase]:[Phase]]&amp;"_Length"), 0), 0)</f>
        <v>0</v>
      </c>
      <c r="T147" s="933" cm="1">
        <f t="array" aca="1" ref="T147" ca="1">IFERROR(IF(AND((SUM(_xlfn._xlws.FILTER(TandE[Role 9], (TandE[[Practice]:[Practice]]&lt;&gt;"Padding")*(TandE[[Phase]:[Phase]]=TandE[[#This Row],[Phase]:[Phase]])))) &gt;0,(SUM(_xlfn._xlws.FILTER(TandE[Role 9], (TandE[[Practice]:[Practice]]&lt;&gt;"Padding")*(TandE[[Phase]:[Phase]]=TandE[[#This Row],[Phase]:[Phase]])))) / INDIRECT(TandE[[#This Row],[Phase]:[Phase]]&amp; "_Length") &lt; SUM(_xlfn._xlws.FILTER(AllocationMinimums[[Min]:[Min]], (AllocationMinimums[[Role]:[Role]]= LEFT(T$2,FIND("-",T$2)-1))*(AllocationMinimums[[Phase]:[Phase]]= TandE[[#This Row],[Phase]:[Phase]])))), (SUM(_xlfn._xlws.FILTER(AllocationMinimums[[Min]:[Min]], (AllocationMinimums[[Role]:[Role]] = LEFT(T$2,FIND("-",T$2)-1))*(AllocationMinimums[[Phase]:[Phase]]= TandE[[#This Row],[Phase]:[Phase]]))) - (SUM(_xlfn._xlws.FILTER(TandE[Role 9], (TandE[[Practice]:[Practice]] &lt;&gt;"Padding")*(TandE[[Phase]:[Phase]]=TandE[[#This Row],[Phase]:[Phase]])))) / INDIRECT(TandE[[#This Row],[Phase]:[Phase]]&amp;"_Length")) *INDIRECT(TandE[[#This Row],[Phase]:[Phase]]&amp;"_Length"), 0), 0)</f>
        <v>0</v>
      </c>
      <c r="U147" s="933" cm="1">
        <f t="array" aca="1" ref="U147" ca="1">IFERROR(IF(AND((SUM(_xlfn._xlws.FILTER(TandE[Role 10], (TandE[[Practice]:[Practice]]&lt;&gt;"Padding")*(TandE[[Phase]:[Phase]]=TandE[[#This Row],[Phase]:[Phase]])))) &gt;0,(SUM(_xlfn._xlws.FILTER(TandE[Role 10], (TandE[[Practice]:[Practice]]&lt;&gt;"Padding")*(TandE[[Phase]:[Phase]]=TandE[[#This Row],[Phase]:[Phase]])))) / INDIRECT(TandE[[#This Row],[Phase]:[Phase]]&amp; "_Length") &lt; SUM(_xlfn._xlws.FILTER(AllocationMinimums[[Min]:[Min]], (AllocationMinimums[[Role]:[Role]]= LEFT(U$2,FIND("-",U$2)-1))*(AllocationMinimums[[Phase]:[Phase]]= TandE[[#This Row],[Phase]:[Phase]])))), (SUM(_xlfn._xlws.FILTER(AllocationMinimums[[Min]:[Min]], (AllocationMinimums[[Role]:[Role]] = LEFT(U$2,FIND("-",U$2)-1))*(AllocationMinimums[[Phase]:[Phase]]= TandE[[#This Row],[Phase]:[Phase]]))) - (SUM(_xlfn._xlws.FILTER(TandE[Role 10], (TandE[[Practice]:[Practice]] &lt;&gt;"Padding")*(TandE[[Phase]:[Phase]]=TandE[[#This Row],[Phase]:[Phase]])))) / INDIRECT(TandE[[#This Row],[Phase]:[Phase]]&amp;"_Length")) *INDIRECT(TandE[[#This Row],[Phase]:[Phase]]&amp;"_Length"), 0), 0)</f>
        <v>0</v>
      </c>
      <c r="V147" s="933" cm="1">
        <f t="array" aca="1" ref="V147" ca="1">IFERROR(IF(AND((SUM(_xlfn._xlws.FILTER(TandE[Role 11], (TandE[[Practice]:[Practice]]&lt;&gt;"Padding")*(TandE[[Phase]:[Phase]]=TandE[[#This Row],[Phase]:[Phase]])))) &gt;0,(SUM(_xlfn._xlws.FILTER(TandE[Role 11], (TandE[[Practice]:[Practice]]&lt;&gt;"Padding")*(TandE[[Phase]:[Phase]]=TandE[[#This Row],[Phase]:[Phase]])))) / INDIRECT(TandE[[#This Row],[Phase]:[Phase]]&amp; "_Length") &lt; SUM(_xlfn._xlws.FILTER(AllocationMinimums[[Min]:[Min]], (AllocationMinimums[[Role]:[Role]]= LEFT(V$2,FIND("-",V$2)-1))*(AllocationMinimums[[Phase]:[Phase]]= TandE[[#This Row],[Phase]:[Phase]])))), (SUM(_xlfn._xlws.FILTER(AllocationMinimums[[Min]:[Min]], (AllocationMinimums[[Role]:[Role]] = LEFT(V$2,FIND("-",V$2)-1))*(AllocationMinimums[[Phase]:[Phase]]= TandE[[#This Row],[Phase]:[Phase]]))) - (SUM(_xlfn._xlws.FILTER(TandE[Role 11], (TandE[[Practice]:[Practice]] &lt;&gt;"Padding")*(TandE[[Phase]:[Phase]]=TandE[[#This Row],[Phase]:[Phase]])))) / INDIRECT(TandE[[#This Row],[Phase]:[Phase]]&amp;"_Length")) *INDIRECT(TandE[[#This Row],[Phase]:[Phase]]&amp;"_Length"), 0), 0)</f>
        <v>0</v>
      </c>
      <c r="W147" s="933" cm="1">
        <f t="array" aca="1" ref="W147" ca="1">IFERROR(IF(AND((SUM(_xlfn._xlws.FILTER(TandE[Role 12], (TandE[[Practice]:[Practice]]&lt;&gt;"Padding")*(TandE[[Phase]:[Phase]]=TandE[[#This Row],[Phase]:[Phase]])))) &gt;0,(SUM(_xlfn._xlws.FILTER(TandE[Role 12], (TandE[[Practice]:[Practice]]&lt;&gt;"Padding")*(TandE[[Phase]:[Phase]]=TandE[[#This Row],[Phase]:[Phase]])))) / INDIRECT(TandE[[#This Row],[Phase]:[Phase]]&amp; "_Length") &lt; SUM(_xlfn._xlws.FILTER(AllocationMinimums[[Min]:[Min]], (AllocationMinimums[[Role]:[Role]]= LEFT(W$2,FIND("-",W$2)-1))*(AllocationMinimums[[Phase]:[Phase]]= TandE[[#This Row],[Phase]:[Phase]])))), (SUM(_xlfn._xlws.FILTER(AllocationMinimums[[Min]:[Min]], (AllocationMinimums[[Role]:[Role]] = LEFT(W$2,FIND("-",W$2)-1))*(AllocationMinimums[[Phase]:[Phase]]= TandE[[#This Row],[Phase]:[Phase]]))) - (SUM(_xlfn._xlws.FILTER(TandE[Role 12], (TandE[[Practice]:[Practice]] &lt;&gt;"Padding")*(TandE[[Phase]:[Phase]]=TandE[[#This Row],[Phase]:[Phase]])))) / INDIRECT(TandE[[#This Row],[Phase]:[Phase]]&amp;"_Length")) *INDIRECT(TandE[[#This Row],[Phase]:[Phase]]&amp;"_Length"), 0), 0)</f>
        <v>0</v>
      </c>
      <c r="X147" s="933" cm="1">
        <f t="array" aca="1" ref="X147" ca="1">IFERROR(IF(AND((SUM(_xlfn._xlws.FILTER(TandE[Role 13], (TandE[[Practice]:[Practice]]&lt;&gt;"Padding")*(TandE[[Phase]:[Phase]]=TandE[[#This Row],[Phase]:[Phase]])))) &gt;0,(SUM(_xlfn._xlws.FILTER(TandE[Role 13], (TandE[[Practice]:[Practice]]&lt;&gt;"Padding")*(TandE[[Phase]:[Phase]]=TandE[[#This Row],[Phase]:[Phase]])))) / INDIRECT(TandE[[#This Row],[Phase]:[Phase]]&amp; "_Length") &lt; SUM(_xlfn._xlws.FILTER(AllocationMinimums[[Min]:[Min]], (AllocationMinimums[[Role]:[Role]]= LEFT(X$2,FIND("-",X$2)-1))*(AllocationMinimums[[Phase]:[Phase]]= TandE[[#This Row],[Phase]:[Phase]])))), (SUM(_xlfn._xlws.FILTER(AllocationMinimums[[Min]:[Min]], (AllocationMinimums[[Role]:[Role]] = LEFT(X$2,FIND("-",X$2)-1))*(AllocationMinimums[[Phase]:[Phase]]= TandE[[#This Row],[Phase]:[Phase]]))) - (SUM(_xlfn._xlws.FILTER(TandE[Role 13], (TandE[[Practice]:[Practice]] &lt;&gt;"Padding")*(TandE[[Phase]:[Phase]]=TandE[[#This Row],[Phase]:[Phase]])))) / INDIRECT(TandE[[#This Row],[Phase]:[Phase]]&amp;"_Length")) *INDIRECT(TandE[[#This Row],[Phase]:[Phase]]&amp;"_Length"), 0), 0)</f>
        <v>0</v>
      </c>
      <c r="Y147" s="933" cm="1">
        <f t="array" aca="1" ref="Y147" ca="1">IFERROR(IF(AND((SUM(_xlfn._xlws.FILTER(TandE[Role 14], (TandE[[Practice]:[Practice]]&lt;&gt;"Padding")*(TandE[[Phase]:[Phase]]=TandE[[#This Row],[Phase]:[Phase]])))) &gt;0,(SUM(_xlfn._xlws.FILTER(TandE[Role 14], (TandE[[Practice]:[Practice]]&lt;&gt;"Padding")*(TandE[[Phase]:[Phase]]=TandE[[#This Row],[Phase]:[Phase]])))) / INDIRECT(TandE[[#This Row],[Phase]:[Phase]]&amp; "_Length") &lt; SUM(_xlfn._xlws.FILTER(AllocationMinimums[[Min]:[Min]], (AllocationMinimums[[Role]:[Role]]= LEFT(Y$2,FIND("-",Y$2)-1))*(AllocationMinimums[[Phase]:[Phase]]= TandE[[#This Row],[Phase]:[Phase]])))), (SUM(_xlfn._xlws.FILTER(AllocationMinimums[[Min]:[Min]], (AllocationMinimums[[Role]:[Role]] = LEFT(Y$2,FIND("-",Y$2)-1))*(AllocationMinimums[[Phase]:[Phase]]= TandE[[#This Row],[Phase]:[Phase]]))) - (SUM(_xlfn._xlws.FILTER(TandE[Role 14], (TandE[[Practice]:[Practice]] &lt;&gt;"Padding")*(TandE[[Phase]:[Phase]]=TandE[[#This Row],[Phase]:[Phase]])))) / INDIRECT(TandE[[#This Row],[Phase]:[Phase]]&amp;"_Length")) *INDIRECT(TandE[[#This Row],[Phase]:[Phase]]&amp;"_Length"), 0), 0)</f>
        <v>0</v>
      </c>
      <c r="Z147" s="933" cm="1">
        <f t="array" aca="1" ref="Z147" ca="1">IFERROR(IF(AND((SUM(_xlfn._xlws.FILTER(TandE[Role 15], (TandE[[Practice]:[Practice]]&lt;&gt;"Padding")*(TandE[[Phase]:[Phase]]=TandE[[#This Row],[Phase]:[Phase]])))) &gt;0,(SUM(_xlfn._xlws.FILTER(TandE[Role 15], (TandE[[Practice]:[Practice]]&lt;&gt;"Padding")*(TandE[[Phase]:[Phase]]=TandE[[#This Row],[Phase]:[Phase]])))) / INDIRECT(TandE[[#This Row],[Phase]:[Phase]]&amp; "_Length") &lt; SUM(_xlfn._xlws.FILTER(AllocationMinimums[[Min]:[Min]], (AllocationMinimums[[Role]:[Role]]= LEFT(Z$2,FIND("-",Z$2)-1))*(AllocationMinimums[[Phase]:[Phase]]= TandE[[#This Row],[Phase]:[Phase]])))), (SUM(_xlfn._xlws.FILTER(AllocationMinimums[[Min]:[Min]], (AllocationMinimums[[Role]:[Role]] = LEFT(Z$2,FIND("-",Z$2)-1))*(AllocationMinimums[[Phase]:[Phase]]= TandE[[#This Row],[Phase]:[Phase]]))) - (SUM(_xlfn._xlws.FILTER(TandE[Role 15], (TandE[[Practice]:[Practice]] &lt;&gt;"Padding")*(TandE[[Phase]:[Phase]]=TandE[[#This Row],[Phase]:[Phase]])))) / INDIRECT(TandE[[#This Row],[Phase]:[Phase]]&amp;"_Length")) *INDIRECT(TandE[[#This Row],[Phase]:[Phase]]&amp;"_Length"), 0), 0)</f>
        <v>0</v>
      </c>
    </row>
    <row r="148" spans="1:26">
      <c r="A148" s="1181"/>
      <c r="B148" s="930" t="s">
        <v>429</v>
      </c>
      <c r="C148" s="931">
        <f>PLAN_START</f>
        <v>2</v>
      </c>
      <c r="D148" s="931">
        <f>PLAN_END</f>
        <v>2</v>
      </c>
      <c r="E148" s="732" t="s">
        <v>542</v>
      </c>
      <c r="F148" s="932"/>
      <c r="G148" s="932"/>
      <c r="H148" s="732" t="s">
        <v>543</v>
      </c>
      <c r="I148" s="732" t="s">
        <v>544</v>
      </c>
      <c r="J148" s="732"/>
      <c r="K148" s="732" t="s">
        <v>488</v>
      </c>
      <c r="L148" s="933"/>
      <c r="M148" s="933" cm="1">
        <f t="array" aca="1" ref="M148" ca="1">IFERROR(IF(AND((SUM(_xlfn._xlws.FILTER(TandE[Role 2], (TandE[[Practice]:[Practice]]&lt;&gt;"Padding")*(TandE[[Phase]:[Phase]]=TandE[[#This Row],[Phase]:[Phase]])))) &gt;0,(SUM(_xlfn._xlws.FILTER(TandE[Role 2], (TandE[[Practice]:[Practice]]&lt;&gt;"Padding")*(TandE[[Phase]:[Phase]]=TandE[[#This Row],[Phase]:[Phase]])))) / INDIRECT(TandE[[#This Row],[Phase]:[Phase]]&amp; "_Length") &lt; SUM(_xlfn._xlws.FILTER(AllocationMinimums[[Min]:[Min]], (AllocationMinimums[[Role]:[Role]]= LEFT(M$2,FIND("-",M$2)-1))*(AllocationMinimums[[Phase]:[Phase]]= TandE[[#This Row],[Phase]:[Phase]])))), (SUM(_xlfn._xlws.FILTER(AllocationMinimums[[Min]:[Min]], (AllocationMinimums[[Role]:[Role]] = LEFT(M$2,FIND("-",M$2)-1))*(AllocationMinimums[[Phase]:[Phase]]= TandE[[#This Row],[Phase]:[Phase]]))) - (SUM(_xlfn._xlws.FILTER(TandE[Role 2], (TandE[[Practice]:[Practice]] &lt;&gt;"Padding")*(TandE[[Phase]:[Phase]]=TandE[[#This Row],[Phase]:[Phase]])))) / INDIRECT(TandE[[#This Row],[Phase]:[Phase]]&amp;"_Length")) *INDIRECT(TandE[[#This Row],[Phase]:[Phase]]&amp;"_Length"), 0), 0)</f>
        <v>0</v>
      </c>
      <c r="N148" s="933" cm="1">
        <f t="array" aca="1" ref="N148" ca="1">IFERROR(IF(AND((SUM(_xlfn._xlws.FILTER(TandE[Role 3], (TandE[[Practice]:[Practice]]&lt;&gt;"Padding")*(TandE[[Phase]:[Phase]]=TandE[[#This Row],[Phase]:[Phase]])))) &gt;0,(SUM(_xlfn._xlws.FILTER(TandE[Role 3], (TandE[[Practice]:[Practice]]&lt;&gt;"Padding")*(TandE[[Phase]:[Phase]]=TandE[[#This Row],[Phase]:[Phase]])))) / INDIRECT(TandE[[#This Row],[Phase]:[Phase]]&amp; "_Length") &lt; SUM(_xlfn._xlws.FILTER(AllocationMinimums[[Min]:[Min]], (AllocationMinimums[[Role]:[Role]]= LEFT(N$2,FIND("-",N$2)-1))*(AllocationMinimums[[Phase]:[Phase]]= TandE[[#This Row],[Phase]:[Phase]])))), (SUM(_xlfn._xlws.FILTER(AllocationMinimums[[Min]:[Min]], (AllocationMinimums[[Role]:[Role]] = LEFT(N$2,FIND("-",N$2)-1))*(AllocationMinimums[[Phase]:[Phase]]= TandE[[#This Row],[Phase]:[Phase]]))) - (SUM(_xlfn._xlws.FILTER(TandE[Role 3], (TandE[[Practice]:[Practice]] &lt;&gt;"Padding")*(TandE[[Phase]:[Phase]]=TandE[[#This Row],[Phase]:[Phase]])))) / INDIRECT(TandE[[#This Row],[Phase]:[Phase]]&amp;"_Length")) *INDIRECT(TandE[[#This Row],[Phase]:[Phase]]&amp;"_Length"), 0), 0)</f>
        <v>0</v>
      </c>
      <c r="O148" s="933" cm="1">
        <f t="array" aca="1" ref="O148" ca="1">IFERROR(IF(AND((SUM(_xlfn._xlws.FILTER(TandE[Role 4], (TandE[[Practice]:[Practice]]&lt;&gt;"Padding")*(TandE[[Phase]:[Phase]]=TandE[[#This Row],[Phase]:[Phase]])))) &gt;0,(SUM(_xlfn._xlws.FILTER(TandE[Role 4], (TandE[[Practice]:[Practice]]&lt;&gt;"Padding")*(TandE[[Phase]:[Phase]]=TandE[[#This Row],[Phase]:[Phase]])))) / INDIRECT(TandE[[#This Row],[Phase]:[Phase]]&amp; "_Length") &lt; SUM(_xlfn._xlws.FILTER(AllocationMinimums[[Min]:[Min]], (AllocationMinimums[[Role]:[Role]]= LEFT(O$2,FIND("-",O$2)-1))*(AllocationMinimums[[Phase]:[Phase]]= TandE[[#This Row],[Phase]:[Phase]])))), (SUM(_xlfn._xlws.FILTER(AllocationMinimums[[Min]:[Min]], (AllocationMinimums[[Role]:[Role]] = LEFT(O$2,FIND("-",O$2)-1))*(AllocationMinimums[[Phase]:[Phase]]= TandE[[#This Row],[Phase]:[Phase]]))) - (SUM(_xlfn._xlws.FILTER(TandE[Role 4], (TandE[[Practice]:[Practice]] &lt;&gt;"Padding")*(TandE[[Phase]:[Phase]]=TandE[[#This Row],[Phase]:[Phase]])))) / INDIRECT(TandE[[#This Row],[Phase]:[Phase]]&amp;"_Length")) *INDIRECT(TandE[[#This Row],[Phase]:[Phase]]&amp;"_Length"), 0), 0)</f>
        <v>0</v>
      </c>
      <c r="P148" s="933" cm="1">
        <f t="array" aca="1" ref="P148" ca="1">IFERROR(IF(AND((SUM(_xlfn._xlws.FILTER(TandE[Role 5], (TandE[[Practice]:[Practice]]&lt;&gt;"Padding")*(TandE[[Phase]:[Phase]]=TandE[[#This Row],[Phase]:[Phase]])))) &gt;0,(SUM(_xlfn._xlws.FILTER(TandE[Role 5], (TandE[[Practice]:[Practice]]&lt;&gt;"Padding")*(TandE[[Phase]:[Phase]]=TandE[[#This Row],[Phase]:[Phase]])))) / INDIRECT(TandE[[#This Row],[Phase]:[Phase]]&amp; "_Length") &lt; SUM(_xlfn._xlws.FILTER(AllocationMinimums[[Min]:[Min]], (AllocationMinimums[[Role]:[Role]]= LEFT(P$2,FIND("-",P$2)-1))*(AllocationMinimums[[Phase]:[Phase]]= TandE[[#This Row],[Phase]:[Phase]])))), (SUM(_xlfn._xlws.FILTER(AllocationMinimums[[Min]:[Min]], (AllocationMinimums[[Role]:[Role]] = LEFT(P$2,FIND("-",P$2)-1))*(AllocationMinimums[[Phase]:[Phase]]= TandE[[#This Row],[Phase]:[Phase]]))) - (SUM(_xlfn._xlws.FILTER(TandE[Role 5], (TandE[[Practice]:[Practice]] &lt;&gt;"Padding")*(TandE[[Phase]:[Phase]]=TandE[[#This Row],[Phase]:[Phase]])))) / INDIRECT(TandE[[#This Row],[Phase]:[Phase]]&amp;"_Length")) *INDIRECT(TandE[[#This Row],[Phase]:[Phase]]&amp;"_Length"), 0), 0)</f>
        <v>0</v>
      </c>
      <c r="Q148" s="933" cm="1">
        <f t="array" aca="1" ref="Q148" ca="1">IFERROR(IF(AND((SUM(_xlfn._xlws.FILTER(TandE[Role 6], (TandE[[Practice]:[Practice]]&lt;&gt;"Padding")*(TandE[[Phase]:[Phase]]=TandE[[#This Row],[Phase]:[Phase]])))) &gt;0,(SUM(_xlfn._xlws.FILTER(TandE[Role 6], (TandE[[Practice]:[Practice]]&lt;&gt;"Padding")*(TandE[[Phase]:[Phase]]=TandE[[#This Row],[Phase]:[Phase]])))) / INDIRECT(TandE[[#This Row],[Phase]:[Phase]]&amp; "_Length") &lt; SUM(_xlfn._xlws.FILTER(AllocationMinimums[[Min]:[Min]], (AllocationMinimums[[Role]:[Role]]= LEFT(Q$2,FIND("-",Q$2)-1))*(AllocationMinimums[[Phase]:[Phase]]= TandE[[#This Row],[Phase]:[Phase]])))), (SUM(_xlfn._xlws.FILTER(AllocationMinimums[[Min]:[Min]], (AllocationMinimums[[Role]:[Role]] = LEFT(Q$2,FIND("-",Q$2)-1))*(AllocationMinimums[[Phase]:[Phase]]= TandE[[#This Row],[Phase]:[Phase]]))) - (SUM(_xlfn._xlws.FILTER(TandE[Role 6], (TandE[[Practice]:[Practice]] &lt;&gt;"Padding")*(TandE[[Phase]:[Phase]]=TandE[[#This Row],[Phase]:[Phase]])))) / INDIRECT(TandE[[#This Row],[Phase]:[Phase]]&amp;"_Length")) *INDIRECT(TandE[[#This Row],[Phase]:[Phase]]&amp;"_Length"), 0), 0)</f>
        <v>0</v>
      </c>
      <c r="R148" s="933" cm="1">
        <f t="array" aca="1" ref="R148" ca="1">IFERROR(IF(AND((SUM(_xlfn._xlws.FILTER(TandE[Role 7], (TandE[[Practice]:[Practice]]&lt;&gt;"Padding")*(TandE[[Phase]:[Phase]]=TandE[[#This Row],[Phase]:[Phase]])))) &gt;0,(SUM(_xlfn._xlws.FILTER(TandE[Role 7], (TandE[[Practice]:[Practice]]&lt;&gt;"Padding")*(TandE[[Phase]:[Phase]]=TandE[[#This Row],[Phase]:[Phase]])))) / INDIRECT(TandE[[#This Row],[Phase]:[Phase]]&amp; "_Length") &lt; SUM(_xlfn._xlws.FILTER(AllocationMinimums[[Min]:[Min]], (AllocationMinimums[[Role]:[Role]]= LEFT(R$2,FIND("-",R$2)-1))*(AllocationMinimums[[Phase]:[Phase]]= TandE[[#This Row],[Phase]:[Phase]])))), (SUM(_xlfn._xlws.FILTER(AllocationMinimums[[Min]:[Min]], (AllocationMinimums[[Role]:[Role]] = LEFT(R$2,FIND("-",R$2)-1))*(AllocationMinimums[[Phase]:[Phase]]= TandE[[#This Row],[Phase]:[Phase]]))) - (SUM(_xlfn._xlws.FILTER(TandE[Role 7], (TandE[[Practice]:[Practice]] &lt;&gt;"Padding")*(TandE[[Phase]:[Phase]]=TandE[[#This Row],[Phase]:[Phase]])))) / INDIRECT(TandE[[#This Row],[Phase]:[Phase]]&amp;"_Length")) *INDIRECT(TandE[[#This Row],[Phase]:[Phase]]&amp;"_Length"), 0), 0)</f>
        <v>0</v>
      </c>
      <c r="S148" s="933" cm="1">
        <f t="array" aca="1" ref="S148" ca="1">IFERROR(IF(AND((SUM(_xlfn._xlws.FILTER(TandE[Role 8], (TandE[[Practice]:[Practice]]&lt;&gt;"Padding")*(TandE[[Phase]:[Phase]]=TandE[[#This Row],[Phase]:[Phase]])))) &gt;0,(SUM(_xlfn._xlws.FILTER(TandE[Role 8], (TandE[[Practice]:[Practice]]&lt;&gt;"Padding")*(TandE[[Phase]:[Phase]]=TandE[[#This Row],[Phase]:[Phase]])))) / INDIRECT(TandE[[#This Row],[Phase]:[Phase]]&amp; "_Length") &lt; SUM(_xlfn._xlws.FILTER(AllocationMinimums[[Min]:[Min]], (AllocationMinimums[[Role]:[Role]]= LEFT(S$2,FIND("-",S$2)-1))*(AllocationMinimums[[Phase]:[Phase]]= TandE[[#This Row],[Phase]:[Phase]])))), (SUM(_xlfn._xlws.FILTER(AllocationMinimums[[Min]:[Min]], (AllocationMinimums[[Role]:[Role]] = LEFT(S$2,FIND("-",S$2)-1))*(AllocationMinimums[[Phase]:[Phase]]= TandE[[#This Row],[Phase]:[Phase]]))) - (SUM(_xlfn._xlws.FILTER(TandE[Role 8], (TandE[[Practice]:[Practice]] &lt;&gt;"Padding")*(TandE[[Phase]:[Phase]]=TandE[[#This Row],[Phase]:[Phase]])))) / INDIRECT(TandE[[#This Row],[Phase]:[Phase]]&amp;"_Length")) *INDIRECT(TandE[[#This Row],[Phase]:[Phase]]&amp;"_Length"), 0), 0)</f>
        <v>0</v>
      </c>
      <c r="T148" s="933" cm="1">
        <f t="array" aca="1" ref="T148" ca="1">IFERROR(IF(AND((SUM(_xlfn._xlws.FILTER(TandE[Role 9], (TandE[[Practice]:[Practice]]&lt;&gt;"Padding")*(TandE[[Phase]:[Phase]]=TandE[[#This Row],[Phase]:[Phase]])))) &gt;0,(SUM(_xlfn._xlws.FILTER(TandE[Role 9], (TandE[[Practice]:[Practice]]&lt;&gt;"Padding")*(TandE[[Phase]:[Phase]]=TandE[[#This Row],[Phase]:[Phase]])))) / INDIRECT(TandE[[#This Row],[Phase]:[Phase]]&amp; "_Length") &lt; SUM(_xlfn._xlws.FILTER(AllocationMinimums[[Min]:[Min]], (AllocationMinimums[[Role]:[Role]]= LEFT(T$2,FIND("-",T$2)-1))*(AllocationMinimums[[Phase]:[Phase]]= TandE[[#This Row],[Phase]:[Phase]])))), (SUM(_xlfn._xlws.FILTER(AllocationMinimums[[Min]:[Min]], (AllocationMinimums[[Role]:[Role]] = LEFT(T$2,FIND("-",T$2)-1))*(AllocationMinimums[[Phase]:[Phase]]= TandE[[#This Row],[Phase]:[Phase]]))) - (SUM(_xlfn._xlws.FILTER(TandE[Role 9], (TandE[[Practice]:[Practice]] &lt;&gt;"Padding")*(TandE[[Phase]:[Phase]]=TandE[[#This Row],[Phase]:[Phase]])))) / INDIRECT(TandE[[#This Row],[Phase]:[Phase]]&amp;"_Length")) *INDIRECT(TandE[[#This Row],[Phase]:[Phase]]&amp;"_Length"), 0), 0)</f>
        <v>0</v>
      </c>
      <c r="U148" s="933" cm="1">
        <f t="array" aca="1" ref="U148" ca="1">IFERROR(IF(AND((SUM(_xlfn._xlws.FILTER(TandE[Role 10], (TandE[[Practice]:[Practice]]&lt;&gt;"Padding")*(TandE[[Phase]:[Phase]]=TandE[[#This Row],[Phase]:[Phase]])))) &gt;0,(SUM(_xlfn._xlws.FILTER(TandE[Role 10], (TandE[[Practice]:[Practice]]&lt;&gt;"Padding")*(TandE[[Phase]:[Phase]]=TandE[[#This Row],[Phase]:[Phase]])))) / INDIRECT(TandE[[#This Row],[Phase]:[Phase]]&amp; "_Length") &lt; SUM(_xlfn._xlws.FILTER(AllocationMinimums[[Min]:[Min]], (AllocationMinimums[[Role]:[Role]]= LEFT(U$2,FIND("-",U$2)-1))*(AllocationMinimums[[Phase]:[Phase]]= TandE[[#This Row],[Phase]:[Phase]])))), (SUM(_xlfn._xlws.FILTER(AllocationMinimums[[Min]:[Min]], (AllocationMinimums[[Role]:[Role]] = LEFT(U$2,FIND("-",U$2)-1))*(AllocationMinimums[[Phase]:[Phase]]= TandE[[#This Row],[Phase]:[Phase]]))) - (SUM(_xlfn._xlws.FILTER(TandE[Role 10], (TandE[[Practice]:[Practice]] &lt;&gt;"Padding")*(TandE[[Phase]:[Phase]]=TandE[[#This Row],[Phase]:[Phase]])))) / INDIRECT(TandE[[#This Row],[Phase]:[Phase]]&amp;"_Length")) *INDIRECT(TandE[[#This Row],[Phase]:[Phase]]&amp;"_Length"), 0), 0)</f>
        <v>0</v>
      </c>
      <c r="V148" s="933" cm="1">
        <f t="array" aca="1" ref="V148" ca="1">IFERROR(IF(AND((SUM(_xlfn._xlws.FILTER(TandE[Role 11], (TandE[[Practice]:[Practice]]&lt;&gt;"Padding")*(TandE[[Phase]:[Phase]]=TandE[[#This Row],[Phase]:[Phase]])))) &gt;0,(SUM(_xlfn._xlws.FILTER(TandE[Role 11], (TandE[[Practice]:[Practice]]&lt;&gt;"Padding")*(TandE[[Phase]:[Phase]]=TandE[[#This Row],[Phase]:[Phase]])))) / INDIRECT(TandE[[#This Row],[Phase]:[Phase]]&amp; "_Length") &lt; SUM(_xlfn._xlws.FILTER(AllocationMinimums[[Min]:[Min]], (AllocationMinimums[[Role]:[Role]]= LEFT(V$2,FIND("-",V$2)-1))*(AllocationMinimums[[Phase]:[Phase]]= TandE[[#This Row],[Phase]:[Phase]])))), (SUM(_xlfn._xlws.FILTER(AllocationMinimums[[Min]:[Min]], (AllocationMinimums[[Role]:[Role]] = LEFT(V$2,FIND("-",V$2)-1))*(AllocationMinimums[[Phase]:[Phase]]= TandE[[#This Row],[Phase]:[Phase]]))) - (SUM(_xlfn._xlws.FILTER(TandE[Role 11], (TandE[[Practice]:[Practice]] &lt;&gt;"Padding")*(TandE[[Phase]:[Phase]]=TandE[[#This Row],[Phase]:[Phase]])))) / INDIRECT(TandE[[#This Row],[Phase]:[Phase]]&amp;"_Length")) *INDIRECT(TandE[[#This Row],[Phase]:[Phase]]&amp;"_Length"), 0), 0)</f>
        <v>0</v>
      </c>
      <c r="W148" s="933" cm="1">
        <f t="array" aca="1" ref="W148" ca="1">IFERROR(IF(AND((SUM(_xlfn._xlws.FILTER(TandE[Role 12], (TandE[[Practice]:[Practice]]&lt;&gt;"Padding")*(TandE[[Phase]:[Phase]]=TandE[[#This Row],[Phase]:[Phase]])))) &gt;0,(SUM(_xlfn._xlws.FILTER(TandE[Role 12], (TandE[[Practice]:[Practice]]&lt;&gt;"Padding")*(TandE[[Phase]:[Phase]]=TandE[[#This Row],[Phase]:[Phase]])))) / INDIRECT(TandE[[#This Row],[Phase]:[Phase]]&amp; "_Length") &lt; SUM(_xlfn._xlws.FILTER(AllocationMinimums[[Min]:[Min]], (AllocationMinimums[[Role]:[Role]]= LEFT(W$2,FIND("-",W$2)-1))*(AllocationMinimums[[Phase]:[Phase]]= TandE[[#This Row],[Phase]:[Phase]])))), (SUM(_xlfn._xlws.FILTER(AllocationMinimums[[Min]:[Min]], (AllocationMinimums[[Role]:[Role]] = LEFT(W$2,FIND("-",W$2)-1))*(AllocationMinimums[[Phase]:[Phase]]= TandE[[#This Row],[Phase]:[Phase]]))) - (SUM(_xlfn._xlws.FILTER(TandE[Role 12], (TandE[[Practice]:[Practice]] &lt;&gt;"Padding")*(TandE[[Phase]:[Phase]]=TandE[[#This Row],[Phase]:[Phase]])))) / INDIRECT(TandE[[#This Row],[Phase]:[Phase]]&amp;"_Length")) *INDIRECT(TandE[[#This Row],[Phase]:[Phase]]&amp;"_Length"), 0), 0)</f>
        <v>0</v>
      </c>
      <c r="X148" s="933" cm="1">
        <f t="array" aca="1" ref="X148" ca="1">IFERROR(IF(AND((SUM(_xlfn._xlws.FILTER(TandE[Role 13], (TandE[[Practice]:[Practice]]&lt;&gt;"Padding")*(TandE[[Phase]:[Phase]]=TandE[[#This Row],[Phase]:[Phase]])))) &gt;0,(SUM(_xlfn._xlws.FILTER(TandE[Role 13], (TandE[[Practice]:[Practice]]&lt;&gt;"Padding")*(TandE[[Phase]:[Phase]]=TandE[[#This Row],[Phase]:[Phase]])))) / INDIRECT(TandE[[#This Row],[Phase]:[Phase]]&amp; "_Length") &lt; SUM(_xlfn._xlws.FILTER(AllocationMinimums[[Min]:[Min]], (AllocationMinimums[[Role]:[Role]]= LEFT(X$2,FIND("-",X$2)-1))*(AllocationMinimums[[Phase]:[Phase]]= TandE[[#This Row],[Phase]:[Phase]])))), (SUM(_xlfn._xlws.FILTER(AllocationMinimums[[Min]:[Min]], (AllocationMinimums[[Role]:[Role]] = LEFT(X$2,FIND("-",X$2)-1))*(AllocationMinimums[[Phase]:[Phase]]= TandE[[#This Row],[Phase]:[Phase]]))) - (SUM(_xlfn._xlws.FILTER(TandE[Role 13], (TandE[[Practice]:[Practice]] &lt;&gt;"Padding")*(TandE[[Phase]:[Phase]]=TandE[[#This Row],[Phase]:[Phase]])))) / INDIRECT(TandE[[#This Row],[Phase]:[Phase]]&amp;"_Length")) *INDIRECT(TandE[[#This Row],[Phase]:[Phase]]&amp;"_Length"), 0), 0)</f>
        <v>0</v>
      </c>
      <c r="Y148" s="933" cm="1">
        <f t="array" aca="1" ref="Y148" ca="1">IFERROR(IF(AND((SUM(_xlfn._xlws.FILTER(TandE[Role 14], (TandE[[Practice]:[Practice]]&lt;&gt;"Padding")*(TandE[[Phase]:[Phase]]=TandE[[#This Row],[Phase]:[Phase]])))) &gt;0,(SUM(_xlfn._xlws.FILTER(TandE[Role 14], (TandE[[Practice]:[Practice]]&lt;&gt;"Padding")*(TandE[[Phase]:[Phase]]=TandE[[#This Row],[Phase]:[Phase]])))) / INDIRECT(TandE[[#This Row],[Phase]:[Phase]]&amp; "_Length") &lt; SUM(_xlfn._xlws.FILTER(AllocationMinimums[[Min]:[Min]], (AllocationMinimums[[Role]:[Role]]= LEFT(Y$2,FIND("-",Y$2)-1))*(AllocationMinimums[[Phase]:[Phase]]= TandE[[#This Row],[Phase]:[Phase]])))), (SUM(_xlfn._xlws.FILTER(AllocationMinimums[[Min]:[Min]], (AllocationMinimums[[Role]:[Role]] = LEFT(Y$2,FIND("-",Y$2)-1))*(AllocationMinimums[[Phase]:[Phase]]= TandE[[#This Row],[Phase]:[Phase]]))) - (SUM(_xlfn._xlws.FILTER(TandE[Role 14], (TandE[[Practice]:[Practice]] &lt;&gt;"Padding")*(TandE[[Phase]:[Phase]]=TandE[[#This Row],[Phase]:[Phase]])))) / INDIRECT(TandE[[#This Row],[Phase]:[Phase]]&amp;"_Length")) *INDIRECT(TandE[[#This Row],[Phase]:[Phase]]&amp;"_Length"), 0), 0)</f>
        <v>0</v>
      </c>
      <c r="Z148" s="933" cm="1">
        <f t="array" aca="1" ref="Z148" ca="1">IFERROR(IF(AND((SUM(_xlfn._xlws.FILTER(TandE[Role 15], (TandE[[Practice]:[Practice]]&lt;&gt;"Padding")*(TandE[[Phase]:[Phase]]=TandE[[#This Row],[Phase]:[Phase]])))) &gt;0,(SUM(_xlfn._xlws.FILTER(TandE[Role 15], (TandE[[Practice]:[Practice]]&lt;&gt;"Padding")*(TandE[[Phase]:[Phase]]=TandE[[#This Row],[Phase]:[Phase]])))) / INDIRECT(TandE[[#This Row],[Phase]:[Phase]]&amp; "_Length") &lt; SUM(_xlfn._xlws.FILTER(AllocationMinimums[[Min]:[Min]], (AllocationMinimums[[Role]:[Role]]= LEFT(Z$2,FIND("-",Z$2)-1))*(AllocationMinimums[[Phase]:[Phase]]= TandE[[#This Row],[Phase]:[Phase]])))), (SUM(_xlfn._xlws.FILTER(AllocationMinimums[[Min]:[Min]], (AllocationMinimums[[Role]:[Role]] = LEFT(Z$2,FIND("-",Z$2)-1))*(AllocationMinimums[[Phase]:[Phase]]= TandE[[#This Row],[Phase]:[Phase]]))) - (SUM(_xlfn._xlws.FILTER(TandE[Role 15], (TandE[[Practice]:[Practice]] &lt;&gt;"Padding")*(TandE[[Phase]:[Phase]]=TandE[[#This Row],[Phase]:[Phase]])))) / INDIRECT(TandE[[#This Row],[Phase]:[Phase]]&amp;"_Length")) *INDIRECT(TandE[[#This Row],[Phase]:[Phase]]&amp;"_Length"), 0), 0)</f>
        <v>0</v>
      </c>
    </row>
    <row r="149" spans="1:26">
      <c r="A149" s="1181"/>
      <c r="B149" s="930" t="s">
        <v>97</v>
      </c>
      <c r="C149" s="931">
        <f>EXECUTE_START</f>
        <v>3</v>
      </c>
      <c r="D149" s="931">
        <f>EXECUTE_END</f>
        <v>6</v>
      </c>
      <c r="E149" s="732" t="s">
        <v>542</v>
      </c>
      <c r="F149" s="932"/>
      <c r="G149" s="932"/>
      <c r="H149" s="732" t="s">
        <v>543</v>
      </c>
      <c r="I149" s="732" t="s">
        <v>544</v>
      </c>
      <c r="J149" s="732"/>
      <c r="K149" s="732" t="s">
        <v>488</v>
      </c>
      <c r="L149" s="933"/>
      <c r="M149" s="933" cm="1">
        <f t="array" aca="1" ref="M149" ca="1">IFERROR(IF(AND((SUM(_xlfn._xlws.FILTER(TandE[Role 2], (TandE[[Practice]:[Practice]]&lt;&gt;"Padding")*(TandE[[Phase]:[Phase]]=TandE[[#This Row],[Phase]:[Phase]])))) &gt;0,(SUM(_xlfn._xlws.FILTER(TandE[Role 2], (TandE[[Practice]:[Practice]]&lt;&gt;"Padding")*(TandE[[Phase]:[Phase]]=TandE[[#This Row],[Phase]:[Phase]])))) / INDIRECT(TandE[[#This Row],[Phase]:[Phase]]&amp; "_Length") &lt; SUM(_xlfn._xlws.FILTER(AllocationMinimums[[Min]:[Min]], (AllocationMinimums[[Role]:[Role]]= LEFT(M$2,FIND("-",M$2)-1))*(AllocationMinimums[[Phase]:[Phase]]= TandE[[#This Row],[Phase]:[Phase]])))), (SUM(_xlfn._xlws.FILTER(AllocationMinimums[[Min]:[Min]], (AllocationMinimums[[Role]:[Role]] = LEFT(M$2,FIND("-",M$2)-1))*(AllocationMinimums[[Phase]:[Phase]]= TandE[[#This Row],[Phase]:[Phase]]))) - (SUM(_xlfn._xlws.FILTER(TandE[Role 2], (TandE[[Practice]:[Practice]] &lt;&gt;"Padding")*(TandE[[Phase]:[Phase]]=TandE[[#This Row],[Phase]:[Phase]])))) / INDIRECT(TandE[[#This Row],[Phase]:[Phase]]&amp;"_Length")) *INDIRECT(TandE[[#This Row],[Phase]:[Phase]]&amp;"_Length"), 0), 0)</f>
        <v>0</v>
      </c>
      <c r="N149" s="933" cm="1">
        <f t="array" aca="1" ref="N149" ca="1">IFERROR(IF(AND((SUM(_xlfn._xlws.FILTER(TandE[Role 3], (TandE[[Practice]:[Practice]]&lt;&gt;"Padding")*(TandE[[Phase]:[Phase]]=TandE[[#This Row],[Phase]:[Phase]])))) &gt;0,(SUM(_xlfn._xlws.FILTER(TandE[Role 3], (TandE[[Practice]:[Practice]]&lt;&gt;"Padding")*(TandE[[Phase]:[Phase]]=TandE[[#This Row],[Phase]:[Phase]])))) / INDIRECT(TandE[[#This Row],[Phase]:[Phase]]&amp; "_Length") &lt; SUM(_xlfn._xlws.FILTER(AllocationMinimums[[Min]:[Min]], (AllocationMinimums[[Role]:[Role]]= LEFT(N$2,FIND("-",N$2)-1))*(AllocationMinimums[[Phase]:[Phase]]= TandE[[#This Row],[Phase]:[Phase]])))), (SUM(_xlfn._xlws.FILTER(AllocationMinimums[[Min]:[Min]], (AllocationMinimums[[Role]:[Role]] = LEFT(N$2,FIND("-",N$2)-1))*(AllocationMinimums[[Phase]:[Phase]]= TandE[[#This Row],[Phase]:[Phase]]))) - (SUM(_xlfn._xlws.FILTER(TandE[Role 3], (TandE[[Practice]:[Practice]] &lt;&gt;"Padding")*(TandE[[Phase]:[Phase]]=TandE[[#This Row],[Phase]:[Phase]])))) / INDIRECT(TandE[[#This Row],[Phase]:[Phase]]&amp;"_Length")) *INDIRECT(TandE[[#This Row],[Phase]:[Phase]]&amp;"_Length"), 0), 0)</f>
        <v>0</v>
      </c>
      <c r="O149" s="933" cm="1">
        <f t="array" aca="1" ref="O149" ca="1">IFERROR(IF(AND((SUM(_xlfn._xlws.FILTER(TandE[Role 4], (TandE[[Practice]:[Practice]]&lt;&gt;"Padding")*(TandE[[Phase]:[Phase]]=TandE[[#This Row],[Phase]:[Phase]])))) &gt;0,(SUM(_xlfn._xlws.FILTER(TandE[Role 4], (TandE[[Practice]:[Practice]]&lt;&gt;"Padding")*(TandE[[Phase]:[Phase]]=TandE[[#This Row],[Phase]:[Phase]])))) / INDIRECT(TandE[[#This Row],[Phase]:[Phase]]&amp; "_Length") &lt; SUM(_xlfn._xlws.FILTER(AllocationMinimums[[Min]:[Min]], (AllocationMinimums[[Role]:[Role]]= LEFT(O$2,FIND("-",O$2)-1))*(AllocationMinimums[[Phase]:[Phase]]= TandE[[#This Row],[Phase]:[Phase]])))), (SUM(_xlfn._xlws.FILTER(AllocationMinimums[[Min]:[Min]], (AllocationMinimums[[Role]:[Role]] = LEFT(O$2,FIND("-",O$2)-1))*(AllocationMinimums[[Phase]:[Phase]]= TandE[[#This Row],[Phase]:[Phase]]))) - (SUM(_xlfn._xlws.FILTER(TandE[Role 4], (TandE[[Practice]:[Practice]] &lt;&gt;"Padding")*(TandE[[Phase]:[Phase]]=TandE[[#This Row],[Phase]:[Phase]])))) / INDIRECT(TandE[[#This Row],[Phase]:[Phase]]&amp;"_Length")) *INDIRECT(TandE[[#This Row],[Phase]:[Phase]]&amp;"_Length"), 0), 0)</f>
        <v>0</v>
      </c>
      <c r="P149" s="933" cm="1">
        <f t="array" aca="1" ref="P149" ca="1">IFERROR(IF(AND((SUM(_xlfn._xlws.FILTER(TandE[Role 5], (TandE[[Practice]:[Practice]]&lt;&gt;"Padding")*(TandE[[Phase]:[Phase]]=TandE[[#This Row],[Phase]:[Phase]])))) &gt;0,(SUM(_xlfn._xlws.FILTER(TandE[Role 5], (TandE[[Practice]:[Practice]]&lt;&gt;"Padding")*(TandE[[Phase]:[Phase]]=TandE[[#This Row],[Phase]:[Phase]])))) / INDIRECT(TandE[[#This Row],[Phase]:[Phase]]&amp; "_Length") &lt; SUM(_xlfn._xlws.FILTER(AllocationMinimums[[Min]:[Min]], (AllocationMinimums[[Role]:[Role]]= LEFT(P$2,FIND("-",P$2)-1))*(AllocationMinimums[[Phase]:[Phase]]= TandE[[#This Row],[Phase]:[Phase]])))), (SUM(_xlfn._xlws.FILTER(AllocationMinimums[[Min]:[Min]], (AllocationMinimums[[Role]:[Role]] = LEFT(P$2,FIND("-",P$2)-1))*(AllocationMinimums[[Phase]:[Phase]]= TandE[[#This Row],[Phase]:[Phase]]))) - (SUM(_xlfn._xlws.FILTER(TandE[Role 5], (TandE[[Practice]:[Practice]] &lt;&gt;"Padding")*(TandE[[Phase]:[Phase]]=TandE[[#This Row],[Phase]:[Phase]])))) / INDIRECT(TandE[[#This Row],[Phase]:[Phase]]&amp;"_Length")) *INDIRECT(TandE[[#This Row],[Phase]:[Phase]]&amp;"_Length"), 0), 0)</f>
        <v>0</v>
      </c>
      <c r="Q149" s="933" cm="1">
        <f t="array" aca="1" ref="Q149" ca="1">IFERROR(IF(AND((SUM(_xlfn._xlws.FILTER(TandE[Role 6], (TandE[[Practice]:[Practice]]&lt;&gt;"Padding")*(TandE[[Phase]:[Phase]]=TandE[[#This Row],[Phase]:[Phase]])))) &gt;0,(SUM(_xlfn._xlws.FILTER(TandE[Role 6], (TandE[[Practice]:[Practice]]&lt;&gt;"Padding")*(TandE[[Phase]:[Phase]]=TandE[[#This Row],[Phase]:[Phase]])))) / INDIRECT(TandE[[#This Row],[Phase]:[Phase]]&amp; "_Length") &lt; SUM(_xlfn._xlws.FILTER(AllocationMinimums[[Min]:[Min]], (AllocationMinimums[[Role]:[Role]]= LEFT(Q$2,FIND("-",Q$2)-1))*(AllocationMinimums[[Phase]:[Phase]]= TandE[[#This Row],[Phase]:[Phase]])))), (SUM(_xlfn._xlws.FILTER(AllocationMinimums[[Min]:[Min]], (AllocationMinimums[[Role]:[Role]] = LEFT(Q$2,FIND("-",Q$2)-1))*(AllocationMinimums[[Phase]:[Phase]]= TandE[[#This Row],[Phase]:[Phase]]))) - (SUM(_xlfn._xlws.FILTER(TandE[Role 6], (TandE[[Practice]:[Practice]] &lt;&gt;"Padding")*(TandE[[Phase]:[Phase]]=TandE[[#This Row],[Phase]:[Phase]])))) / INDIRECT(TandE[[#This Row],[Phase]:[Phase]]&amp;"_Length")) *INDIRECT(TandE[[#This Row],[Phase]:[Phase]]&amp;"_Length"), 0), 0)</f>
        <v>0</v>
      </c>
      <c r="R149" s="933" cm="1">
        <f t="array" aca="1" ref="R149" ca="1">IFERROR(IF(AND((SUM(_xlfn._xlws.FILTER(TandE[Role 7], (TandE[[Practice]:[Practice]]&lt;&gt;"Padding")*(TandE[[Phase]:[Phase]]=TandE[[#This Row],[Phase]:[Phase]])))) &gt;0,(SUM(_xlfn._xlws.FILTER(TandE[Role 7], (TandE[[Practice]:[Practice]]&lt;&gt;"Padding")*(TandE[[Phase]:[Phase]]=TandE[[#This Row],[Phase]:[Phase]])))) / INDIRECT(TandE[[#This Row],[Phase]:[Phase]]&amp; "_Length") &lt; SUM(_xlfn._xlws.FILTER(AllocationMinimums[[Min]:[Min]], (AllocationMinimums[[Role]:[Role]]= LEFT(R$2,FIND("-",R$2)-1))*(AllocationMinimums[[Phase]:[Phase]]= TandE[[#This Row],[Phase]:[Phase]])))), (SUM(_xlfn._xlws.FILTER(AllocationMinimums[[Min]:[Min]], (AllocationMinimums[[Role]:[Role]] = LEFT(R$2,FIND("-",R$2)-1))*(AllocationMinimums[[Phase]:[Phase]]= TandE[[#This Row],[Phase]:[Phase]]))) - (SUM(_xlfn._xlws.FILTER(TandE[Role 7], (TandE[[Practice]:[Practice]] &lt;&gt;"Padding")*(TandE[[Phase]:[Phase]]=TandE[[#This Row],[Phase]:[Phase]])))) / INDIRECT(TandE[[#This Row],[Phase]:[Phase]]&amp;"_Length")) *INDIRECT(TandE[[#This Row],[Phase]:[Phase]]&amp;"_Length"), 0), 0)</f>
        <v>0</v>
      </c>
      <c r="S149" s="933" cm="1">
        <f t="array" aca="1" ref="S149" ca="1">IFERROR(IF(AND((SUM(_xlfn._xlws.FILTER(TandE[Role 8], (TandE[[Practice]:[Practice]]&lt;&gt;"Padding")*(TandE[[Phase]:[Phase]]=TandE[[#This Row],[Phase]:[Phase]])))) &gt;0,(SUM(_xlfn._xlws.FILTER(TandE[Role 8], (TandE[[Practice]:[Practice]]&lt;&gt;"Padding")*(TandE[[Phase]:[Phase]]=TandE[[#This Row],[Phase]:[Phase]])))) / INDIRECT(TandE[[#This Row],[Phase]:[Phase]]&amp; "_Length") &lt; SUM(_xlfn._xlws.FILTER(AllocationMinimums[[Min]:[Min]], (AllocationMinimums[[Role]:[Role]]= LEFT(S$2,FIND("-",S$2)-1))*(AllocationMinimums[[Phase]:[Phase]]= TandE[[#This Row],[Phase]:[Phase]])))), (SUM(_xlfn._xlws.FILTER(AllocationMinimums[[Min]:[Min]], (AllocationMinimums[[Role]:[Role]] = LEFT(S$2,FIND("-",S$2)-1))*(AllocationMinimums[[Phase]:[Phase]]= TandE[[#This Row],[Phase]:[Phase]]))) - (SUM(_xlfn._xlws.FILTER(TandE[Role 8], (TandE[[Practice]:[Practice]] &lt;&gt;"Padding")*(TandE[[Phase]:[Phase]]=TandE[[#This Row],[Phase]:[Phase]])))) / INDIRECT(TandE[[#This Row],[Phase]:[Phase]]&amp;"_Length")) *INDIRECT(TandE[[#This Row],[Phase]:[Phase]]&amp;"_Length"), 0), 0)</f>
        <v>0</v>
      </c>
      <c r="T149" s="933" cm="1">
        <f t="array" aca="1" ref="T149" ca="1">IFERROR(IF(AND((SUM(_xlfn._xlws.FILTER(TandE[Role 9], (TandE[[Practice]:[Practice]]&lt;&gt;"Padding")*(TandE[[Phase]:[Phase]]=TandE[[#This Row],[Phase]:[Phase]])))) &gt;0,(SUM(_xlfn._xlws.FILTER(TandE[Role 9], (TandE[[Practice]:[Practice]]&lt;&gt;"Padding")*(TandE[[Phase]:[Phase]]=TandE[[#This Row],[Phase]:[Phase]])))) / INDIRECT(TandE[[#This Row],[Phase]:[Phase]]&amp; "_Length") &lt; SUM(_xlfn._xlws.FILTER(AllocationMinimums[[Min]:[Min]], (AllocationMinimums[[Role]:[Role]]= LEFT(T$2,FIND("-",T$2)-1))*(AllocationMinimums[[Phase]:[Phase]]= TandE[[#This Row],[Phase]:[Phase]])))), (SUM(_xlfn._xlws.FILTER(AllocationMinimums[[Min]:[Min]], (AllocationMinimums[[Role]:[Role]] = LEFT(T$2,FIND("-",T$2)-1))*(AllocationMinimums[[Phase]:[Phase]]= TandE[[#This Row],[Phase]:[Phase]]))) - (SUM(_xlfn._xlws.FILTER(TandE[Role 9], (TandE[[Practice]:[Practice]] &lt;&gt;"Padding")*(TandE[[Phase]:[Phase]]=TandE[[#This Row],[Phase]:[Phase]])))) / INDIRECT(TandE[[#This Row],[Phase]:[Phase]]&amp;"_Length")) *INDIRECT(TandE[[#This Row],[Phase]:[Phase]]&amp;"_Length"), 0), 0)</f>
        <v>0</v>
      </c>
      <c r="U149" s="933" cm="1">
        <f t="array" aca="1" ref="U149" ca="1">IFERROR(IF(AND((SUM(_xlfn._xlws.FILTER(TandE[Role 10], (TandE[[Practice]:[Practice]]&lt;&gt;"Padding")*(TandE[[Phase]:[Phase]]=TandE[[#This Row],[Phase]:[Phase]])))) &gt;0,(SUM(_xlfn._xlws.FILTER(TandE[Role 10], (TandE[[Practice]:[Practice]]&lt;&gt;"Padding")*(TandE[[Phase]:[Phase]]=TandE[[#This Row],[Phase]:[Phase]])))) / INDIRECT(TandE[[#This Row],[Phase]:[Phase]]&amp; "_Length") &lt; SUM(_xlfn._xlws.FILTER(AllocationMinimums[[Min]:[Min]], (AllocationMinimums[[Role]:[Role]]= LEFT(U$2,FIND("-",U$2)-1))*(AllocationMinimums[[Phase]:[Phase]]= TandE[[#This Row],[Phase]:[Phase]])))), (SUM(_xlfn._xlws.FILTER(AllocationMinimums[[Min]:[Min]], (AllocationMinimums[[Role]:[Role]] = LEFT(U$2,FIND("-",U$2)-1))*(AllocationMinimums[[Phase]:[Phase]]= TandE[[#This Row],[Phase]:[Phase]]))) - (SUM(_xlfn._xlws.FILTER(TandE[Role 10], (TandE[[Practice]:[Practice]] &lt;&gt;"Padding")*(TandE[[Phase]:[Phase]]=TandE[[#This Row],[Phase]:[Phase]])))) / INDIRECT(TandE[[#This Row],[Phase]:[Phase]]&amp;"_Length")) *INDIRECT(TandE[[#This Row],[Phase]:[Phase]]&amp;"_Length"), 0), 0)</f>
        <v>0</v>
      </c>
      <c r="V149" s="933" cm="1">
        <f t="array" aca="1" ref="V149" ca="1">IFERROR(IF(AND((SUM(_xlfn._xlws.FILTER(TandE[Role 11], (TandE[[Practice]:[Practice]]&lt;&gt;"Padding")*(TandE[[Phase]:[Phase]]=TandE[[#This Row],[Phase]:[Phase]])))) &gt;0,(SUM(_xlfn._xlws.FILTER(TandE[Role 11], (TandE[[Practice]:[Practice]]&lt;&gt;"Padding")*(TandE[[Phase]:[Phase]]=TandE[[#This Row],[Phase]:[Phase]])))) / INDIRECT(TandE[[#This Row],[Phase]:[Phase]]&amp; "_Length") &lt; SUM(_xlfn._xlws.FILTER(AllocationMinimums[[Min]:[Min]], (AllocationMinimums[[Role]:[Role]]= LEFT(V$2,FIND("-",V$2)-1))*(AllocationMinimums[[Phase]:[Phase]]= TandE[[#This Row],[Phase]:[Phase]])))), (SUM(_xlfn._xlws.FILTER(AllocationMinimums[[Min]:[Min]], (AllocationMinimums[[Role]:[Role]] = LEFT(V$2,FIND("-",V$2)-1))*(AllocationMinimums[[Phase]:[Phase]]= TandE[[#This Row],[Phase]:[Phase]]))) - (SUM(_xlfn._xlws.FILTER(TandE[Role 11], (TandE[[Practice]:[Practice]] &lt;&gt;"Padding")*(TandE[[Phase]:[Phase]]=TandE[[#This Row],[Phase]:[Phase]])))) / INDIRECT(TandE[[#This Row],[Phase]:[Phase]]&amp;"_Length")) *INDIRECT(TandE[[#This Row],[Phase]:[Phase]]&amp;"_Length"), 0), 0)</f>
        <v>0</v>
      </c>
      <c r="W149" s="933" cm="1">
        <f t="array" aca="1" ref="W149" ca="1">IFERROR(IF(AND((SUM(_xlfn._xlws.FILTER(TandE[Role 12], (TandE[[Practice]:[Practice]]&lt;&gt;"Padding")*(TandE[[Phase]:[Phase]]=TandE[[#This Row],[Phase]:[Phase]])))) &gt;0,(SUM(_xlfn._xlws.FILTER(TandE[Role 12], (TandE[[Practice]:[Practice]]&lt;&gt;"Padding")*(TandE[[Phase]:[Phase]]=TandE[[#This Row],[Phase]:[Phase]])))) / INDIRECT(TandE[[#This Row],[Phase]:[Phase]]&amp; "_Length") &lt; SUM(_xlfn._xlws.FILTER(AllocationMinimums[[Min]:[Min]], (AllocationMinimums[[Role]:[Role]]= LEFT(W$2,FIND("-",W$2)-1))*(AllocationMinimums[[Phase]:[Phase]]= TandE[[#This Row],[Phase]:[Phase]])))), (SUM(_xlfn._xlws.FILTER(AllocationMinimums[[Min]:[Min]], (AllocationMinimums[[Role]:[Role]] = LEFT(W$2,FIND("-",W$2)-1))*(AllocationMinimums[[Phase]:[Phase]]= TandE[[#This Row],[Phase]:[Phase]]))) - (SUM(_xlfn._xlws.FILTER(TandE[Role 12], (TandE[[Practice]:[Practice]] &lt;&gt;"Padding")*(TandE[[Phase]:[Phase]]=TandE[[#This Row],[Phase]:[Phase]])))) / INDIRECT(TandE[[#This Row],[Phase]:[Phase]]&amp;"_Length")) *INDIRECT(TandE[[#This Row],[Phase]:[Phase]]&amp;"_Length"), 0), 0)</f>
        <v>0</v>
      </c>
      <c r="X149" s="933" cm="1">
        <f t="array" aca="1" ref="X149" ca="1">IFERROR(IF(AND((SUM(_xlfn._xlws.FILTER(TandE[Role 13], (TandE[[Practice]:[Practice]]&lt;&gt;"Padding")*(TandE[[Phase]:[Phase]]=TandE[[#This Row],[Phase]:[Phase]])))) &gt;0,(SUM(_xlfn._xlws.FILTER(TandE[Role 13], (TandE[[Practice]:[Practice]]&lt;&gt;"Padding")*(TandE[[Phase]:[Phase]]=TandE[[#This Row],[Phase]:[Phase]])))) / INDIRECT(TandE[[#This Row],[Phase]:[Phase]]&amp; "_Length") &lt; SUM(_xlfn._xlws.FILTER(AllocationMinimums[[Min]:[Min]], (AllocationMinimums[[Role]:[Role]]= LEFT(X$2,FIND("-",X$2)-1))*(AllocationMinimums[[Phase]:[Phase]]= TandE[[#This Row],[Phase]:[Phase]])))), (SUM(_xlfn._xlws.FILTER(AllocationMinimums[[Min]:[Min]], (AllocationMinimums[[Role]:[Role]] = LEFT(X$2,FIND("-",X$2)-1))*(AllocationMinimums[[Phase]:[Phase]]= TandE[[#This Row],[Phase]:[Phase]]))) - (SUM(_xlfn._xlws.FILTER(TandE[Role 13], (TandE[[Practice]:[Practice]] &lt;&gt;"Padding")*(TandE[[Phase]:[Phase]]=TandE[[#This Row],[Phase]:[Phase]])))) / INDIRECT(TandE[[#This Row],[Phase]:[Phase]]&amp;"_Length")) *INDIRECT(TandE[[#This Row],[Phase]:[Phase]]&amp;"_Length"), 0), 0)</f>
        <v>0</v>
      </c>
      <c r="Y149" s="933" cm="1">
        <f t="array" aca="1" ref="Y149" ca="1">IFERROR(IF(AND((SUM(_xlfn._xlws.FILTER(TandE[Role 14], (TandE[[Practice]:[Practice]]&lt;&gt;"Padding")*(TandE[[Phase]:[Phase]]=TandE[[#This Row],[Phase]:[Phase]])))) &gt;0,(SUM(_xlfn._xlws.FILTER(TandE[Role 14], (TandE[[Practice]:[Practice]]&lt;&gt;"Padding")*(TandE[[Phase]:[Phase]]=TandE[[#This Row],[Phase]:[Phase]])))) / INDIRECT(TandE[[#This Row],[Phase]:[Phase]]&amp; "_Length") &lt; SUM(_xlfn._xlws.FILTER(AllocationMinimums[[Min]:[Min]], (AllocationMinimums[[Role]:[Role]]= LEFT(Y$2,FIND("-",Y$2)-1))*(AllocationMinimums[[Phase]:[Phase]]= TandE[[#This Row],[Phase]:[Phase]])))), (SUM(_xlfn._xlws.FILTER(AllocationMinimums[[Min]:[Min]], (AllocationMinimums[[Role]:[Role]] = LEFT(Y$2,FIND("-",Y$2)-1))*(AllocationMinimums[[Phase]:[Phase]]= TandE[[#This Row],[Phase]:[Phase]]))) - (SUM(_xlfn._xlws.FILTER(TandE[Role 14], (TandE[[Practice]:[Practice]] &lt;&gt;"Padding")*(TandE[[Phase]:[Phase]]=TandE[[#This Row],[Phase]:[Phase]])))) / INDIRECT(TandE[[#This Row],[Phase]:[Phase]]&amp;"_Length")) *INDIRECT(TandE[[#This Row],[Phase]:[Phase]]&amp;"_Length"), 0), 0)</f>
        <v>0</v>
      </c>
      <c r="Z149" s="933" cm="1">
        <f t="array" aca="1" ref="Z149" ca="1">IFERROR(IF(AND((SUM(_xlfn._xlws.FILTER(TandE[Role 15], (TandE[[Practice]:[Practice]]&lt;&gt;"Padding")*(TandE[[Phase]:[Phase]]=TandE[[#This Row],[Phase]:[Phase]])))) &gt;0,(SUM(_xlfn._xlws.FILTER(TandE[Role 15], (TandE[[Practice]:[Practice]]&lt;&gt;"Padding")*(TandE[[Phase]:[Phase]]=TandE[[#This Row],[Phase]:[Phase]])))) / INDIRECT(TandE[[#This Row],[Phase]:[Phase]]&amp; "_Length") &lt; SUM(_xlfn._xlws.FILTER(AllocationMinimums[[Min]:[Min]], (AllocationMinimums[[Role]:[Role]]= LEFT(Z$2,FIND("-",Z$2)-1))*(AllocationMinimums[[Phase]:[Phase]]= TandE[[#This Row],[Phase]:[Phase]])))), (SUM(_xlfn._xlws.FILTER(AllocationMinimums[[Min]:[Min]], (AllocationMinimums[[Role]:[Role]] = LEFT(Z$2,FIND("-",Z$2)-1))*(AllocationMinimums[[Phase]:[Phase]]= TandE[[#This Row],[Phase]:[Phase]]))) - (SUM(_xlfn._xlws.FILTER(TandE[Role 15], (TandE[[Practice]:[Practice]] &lt;&gt;"Padding")*(TandE[[Phase]:[Phase]]=TandE[[#This Row],[Phase]:[Phase]])))) / INDIRECT(TandE[[#This Row],[Phase]:[Phase]]&amp;"_Length")) *INDIRECT(TandE[[#This Row],[Phase]:[Phase]]&amp;"_Length"), 0), 0)</f>
        <v>0</v>
      </c>
    </row>
    <row r="150" spans="1:26">
      <c r="A150" s="1181"/>
      <c r="B150" s="930" t="s">
        <v>137</v>
      </c>
      <c r="C150" s="931">
        <f>DELIVER_START</f>
        <v>7</v>
      </c>
      <c r="D150" s="931">
        <f>DELIVER_END</f>
        <v>7</v>
      </c>
      <c r="E150" s="732" t="s">
        <v>542</v>
      </c>
      <c r="F150" s="932"/>
      <c r="G150" s="932"/>
      <c r="H150" s="732" t="s">
        <v>543</v>
      </c>
      <c r="I150" s="732" t="s">
        <v>544</v>
      </c>
      <c r="J150" s="732"/>
      <c r="K150" s="732" t="s">
        <v>488</v>
      </c>
      <c r="L150" s="933"/>
      <c r="M150" s="933" cm="1">
        <f t="array" aca="1" ref="M150" ca="1">IFERROR(IF(AND((SUM(_xlfn._xlws.FILTER(TandE[Role 2], (TandE[[Practice]:[Practice]]&lt;&gt;"Padding")*(TandE[[Phase]:[Phase]]=TandE[[#This Row],[Phase]:[Phase]])))) &gt;0,(SUM(_xlfn._xlws.FILTER(TandE[Role 2], (TandE[[Practice]:[Practice]]&lt;&gt;"Padding")*(TandE[[Phase]:[Phase]]=TandE[[#This Row],[Phase]:[Phase]])))) / INDIRECT(TandE[[#This Row],[Phase]:[Phase]]&amp; "_Length") &lt; SUM(_xlfn._xlws.FILTER(AllocationMinimums[[Min]:[Min]], (AllocationMinimums[[Role]:[Role]]= LEFT(M$2,FIND("-",M$2)-1))*(AllocationMinimums[[Phase]:[Phase]]= TandE[[#This Row],[Phase]:[Phase]])))), (SUM(_xlfn._xlws.FILTER(AllocationMinimums[[Min]:[Min]], (AllocationMinimums[[Role]:[Role]] = LEFT(M$2,FIND("-",M$2)-1))*(AllocationMinimums[[Phase]:[Phase]]= TandE[[#This Row],[Phase]:[Phase]]))) - (SUM(_xlfn._xlws.FILTER(TandE[Role 2], (TandE[[Practice]:[Practice]] &lt;&gt;"Padding")*(TandE[[Phase]:[Phase]]=TandE[[#This Row],[Phase]:[Phase]])))) / INDIRECT(TandE[[#This Row],[Phase]:[Phase]]&amp;"_Length")) *INDIRECT(TandE[[#This Row],[Phase]:[Phase]]&amp;"_Length"), 0), 0)</f>
        <v>0</v>
      </c>
      <c r="N150" s="933" cm="1">
        <f t="array" aca="1" ref="N150" ca="1">IFERROR(IF(AND((SUM(_xlfn._xlws.FILTER(TandE[Role 3], (TandE[[Practice]:[Practice]]&lt;&gt;"Padding")*(TandE[[Phase]:[Phase]]=TandE[[#This Row],[Phase]:[Phase]])))) &gt;0,(SUM(_xlfn._xlws.FILTER(TandE[Role 3], (TandE[[Practice]:[Practice]]&lt;&gt;"Padding")*(TandE[[Phase]:[Phase]]=TandE[[#This Row],[Phase]:[Phase]])))) / INDIRECT(TandE[[#This Row],[Phase]:[Phase]]&amp; "_Length") &lt; SUM(_xlfn._xlws.FILTER(AllocationMinimums[[Min]:[Min]], (AllocationMinimums[[Role]:[Role]]= LEFT(N$2,FIND("-",N$2)-1))*(AllocationMinimums[[Phase]:[Phase]]= TandE[[#This Row],[Phase]:[Phase]])))), (SUM(_xlfn._xlws.FILTER(AllocationMinimums[[Min]:[Min]], (AllocationMinimums[[Role]:[Role]] = LEFT(N$2,FIND("-",N$2)-1))*(AllocationMinimums[[Phase]:[Phase]]= TandE[[#This Row],[Phase]:[Phase]]))) - (SUM(_xlfn._xlws.FILTER(TandE[Role 3], (TandE[[Practice]:[Practice]] &lt;&gt;"Padding")*(TandE[[Phase]:[Phase]]=TandE[[#This Row],[Phase]:[Phase]])))) / INDIRECT(TandE[[#This Row],[Phase]:[Phase]]&amp;"_Length")) *INDIRECT(TandE[[#This Row],[Phase]:[Phase]]&amp;"_Length"), 0), 0)</f>
        <v>0</v>
      </c>
      <c r="O150" s="933" cm="1">
        <f t="array" aca="1" ref="O150" ca="1">IFERROR(IF(AND((SUM(_xlfn._xlws.FILTER(TandE[Role 4], (TandE[[Practice]:[Practice]]&lt;&gt;"Padding")*(TandE[[Phase]:[Phase]]=TandE[[#This Row],[Phase]:[Phase]])))) &gt;0,(SUM(_xlfn._xlws.FILTER(TandE[Role 4], (TandE[[Practice]:[Practice]]&lt;&gt;"Padding")*(TandE[[Phase]:[Phase]]=TandE[[#This Row],[Phase]:[Phase]])))) / INDIRECT(TandE[[#This Row],[Phase]:[Phase]]&amp; "_Length") &lt; SUM(_xlfn._xlws.FILTER(AllocationMinimums[[Min]:[Min]], (AllocationMinimums[[Role]:[Role]]= LEFT(O$2,FIND("-",O$2)-1))*(AllocationMinimums[[Phase]:[Phase]]= TandE[[#This Row],[Phase]:[Phase]])))), (SUM(_xlfn._xlws.FILTER(AllocationMinimums[[Min]:[Min]], (AllocationMinimums[[Role]:[Role]] = LEFT(O$2,FIND("-",O$2)-1))*(AllocationMinimums[[Phase]:[Phase]]= TandE[[#This Row],[Phase]:[Phase]]))) - (SUM(_xlfn._xlws.FILTER(TandE[Role 4], (TandE[[Practice]:[Practice]] &lt;&gt;"Padding")*(TandE[[Phase]:[Phase]]=TandE[[#This Row],[Phase]:[Phase]])))) / INDIRECT(TandE[[#This Row],[Phase]:[Phase]]&amp;"_Length")) *INDIRECT(TandE[[#This Row],[Phase]:[Phase]]&amp;"_Length"), 0), 0)</f>
        <v>0</v>
      </c>
      <c r="P150" s="933" cm="1">
        <f t="array" aca="1" ref="P150" ca="1">IFERROR(IF(AND((SUM(_xlfn._xlws.FILTER(TandE[Role 5], (TandE[[Practice]:[Practice]]&lt;&gt;"Padding")*(TandE[[Phase]:[Phase]]=TandE[[#This Row],[Phase]:[Phase]])))) &gt;0,(SUM(_xlfn._xlws.FILTER(TandE[Role 5], (TandE[[Practice]:[Practice]]&lt;&gt;"Padding")*(TandE[[Phase]:[Phase]]=TandE[[#This Row],[Phase]:[Phase]])))) / INDIRECT(TandE[[#This Row],[Phase]:[Phase]]&amp; "_Length") &lt; SUM(_xlfn._xlws.FILTER(AllocationMinimums[[Min]:[Min]], (AllocationMinimums[[Role]:[Role]]= LEFT(P$2,FIND("-",P$2)-1))*(AllocationMinimums[[Phase]:[Phase]]= TandE[[#This Row],[Phase]:[Phase]])))), (SUM(_xlfn._xlws.FILTER(AllocationMinimums[[Min]:[Min]], (AllocationMinimums[[Role]:[Role]] = LEFT(P$2,FIND("-",P$2)-1))*(AllocationMinimums[[Phase]:[Phase]]= TandE[[#This Row],[Phase]:[Phase]]))) - (SUM(_xlfn._xlws.FILTER(TandE[Role 5], (TandE[[Practice]:[Practice]] &lt;&gt;"Padding")*(TandE[[Phase]:[Phase]]=TandE[[#This Row],[Phase]:[Phase]])))) / INDIRECT(TandE[[#This Row],[Phase]:[Phase]]&amp;"_Length")) *INDIRECT(TandE[[#This Row],[Phase]:[Phase]]&amp;"_Length"), 0), 0)</f>
        <v>0</v>
      </c>
      <c r="Q150" s="933" cm="1">
        <f t="array" aca="1" ref="Q150" ca="1">IFERROR(IF(AND((SUM(_xlfn._xlws.FILTER(TandE[Role 6], (TandE[[Practice]:[Practice]]&lt;&gt;"Padding")*(TandE[[Phase]:[Phase]]=TandE[[#This Row],[Phase]:[Phase]])))) &gt;0,(SUM(_xlfn._xlws.FILTER(TandE[Role 6], (TandE[[Practice]:[Practice]]&lt;&gt;"Padding")*(TandE[[Phase]:[Phase]]=TandE[[#This Row],[Phase]:[Phase]])))) / INDIRECT(TandE[[#This Row],[Phase]:[Phase]]&amp; "_Length") &lt; SUM(_xlfn._xlws.FILTER(AllocationMinimums[[Min]:[Min]], (AllocationMinimums[[Role]:[Role]]= LEFT(Q$2,FIND("-",Q$2)-1))*(AllocationMinimums[[Phase]:[Phase]]= TandE[[#This Row],[Phase]:[Phase]])))), (SUM(_xlfn._xlws.FILTER(AllocationMinimums[[Min]:[Min]], (AllocationMinimums[[Role]:[Role]] = LEFT(Q$2,FIND("-",Q$2)-1))*(AllocationMinimums[[Phase]:[Phase]]= TandE[[#This Row],[Phase]:[Phase]]))) - (SUM(_xlfn._xlws.FILTER(TandE[Role 6], (TandE[[Practice]:[Practice]] &lt;&gt;"Padding")*(TandE[[Phase]:[Phase]]=TandE[[#This Row],[Phase]:[Phase]])))) / INDIRECT(TandE[[#This Row],[Phase]:[Phase]]&amp;"_Length")) *INDIRECT(TandE[[#This Row],[Phase]:[Phase]]&amp;"_Length"), 0), 0)</f>
        <v>0</v>
      </c>
      <c r="R150" s="933" cm="1">
        <f t="array" aca="1" ref="R150" ca="1">IFERROR(IF(AND((SUM(_xlfn._xlws.FILTER(TandE[Role 7], (TandE[[Practice]:[Practice]]&lt;&gt;"Padding")*(TandE[[Phase]:[Phase]]=TandE[[#This Row],[Phase]:[Phase]])))) &gt;0,(SUM(_xlfn._xlws.FILTER(TandE[Role 7], (TandE[[Practice]:[Practice]]&lt;&gt;"Padding")*(TandE[[Phase]:[Phase]]=TandE[[#This Row],[Phase]:[Phase]])))) / INDIRECT(TandE[[#This Row],[Phase]:[Phase]]&amp; "_Length") &lt; SUM(_xlfn._xlws.FILTER(AllocationMinimums[[Min]:[Min]], (AllocationMinimums[[Role]:[Role]]= LEFT(R$2,FIND("-",R$2)-1))*(AllocationMinimums[[Phase]:[Phase]]= TandE[[#This Row],[Phase]:[Phase]])))), (SUM(_xlfn._xlws.FILTER(AllocationMinimums[[Min]:[Min]], (AllocationMinimums[[Role]:[Role]] = LEFT(R$2,FIND("-",R$2)-1))*(AllocationMinimums[[Phase]:[Phase]]= TandE[[#This Row],[Phase]:[Phase]]))) - (SUM(_xlfn._xlws.FILTER(TandE[Role 7], (TandE[[Practice]:[Practice]] &lt;&gt;"Padding")*(TandE[[Phase]:[Phase]]=TandE[[#This Row],[Phase]:[Phase]])))) / INDIRECT(TandE[[#This Row],[Phase]:[Phase]]&amp;"_Length")) *INDIRECT(TandE[[#This Row],[Phase]:[Phase]]&amp;"_Length"), 0), 0)</f>
        <v>0</v>
      </c>
      <c r="S150" s="933" cm="1">
        <f t="array" aca="1" ref="S150" ca="1">IFERROR(IF(AND((SUM(_xlfn._xlws.FILTER(TandE[Role 8], (TandE[[Practice]:[Practice]]&lt;&gt;"Padding")*(TandE[[Phase]:[Phase]]=TandE[[#This Row],[Phase]:[Phase]])))) &gt;0,(SUM(_xlfn._xlws.FILTER(TandE[Role 8], (TandE[[Practice]:[Practice]]&lt;&gt;"Padding")*(TandE[[Phase]:[Phase]]=TandE[[#This Row],[Phase]:[Phase]])))) / INDIRECT(TandE[[#This Row],[Phase]:[Phase]]&amp; "_Length") &lt; SUM(_xlfn._xlws.FILTER(AllocationMinimums[[Min]:[Min]], (AllocationMinimums[[Role]:[Role]]= LEFT(S$2,FIND("-",S$2)-1))*(AllocationMinimums[[Phase]:[Phase]]= TandE[[#This Row],[Phase]:[Phase]])))), (SUM(_xlfn._xlws.FILTER(AllocationMinimums[[Min]:[Min]], (AllocationMinimums[[Role]:[Role]] = LEFT(S$2,FIND("-",S$2)-1))*(AllocationMinimums[[Phase]:[Phase]]= TandE[[#This Row],[Phase]:[Phase]]))) - (SUM(_xlfn._xlws.FILTER(TandE[Role 8], (TandE[[Practice]:[Practice]] &lt;&gt;"Padding")*(TandE[[Phase]:[Phase]]=TandE[[#This Row],[Phase]:[Phase]])))) / INDIRECT(TandE[[#This Row],[Phase]:[Phase]]&amp;"_Length")) *INDIRECT(TandE[[#This Row],[Phase]:[Phase]]&amp;"_Length"), 0), 0)</f>
        <v>0</v>
      </c>
      <c r="T150" s="933" cm="1">
        <f t="array" aca="1" ref="T150" ca="1">IFERROR(IF(AND((SUM(_xlfn._xlws.FILTER(TandE[Role 9], (TandE[[Practice]:[Practice]]&lt;&gt;"Padding")*(TandE[[Phase]:[Phase]]=TandE[[#This Row],[Phase]:[Phase]])))) &gt;0,(SUM(_xlfn._xlws.FILTER(TandE[Role 9], (TandE[[Practice]:[Practice]]&lt;&gt;"Padding")*(TandE[[Phase]:[Phase]]=TandE[[#This Row],[Phase]:[Phase]])))) / INDIRECT(TandE[[#This Row],[Phase]:[Phase]]&amp; "_Length") &lt; SUM(_xlfn._xlws.FILTER(AllocationMinimums[[Min]:[Min]], (AllocationMinimums[[Role]:[Role]]= LEFT(T$2,FIND("-",T$2)-1))*(AllocationMinimums[[Phase]:[Phase]]= TandE[[#This Row],[Phase]:[Phase]])))), (SUM(_xlfn._xlws.FILTER(AllocationMinimums[[Min]:[Min]], (AllocationMinimums[[Role]:[Role]] = LEFT(T$2,FIND("-",T$2)-1))*(AllocationMinimums[[Phase]:[Phase]]= TandE[[#This Row],[Phase]:[Phase]]))) - (SUM(_xlfn._xlws.FILTER(TandE[Role 9], (TandE[[Practice]:[Practice]] &lt;&gt;"Padding")*(TandE[[Phase]:[Phase]]=TandE[[#This Row],[Phase]:[Phase]])))) / INDIRECT(TandE[[#This Row],[Phase]:[Phase]]&amp;"_Length")) *INDIRECT(TandE[[#This Row],[Phase]:[Phase]]&amp;"_Length"), 0), 0)</f>
        <v>0</v>
      </c>
      <c r="U150" s="933" cm="1">
        <f t="array" aca="1" ref="U150" ca="1">IFERROR(IF(AND((SUM(_xlfn._xlws.FILTER(TandE[Role 10], (TandE[[Practice]:[Practice]]&lt;&gt;"Padding")*(TandE[[Phase]:[Phase]]=TandE[[#This Row],[Phase]:[Phase]])))) &gt;0,(SUM(_xlfn._xlws.FILTER(TandE[Role 10], (TandE[[Practice]:[Practice]]&lt;&gt;"Padding")*(TandE[[Phase]:[Phase]]=TandE[[#This Row],[Phase]:[Phase]])))) / INDIRECT(TandE[[#This Row],[Phase]:[Phase]]&amp; "_Length") &lt; SUM(_xlfn._xlws.FILTER(AllocationMinimums[[Min]:[Min]], (AllocationMinimums[[Role]:[Role]]= LEFT(U$2,FIND("-",U$2)-1))*(AllocationMinimums[[Phase]:[Phase]]= TandE[[#This Row],[Phase]:[Phase]])))), (SUM(_xlfn._xlws.FILTER(AllocationMinimums[[Min]:[Min]], (AllocationMinimums[[Role]:[Role]] = LEFT(U$2,FIND("-",U$2)-1))*(AllocationMinimums[[Phase]:[Phase]]= TandE[[#This Row],[Phase]:[Phase]]))) - (SUM(_xlfn._xlws.FILTER(TandE[Role 10], (TandE[[Practice]:[Practice]] &lt;&gt;"Padding")*(TandE[[Phase]:[Phase]]=TandE[[#This Row],[Phase]:[Phase]])))) / INDIRECT(TandE[[#This Row],[Phase]:[Phase]]&amp;"_Length")) *INDIRECT(TandE[[#This Row],[Phase]:[Phase]]&amp;"_Length"), 0), 0)</f>
        <v>0</v>
      </c>
      <c r="V150" s="933" cm="1">
        <f t="array" aca="1" ref="V150" ca="1">IFERROR(IF(AND((SUM(_xlfn._xlws.FILTER(TandE[Role 11], (TandE[[Practice]:[Practice]]&lt;&gt;"Padding")*(TandE[[Phase]:[Phase]]=TandE[[#This Row],[Phase]:[Phase]])))) &gt;0,(SUM(_xlfn._xlws.FILTER(TandE[Role 11], (TandE[[Practice]:[Practice]]&lt;&gt;"Padding")*(TandE[[Phase]:[Phase]]=TandE[[#This Row],[Phase]:[Phase]])))) / INDIRECT(TandE[[#This Row],[Phase]:[Phase]]&amp; "_Length") &lt; SUM(_xlfn._xlws.FILTER(AllocationMinimums[[Min]:[Min]], (AllocationMinimums[[Role]:[Role]]= LEFT(V$2,FIND("-",V$2)-1))*(AllocationMinimums[[Phase]:[Phase]]= TandE[[#This Row],[Phase]:[Phase]])))), (SUM(_xlfn._xlws.FILTER(AllocationMinimums[[Min]:[Min]], (AllocationMinimums[[Role]:[Role]] = LEFT(V$2,FIND("-",V$2)-1))*(AllocationMinimums[[Phase]:[Phase]]= TandE[[#This Row],[Phase]:[Phase]]))) - (SUM(_xlfn._xlws.FILTER(TandE[Role 11], (TandE[[Practice]:[Practice]] &lt;&gt;"Padding")*(TandE[[Phase]:[Phase]]=TandE[[#This Row],[Phase]:[Phase]])))) / INDIRECT(TandE[[#This Row],[Phase]:[Phase]]&amp;"_Length")) *INDIRECT(TandE[[#This Row],[Phase]:[Phase]]&amp;"_Length"), 0), 0)</f>
        <v>0</v>
      </c>
      <c r="W150" s="933" cm="1">
        <f t="array" aca="1" ref="W150" ca="1">IFERROR(IF(AND((SUM(_xlfn._xlws.FILTER(TandE[Role 12], (TandE[[Practice]:[Practice]]&lt;&gt;"Padding")*(TandE[[Phase]:[Phase]]=TandE[[#This Row],[Phase]:[Phase]])))) &gt;0,(SUM(_xlfn._xlws.FILTER(TandE[Role 12], (TandE[[Practice]:[Practice]]&lt;&gt;"Padding")*(TandE[[Phase]:[Phase]]=TandE[[#This Row],[Phase]:[Phase]])))) / INDIRECT(TandE[[#This Row],[Phase]:[Phase]]&amp; "_Length") &lt; SUM(_xlfn._xlws.FILTER(AllocationMinimums[[Min]:[Min]], (AllocationMinimums[[Role]:[Role]]= LEFT(W$2,FIND("-",W$2)-1))*(AllocationMinimums[[Phase]:[Phase]]= TandE[[#This Row],[Phase]:[Phase]])))), (SUM(_xlfn._xlws.FILTER(AllocationMinimums[[Min]:[Min]], (AllocationMinimums[[Role]:[Role]] = LEFT(W$2,FIND("-",W$2)-1))*(AllocationMinimums[[Phase]:[Phase]]= TandE[[#This Row],[Phase]:[Phase]]))) - (SUM(_xlfn._xlws.FILTER(TandE[Role 12], (TandE[[Practice]:[Practice]] &lt;&gt;"Padding")*(TandE[[Phase]:[Phase]]=TandE[[#This Row],[Phase]:[Phase]])))) / INDIRECT(TandE[[#This Row],[Phase]:[Phase]]&amp;"_Length")) *INDIRECT(TandE[[#This Row],[Phase]:[Phase]]&amp;"_Length"), 0), 0)</f>
        <v>0</v>
      </c>
      <c r="X150" s="933" cm="1">
        <f t="array" aca="1" ref="X150" ca="1">IFERROR(IF(AND((SUM(_xlfn._xlws.FILTER(TandE[Role 13], (TandE[[Practice]:[Practice]]&lt;&gt;"Padding")*(TandE[[Phase]:[Phase]]=TandE[[#This Row],[Phase]:[Phase]])))) &gt;0,(SUM(_xlfn._xlws.FILTER(TandE[Role 13], (TandE[[Practice]:[Practice]]&lt;&gt;"Padding")*(TandE[[Phase]:[Phase]]=TandE[[#This Row],[Phase]:[Phase]])))) / INDIRECT(TandE[[#This Row],[Phase]:[Phase]]&amp; "_Length") &lt; SUM(_xlfn._xlws.FILTER(AllocationMinimums[[Min]:[Min]], (AllocationMinimums[[Role]:[Role]]= LEFT(X$2,FIND("-",X$2)-1))*(AllocationMinimums[[Phase]:[Phase]]= TandE[[#This Row],[Phase]:[Phase]])))), (SUM(_xlfn._xlws.FILTER(AllocationMinimums[[Min]:[Min]], (AllocationMinimums[[Role]:[Role]] = LEFT(X$2,FIND("-",X$2)-1))*(AllocationMinimums[[Phase]:[Phase]]= TandE[[#This Row],[Phase]:[Phase]]))) - (SUM(_xlfn._xlws.FILTER(TandE[Role 13], (TandE[[Practice]:[Practice]] &lt;&gt;"Padding")*(TandE[[Phase]:[Phase]]=TandE[[#This Row],[Phase]:[Phase]])))) / INDIRECT(TandE[[#This Row],[Phase]:[Phase]]&amp;"_Length")) *INDIRECT(TandE[[#This Row],[Phase]:[Phase]]&amp;"_Length"), 0), 0)</f>
        <v>0</v>
      </c>
      <c r="Y150" s="933" cm="1">
        <f t="array" aca="1" ref="Y150" ca="1">IFERROR(IF(AND((SUM(_xlfn._xlws.FILTER(TandE[Role 14], (TandE[[Practice]:[Practice]]&lt;&gt;"Padding")*(TandE[[Phase]:[Phase]]=TandE[[#This Row],[Phase]:[Phase]])))) &gt;0,(SUM(_xlfn._xlws.FILTER(TandE[Role 14], (TandE[[Practice]:[Practice]]&lt;&gt;"Padding")*(TandE[[Phase]:[Phase]]=TandE[[#This Row],[Phase]:[Phase]])))) / INDIRECT(TandE[[#This Row],[Phase]:[Phase]]&amp; "_Length") &lt; SUM(_xlfn._xlws.FILTER(AllocationMinimums[[Min]:[Min]], (AllocationMinimums[[Role]:[Role]]= LEFT(Y$2,FIND("-",Y$2)-1))*(AllocationMinimums[[Phase]:[Phase]]= TandE[[#This Row],[Phase]:[Phase]])))), (SUM(_xlfn._xlws.FILTER(AllocationMinimums[[Min]:[Min]], (AllocationMinimums[[Role]:[Role]] = LEFT(Y$2,FIND("-",Y$2)-1))*(AllocationMinimums[[Phase]:[Phase]]= TandE[[#This Row],[Phase]:[Phase]]))) - (SUM(_xlfn._xlws.FILTER(TandE[Role 14], (TandE[[Practice]:[Practice]] &lt;&gt;"Padding")*(TandE[[Phase]:[Phase]]=TandE[[#This Row],[Phase]:[Phase]])))) / INDIRECT(TandE[[#This Row],[Phase]:[Phase]]&amp;"_Length")) *INDIRECT(TandE[[#This Row],[Phase]:[Phase]]&amp;"_Length"), 0), 0)</f>
        <v>0</v>
      </c>
      <c r="Z150" s="933" cm="1">
        <f t="array" aca="1" ref="Z150" ca="1">IFERROR(IF(AND((SUM(_xlfn._xlws.FILTER(TandE[Role 15], (TandE[[Practice]:[Practice]]&lt;&gt;"Padding")*(TandE[[Phase]:[Phase]]=TandE[[#This Row],[Phase]:[Phase]])))) &gt;0,(SUM(_xlfn._xlws.FILTER(TandE[Role 15], (TandE[[Practice]:[Practice]]&lt;&gt;"Padding")*(TandE[[Phase]:[Phase]]=TandE[[#This Row],[Phase]:[Phase]])))) / INDIRECT(TandE[[#This Row],[Phase]:[Phase]]&amp; "_Length") &lt; SUM(_xlfn._xlws.FILTER(AllocationMinimums[[Min]:[Min]], (AllocationMinimums[[Role]:[Role]]= LEFT(Z$2,FIND("-",Z$2)-1))*(AllocationMinimums[[Phase]:[Phase]]= TandE[[#This Row],[Phase]:[Phase]])))), (SUM(_xlfn._xlws.FILTER(AllocationMinimums[[Min]:[Min]], (AllocationMinimums[[Role]:[Role]] = LEFT(Z$2,FIND("-",Z$2)-1))*(AllocationMinimums[[Phase]:[Phase]]= TandE[[#This Row],[Phase]:[Phase]]))) - (SUM(_xlfn._xlws.FILTER(TandE[Role 15], (TandE[[Practice]:[Practice]] &lt;&gt;"Padding")*(TandE[[Phase]:[Phase]]=TandE[[#This Row],[Phase]:[Phase]])))) / INDIRECT(TandE[[#This Row],[Phase]:[Phase]]&amp;"_Length")) *INDIRECT(TandE[[#This Row],[Phase]:[Phase]]&amp;"_Length"), 0), 0)</f>
        <v>0</v>
      </c>
    </row>
    <row r="151" spans="1:26" ht="15.75" thickBot="1">
      <c r="A151" s="1182"/>
      <c r="B151" s="930" t="s">
        <v>151</v>
      </c>
      <c r="C151" s="931">
        <f>CLOSE_START</f>
        <v>8</v>
      </c>
      <c r="D151" s="931">
        <f>CLOSE_END</f>
        <v>8</v>
      </c>
      <c r="E151" s="732" t="s">
        <v>542</v>
      </c>
      <c r="F151" s="732"/>
      <c r="G151" s="732"/>
      <c r="H151" s="732" t="s">
        <v>543</v>
      </c>
      <c r="I151" s="732" t="s">
        <v>544</v>
      </c>
      <c r="J151" s="732"/>
      <c r="K151" s="732" t="s">
        <v>488</v>
      </c>
      <c r="L151" s="933" cm="1">
        <f t="array" aca="1" ref="L151" ca="1">IFERROR(IF(AND((SUM(_xlfn._xlws.FILTER(TandE[Role 1], (TandE[[Practice]:[Practice]]&lt;&gt;"Padding")*(TandE[[Phase]:[Phase]]=TandE[[#This Row],[Phase]:[Phase]])))) &gt;0,(SUM(_xlfn._xlws.FILTER(TandE[Role 1], (TandE[[Practice]:[Practice]]&lt;&gt;"Padding")*(TandE[[Phase]:[Phase]]=TandE[[#This Row],[Phase]:[Phase]])))) / INDIRECT(TandE[[#This Row],[Phase]:[Phase]]&amp; "_Length") &lt; SUM(_xlfn._xlws.FILTER(AllocationMinimums[[Min]:[Min]], (AllocationMinimums[[Role]:[Role]]= LEFT(L$2,FIND("-",L$2)-1))*(AllocationMinimums[[Phase]:[Phase]]= TandE[[#This Row],[Phase]:[Phase]])))), (SUM(_xlfn._xlws.FILTER(AllocationMinimums[[Min]:[Min]], (AllocationMinimums[[Role]:[Role]] = LEFT(L$2,FIND("-",L$2)-1))*(AllocationMinimums[[Phase]:[Phase]]= TandE[[#This Row],[Phase]:[Phase]]))) - (SUM(_xlfn._xlws.FILTER(TandE[Role 1], (TandE[[Practice]:[Practice]] &lt;&gt;"Padding")*(TandE[[Phase]:[Phase]]=TandE[[#This Row],[Phase]:[Phase]])))) / INDIRECT(TandE[[#This Row],[Phase]:[Phase]]&amp;"_Length")) *INDIRECT(TandE[[#This Row],[Phase]:[Phase]]&amp;"_Length"), 0), 0)</f>
        <v>0</v>
      </c>
      <c r="M151" s="933" cm="1">
        <f t="array" aca="1" ref="M151" ca="1">IFERROR(IF(AND((SUM(_xlfn._xlws.FILTER(TandE[Role 2], (TandE[[Practice]:[Practice]]&lt;&gt;"Padding")*(TandE[[Phase]:[Phase]]=TandE[[#This Row],[Phase]:[Phase]])))) &gt;0,(SUM(_xlfn._xlws.FILTER(TandE[Role 2], (TandE[[Practice]:[Practice]]&lt;&gt;"Padding")*(TandE[[Phase]:[Phase]]=TandE[[#This Row],[Phase]:[Phase]])))) / INDIRECT(TandE[[#This Row],[Phase]:[Phase]]&amp; "_Length") &lt; SUM(_xlfn._xlws.FILTER(AllocationMinimums[[Min]:[Min]], (AllocationMinimums[[Role]:[Role]]= LEFT(M$2,FIND("-",M$2)-1))*(AllocationMinimums[[Phase]:[Phase]]= TandE[[#This Row],[Phase]:[Phase]])))), (SUM(_xlfn._xlws.FILTER(AllocationMinimums[[Min]:[Min]], (AllocationMinimums[[Role]:[Role]] = LEFT(M$2,FIND("-",M$2)-1))*(AllocationMinimums[[Phase]:[Phase]]= TandE[[#This Row],[Phase]:[Phase]]))) - (SUM(_xlfn._xlws.FILTER(TandE[Role 2], (TandE[[Practice]:[Practice]] &lt;&gt;"Padding")*(TandE[[Phase]:[Phase]]=TandE[[#This Row],[Phase]:[Phase]])))) / INDIRECT(TandE[[#This Row],[Phase]:[Phase]]&amp;"_Length")) *INDIRECT(TandE[[#This Row],[Phase]:[Phase]]&amp;"_Length"), 0), 0)</f>
        <v>0</v>
      </c>
      <c r="N151" s="933" cm="1">
        <f t="array" aca="1" ref="N151" ca="1">IFERROR(IF(AND((SUM(_xlfn._xlws.FILTER(TandE[Role 3], (TandE[[Practice]:[Practice]]&lt;&gt;"Padding")*(TandE[[Phase]:[Phase]]=TandE[[#This Row],[Phase]:[Phase]])))) &gt;0,(SUM(_xlfn._xlws.FILTER(TandE[Role 3], (TandE[[Practice]:[Practice]]&lt;&gt;"Padding")*(TandE[[Phase]:[Phase]]=TandE[[#This Row],[Phase]:[Phase]])))) / INDIRECT(TandE[[#This Row],[Phase]:[Phase]]&amp; "_Length") &lt; SUM(_xlfn._xlws.FILTER(AllocationMinimums[[Min]:[Min]], (AllocationMinimums[[Role]:[Role]]= LEFT(N$2,FIND("-",N$2)-1))*(AllocationMinimums[[Phase]:[Phase]]= TandE[[#This Row],[Phase]:[Phase]])))), (SUM(_xlfn._xlws.FILTER(AllocationMinimums[[Min]:[Min]], (AllocationMinimums[[Role]:[Role]] = LEFT(N$2,FIND("-",N$2)-1))*(AllocationMinimums[[Phase]:[Phase]]= TandE[[#This Row],[Phase]:[Phase]]))) - (SUM(_xlfn._xlws.FILTER(TandE[Role 3], (TandE[[Practice]:[Practice]] &lt;&gt;"Padding")*(TandE[[Phase]:[Phase]]=TandE[[#This Row],[Phase]:[Phase]])))) / INDIRECT(TandE[[#This Row],[Phase]:[Phase]]&amp;"_Length")) *INDIRECT(TandE[[#This Row],[Phase]:[Phase]]&amp;"_Length"), 0), 0)</f>
        <v>0</v>
      </c>
      <c r="O151" s="933" cm="1">
        <f t="array" aca="1" ref="O151" ca="1">IFERROR(IF(AND((SUM(_xlfn._xlws.FILTER(TandE[Role 4], (TandE[[Practice]:[Practice]]&lt;&gt;"Padding")*(TandE[[Phase]:[Phase]]=TandE[[#This Row],[Phase]:[Phase]])))) &gt;0,(SUM(_xlfn._xlws.FILTER(TandE[Role 4], (TandE[[Practice]:[Practice]]&lt;&gt;"Padding")*(TandE[[Phase]:[Phase]]=TandE[[#This Row],[Phase]:[Phase]])))) / INDIRECT(TandE[[#This Row],[Phase]:[Phase]]&amp; "_Length") &lt; SUM(_xlfn._xlws.FILTER(AllocationMinimums[[Min]:[Min]], (AllocationMinimums[[Role]:[Role]]= LEFT(O$2,FIND("-",O$2)-1))*(AllocationMinimums[[Phase]:[Phase]]= TandE[[#This Row],[Phase]:[Phase]])))), (SUM(_xlfn._xlws.FILTER(AllocationMinimums[[Min]:[Min]], (AllocationMinimums[[Role]:[Role]] = LEFT(O$2,FIND("-",O$2)-1))*(AllocationMinimums[[Phase]:[Phase]]= TandE[[#This Row],[Phase]:[Phase]]))) - (SUM(_xlfn._xlws.FILTER(TandE[Role 4], (TandE[[Practice]:[Practice]] &lt;&gt;"Padding")*(TandE[[Phase]:[Phase]]=TandE[[#This Row],[Phase]:[Phase]])))) / INDIRECT(TandE[[#This Row],[Phase]:[Phase]]&amp;"_Length")) *INDIRECT(TandE[[#This Row],[Phase]:[Phase]]&amp;"_Length"), 0), 0)</f>
        <v>0</v>
      </c>
      <c r="P151" s="933" cm="1">
        <f t="array" aca="1" ref="P151" ca="1">IFERROR(IF(AND((SUM(_xlfn._xlws.FILTER(TandE[Role 5], (TandE[[Practice]:[Practice]]&lt;&gt;"Padding")*(TandE[[Phase]:[Phase]]=TandE[[#This Row],[Phase]:[Phase]])))) &gt;0,(SUM(_xlfn._xlws.FILTER(TandE[Role 5], (TandE[[Practice]:[Practice]]&lt;&gt;"Padding")*(TandE[[Phase]:[Phase]]=TandE[[#This Row],[Phase]:[Phase]])))) / INDIRECT(TandE[[#This Row],[Phase]:[Phase]]&amp; "_Length") &lt; SUM(_xlfn._xlws.FILTER(AllocationMinimums[[Min]:[Min]], (AllocationMinimums[[Role]:[Role]]= LEFT(P$2,FIND("-",P$2)-1))*(AllocationMinimums[[Phase]:[Phase]]= TandE[[#This Row],[Phase]:[Phase]])))), (SUM(_xlfn._xlws.FILTER(AllocationMinimums[[Min]:[Min]], (AllocationMinimums[[Role]:[Role]] = LEFT(P$2,FIND("-",P$2)-1))*(AllocationMinimums[[Phase]:[Phase]]= TandE[[#This Row],[Phase]:[Phase]]))) - (SUM(_xlfn._xlws.FILTER(TandE[Role 5], (TandE[[Practice]:[Practice]] &lt;&gt;"Padding")*(TandE[[Phase]:[Phase]]=TandE[[#This Row],[Phase]:[Phase]])))) / INDIRECT(TandE[[#This Row],[Phase]:[Phase]]&amp;"_Length")) *INDIRECT(TandE[[#This Row],[Phase]:[Phase]]&amp;"_Length"), 0), 0)</f>
        <v>0</v>
      </c>
      <c r="Q151" s="933" cm="1">
        <f t="array" aca="1" ref="Q151" ca="1">IFERROR(IF(AND((SUM(_xlfn._xlws.FILTER(TandE[Role 6], (TandE[[Practice]:[Practice]]&lt;&gt;"Padding")*(TandE[[Phase]:[Phase]]=TandE[[#This Row],[Phase]:[Phase]])))) &gt;0,(SUM(_xlfn._xlws.FILTER(TandE[Role 6], (TandE[[Practice]:[Practice]]&lt;&gt;"Padding")*(TandE[[Phase]:[Phase]]=TandE[[#This Row],[Phase]:[Phase]])))) / INDIRECT(TandE[[#This Row],[Phase]:[Phase]]&amp; "_Length") &lt; SUM(_xlfn._xlws.FILTER(AllocationMinimums[[Min]:[Min]], (AllocationMinimums[[Role]:[Role]]= LEFT(Q$2,FIND("-",Q$2)-1))*(AllocationMinimums[[Phase]:[Phase]]= TandE[[#This Row],[Phase]:[Phase]])))), (SUM(_xlfn._xlws.FILTER(AllocationMinimums[[Min]:[Min]], (AllocationMinimums[[Role]:[Role]] = LEFT(Q$2,FIND("-",Q$2)-1))*(AllocationMinimums[[Phase]:[Phase]]= TandE[[#This Row],[Phase]:[Phase]]))) - (SUM(_xlfn._xlws.FILTER(TandE[Role 6], (TandE[[Practice]:[Practice]] &lt;&gt;"Padding")*(TandE[[Phase]:[Phase]]=TandE[[#This Row],[Phase]:[Phase]])))) / INDIRECT(TandE[[#This Row],[Phase]:[Phase]]&amp;"_Length")) *INDIRECT(TandE[[#This Row],[Phase]:[Phase]]&amp;"_Length"), 0), 0)</f>
        <v>0</v>
      </c>
      <c r="R151" s="933" cm="1">
        <f t="array" aca="1" ref="R151" ca="1">IFERROR(IF(AND((SUM(_xlfn._xlws.FILTER(TandE[Role 7], (TandE[[Practice]:[Practice]]&lt;&gt;"Padding")*(TandE[[Phase]:[Phase]]=TandE[[#This Row],[Phase]:[Phase]])))) &gt;0,(SUM(_xlfn._xlws.FILTER(TandE[Role 7], (TandE[[Practice]:[Practice]]&lt;&gt;"Padding")*(TandE[[Phase]:[Phase]]=TandE[[#This Row],[Phase]:[Phase]])))) / INDIRECT(TandE[[#This Row],[Phase]:[Phase]]&amp; "_Length") &lt; SUM(_xlfn._xlws.FILTER(AllocationMinimums[[Min]:[Min]], (AllocationMinimums[[Role]:[Role]]= LEFT(R$2,FIND("-",R$2)-1))*(AllocationMinimums[[Phase]:[Phase]]= TandE[[#This Row],[Phase]:[Phase]])))), (SUM(_xlfn._xlws.FILTER(AllocationMinimums[[Min]:[Min]], (AllocationMinimums[[Role]:[Role]] = LEFT(R$2,FIND("-",R$2)-1))*(AllocationMinimums[[Phase]:[Phase]]= TandE[[#This Row],[Phase]:[Phase]]))) - (SUM(_xlfn._xlws.FILTER(TandE[Role 7], (TandE[[Practice]:[Practice]] &lt;&gt;"Padding")*(TandE[[Phase]:[Phase]]=TandE[[#This Row],[Phase]:[Phase]])))) / INDIRECT(TandE[[#This Row],[Phase]:[Phase]]&amp;"_Length")) *INDIRECT(TandE[[#This Row],[Phase]:[Phase]]&amp;"_Length"), 0), 0)</f>
        <v>0</v>
      </c>
      <c r="S151" s="933" cm="1">
        <f t="array" aca="1" ref="S151" ca="1">IFERROR(IF(AND((SUM(_xlfn._xlws.FILTER(TandE[Role 8], (TandE[[Practice]:[Practice]]&lt;&gt;"Padding")*(TandE[[Phase]:[Phase]]=TandE[[#This Row],[Phase]:[Phase]])))) &gt;0,(SUM(_xlfn._xlws.FILTER(TandE[Role 8], (TandE[[Practice]:[Practice]]&lt;&gt;"Padding")*(TandE[[Phase]:[Phase]]=TandE[[#This Row],[Phase]:[Phase]])))) / INDIRECT(TandE[[#This Row],[Phase]:[Phase]]&amp; "_Length") &lt; SUM(_xlfn._xlws.FILTER(AllocationMinimums[[Min]:[Min]], (AllocationMinimums[[Role]:[Role]]= LEFT(S$2,FIND("-",S$2)-1))*(AllocationMinimums[[Phase]:[Phase]]= TandE[[#This Row],[Phase]:[Phase]])))), (SUM(_xlfn._xlws.FILTER(AllocationMinimums[[Min]:[Min]], (AllocationMinimums[[Role]:[Role]] = LEFT(S$2,FIND("-",S$2)-1))*(AllocationMinimums[[Phase]:[Phase]]= TandE[[#This Row],[Phase]:[Phase]]))) - (SUM(_xlfn._xlws.FILTER(TandE[Role 8], (TandE[[Practice]:[Practice]] &lt;&gt;"Padding")*(TandE[[Phase]:[Phase]]=TandE[[#This Row],[Phase]:[Phase]])))) / INDIRECT(TandE[[#This Row],[Phase]:[Phase]]&amp;"_Length")) *INDIRECT(TandE[[#This Row],[Phase]:[Phase]]&amp;"_Length"), 0), 0)</f>
        <v>0</v>
      </c>
      <c r="T151" s="933" cm="1">
        <f t="array" aca="1" ref="T151" ca="1">IFERROR(IF(AND((SUM(_xlfn._xlws.FILTER(TandE[Role 9], (TandE[[Practice]:[Practice]]&lt;&gt;"Padding")*(TandE[[Phase]:[Phase]]=TandE[[#This Row],[Phase]:[Phase]])))) &gt;0,(SUM(_xlfn._xlws.FILTER(TandE[Role 9], (TandE[[Practice]:[Practice]]&lt;&gt;"Padding")*(TandE[[Phase]:[Phase]]=TandE[[#This Row],[Phase]:[Phase]])))) / INDIRECT(TandE[[#This Row],[Phase]:[Phase]]&amp; "_Length") &lt; SUM(_xlfn._xlws.FILTER(AllocationMinimums[[Min]:[Min]], (AllocationMinimums[[Role]:[Role]]= LEFT(T$2,FIND("-",T$2)-1))*(AllocationMinimums[[Phase]:[Phase]]= TandE[[#This Row],[Phase]:[Phase]])))), (SUM(_xlfn._xlws.FILTER(AllocationMinimums[[Min]:[Min]], (AllocationMinimums[[Role]:[Role]] = LEFT(T$2,FIND("-",T$2)-1))*(AllocationMinimums[[Phase]:[Phase]]= TandE[[#This Row],[Phase]:[Phase]]))) - (SUM(_xlfn._xlws.FILTER(TandE[Role 9], (TandE[[Practice]:[Practice]] &lt;&gt;"Padding")*(TandE[[Phase]:[Phase]]=TandE[[#This Row],[Phase]:[Phase]])))) / INDIRECT(TandE[[#This Row],[Phase]:[Phase]]&amp;"_Length")) *INDIRECT(TandE[[#This Row],[Phase]:[Phase]]&amp;"_Length"), 0), 0)</f>
        <v>0</v>
      </c>
      <c r="U151" s="933" cm="1">
        <f t="array" aca="1" ref="U151" ca="1">IFERROR(IF(AND((SUM(_xlfn._xlws.FILTER(TandE[Role 10], (TandE[[Practice]:[Practice]]&lt;&gt;"Padding")*(TandE[[Phase]:[Phase]]=TandE[[#This Row],[Phase]:[Phase]])))) &gt;0,(SUM(_xlfn._xlws.FILTER(TandE[Role 10], (TandE[[Practice]:[Practice]]&lt;&gt;"Padding")*(TandE[[Phase]:[Phase]]=TandE[[#This Row],[Phase]:[Phase]])))) / INDIRECT(TandE[[#This Row],[Phase]:[Phase]]&amp; "_Length") &lt; SUM(_xlfn._xlws.FILTER(AllocationMinimums[[Min]:[Min]], (AllocationMinimums[[Role]:[Role]]= LEFT(U$2,FIND("-",U$2)-1))*(AllocationMinimums[[Phase]:[Phase]]= TandE[[#This Row],[Phase]:[Phase]])))), (SUM(_xlfn._xlws.FILTER(AllocationMinimums[[Min]:[Min]], (AllocationMinimums[[Role]:[Role]] = LEFT(U$2,FIND("-",U$2)-1))*(AllocationMinimums[[Phase]:[Phase]]= TandE[[#This Row],[Phase]:[Phase]]))) - (SUM(_xlfn._xlws.FILTER(TandE[Role 10], (TandE[[Practice]:[Practice]] &lt;&gt;"Padding")*(TandE[[Phase]:[Phase]]=TandE[[#This Row],[Phase]:[Phase]])))) / INDIRECT(TandE[[#This Row],[Phase]:[Phase]]&amp;"_Length")) *INDIRECT(TandE[[#This Row],[Phase]:[Phase]]&amp;"_Length"), 0), 0)</f>
        <v>0</v>
      </c>
      <c r="V151" s="933" cm="1">
        <f t="array" aca="1" ref="V151" ca="1">IFERROR(IF(AND((SUM(_xlfn._xlws.FILTER(TandE[Role 11], (TandE[[Practice]:[Practice]]&lt;&gt;"Padding")*(TandE[[Phase]:[Phase]]=TandE[[#This Row],[Phase]:[Phase]])))) &gt;0,(SUM(_xlfn._xlws.FILTER(TandE[Role 11], (TandE[[Practice]:[Practice]]&lt;&gt;"Padding")*(TandE[[Phase]:[Phase]]=TandE[[#This Row],[Phase]:[Phase]])))) / INDIRECT(TandE[[#This Row],[Phase]:[Phase]]&amp; "_Length") &lt; SUM(_xlfn._xlws.FILTER(AllocationMinimums[[Min]:[Min]], (AllocationMinimums[[Role]:[Role]]= LEFT(V$2,FIND("-",V$2)-1))*(AllocationMinimums[[Phase]:[Phase]]= TandE[[#This Row],[Phase]:[Phase]])))), (SUM(_xlfn._xlws.FILTER(AllocationMinimums[[Min]:[Min]], (AllocationMinimums[[Role]:[Role]] = LEFT(V$2,FIND("-",V$2)-1))*(AllocationMinimums[[Phase]:[Phase]]= TandE[[#This Row],[Phase]:[Phase]]))) - (SUM(_xlfn._xlws.FILTER(TandE[Role 11], (TandE[[Practice]:[Practice]] &lt;&gt;"Padding")*(TandE[[Phase]:[Phase]]=TandE[[#This Row],[Phase]:[Phase]])))) / INDIRECT(TandE[[#This Row],[Phase]:[Phase]]&amp;"_Length")) *INDIRECT(TandE[[#This Row],[Phase]:[Phase]]&amp;"_Length"), 0), 0)</f>
        <v>0</v>
      </c>
      <c r="W151" s="933" cm="1">
        <f t="array" aca="1" ref="W151" ca="1">IFERROR(IF(AND((SUM(_xlfn._xlws.FILTER(TandE[Role 12], (TandE[[Practice]:[Practice]]&lt;&gt;"Padding")*(TandE[[Phase]:[Phase]]=TandE[[#This Row],[Phase]:[Phase]])))) &gt;0,(SUM(_xlfn._xlws.FILTER(TandE[Role 12], (TandE[[Practice]:[Practice]]&lt;&gt;"Padding")*(TandE[[Phase]:[Phase]]=TandE[[#This Row],[Phase]:[Phase]])))) / INDIRECT(TandE[[#This Row],[Phase]:[Phase]]&amp; "_Length") &lt; SUM(_xlfn._xlws.FILTER(AllocationMinimums[[Min]:[Min]], (AllocationMinimums[[Role]:[Role]]= LEFT(W$2,FIND("-",W$2)-1))*(AllocationMinimums[[Phase]:[Phase]]= TandE[[#This Row],[Phase]:[Phase]])))), (SUM(_xlfn._xlws.FILTER(AllocationMinimums[[Min]:[Min]], (AllocationMinimums[[Role]:[Role]] = LEFT(W$2,FIND("-",W$2)-1))*(AllocationMinimums[[Phase]:[Phase]]= TandE[[#This Row],[Phase]:[Phase]]))) - (SUM(_xlfn._xlws.FILTER(TandE[Role 12], (TandE[[Practice]:[Practice]] &lt;&gt;"Padding")*(TandE[[Phase]:[Phase]]=TandE[[#This Row],[Phase]:[Phase]])))) / INDIRECT(TandE[[#This Row],[Phase]:[Phase]]&amp;"_Length")) *INDIRECT(TandE[[#This Row],[Phase]:[Phase]]&amp;"_Length"), 0), 0)</f>
        <v>0</v>
      </c>
      <c r="X151" s="933" cm="1">
        <f t="array" aca="1" ref="X151" ca="1">IFERROR(IF(AND((SUM(_xlfn._xlws.FILTER(TandE[Role 13], (TandE[[Practice]:[Practice]]&lt;&gt;"Padding")*(TandE[[Phase]:[Phase]]=TandE[[#This Row],[Phase]:[Phase]])))) &gt;0,(SUM(_xlfn._xlws.FILTER(TandE[Role 13], (TandE[[Practice]:[Practice]]&lt;&gt;"Padding")*(TandE[[Phase]:[Phase]]=TandE[[#This Row],[Phase]:[Phase]])))) / INDIRECT(TandE[[#This Row],[Phase]:[Phase]]&amp; "_Length") &lt; SUM(_xlfn._xlws.FILTER(AllocationMinimums[[Min]:[Min]], (AllocationMinimums[[Role]:[Role]]= LEFT(X$2,FIND("-",X$2)-1))*(AllocationMinimums[[Phase]:[Phase]]= TandE[[#This Row],[Phase]:[Phase]])))), (SUM(_xlfn._xlws.FILTER(AllocationMinimums[[Min]:[Min]], (AllocationMinimums[[Role]:[Role]] = LEFT(X$2,FIND("-",X$2)-1))*(AllocationMinimums[[Phase]:[Phase]]= TandE[[#This Row],[Phase]:[Phase]]))) - (SUM(_xlfn._xlws.FILTER(TandE[Role 13], (TandE[[Practice]:[Practice]] &lt;&gt;"Padding")*(TandE[[Phase]:[Phase]]=TandE[[#This Row],[Phase]:[Phase]])))) / INDIRECT(TandE[[#This Row],[Phase]:[Phase]]&amp;"_Length")) *INDIRECT(TandE[[#This Row],[Phase]:[Phase]]&amp;"_Length"), 0), 0)</f>
        <v>0</v>
      </c>
      <c r="Y151" s="933" cm="1">
        <f t="array" aca="1" ref="Y151" ca="1">IFERROR(IF(AND((SUM(_xlfn._xlws.FILTER(TandE[Role 14], (TandE[[Practice]:[Practice]]&lt;&gt;"Padding")*(TandE[[Phase]:[Phase]]=TandE[[#This Row],[Phase]:[Phase]])))) &gt;0,(SUM(_xlfn._xlws.FILTER(TandE[Role 14], (TandE[[Practice]:[Practice]]&lt;&gt;"Padding")*(TandE[[Phase]:[Phase]]=TandE[[#This Row],[Phase]:[Phase]])))) / INDIRECT(TandE[[#This Row],[Phase]:[Phase]]&amp; "_Length") &lt; SUM(_xlfn._xlws.FILTER(AllocationMinimums[[Min]:[Min]], (AllocationMinimums[[Role]:[Role]]= LEFT(Y$2,FIND("-",Y$2)-1))*(AllocationMinimums[[Phase]:[Phase]]= TandE[[#This Row],[Phase]:[Phase]])))), (SUM(_xlfn._xlws.FILTER(AllocationMinimums[[Min]:[Min]], (AllocationMinimums[[Role]:[Role]] = LEFT(Y$2,FIND("-",Y$2)-1))*(AllocationMinimums[[Phase]:[Phase]]= TandE[[#This Row],[Phase]:[Phase]]))) - (SUM(_xlfn._xlws.FILTER(TandE[Role 14], (TandE[[Practice]:[Practice]] &lt;&gt;"Padding")*(TandE[[Phase]:[Phase]]=TandE[[#This Row],[Phase]:[Phase]])))) / INDIRECT(TandE[[#This Row],[Phase]:[Phase]]&amp;"_Length")) *INDIRECT(TandE[[#This Row],[Phase]:[Phase]]&amp;"_Length"), 0), 0)</f>
        <v>0</v>
      </c>
      <c r="Z151" s="933" cm="1">
        <f t="array" aca="1" ref="Z151" ca="1">IFERROR(IF(AND((SUM(_xlfn._xlws.FILTER(TandE[Role 15], (TandE[[Practice]:[Practice]]&lt;&gt;"Padding")*(TandE[[Phase]:[Phase]]=TandE[[#This Row],[Phase]:[Phase]])))) &gt;0,(SUM(_xlfn._xlws.FILTER(TandE[Role 15], (TandE[[Practice]:[Practice]]&lt;&gt;"Padding")*(TandE[[Phase]:[Phase]]=TandE[[#This Row],[Phase]:[Phase]])))) / INDIRECT(TandE[[#This Row],[Phase]:[Phase]]&amp; "_Length") &lt; SUM(_xlfn._xlws.FILTER(AllocationMinimums[[Min]:[Min]], (AllocationMinimums[[Role]:[Role]]= LEFT(Z$2,FIND("-",Z$2)-1))*(AllocationMinimums[[Phase]:[Phase]]= TandE[[#This Row],[Phase]:[Phase]])))), (SUM(_xlfn._xlws.FILTER(AllocationMinimums[[Min]:[Min]], (AllocationMinimums[[Role]:[Role]] = LEFT(Z$2,FIND("-",Z$2)-1))*(AllocationMinimums[[Phase]:[Phase]]= TandE[[#This Row],[Phase]:[Phase]]))) - (SUM(_xlfn._xlws.FILTER(TandE[Role 15], (TandE[[Practice]:[Practice]] &lt;&gt;"Padding")*(TandE[[Phase]:[Phase]]=TandE[[#This Row],[Phase]:[Phase]])))) / INDIRECT(TandE[[#This Row],[Phase]:[Phase]]&amp;"_Length")) *INDIRECT(TandE[[#This Row],[Phase]:[Phase]]&amp;"_Length"), 0), 0)</f>
        <v>0</v>
      </c>
    </row>
    <row r="153" spans="1:26" ht="19.5" hidden="1" thickBot="1">
      <c r="B153" s="1185" t="s">
        <v>545</v>
      </c>
      <c r="C153" s="1186"/>
      <c r="D153" s="1186"/>
      <c r="E153" s="1186"/>
      <c r="F153" s="1187"/>
      <c r="G153" s="552"/>
      <c r="H153" s="1185" t="s">
        <v>546</v>
      </c>
      <c r="I153" s="1186"/>
      <c r="J153" s="1186"/>
      <c r="K153" s="1186"/>
      <c r="L153" s="1186"/>
      <c r="M153" s="1187"/>
    </row>
    <row r="154" spans="1:26" ht="36.950000000000003" hidden="1" customHeight="1">
      <c r="A154" s="1175" t="s">
        <v>547</v>
      </c>
      <c r="B154" s="576" t="s">
        <v>548</v>
      </c>
      <c r="C154" s="577" t="s">
        <v>549</v>
      </c>
      <c r="D154" s="578" t="s">
        <v>347</v>
      </c>
      <c r="E154" s="578" t="s">
        <v>230</v>
      </c>
      <c r="F154" s="578" t="s">
        <v>281</v>
      </c>
      <c r="G154" s="578" t="s">
        <v>282</v>
      </c>
      <c r="H154" s="578" t="s">
        <v>283</v>
      </c>
      <c r="I154" s="578" t="s">
        <v>288</v>
      </c>
      <c r="J154" s="579" t="s">
        <v>550</v>
      </c>
      <c r="K154" s="579" t="s">
        <v>551</v>
      </c>
      <c r="L154" s="579" t="s">
        <v>552</v>
      </c>
      <c r="M154" s="579" t="s">
        <v>553</v>
      </c>
      <c r="N154" s="579" t="s">
        <v>554</v>
      </c>
      <c r="O154" s="579" t="s">
        <v>555</v>
      </c>
      <c r="P154" s="579" t="s">
        <v>556</v>
      </c>
      <c r="Q154" s="579" t="s">
        <v>557</v>
      </c>
      <c r="R154" s="579" t="s">
        <v>558</v>
      </c>
      <c r="S154" s="579" t="s">
        <v>559</v>
      </c>
    </row>
    <row r="155" spans="1:26" hidden="1">
      <c r="A155" s="1176"/>
      <c r="B155" s="554" t="s">
        <v>470</v>
      </c>
      <c r="C155" s="555" t="str">
        <f ca="1">IF(ISBLANK(RolesandSkills[[#This Row],[Role]]),"",RolesandSkills[[#This Row],[Role]]&amp;"-"&amp;RolesandSkills[[#This Row],[Practice]])</f>
        <v>Project Manager-PMO</v>
      </c>
      <c r="D155" s="556" t="str">
        <f>IF(ISBLANK(Pricing!D27),"",Pricing!D27)</f>
        <v>USA</v>
      </c>
      <c r="E155" s="556" t="str">
        <f>IF(ISBLANK(Pricing!T27),"",Pricing!T27)</f>
        <v>PMO</v>
      </c>
      <c r="F155" s="556" t="str">
        <f>IF(ISBLANK(Pricing!U27),"",Pricing!U27)</f>
        <v/>
      </c>
      <c r="G155" s="556" t="str">
        <f>IF(ISBLANK(Pricing!V27),"",Pricing!V27)</f>
        <v/>
      </c>
      <c r="H155" s="556" t="str">
        <f>IF(ISBLANK(Pricing!W27),"",Pricing!W27)</f>
        <v/>
      </c>
      <c r="I155" s="557" t="str">
        <f>IF(ISBLANK(Pricing!E27),"",Pricing!E27)</f>
        <v>Project Manager</v>
      </c>
      <c r="J155" s="618"/>
      <c r="K155" s="556">
        <f ca="1">ROUND(RolesandSkills[[#This Row],[Initiate %]]*TotalsNoOversight[[#Totals],[Initiate]],0)</f>
        <v>0</v>
      </c>
      <c r="L155" s="618"/>
      <c r="M155" s="556">
        <f ca="1">ROUND(RolesandSkills[[#This Row],[Plan %]]*TotalsNoOversight[[#Totals],[Plan]],0)</f>
        <v>0</v>
      </c>
      <c r="N155" s="618"/>
      <c r="O155" s="556">
        <f ca="1">ROUND(RolesandSkills[[#This Row],[Execute %]]*TotalsNoOversight[[#Totals],[Execute]],0)</f>
        <v>0</v>
      </c>
      <c r="P155" s="618"/>
      <c r="Q155" s="556">
        <f ca="1">ROUND(RolesandSkills[[#This Row],[Deliver %]]*TotalsNoOversight[[#Totals],[Deliver]],0)</f>
        <v>0</v>
      </c>
      <c r="R155" s="618"/>
      <c r="S155" s="556">
        <f ca="1">ROUND(RolesandSkills[[#This Row],[Close %]]*TotalsNoOversight[[#Totals],[Close]],0)</f>
        <v>0</v>
      </c>
    </row>
    <row r="156" spans="1:26" hidden="1">
      <c r="A156" s="1176"/>
      <c r="B156" s="554" t="s">
        <v>471</v>
      </c>
      <c r="C156" s="555" t="str">
        <f ca="1">IF(ISBLANK(RolesandSkills[[#This Row],[Role]]),"",RolesandSkills[[#This Row],[Role]]&amp;"-"&amp;RolesandSkills[[#This Row],[Practice]])</f>
        <v>Solution Architect-Technology</v>
      </c>
      <c r="D156" s="556" t="str">
        <f>IF(ISBLANK(Pricing!D28),"",Pricing!D28)</f>
        <v>USA</v>
      </c>
      <c r="E156" s="556" t="str">
        <f>IF(ISBLANK(Pricing!T28),"",Pricing!T28)</f>
        <v>Technology</v>
      </c>
      <c r="F156" s="556" t="str">
        <f>IF(ISBLANK(Pricing!U28),"",Pricing!U28)</f>
        <v>AI Now Assist ITSM</v>
      </c>
      <c r="G156" s="556" t="str">
        <f>IF(ISBLANK(Pricing!V28),"",Pricing!V28)</f>
        <v/>
      </c>
      <c r="H156" s="556" t="str">
        <f>IF(ISBLANK(Pricing!W28),"",Pricing!W28)</f>
        <v/>
      </c>
      <c r="I156" s="557" t="str">
        <f>IF(ISBLANK(Pricing!E28),"",Pricing!E28)</f>
        <v>Solution Architect</v>
      </c>
      <c r="J156" s="618"/>
      <c r="K156" s="556">
        <f ca="1">ROUND(RolesandSkills[[#This Row],[Initiate %]]*TotalsNoOversight[[#Totals],[Initiate]],0)</f>
        <v>0</v>
      </c>
      <c r="L156" s="618"/>
      <c r="M156" s="556">
        <f ca="1">ROUND(RolesandSkills[[#This Row],[Plan %]]*TotalsNoOversight[[#Totals],[Plan]],0)</f>
        <v>0</v>
      </c>
      <c r="N156" s="618"/>
      <c r="O156" s="556">
        <f ca="1">ROUND(RolesandSkills[[#This Row],[Execute %]]*TotalsNoOversight[[#Totals],[Execute]],0)</f>
        <v>0</v>
      </c>
      <c r="P156" s="618"/>
      <c r="Q156" s="556">
        <f ca="1">ROUND(RolesandSkills[[#This Row],[Deliver %]]*TotalsNoOversight[[#Totals],[Deliver]],0)</f>
        <v>0</v>
      </c>
      <c r="R156" s="618"/>
      <c r="S156" s="556">
        <f ca="1">ROUND(RolesandSkills[[#This Row],[Close %]]*TotalsNoOversight[[#Totals],[Close]],0)</f>
        <v>0</v>
      </c>
    </row>
    <row r="157" spans="1:26" hidden="1">
      <c r="A157" s="1176"/>
      <c r="B157" s="554" t="s">
        <v>472</v>
      </c>
      <c r="C157" s="555" t="str">
        <f ca="1">IF(ISBLANK(RolesandSkills[[#This Row],[Role]]),"",RolesandSkills[[#This Row],[Role]]&amp;"-"&amp;RolesandSkills[[#This Row],[Practice]])</f>
        <v>Business Process Consultant-Technology</v>
      </c>
      <c r="D157" s="556" t="str">
        <f>IF(ISBLANK(Pricing!D29),"",Pricing!D29)</f>
        <v>USA</v>
      </c>
      <c r="E157" s="556" t="str">
        <f>IF(ISBLANK(Pricing!T29),"",Pricing!T29)</f>
        <v>Technology</v>
      </c>
      <c r="F157" s="556" t="str">
        <f>IF(ISBLANK(Pricing!U29),"",Pricing!U29)</f>
        <v>AI Now Assist ITSM</v>
      </c>
      <c r="G157" s="556" t="str">
        <f>IF(ISBLANK(Pricing!V29),"",Pricing!V29)</f>
        <v/>
      </c>
      <c r="H157" s="556" t="str">
        <f>IF(ISBLANK(Pricing!W29),"",Pricing!W29)</f>
        <v/>
      </c>
      <c r="I157" s="557" t="str">
        <f>IF(ISBLANK(Pricing!E29),"",Pricing!E29)</f>
        <v>Business Process Consultant</v>
      </c>
      <c r="J157" s="618"/>
      <c r="K157" s="556">
        <f ca="1">ROUND(RolesandSkills[[#This Row],[Initiate %]]*TotalsNoOversight[[#Totals],[Initiate]],0)</f>
        <v>0</v>
      </c>
      <c r="L157" s="618"/>
      <c r="M157" s="556">
        <f ca="1">ROUND(RolesandSkills[[#This Row],[Plan %]]*TotalsNoOversight[[#Totals],[Plan]],0)</f>
        <v>0</v>
      </c>
      <c r="N157" s="618"/>
      <c r="O157" s="556">
        <f ca="1">ROUND(RolesandSkills[[#This Row],[Execute %]]*TotalsNoOversight[[#Totals],[Execute]],0)</f>
        <v>0</v>
      </c>
      <c r="P157" s="618"/>
      <c r="Q157" s="556">
        <f ca="1">ROUND(RolesandSkills[[#This Row],[Deliver %]]*TotalsNoOversight[[#Totals],[Deliver]],0)</f>
        <v>0</v>
      </c>
      <c r="R157" s="618"/>
      <c r="S157" s="556">
        <f ca="1">ROUND(RolesandSkills[[#This Row],[Close %]]*TotalsNoOversight[[#Totals],[Close]],0)</f>
        <v>0</v>
      </c>
    </row>
    <row r="158" spans="1:26" hidden="1">
      <c r="A158" s="1176"/>
      <c r="B158" s="554" t="s">
        <v>473</v>
      </c>
      <c r="C158" s="555" t="str">
        <f ca="1">IF(ISBLANK(RolesandSkills[[#This Row],[Role]]),"",RolesandSkills[[#This Row],[Role]]&amp;"-"&amp;RolesandSkills[[#This Row],[Practice]])</f>
        <v>Senior Technical Consultant-Technology</v>
      </c>
      <c r="D158" s="556" t="str">
        <f>IF(ISBLANK(Pricing!D30),"",Pricing!D30)</f>
        <v>India</v>
      </c>
      <c r="E158" s="556" t="str">
        <f>IF(ISBLANK(Pricing!T30),"",Pricing!T30)</f>
        <v>Technology</v>
      </c>
      <c r="F158" s="556" t="str">
        <f>IF(ISBLANK(Pricing!U30),"",Pricing!U30)</f>
        <v>AI Now Assist ITSM</v>
      </c>
      <c r="G158" s="556" t="str">
        <f>IF(ISBLANK(Pricing!V30),"",Pricing!V30)</f>
        <v/>
      </c>
      <c r="H158" s="556" t="str">
        <f>IF(ISBLANK(Pricing!W30),"",Pricing!W30)</f>
        <v/>
      </c>
      <c r="I158" s="557" t="str">
        <f>IF(ISBLANK(Pricing!E30),"",Pricing!E30)</f>
        <v>Senior Technical Consultant</v>
      </c>
      <c r="J158" s="618"/>
      <c r="K158" s="556">
        <f ca="1">ROUND(RolesandSkills[[#This Row],[Initiate %]]*TotalsNoOversight[[#Totals],[Initiate]],0)</f>
        <v>0</v>
      </c>
      <c r="L158" s="618"/>
      <c r="M158" s="556">
        <f ca="1">ROUND(RolesandSkills[[#This Row],[Plan %]]*TotalsNoOversight[[#Totals],[Plan]],0)</f>
        <v>0</v>
      </c>
      <c r="N158" s="618"/>
      <c r="O158" s="556">
        <f ca="1">ROUND(RolesandSkills[[#This Row],[Execute %]]*TotalsNoOversight[[#Totals],[Execute]],0)</f>
        <v>0</v>
      </c>
      <c r="P158" s="618"/>
      <c r="Q158" s="556">
        <f ca="1">ROUND(RolesandSkills[[#This Row],[Deliver %]]*TotalsNoOversight[[#Totals],[Deliver]],0)</f>
        <v>0</v>
      </c>
      <c r="R158" s="618"/>
      <c r="S158" s="556">
        <f ca="1">ROUND(RolesandSkills[[#This Row],[Close %]]*TotalsNoOversight[[#Totals],[Close]],0)</f>
        <v>0</v>
      </c>
    </row>
    <row r="159" spans="1:26" hidden="1">
      <c r="A159" s="1176"/>
      <c r="B159" s="554" t="s">
        <v>474</v>
      </c>
      <c r="C159" s="555" t="str">
        <f ca="1">IF(ISBLANK(RolesandSkills[[#This Row],[Role]]),"",RolesandSkills[[#This Row],[Role]]&amp;"-"&amp;RolesandSkills[[#This Row],[Practice]])</f>
        <v>Workflow/Practice Strategist-Technology</v>
      </c>
      <c r="D159" s="556" t="str">
        <f>IF(ISBLANK(Pricing!D31),"",Pricing!D31)</f>
        <v>USA</v>
      </c>
      <c r="E159" s="556" t="str">
        <f>IF(ISBLANK(Pricing!T31),"",Pricing!T31)</f>
        <v>Technology</v>
      </c>
      <c r="F159" s="556" t="str">
        <f>IF(ISBLANK(Pricing!U31),"",Pricing!U31)</f>
        <v>AI Now Assist ITSM</v>
      </c>
      <c r="G159" s="556" t="str">
        <f>IF(ISBLANK(Pricing!V31),"",Pricing!V31)</f>
        <v/>
      </c>
      <c r="H159" s="556" t="str">
        <f>IF(ISBLANK(Pricing!W31),"",Pricing!W31)</f>
        <v/>
      </c>
      <c r="I159" s="557" t="str">
        <f>IF(ISBLANK(Pricing!E31),"",Pricing!E31)</f>
        <v>Workflow/Practice Strategist</v>
      </c>
      <c r="J159" s="618"/>
      <c r="K159" s="556">
        <f ca="1">ROUND(RolesandSkills[[#This Row],[Initiate %]]*TotalsNoOversight[[#Totals],[Initiate]],0)</f>
        <v>0</v>
      </c>
      <c r="L159" s="618"/>
      <c r="M159" s="556">
        <f ca="1">ROUND(RolesandSkills[[#This Row],[Plan %]]*TotalsNoOversight[[#Totals],[Plan]],0)</f>
        <v>0</v>
      </c>
      <c r="N159" s="618"/>
      <c r="O159" s="556">
        <f ca="1">ROUND(RolesandSkills[[#This Row],[Execute %]]*TotalsNoOversight[[#Totals],[Execute]],0)</f>
        <v>0</v>
      </c>
      <c r="P159" s="618"/>
      <c r="Q159" s="556">
        <f ca="1">ROUND(RolesandSkills[[#This Row],[Deliver %]]*TotalsNoOversight[[#Totals],[Deliver]],0)</f>
        <v>0</v>
      </c>
      <c r="R159" s="618"/>
      <c r="S159" s="556">
        <f ca="1">ROUND(RolesandSkills[[#This Row],[Close %]]*TotalsNoOversight[[#Totals],[Close]],0)</f>
        <v>0</v>
      </c>
    </row>
    <row r="160" spans="1:26" hidden="1">
      <c r="A160" s="1176"/>
      <c r="B160" s="554" t="s">
        <v>475</v>
      </c>
      <c r="C160" s="555" t="str">
        <f ca="1">IF(ISBLANK(RolesandSkills[[#This Row],[Role]]),"",RolesandSkills[[#This Row],[Role]]&amp;"-"&amp;RolesandSkills[[#This Row],[Practice]])</f>
        <v>-</v>
      </c>
      <c r="D160" s="556" t="str">
        <f>IF(ISBLANK(Pricing!D32),"",Pricing!D32)</f>
        <v/>
      </c>
      <c r="E160" s="556" t="str">
        <f>IF(ISBLANK(Pricing!T32),"",Pricing!T32)</f>
        <v/>
      </c>
      <c r="F160" s="556" t="str">
        <f>IF(ISBLANK(Pricing!U32),"",Pricing!U32)</f>
        <v/>
      </c>
      <c r="G160" s="556" t="str">
        <f>IF(ISBLANK(Pricing!V32),"",Pricing!V32)</f>
        <v/>
      </c>
      <c r="H160" s="556" t="str">
        <f>IF(ISBLANK(Pricing!W32),"",Pricing!W32)</f>
        <v/>
      </c>
      <c r="I160" s="557" t="str">
        <f>IF(ISBLANK(Pricing!E32),"",Pricing!E32)</f>
        <v/>
      </c>
      <c r="J160" s="618"/>
      <c r="K160" s="556">
        <f ca="1">ROUND(RolesandSkills[[#This Row],[Initiate %]]*TotalsNoOversight[[#Totals],[Initiate]],0)</f>
        <v>0</v>
      </c>
      <c r="L160" s="618"/>
      <c r="M160" s="556">
        <f ca="1">ROUND(RolesandSkills[[#This Row],[Plan %]]*TotalsNoOversight[[#Totals],[Plan]],0)</f>
        <v>0</v>
      </c>
      <c r="N160" s="618"/>
      <c r="O160" s="556">
        <f ca="1">ROUND(RolesandSkills[[#This Row],[Execute %]]*TotalsNoOversight[[#Totals],[Execute]],0)</f>
        <v>0</v>
      </c>
      <c r="P160" s="618"/>
      <c r="Q160" s="556">
        <f ca="1">ROUND(RolesandSkills[[#This Row],[Deliver %]]*TotalsNoOversight[[#Totals],[Deliver]],0)</f>
        <v>0</v>
      </c>
      <c r="R160" s="618"/>
      <c r="S160" s="556">
        <f ca="1">ROUND(RolesandSkills[[#This Row],[Close %]]*TotalsNoOversight[[#Totals],[Close]],0)</f>
        <v>0</v>
      </c>
    </row>
    <row r="161" spans="1:19" hidden="1">
      <c r="A161" s="1176"/>
      <c r="B161" s="554" t="s">
        <v>476</v>
      </c>
      <c r="C161" s="555" t="str">
        <f ca="1">IF(ISBLANK(RolesandSkills[[#This Row],[Role]]),"",RolesandSkills[[#This Row],[Role]]&amp;"-"&amp;RolesandSkills[[#This Row],[Practice]])</f>
        <v>-</v>
      </c>
      <c r="D161" s="556" t="str">
        <f>IF(ISBLANK(Pricing!D33),"",Pricing!D33)</f>
        <v/>
      </c>
      <c r="E161" s="556" t="str">
        <f>IF(ISBLANK(Pricing!T33),"",Pricing!T33)</f>
        <v/>
      </c>
      <c r="F161" s="556" t="str">
        <f>IF(ISBLANK(Pricing!U33),"",Pricing!U33)</f>
        <v/>
      </c>
      <c r="G161" s="556" t="str">
        <f>IF(ISBLANK(Pricing!V33),"",Pricing!V33)</f>
        <v/>
      </c>
      <c r="H161" s="556" t="str">
        <f>IF(ISBLANK(Pricing!W33),"",Pricing!W33)</f>
        <v/>
      </c>
      <c r="I161" s="557" t="str">
        <f>IF(ISBLANK(Pricing!E33),"",Pricing!E33)</f>
        <v/>
      </c>
      <c r="J161" s="618"/>
      <c r="K161" s="556">
        <f ca="1">ROUND(RolesandSkills[[#This Row],[Initiate %]]*TotalsNoOversight[[#Totals],[Initiate]],0)</f>
        <v>0</v>
      </c>
      <c r="L161" s="618"/>
      <c r="M161" s="556">
        <f ca="1">ROUND(RolesandSkills[[#This Row],[Plan %]]*TotalsNoOversight[[#Totals],[Plan]],0)</f>
        <v>0</v>
      </c>
      <c r="N161" s="618"/>
      <c r="O161" s="556">
        <f ca="1">ROUND(RolesandSkills[[#This Row],[Execute %]]*TotalsNoOversight[[#Totals],[Execute]],0)</f>
        <v>0</v>
      </c>
      <c r="P161" s="618"/>
      <c r="Q161" s="556">
        <f ca="1">ROUND(RolesandSkills[[#This Row],[Deliver %]]*TotalsNoOversight[[#Totals],[Deliver]],0)</f>
        <v>0</v>
      </c>
      <c r="R161" s="618"/>
      <c r="S161" s="556">
        <f ca="1">ROUND(RolesandSkills[[#This Row],[Close %]]*TotalsNoOversight[[#Totals],[Close]],0)</f>
        <v>0</v>
      </c>
    </row>
    <row r="162" spans="1:19" hidden="1">
      <c r="A162" s="1176"/>
      <c r="B162" s="554" t="s">
        <v>477</v>
      </c>
      <c r="C162" s="555" t="str">
        <f ca="1">IF(ISBLANK(RolesandSkills[[#This Row],[Role]]),"",RolesandSkills[[#This Row],[Role]]&amp;"-"&amp;RolesandSkills[[#This Row],[Practice]])</f>
        <v>-</v>
      </c>
      <c r="D162" s="556" t="str">
        <f>IF(ISBLANK(Pricing!D34),"",Pricing!D34)</f>
        <v/>
      </c>
      <c r="E162" s="556" t="str">
        <f>IF(ISBLANK(Pricing!T34),"",Pricing!T34)</f>
        <v/>
      </c>
      <c r="F162" s="556" t="str">
        <f>IF(ISBLANK(Pricing!U34),"",Pricing!U34)</f>
        <v/>
      </c>
      <c r="G162" s="556" t="str">
        <f>IF(ISBLANK(Pricing!V34),"",Pricing!V34)</f>
        <v/>
      </c>
      <c r="H162" s="556" t="str">
        <f>IF(ISBLANK(Pricing!W34),"",Pricing!W34)</f>
        <v/>
      </c>
      <c r="I162" s="557" t="str">
        <f>IF(ISBLANK(Pricing!E34),"",Pricing!E34)</f>
        <v/>
      </c>
      <c r="J162" s="618"/>
      <c r="K162" s="556">
        <f ca="1">ROUND(RolesandSkills[[#This Row],[Initiate %]]*TotalsNoOversight[[#Totals],[Initiate]],0)</f>
        <v>0</v>
      </c>
      <c r="L162" s="618"/>
      <c r="M162" s="556">
        <f ca="1">ROUND(RolesandSkills[[#This Row],[Plan %]]*TotalsNoOversight[[#Totals],[Plan]],0)</f>
        <v>0</v>
      </c>
      <c r="N162" s="618"/>
      <c r="O162" s="556">
        <f ca="1">ROUND(RolesandSkills[[#This Row],[Execute %]]*TotalsNoOversight[[#Totals],[Execute]],0)</f>
        <v>0</v>
      </c>
      <c r="P162" s="618"/>
      <c r="Q162" s="556">
        <f ca="1">ROUND(RolesandSkills[[#This Row],[Deliver %]]*TotalsNoOversight[[#Totals],[Deliver]],0)</f>
        <v>0</v>
      </c>
      <c r="R162" s="618"/>
      <c r="S162" s="556">
        <f ca="1">ROUND(RolesandSkills[[#This Row],[Close %]]*TotalsNoOversight[[#Totals],[Close]],0)</f>
        <v>0</v>
      </c>
    </row>
    <row r="163" spans="1:19" hidden="1">
      <c r="A163" s="1176"/>
      <c r="B163" s="554" t="s">
        <v>478</v>
      </c>
      <c r="C163" s="555" t="str">
        <f ca="1">IF(ISBLANK(RolesandSkills[[#This Row],[Role]]),"",RolesandSkills[[#This Row],[Role]]&amp;"-"&amp;RolesandSkills[[#This Row],[Practice]])</f>
        <v>-</v>
      </c>
      <c r="D163" s="556" t="str">
        <f>IF(ISBLANK(Pricing!D35),"",Pricing!D35)</f>
        <v/>
      </c>
      <c r="E163" s="556" t="str">
        <f>IF(ISBLANK(Pricing!T35),"",Pricing!T35)</f>
        <v/>
      </c>
      <c r="F163" s="556" t="str">
        <f>IF(ISBLANK(Pricing!U35),"",Pricing!U35)</f>
        <v/>
      </c>
      <c r="G163" s="556" t="str">
        <f>IF(ISBLANK(Pricing!V35),"",Pricing!V35)</f>
        <v/>
      </c>
      <c r="H163" s="556" t="str">
        <f>IF(ISBLANK(Pricing!W35),"",Pricing!W35)</f>
        <v/>
      </c>
      <c r="I163" s="557" t="str">
        <f>IF(ISBLANK(Pricing!E35),"",Pricing!E35)</f>
        <v/>
      </c>
      <c r="J163" s="618"/>
      <c r="K163" s="556">
        <f ca="1">ROUND(RolesandSkills[[#This Row],[Initiate %]]*TotalsNoOversight[[#Totals],[Initiate]],0)</f>
        <v>0</v>
      </c>
      <c r="L163" s="618"/>
      <c r="M163" s="556">
        <f ca="1">ROUND(RolesandSkills[[#This Row],[Plan %]]*TotalsNoOversight[[#Totals],[Plan]],0)</f>
        <v>0</v>
      </c>
      <c r="N163" s="618"/>
      <c r="O163" s="556">
        <f ca="1">ROUND(RolesandSkills[[#This Row],[Execute %]]*TotalsNoOversight[[#Totals],[Execute]],0)</f>
        <v>0</v>
      </c>
      <c r="P163" s="618"/>
      <c r="Q163" s="556">
        <f ca="1">ROUND(RolesandSkills[[#This Row],[Deliver %]]*TotalsNoOversight[[#Totals],[Deliver]],0)</f>
        <v>0</v>
      </c>
      <c r="R163" s="618"/>
      <c r="S163" s="556">
        <f ca="1">ROUND(RolesandSkills[[#This Row],[Close %]]*TotalsNoOversight[[#Totals],[Close]],0)</f>
        <v>0</v>
      </c>
    </row>
    <row r="164" spans="1:19" hidden="1">
      <c r="A164" s="1176"/>
      <c r="B164" s="554" t="s">
        <v>479</v>
      </c>
      <c r="C164" s="555" t="str">
        <f ca="1">IF(ISBLANK(RolesandSkills[[#This Row],[Role]]),"",RolesandSkills[[#This Row],[Role]]&amp;"-"&amp;RolesandSkills[[#This Row],[Practice]])</f>
        <v>-</v>
      </c>
      <c r="D164" s="556" t="str">
        <f>IF(ISBLANK(Pricing!D36),"",Pricing!D36)</f>
        <v/>
      </c>
      <c r="E164" s="556" t="str">
        <f>IF(ISBLANK(Pricing!T36),"",Pricing!T36)</f>
        <v/>
      </c>
      <c r="F164" s="556" t="str">
        <f>IF(ISBLANK(Pricing!U36),"",Pricing!U36)</f>
        <v/>
      </c>
      <c r="G164" s="556" t="str">
        <f>IF(ISBLANK(Pricing!V36),"",Pricing!V36)</f>
        <v/>
      </c>
      <c r="H164" s="556" t="str">
        <f>IF(ISBLANK(Pricing!W36),"",Pricing!W36)</f>
        <v/>
      </c>
      <c r="I164" s="557" t="str">
        <f>IF(ISBLANK(Pricing!E36),"",Pricing!E36)</f>
        <v/>
      </c>
      <c r="J164" s="618"/>
      <c r="K164" s="556">
        <f ca="1">ROUND(RolesandSkills[[#This Row],[Initiate %]]*TotalsNoOversight[[#Totals],[Initiate]],0)</f>
        <v>0</v>
      </c>
      <c r="L164" s="618"/>
      <c r="M164" s="556">
        <f ca="1">ROUND(RolesandSkills[[#This Row],[Plan %]]*TotalsNoOversight[[#Totals],[Plan]],0)</f>
        <v>0</v>
      </c>
      <c r="N164" s="618"/>
      <c r="O164" s="556">
        <f ca="1">ROUND(RolesandSkills[[#This Row],[Execute %]]*TotalsNoOversight[[#Totals],[Execute]],0)</f>
        <v>0</v>
      </c>
      <c r="P164" s="618"/>
      <c r="Q164" s="556">
        <f ca="1">ROUND(RolesandSkills[[#This Row],[Deliver %]]*TotalsNoOversight[[#Totals],[Deliver]],0)</f>
        <v>0</v>
      </c>
      <c r="R164" s="618"/>
      <c r="S164" s="556">
        <f ca="1">ROUND(RolesandSkills[[#This Row],[Close %]]*TotalsNoOversight[[#Totals],[Close]],0)</f>
        <v>0</v>
      </c>
    </row>
    <row r="165" spans="1:19" hidden="1">
      <c r="A165" s="1176"/>
      <c r="B165" s="554" t="s">
        <v>480</v>
      </c>
      <c r="C165" s="555" t="str">
        <f ca="1">IF(ISBLANK(RolesandSkills[[#This Row],[Role]]),"",RolesandSkills[[#This Row],[Role]]&amp;"-"&amp;RolesandSkills[[#This Row],[Practice]])</f>
        <v>-</v>
      </c>
      <c r="D165" s="556" t="str">
        <f>IF(ISBLANK(Pricing!D37),"",Pricing!D37)</f>
        <v/>
      </c>
      <c r="E165" s="556" t="str">
        <f>IF(ISBLANK(Pricing!T37),"",Pricing!T37)</f>
        <v/>
      </c>
      <c r="F165" s="556" t="str">
        <f>IF(ISBLANK(Pricing!U37),"",Pricing!U37)</f>
        <v/>
      </c>
      <c r="G165" s="556" t="str">
        <f>IF(ISBLANK(Pricing!V37),"",Pricing!V37)</f>
        <v/>
      </c>
      <c r="H165" s="556" t="str">
        <f>IF(ISBLANK(Pricing!W37),"",Pricing!W37)</f>
        <v/>
      </c>
      <c r="I165" s="557" t="str">
        <f>IF(ISBLANK(Pricing!E37),"",Pricing!E37)</f>
        <v/>
      </c>
      <c r="J165" s="618"/>
      <c r="K165" s="556">
        <f ca="1">ROUND(RolesandSkills[[#This Row],[Initiate %]]*TotalsNoOversight[[#Totals],[Initiate]],0)</f>
        <v>0</v>
      </c>
      <c r="L165" s="618"/>
      <c r="M165" s="556">
        <f ca="1">ROUND(RolesandSkills[[#This Row],[Plan %]]*TotalsNoOversight[[#Totals],[Plan]],0)</f>
        <v>0</v>
      </c>
      <c r="N165" s="618"/>
      <c r="O165" s="556">
        <f ca="1">ROUND(RolesandSkills[[#This Row],[Execute %]]*TotalsNoOversight[[#Totals],[Execute]],0)</f>
        <v>0</v>
      </c>
      <c r="P165" s="618"/>
      <c r="Q165" s="556">
        <f ca="1">ROUND(RolesandSkills[[#This Row],[Deliver %]]*TotalsNoOversight[[#Totals],[Deliver]],0)</f>
        <v>0</v>
      </c>
      <c r="R165" s="618"/>
      <c r="S165" s="556">
        <f ca="1">ROUND(RolesandSkills[[#This Row],[Close %]]*TotalsNoOversight[[#Totals],[Close]],0)</f>
        <v>0</v>
      </c>
    </row>
    <row r="166" spans="1:19" hidden="1">
      <c r="A166" s="1176"/>
      <c r="B166" s="554" t="s">
        <v>481</v>
      </c>
      <c r="C166" s="555" t="str">
        <f ca="1">IF(ISBLANK(RolesandSkills[[#This Row],[Role]]),"",RolesandSkills[[#This Row],[Role]]&amp;"-"&amp;RolesandSkills[[#This Row],[Practice]])</f>
        <v>-</v>
      </c>
      <c r="D166" s="556" t="str">
        <f>IF(ISBLANK(Pricing!D38),"",Pricing!D38)</f>
        <v/>
      </c>
      <c r="E166" s="556" t="str">
        <f>IF(ISBLANK(Pricing!T38),"",Pricing!T38)</f>
        <v/>
      </c>
      <c r="F166" s="556" t="str">
        <f>IF(ISBLANK(Pricing!U38),"",Pricing!U38)</f>
        <v/>
      </c>
      <c r="G166" s="556" t="str">
        <f>IF(ISBLANK(Pricing!V38),"",Pricing!V38)</f>
        <v/>
      </c>
      <c r="H166" s="556" t="str">
        <f>IF(ISBLANK(Pricing!W38),"",Pricing!W38)</f>
        <v/>
      </c>
      <c r="I166" s="557" t="str">
        <f>IF(ISBLANK(Pricing!E38),"",Pricing!E38)</f>
        <v/>
      </c>
      <c r="J166" s="618"/>
      <c r="K166" s="556">
        <f ca="1">ROUND(RolesandSkills[[#This Row],[Initiate %]]*TotalsNoOversight[[#Totals],[Initiate]],0)</f>
        <v>0</v>
      </c>
      <c r="L166" s="618"/>
      <c r="M166" s="556">
        <f ca="1">ROUND(RolesandSkills[[#This Row],[Plan %]]*TotalsNoOversight[[#Totals],[Plan]],0)</f>
        <v>0</v>
      </c>
      <c r="N166" s="618"/>
      <c r="O166" s="556">
        <f ca="1">ROUND(RolesandSkills[[#This Row],[Execute %]]*TotalsNoOversight[[#Totals],[Execute]],0)</f>
        <v>0</v>
      </c>
      <c r="P166" s="618"/>
      <c r="Q166" s="556">
        <f ca="1">ROUND(RolesandSkills[[#This Row],[Deliver %]]*TotalsNoOversight[[#Totals],[Deliver]],0)</f>
        <v>0</v>
      </c>
      <c r="R166" s="618"/>
      <c r="S166" s="556">
        <f ca="1">ROUND(RolesandSkills[[#This Row],[Close %]]*TotalsNoOversight[[#Totals],[Close]],0)</f>
        <v>0</v>
      </c>
    </row>
    <row r="167" spans="1:19" hidden="1">
      <c r="A167" s="1176"/>
      <c r="B167" s="554" t="s">
        <v>482</v>
      </c>
      <c r="C167" s="555" t="str">
        <f ca="1">IF(ISBLANK(RolesandSkills[[#This Row],[Role]]),"",RolesandSkills[[#This Row],[Role]]&amp;"-"&amp;RolesandSkills[[#This Row],[Practice]])</f>
        <v>-</v>
      </c>
      <c r="D167" s="556" t="str">
        <f>IF(ISBLANK(Pricing!D39),"",Pricing!D39)</f>
        <v/>
      </c>
      <c r="E167" s="556" t="str">
        <f>IF(ISBLANK(Pricing!T39),"",Pricing!T39)</f>
        <v/>
      </c>
      <c r="F167" s="556" t="str">
        <f>IF(ISBLANK(Pricing!U39),"",Pricing!U39)</f>
        <v/>
      </c>
      <c r="G167" s="556" t="str">
        <f>IF(ISBLANK(Pricing!V39),"",Pricing!V39)</f>
        <v/>
      </c>
      <c r="H167" s="556" t="str">
        <f>IF(ISBLANK(Pricing!W39),"",Pricing!W39)</f>
        <v/>
      </c>
      <c r="I167" s="557" t="str">
        <f>IF(ISBLANK(Pricing!E39),"",Pricing!E39)</f>
        <v/>
      </c>
      <c r="J167" s="618"/>
      <c r="K167" s="556">
        <f ca="1">ROUND(RolesandSkills[[#This Row],[Initiate %]]*TotalsNoOversight[[#Totals],[Initiate]],0)</f>
        <v>0</v>
      </c>
      <c r="L167" s="618"/>
      <c r="M167" s="556">
        <f ca="1">ROUND(RolesandSkills[[#This Row],[Plan %]]*TotalsNoOversight[[#Totals],[Plan]],0)</f>
        <v>0</v>
      </c>
      <c r="N167" s="618"/>
      <c r="O167" s="556">
        <f ca="1">ROUND(RolesandSkills[[#This Row],[Execute %]]*TotalsNoOversight[[#Totals],[Execute]],0)</f>
        <v>0</v>
      </c>
      <c r="P167" s="618"/>
      <c r="Q167" s="556">
        <f ca="1">ROUND(RolesandSkills[[#This Row],[Deliver %]]*TotalsNoOversight[[#Totals],[Deliver]],0)</f>
        <v>0</v>
      </c>
      <c r="R167" s="618"/>
      <c r="S167" s="556">
        <f ca="1">ROUND(RolesandSkills[[#This Row],[Close %]]*TotalsNoOversight[[#Totals],[Close]],0)</f>
        <v>0</v>
      </c>
    </row>
    <row r="168" spans="1:19" ht="15.75" hidden="1" thickBot="1">
      <c r="A168" s="1177"/>
      <c r="B168" s="554" t="s">
        <v>483</v>
      </c>
      <c r="C168" s="555" t="str">
        <f ca="1">IF(ISBLANK(RolesandSkills[[#This Row],[Role]]),"",RolesandSkills[[#This Row],[Role]]&amp;"-"&amp;RolesandSkills[[#This Row],[Practice]])</f>
        <v>-</v>
      </c>
      <c r="D168" s="556" t="str">
        <f>IF(ISBLANK(Pricing!D40),"",Pricing!D40)</f>
        <v/>
      </c>
      <c r="E168" s="556" t="str">
        <f>IF(ISBLANK(Pricing!T40),"",Pricing!T40)</f>
        <v/>
      </c>
      <c r="F168" s="556" t="str">
        <f>IF(ISBLANK(Pricing!U40),"",Pricing!U40)</f>
        <v/>
      </c>
      <c r="G168" s="556" t="str">
        <f>IF(ISBLANK(Pricing!V40),"",Pricing!V40)</f>
        <v/>
      </c>
      <c r="H168" s="556" t="str">
        <f>IF(ISBLANK(Pricing!W40),"",Pricing!W40)</f>
        <v/>
      </c>
      <c r="I168" s="557" t="str">
        <f>IF(ISBLANK(Pricing!E40),"",Pricing!E40)</f>
        <v/>
      </c>
      <c r="J168" s="618"/>
      <c r="K168" s="556">
        <f ca="1">ROUND(RolesandSkills[[#This Row],[Initiate %]]*TotalsNoOversight[[#Totals],[Initiate]],0)</f>
        <v>0</v>
      </c>
      <c r="L168" s="618"/>
      <c r="M168" s="556">
        <f ca="1">ROUND(RolesandSkills[[#This Row],[Plan %]]*TotalsNoOversight[[#Totals],[Plan]],0)</f>
        <v>0</v>
      </c>
      <c r="N168" s="618"/>
      <c r="O168" s="556">
        <f ca="1">ROUND(RolesandSkills[[#This Row],[Execute %]]*TotalsNoOversight[[#Totals],[Execute]],0)</f>
        <v>0</v>
      </c>
      <c r="P168" s="618"/>
      <c r="Q168" s="556">
        <f ca="1">ROUND(RolesandSkills[[#This Row],[Deliver %]]*TotalsNoOversight[[#Totals],[Deliver]],0)</f>
        <v>0</v>
      </c>
      <c r="R168" s="618"/>
      <c r="S168" s="556">
        <f ca="1">ROUND(RolesandSkills[[#This Row],[Close %]]*TotalsNoOversight[[#Totals],[Close]],0)</f>
        <v>0</v>
      </c>
    </row>
    <row r="169" spans="1:19" hidden="1">
      <c r="A169" s="627"/>
      <c r="B169" s="558" t="s">
        <v>484</v>
      </c>
      <c r="C169" s="555" t="str">
        <f ca="1">IF(ISBLANK(RolesandSkills[[#This Row],[Role]]),"",RolesandSkills[[#This Row],[Role]]&amp;"-"&amp;RolesandSkills[[#This Row],[Practice]])</f>
        <v>-</v>
      </c>
      <c r="D169" s="556" t="str">
        <f>IF(ISBLANK(Pricing!D41),"",Pricing!D41)</f>
        <v/>
      </c>
      <c r="E169" s="556" t="str">
        <f>IF(ISBLANK(Pricing!T41),"",Pricing!T41)</f>
        <v/>
      </c>
      <c r="F169" s="556" t="str">
        <f>IF(ISBLANK(Pricing!U41),"",Pricing!U41)</f>
        <v/>
      </c>
      <c r="G169" s="556" t="str">
        <f>IF(ISBLANK(Pricing!V41),"",Pricing!V41)</f>
        <v/>
      </c>
      <c r="H169" s="556" t="str">
        <f>IF(ISBLANK(Pricing!W41),"",Pricing!W41)</f>
        <v/>
      </c>
      <c r="I169" s="557" t="str">
        <f>IF(ISBLANK(Pricing!E41),"",Pricing!E41)</f>
        <v/>
      </c>
      <c r="J169" s="618"/>
      <c r="K169" s="556">
        <f ca="1">ROUND(RolesandSkills[[#This Row],[Initiate %]]*TotalsNoOversight[[#Totals],[Initiate]],0)</f>
        <v>0</v>
      </c>
      <c r="L169" s="618"/>
      <c r="M169" s="556">
        <f ca="1">ROUND(RolesandSkills[[#This Row],[Plan %]]*TotalsNoOversight[[#Totals],[Plan]],0)</f>
        <v>0</v>
      </c>
      <c r="N169" s="618"/>
      <c r="O169" s="556">
        <f ca="1">ROUND(RolesandSkills[[#This Row],[Execute %]]*TotalsNoOversight[[#Totals],[Execute]],0)</f>
        <v>0</v>
      </c>
      <c r="P169" s="618"/>
      <c r="Q169" s="556">
        <f ca="1">ROUND(RolesandSkills[[#This Row],[Deliver %]]*TotalsNoOversight[[#Totals],[Deliver]],0)</f>
        <v>0</v>
      </c>
      <c r="R169" s="618"/>
      <c r="S169" s="556">
        <f ca="1">ROUND(RolesandSkills[[#This Row],[Close %]]*TotalsNoOversight[[#Totals],[Close]],0)</f>
        <v>0</v>
      </c>
    </row>
    <row r="170" spans="1:19" ht="15.75" thickBot="1">
      <c r="B170" s="556"/>
      <c r="C170" s="556"/>
      <c r="D170" s="556"/>
      <c r="E170" s="556"/>
      <c r="F170" s="556"/>
      <c r="H170" s="631"/>
      <c r="I170" s="625"/>
      <c r="J170" s="631"/>
      <c r="K170" s="625"/>
      <c r="L170" s="631"/>
      <c r="M170" s="625"/>
      <c r="N170" s="631"/>
      <c r="O170" s="625"/>
      <c r="P170" s="631"/>
      <c r="Q170" s="625"/>
    </row>
    <row r="171" spans="1:19">
      <c r="A171" s="1175" t="s">
        <v>560</v>
      </c>
      <c r="B171" s="1194" t="s">
        <v>561</v>
      </c>
      <c r="C171" s="1195"/>
      <c r="D171" s="1375"/>
      <c r="E171" s="1375"/>
      <c r="F171" s="1376"/>
      <c r="H171" s="631"/>
      <c r="I171" s="625"/>
      <c r="J171" s="631"/>
      <c r="K171" s="625"/>
      <c r="L171" s="631"/>
      <c r="M171" s="625"/>
      <c r="N171" s="631"/>
      <c r="O171" s="625"/>
      <c r="P171" s="631"/>
      <c r="Q171" s="625"/>
    </row>
    <row r="172" spans="1:19" ht="15.75" thickBot="1">
      <c r="A172" s="1176"/>
      <c r="B172" s="1196"/>
      <c r="C172" s="1197"/>
      <c r="D172" s="1377"/>
      <c r="E172" s="1377"/>
      <c r="F172" s="1378"/>
      <c r="H172" s="631"/>
      <c r="I172" s="625"/>
      <c r="J172" s="631"/>
      <c r="K172" s="625"/>
      <c r="L172" s="631"/>
      <c r="M172" s="625"/>
      <c r="N172" s="631"/>
      <c r="O172" s="625"/>
      <c r="P172" s="631"/>
      <c r="Q172" s="625"/>
    </row>
    <row r="173" spans="1:19" ht="15.75" thickBot="1">
      <c r="A173" s="1176"/>
      <c r="B173" s="556"/>
      <c r="C173" s="556"/>
      <c r="D173" s="556"/>
      <c r="E173" s="556"/>
      <c r="F173" s="556"/>
      <c r="H173" s="631"/>
      <c r="I173" s="625"/>
      <c r="J173" s="631"/>
      <c r="K173" s="625"/>
      <c r="L173" s="631"/>
      <c r="M173" s="625"/>
      <c r="N173" s="631"/>
      <c r="O173" s="625"/>
      <c r="P173" s="631"/>
      <c r="Q173" s="625"/>
    </row>
    <row r="174" spans="1:19">
      <c r="A174" s="1176"/>
      <c r="B174" s="1379" t="s">
        <v>562</v>
      </c>
      <c r="C174" s="1380"/>
      <c r="D174" s="1381"/>
      <c r="E174" s="1381"/>
      <c r="F174" s="1382"/>
      <c r="H174" s="631"/>
      <c r="I174" s="625"/>
      <c r="J174" s="631"/>
      <c r="K174" s="625"/>
      <c r="L174" s="631"/>
      <c r="M174" s="625"/>
      <c r="N174" s="631"/>
      <c r="O174" s="625"/>
      <c r="P174" s="631"/>
      <c r="Q174" s="625"/>
    </row>
    <row r="175" spans="1:19" ht="24" customHeight="1" thickBot="1">
      <c r="A175" s="1176"/>
      <c r="B175" s="628"/>
      <c r="C175" s="629"/>
      <c r="D175" s="1383"/>
      <c r="E175" s="1383"/>
      <c r="F175" s="1384"/>
      <c r="H175" s="631"/>
      <c r="I175" s="625"/>
      <c r="J175" s="631"/>
      <c r="K175" s="625"/>
      <c r="L175" s="631"/>
      <c r="M175" s="625"/>
      <c r="N175" s="631"/>
      <c r="O175" s="625"/>
      <c r="P175" s="631"/>
      <c r="Q175" s="625"/>
    </row>
    <row r="178" spans="1:13" ht="37.5">
      <c r="A178" s="1188" t="s">
        <v>563</v>
      </c>
      <c r="B178" s="695" t="s">
        <v>564</v>
      </c>
      <c r="C178" s="1198" t="s">
        <v>10</v>
      </c>
      <c r="D178" s="1199"/>
      <c r="E178" s="1200"/>
      <c r="F178" s="695" t="s">
        <v>565</v>
      </c>
      <c r="G178" s="634"/>
      <c r="H178" s="634"/>
      <c r="I178" s="634"/>
      <c r="J178" s="634"/>
      <c r="K178" s="634"/>
      <c r="L178" s="634"/>
      <c r="M178" s="634"/>
    </row>
    <row r="179" spans="1:13">
      <c r="A179" s="1188"/>
      <c r="B179" s="608" t="s">
        <v>566</v>
      </c>
      <c r="C179" s="1169" t="s">
        <v>567</v>
      </c>
      <c r="D179" s="1170"/>
      <c r="E179" s="1171"/>
      <c r="F179" s="635" t="s">
        <v>568</v>
      </c>
    </row>
    <row r="180" spans="1:13" ht="30" customHeight="1">
      <c r="A180" s="1188"/>
      <c r="B180" s="608" t="s">
        <v>569</v>
      </c>
      <c r="C180" s="1169" t="s">
        <v>570</v>
      </c>
      <c r="D180" s="1170"/>
      <c r="E180" s="1171"/>
      <c r="F180" s="635" t="s">
        <v>568</v>
      </c>
    </row>
    <row r="181" spans="1:13">
      <c r="A181" s="1188"/>
      <c r="B181" s="608" t="s">
        <v>571</v>
      </c>
      <c r="C181" s="1169" t="s">
        <v>572</v>
      </c>
      <c r="D181" s="1170"/>
      <c r="E181" s="1171"/>
      <c r="F181" s="635" t="s">
        <v>568</v>
      </c>
    </row>
    <row r="182" spans="1:13" ht="41.25" customHeight="1">
      <c r="A182" s="1188"/>
      <c r="B182" s="608" t="s">
        <v>573</v>
      </c>
      <c r="C182" s="1169" t="s">
        <v>574</v>
      </c>
      <c r="D182" s="1170"/>
      <c r="E182" s="1171"/>
      <c r="F182" s="635" t="s">
        <v>568</v>
      </c>
    </row>
    <row r="183" spans="1:13" ht="45">
      <c r="A183" s="1188"/>
      <c r="B183" s="608" t="s">
        <v>575</v>
      </c>
      <c r="C183" s="1169" t="s">
        <v>576</v>
      </c>
      <c r="D183" s="1170"/>
      <c r="E183" s="1171"/>
      <c r="F183" s="635" t="s">
        <v>568</v>
      </c>
    </row>
    <row r="184" spans="1:13">
      <c r="A184" s="1188"/>
      <c r="B184" s="608" t="s">
        <v>577</v>
      </c>
      <c r="C184" s="1169" t="s">
        <v>578</v>
      </c>
      <c r="D184" s="1170"/>
      <c r="E184" s="1171"/>
      <c r="F184" s="635" t="s">
        <v>568</v>
      </c>
    </row>
    <row r="185" spans="1:13" ht="30">
      <c r="A185" s="1188"/>
      <c r="B185" s="608" t="s">
        <v>579</v>
      </c>
      <c r="C185" s="1169" t="s">
        <v>580</v>
      </c>
      <c r="D185" s="1170"/>
      <c r="E185" s="1171"/>
      <c r="F185" s="635" t="s">
        <v>568</v>
      </c>
    </row>
    <row r="186" spans="1:13">
      <c r="A186" s="1188"/>
      <c r="B186" s="608" t="s">
        <v>581</v>
      </c>
      <c r="C186" s="1169" t="s">
        <v>582</v>
      </c>
      <c r="D186" s="1170"/>
      <c r="E186" s="1171"/>
      <c r="F186" s="635" t="s">
        <v>583</v>
      </c>
    </row>
    <row r="187" spans="1:13" ht="45">
      <c r="A187" s="1188"/>
      <c r="B187" s="608" t="s">
        <v>584</v>
      </c>
      <c r="C187" s="1169" t="s">
        <v>576</v>
      </c>
      <c r="D187" s="1170"/>
      <c r="E187" s="1171"/>
      <c r="F187" s="635" t="s">
        <v>583</v>
      </c>
    </row>
    <row r="188" spans="1:13" ht="60">
      <c r="A188" s="1188"/>
      <c r="B188" s="608" t="s">
        <v>585</v>
      </c>
      <c r="C188" s="1169" t="s">
        <v>586</v>
      </c>
      <c r="D188" s="1170"/>
      <c r="E188" s="1171"/>
      <c r="F188" s="635" t="s">
        <v>583</v>
      </c>
    </row>
    <row r="189" spans="1:13" ht="45">
      <c r="A189" s="1188"/>
      <c r="B189" s="608" t="s">
        <v>587</v>
      </c>
      <c r="C189" s="1169" t="s">
        <v>578</v>
      </c>
      <c r="D189" s="1170"/>
      <c r="E189" s="1171"/>
      <c r="F189" s="635" t="s">
        <v>583</v>
      </c>
    </row>
    <row r="190" spans="1:13" ht="60">
      <c r="A190" s="1188"/>
      <c r="B190" s="608" t="s">
        <v>588</v>
      </c>
      <c r="C190" s="1169" t="s">
        <v>589</v>
      </c>
      <c r="D190" s="1170"/>
      <c r="E190" s="1171"/>
      <c r="F190" s="635" t="s">
        <v>583</v>
      </c>
    </row>
    <row r="191" spans="1:13" ht="30">
      <c r="A191" s="1188"/>
      <c r="B191" s="608" t="s">
        <v>590</v>
      </c>
      <c r="C191" s="1169" t="s">
        <v>591</v>
      </c>
      <c r="D191" s="1170"/>
      <c r="E191" s="1171"/>
      <c r="F191" s="635" t="s">
        <v>583</v>
      </c>
    </row>
    <row r="192" spans="1:13" ht="30">
      <c r="A192" s="1188"/>
      <c r="B192" s="608" t="s">
        <v>592</v>
      </c>
      <c r="C192" s="1169" t="s">
        <v>593</v>
      </c>
      <c r="D192" s="1170"/>
      <c r="E192" s="1171"/>
      <c r="F192" s="635" t="s">
        <v>583</v>
      </c>
    </row>
    <row r="193" spans="1:9" ht="75">
      <c r="A193" s="1188"/>
      <c r="B193" s="608" t="s">
        <v>594</v>
      </c>
      <c r="C193" s="1169" t="s">
        <v>595</v>
      </c>
      <c r="D193" s="1170"/>
      <c r="E193" s="1171"/>
      <c r="F193" s="635" t="s">
        <v>583</v>
      </c>
    </row>
    <row r="194" spans="1:9" ht="30">
      <c r="A194" s="1188"/>
      <c r="B194" s="608" t="s">
        <v>596</v>
      </c>
      <c r="C194" s="1169" t="s">
        <v>597</v>
      </c>
      <c r="D194" s="1170"/>
      <c r="E194" s="1171"/>
      <c r="F194" s="635" t="s">
        <v>583</v>
      </c>
    </row>
    <row r="195" spans="1:9" ht="30">
      <c r="A195" s="1188"/>
      <c r="B195" s="608" t="s">
        <v>598</v>
      </c>
      <c r="C195" s="1169" t="s">
        <v>599</v>
      </c>
      <c r="D195" s="1170"/>
      <c r="E195" s="1171"/>
      <c r="F195" s="635" t="s">
        <v>583</v>
      </c>
    </row>
    <row r="196" spans="1:9" ht="45">
      <c r="A196" s="1188"/>
      <c r="B196" s="608" t="s">
        <v>600</v>
      </c>
      <c r="C196" s="1169" t="s">
        <v>601</v>
      </c>
      <c r="D196" s="1170"/>
      <c r="E196" s="1171"/>
      <c r="F196" s="635" t="s">
        <v>583</v>
      </c>
    </row>
    <row r="197" spans="1:9" ht="45">
      <c r="A197" s="1188"/>
      <c r="B197" s="608" t="s">
        <v>602</v>
      </c>
      <c r="C197" s="1169" t="s">
        <v>603</v>
      </c>
      <c r="D197" s="1170"/>
      <c r="E197" s="1171"/>
      <c r="F197" s="635" t="s">
        <v>583</v>
      </c>
    </row>
    <row r="198" spans="1:9" ht="30">
      <c r="A198" s="1188"/>
      <c r="B198" s="608" t="s">
        <v>604</v>
      </c>
      <c r="C198" s="1169" t="s">
        <v>605</v>
      </c>
      <c r="D198" s="1170"/>
      <c r="E198" s="1171"/>
      <c r="F198" s="635" t="s">
        <v>583</v>
      </c>
    </row>
    <row r="199" spans="1:9" ht="60">
      <c r="A199" s="1188"/>
      <c r="B199" s="608" t="s">
        <v>606</v>
      </c>
      <c r="C199" s="1169" t="s">
        <v>607</v>
      </c>
      <c r="D199" s="1170"/>
      <c r="E199" s="1171"/>
      <c r="F199" s="635" t="s">
        <v>583</v>
      </c>
    </row>
    <row r="200" spans="1:9" ht="30">
      <c r="A200" s="1188"/>
      <c r="B200" s="608" t="s">
        <v>608</v>
      </c>
      <c r="C200" s="1169" t="s">
        <v>609</v>
      </c>
      <c r="D200" s="1170"/>
      <c r="E200" s="1171"/>
      <c r="F200" s="635" t="s">
        <v>583</v>
      </c>
    </row>
    <row r="201" spans="1:9" ht="45">
      <c r="A201" s="1188"/>
      <c r="B201" s="608" t="s">
        <v>610</v>
      </c>
      <c r="C201" s="1169" t="s">
        <v>611</v>
      </c>
      <c r="D201" s="1170"/>
      <c r="E201" s="1171"/>
      <c r="F201" s="635" t="s">
        <v>583</v>
      </c>
    </row>
    <row r="202" spans="1:9" ht="45">
      <c r="A202" s="1188"/>
      <c r="B202" s="696" t="s">
        <v>612</v>
      </c>
      <c r="C202" s="1169" t="s">
        <v>613</v>
      </c>
      <c r="D202" s="1170"/>
      <c r="E202" s="1171"/>
      <c r="F202" s="635" t="s">
        <v>583</v>
      </c>
    </row>
    <row r="203" spans="1:9" ht="75">
      <c r="A203" s="1188"/>
      <c r="B203" s="608" t="s">
        <v>614</v>
      </c>
      <c r="C203" s="1172" t="s">
        <v>615</v>
      </c>
      <c r="D203" s="1173"/>
      <c r="E203" s="1174"/>
      <c r="F203" s="635" t="s">
        <v>583</v>
      </c>
    </row>
    <row r="204" spans="1:9" ht="45">
      <c r="A204" s="1188"/>
      <c r="B204" s="696" t="s">
        <v>616</v>
      </c>
      <c r="C204" s="1169" t="s">
        <v>617</v>
      </c>
      <c r="D204" s="1170"/>
      <c r="E204" s="1171"/>
      <c r="F204" s="635" t="s">
        <v>583</v>
      </c>
    </row>
    <row r="205" spans="1:9">
      <c r="A205" s="1188"/>
      <c r="B205" s="608"/>
      <c r="C205" s="1169"/>
      <c r="D205" s="1170"/>
      <c r="E205" s="1171"/>
      <c r="F205" s="635"/>
    </row>
    <row r="206" spans="1:9">
      <c r="A206" s="1188"/>
      <c r="B206" s="608"/>
      <c r="C206" s="1169"/>
      <c r="D206" s="1170"/>
      <c r="E206" s="1171"/>
      <c r="F206" s="635"/>
    </row>
    <row r="207" spans="1:9">
      <c r="A207" s="1188"/>
      <c r="B207" s="608"/>
      <c r="C207" s="1169"/>
      <c r="D207" s="1170"/>
      <c r="E207" s="1171"/>
      <c r="F207" s="635"/>
    </row>
    <row r="208" spans="1:9">
      <c r="A208" s="1188"/>
      <c r="B208" s="608"/>
      <c r="C208" s="1169"/>
      <c r="D208" s="1170"/>
      <c r="E208" s="1171"/>
      <c r="F208" s="635"/>
      <c r="H208" s="633"/>
      <c r="I208" s="632"/>
    </row>
    <row r="209" spans="1:6" ht="69.75" customHeight="1">
      <c r="A209" s="1188"/>
      <c r="B209" s="608" t="s">
        <v>618</v>
      </c>
      <c r="C209" s="1166" t="s">
        <v>619</v>
      </c>
      <c r="D209" s="1167"/>
      <c r="E209" s="1168"/>
      <c r="F209" s="635" t="s">
        <v>583</v>
      </c>
    </row>
    <row r="210" spans="1:6" ht="15.75" thickBot="1"/>
    <row r="211" spans="1:6" ht="54.6" customHeight="1">
      <c r="A211" s="1175" t="s">
        <v>620</v>
      </c>
      <c r="B211" s="553" t="s">
        <v>621</v>
      </c>
      <c r="C211" s="553" t="s">
        <v>622</v>
      </c>
      <c r="D211" s="553" t="s">
        <v>623</v>
      </c>
      <c r="E211" s="553" t="s">
        <v>624</v>
      </c>
    </row>
    <row r="212" spans="1:6">
      <c r="A212" s="1176"/>
      <c r="B212" s="625" t="s">
        <v>625</v>
      </c>
      <c r="D212" s="623">
        <v>0.25</v>
      </c>
      <c r="E212" s="698">
        <f ca="1">IFERROR(Table9[[#This Row],[%]]*Pricing!P$45,"")</f>
        <v>31250</v>
      </c>
    </row>
    <row r="213" spans="1:6">
      <c r="A213" s="1176"/>
      <c r="B213" s="625" t="s">
        <v>626</v>
      </c>
      <c r="D213" s="623">
        <v>0.25</v>
      </c>
      <c r="E213" s="698">
        <f ca="1">IFERROR(Table9[[#This Row],[%]]*Pricing!P$45,"")</f>
        <v>31250</v>
      </c>
    </row>
    <row r="214" spans="1:6">
      <c r="A214" s="1176"/>
      <c r="B214" s="625" t="s">
        <v>627</v>
      </c>
      <c r="D214" s="623">
        <v>0.4</v>
      </c>
      <c r="E214" s="698">
        <f ca="1">IFERROR(Table9[[#This Row],[%]]*Pricing!P$45,"")</f>
        <v>50000</v>
      </c>
    </row>
    <row r="215" spans="1:6">
      <c r="A215" s="1176"/>
      <c r="B215" s="625" t="s">
        <v>628</v>
      </c>
      <c r="D215" s="623">
        <v>0.1</v>
      </c>
      <c r="E215" s="698">
        <f ca="1">IFERROR(Table9[[#This Row],[%]]*Pricing!P$45,"")</f>
        <v>12500</v>
      </c>
    </row>
    <row r="216" spans="1:6">
      <c r="A216" s="1176"/>
      <c r="B216" s="625" t="s">
        <v>629</v>
      </c>
      <c r="D216" s="623"/>
      <c r="E216" s="698">
        <f ca="1">IFERROR(Table9[[#This Row],[%]]*Pricing!P$45,"")</f>
        <v>0</v>
      </c>
    </row>
    <row r="217" spans="1:6">
      <c r="A217" s="1176"/>
      <c r="B217" s="625" t="s">
        <v>630</v>
      </c>
      <c r="D217" s="623"/>
      <c r="E217" s="698">
        <f ca="1">IFERROR(Table9[[#This Row],[%]]*Pricing!P$45,"")</f>
        <v>0</v>
      </c>
    </row>
    <row r="218" spans="1:6">
      <c r="A218" s="1176"/>
      <c r="B218" s="625" t="s">
        <v>631</v>
      </c>
      <c r="D218" s="623"/>
      <c r="E218" s="698">
        <f ca="1">IFERROR(Table9[[#This Row],[%]]*Pricing!P$45,"")</f>
        <v>0</v>
      </c>
    </row>
    <row r="219" spans="1:6">
      <c r="A219" s="1176"/>
      <c r="B219" s="625" t="s">
        <v>632</v>
      </c>
      <c r="D219" s="623"/>
      <c r="E219" s="698">
        <f ca="1">IFERROR(Table9[[#This Row],[%]]*Pricing!P$45,"")</f>
        <v>0</v>
      </c>
    </row>
    <row r="220" spans="1:6">
      <c r="A220" s="1176"/>
      <c r="B220" s="625" t="s">
        <v>633</v>
      </c>
      <c r="D220" s="623"/>
      <c r="E220" s="698">
        <f ca="1">IFERROR(Table9[[#This Row],[%]]*Pricing!P$45,"")</f>
        <v>0</v>
      </c>
    </row>
    <row r="221" spans="1:6">
      <c r="A221" s="1176"/>
      <c r="B221" s="625" t="s">
        <v>634</v>
      </c>
      <c r="D221" s="623"/>
      <c r="E221" s="698">
        <f ca="1">IFERROR(Table9[[#This Row],[%]]*Pricing!P$45,"")</f>
        <v>0</v>
      </c>
    </row>
    <row r="222" spans="1:6">
      <c r="A222" s="1176"/>
      <c r="B222" s="625" t="s">
        <v>635</v>
      </c>
      <c r="D222" s="623"/>
      <c r="E222" s="698">
        <f ca="1">IFERROR(Table9[[#This Row],[%]]*Pricing!P$45,"")</f>
        <v>0</v>
      </c>
    </row>
    <row r="223" spans="1:6">
      <c r="A223" s="1176"/>
      <c r="B223" s="625" t="s">
        <v>636</v>
      </c>
      <c r="D223" s="623"/>
      <c r="E223" s="698">
        <f ca="1">IFERROR(Table9[[#This Row],[%]]*Pricing!P$45,"")</f>
        <v>0</v>
      </c>
    </row>
    <row r="224" spans="1:6">
      <c r="A224" s="1176"/>
      <c r="B224" s="625" t="s">
        <v>637</v>
      </c>
      <c r="D224" s="623"/>
      <c r="E224" s="698">
        <f ca="1">IFERROR(Table9[[#This Row],[%]]*Pricing!P$45,"")</f>
        <v>0</v>
      </c>
    </row>
    <row r="225" spans="1:5">
      <c r="A225" s="1176"/>
      <c r="B225" s="625" t="s">
        <v>638</v>
      </c>
      <c r="D225" s="623"/>
      <c r="E225" s="698">
        <f ca="1">IFERROR(Table9[[#This Row],[%]]*Pricing!P$45,"")</f>
        <v>0</v>
      </c>
    </row>
    <row r="226" spans="1:5">
      <c r="A226" s="1176"/>
      <c r="B226" s="625" t="s">
        <v>639</v>
      </c>
      <c r="D226" s="623"/>
      <c r="E226" s="698">
        <f ca="1">IFERROR(Table9[[#This Row],[%]]*Pricing!P$45,"")</f>
        <v>0</v>
      </c>
    </row>
    <row r="227" spans="1:5">
      <c r="A227" s="1176"/>
      <c r="B227" s="625" t="s">
        <v>640</v>
      </c>
      <c r="D227" s="623"/>
      <c r="E227" s="698">
        <f ca="1">IFERROR(Table9[[#This Row],[%]]*Pricing!P$45,"")</f>
        <v>0</v>
      </c>
    </row>
    <row r="228" spans="1:5">
      <c r="A228" s="1176"/>
      <c r="B228" s="625" t="s">
        <v>641</v>
      </c>
      <c r="D228" s="623"/>
      <c r="E228" s="698">
        <f ca="1">IFERROR(Table9[[#This Row],[%]]*Pricing!P$45,"")</f>
        <v>0</v>
      </c>
    </row>
    <row r="229" spans="1:5">
      <c r="A229" s="1176"/>
      <c r="B229" s="625" t="s">
        <v>642</v>
      </c>
      <c r="D229" s="623"/>
      <c r="E229" s="698">
        <f ca="1">IFERROR(Table9[[#This Row],[%]]*Pricing!P$45,"")</f>
        <v>0</v>
      </c>
    </row>
    <row r="230" spans="1:5">
      <c r="A230" s="1176"/>
      <c r="B230" s="625" t="s">
        <v>643</v>
      </c>
      <c r="D230" s="623"/>
      <c r="E230" s="698">
        <f ca="1">IFERROR(Table9[[#This Row],[%]]*Pricing!P$45,"")</f>
        <v>0</v>
      </c>
    </row>
    <row r="231" spans="1:5">
      <c r="A231" s="1176"/>
      <c r="B231" s="625" t="s">
        <v>644</v>
      </c>
      <c r="D231" s="623"/>
      <c r="E231" s="698">
        <f ca="1">IFERROR(Table9[[#This Row],[%]]*Pricing!P$45,"")</f>
        <v>0</v>
      </c>
    </row>
    <row r="232" spans="1:5">
      <c r="A232" s="1176"/>
      <c r="B232" s="625" t="s">
        <v>645</v>
      </c>
      <c r="D232" s="623"/>
      <c r="E232" s="698">
        <f ca="1">IFERROR(Table9[[#This Row],[%]]*Pricing!P$45,"")</f>
        <v>0</v>
      </c>
    </row>
    <row r="233" spans="1:5">
      <c r="A233" s="1176"/>
      <c r="B233" s="625" t="s">
        <v>646</v>
      </c>
      <c r="D233" s="623"/>
      <c r="E233" s="698">
        <f ca="1">IFERROR(Table9[[#This Row],[%]]*Pricing!P$45,"")</f>
        <v>0</v>
      </c>
    </row>
    <row r="234" spans="1:5">
      <c r="A234" s="1176"/>
      <c r="B234" s="625" t="s">
        <v>647</v>
      </c>
      <c r="D234" s="623"/>
      <c r="E234" s="698">
        <f ca="1">IFERROR(Table9[[#This Row],[%]]*Pricing!P$45,"")</f>
        <v>0</v>
      </c>
    </row>
    <row r="235" spans="1:5">
      <c r="A235" s="1176"/>
      <c r="B235" s="625" t="s">
        <v>648</v>
      </c>
      <c r="D235" s="623"/>
      <c r="E235" s="698">
        <f ca="1">IFERROR(Table9[[#This Row],[%]]*Pricing!P$45,"")</f>
        <v>0</v>
      </c>
    </row>
    <row r="236" spans="1:5">
      <c r="A236" s="1176"/>
      <c r="B236" s="625" t="s">
        <v>649</v>
      </c>
      <c r="D236" s="623"/>
      <c r="E236" s="698">
        <f ca="1">IFERROR(Table9[[#This Row],[%]]*Pricing!P$45,"")</f>
        <v>0</v>
      </c>
    </row>
    <row r="237" spans="1:5">
      <c r="A237" s="1176"/>
      <c r="B237" s="625" t="s">
        <v>650</v>
      </c>
      <c r="D237" s="623"/>
      <c r="E237" s="698">
        <f ca="1">IFERROR(Table9[[#This Row],[%]]*Pricing!P$45,"")</f>
        <v>0</v>
      </c>
    </row>
    <row r="238" spans="1:5">
      <c r="A238" s="1176"/>
      <c r="B238" s="625" t="s">
        <v>651</v>
      </c>
      <c r="D238" s="623"/>
      <c r="E238" s="698">
        <f ca="1">IFERROR(Table9[[#This Row],[%]]*Pricing!P$45,"")</f>
        <v>0</v>
      </c>
    </row>
    <row r="239" spans="1:5">
      <c r="A239" s="1176"/>
      <c r="B239" s="625" t="s">
        <v>652</v>
      </c>
      <c r="D239" s="623"/>
      <c r="E239" s="698">
        <f ca="1">IFERROR(Table9[[#This Row],[%]]*Pricing!P$45,"")</f>
        <v>0</v>
      </c>
    </row>
    <row r="240" spans="1:5">
      <c r="A240" s="1176"/>
      <c r="B240" s="625" t="s">
        <v>653</v>
      </c>
      <c r="D240" s="623"/>
      <c r="E240" s="698">
        <f ca="1">IFERROR(Table9[[#This Row],[%]]*Pricing!P$45,"")</f>
        <v>0</v>
      </c>
    </row>
    <row r="241" spans="1:6" ht="15.75" thickBot="1">
      <c r="A241" s="1176"/>
      <c r="B241" s="625" t="s">
        <v>654</v>
      </c>
      <c r="D241" s="623"/>
      <c r="E241" s="698">
        <f ca="1">IFERROR(Table9[[#This Row],[%]]*Pricing!P$45,"")</f>
        <v>0</v>
      </c>
    </row>
    <row r="242" spans="1:6">
      <c r="A242" s="1176"/>
      <c r="B242" s="625" t="s">
        <v>655</v>
      </c>
      <c r="D242" s="623"/>
      <c r="E242" s="698">
        <f ca="1">IFERROR(Table9[[#This Row],[%]]*Pricing!P$45,"")</f>
        <v>0</v>
      </c>
      <c r="F242" s="626" t="s">
        <v>656</v>
      </c>
    </row>
    <row r="243" spans="1:6" ht="15.75" thickBot="1">
      <c r="A243" s="1176"/>
      <c r="B243" s="553" t="s">
        <v>225</v>
      </c>
      <c r="D243" s="624">
        <f ca="1">SUBTOTAL(109,Table9[%])</f>
        <v>1</v>
      </c>
      <c r="E243" s="698">
        <f ca="1">SUBTOTAL(109,Table9[Price])</f>
        <v>125000</v>
      </c>
      <c r="F243" s="699">
        <f ca="1">Pricing!P45</f>
        <v>125000</v>
      </c>
    </row>
  </sheetData>
  <sheetProtection algorithmName="SHA-512" hashValue="F/ODnR4cabAaOLHZdx5i4rWYjVSOhNG1uvSdnQnI9B/Kiy+SI6aCvGstB56qfZZik8/pLynthOIz0UJdt71eiQ==" saltValue="ahGAwpsMW7hIyiYo1y0eUQ==" spinCount="100000" sheet="1" formatCells="0" formatColumns="0" formatRows="0" insertRows="0" deleteRows="0" sort="0" autoFilter="0"/>
  <autoFilter ref="B178:F209" xr:uid="{0DF796A3-4B9B-4821-9F61-FFAB0221C764}">
    <filterColumn colId="1" showButton="0"/>
    <filterColumn colId="2" showButton="0"/>
  </autoFilter>
  <dataConsolidate/>
  <mergeCells count="48">
    <mergeCell ref="A3:A13"/>
    <mergeCell ref="B153:F153"/>
    <mergeCell ref="A178:A209"/>
    <mergeCell ref="H153:M153"/>
    <mergeCell ref="A14:A60"/>
    <mergeCell ref="A61:A124"/>
    <mergeCell ref="B174:C174"/>
    <mergeCell ref="D174:F175"/>
    <mergeCell ref="D171:F172"/>
    <mergeCell ref="B171:C172"/>
    <mergeCell ref="C178:E178"/>
    <mergeCell ref="C179:E179"/>
    <mergeCell ref="C180:E180"/>
    <mergeCell ref="C181:E181"/>
    <mergeCell ref="C182:E182"/>
    <mergeCell ref="C183:E183"/>
    <mergeCell ref="A211:A243"/>
    <mergeCell ref="A154:A168"/>
    <mergeCell ref="A171:A175"/>
    <mergeCell ref="A125:A139"/>
    <mergeCell ref="A140:A146"/>
    <mergeCell ref="A147:A151"/>
    <mergeCell ref="C184:E184"/>
    <mergeCell ref="C185:E185"/>
    <mergeCell ref="C186:E186"/>
    <mergeCell ref="C187:E187"/>
    <mergeCell ref="C188:E188"/>
    <mergeCell ref="C189:E189"/>
    <mergeCell ref="C190:E190"/>
    <mergeCell ref="C191:E191"/>
    <mergeCell ref="C192:E192"/>
    <mergeCell ref="C193:E193"/>
    <mergeCell ref="C194:E194"/>
    <mergeCell ref="C195:E195"/>
    <mergeCell ref="C196:E196"/>
    <mergeCell ref="C197:E197"/>
    <mergeCell ref="C198:E198"/>
    <mergeCell ref="C199:E199"/>
    <mergeCell ref="C200:E200"/>
    <mergeCell ref="C201:E201"/>
    <mergeCell ref="C202:E202"/>
    <mergeCell ref="C203:E203"/>
    <mergeCell ref="C209:E209"/>
    <mergeCell ref="C204:E204"/>
    <mergeCell ref="C205:E205"/>
    <mergeCell ref="C206:E206"/>
    <mergeCell ref="C207:E207"/>
    <mergeCell ref="C208:E208"/>
  </mergeCells>
  <phoneticPr fontId="18" type="noConversion"/>
  <conditionalFormatting sqref="C3:D151">
    <cfRule type="cellIs" dxfId="753" priority="3" operator="equal">
      <formula>""</formula>
    </cfRule>
  </conditionalFormatting>
  <conditionalFormatting sqref="C155:I169 C170:F170 D171 C173:F173 D174 C175">
    <cfRule type="expression" dxfId="752" priority="57">
      <formula>(C155="** Role Does Not Exist **")</formula>
    </cfRule>
  </conditionalFormatting>
  <conditionalFormatting sqref="E243">
    <cfRule type="cellIs" priority="54" operator="notEqual">
      <formula>$F$243</formula>
    </cfRule>
  </conditionalFormatting>
  <conditionalFormatting sqref="E3:G141 E144:G146 E147:E151">
    <cfRule type="expression" dxfId="751" priority="2">
      <formula>AND(ISBLANK($L3),ISBLANK($M3),ISBLANK($N3),ISBLANK($O3),ISBLANK($P3),ISBLANK($Q3),ISBLANK($R3),ISBLANK($S3),ISBLANK($T3),ISBLANK($U3),ISBLANK($V3),ISBLANK($W3),ISBLANK($X3),ISBLANK($Y3),ISBLANK($Z3))</formula>
    </cfRule>
  </conditionalFormatting>
  <conditionalFormatting sqref="E63:G64 E69:G70 E90:G90">
    <cfRule type="expression" dxfId="750" priority="73">
      <formula>AND(ISBLANK($L63),ISBLANK($M63),ISBLANK($N63),ISBLANK($O63),ISBLANK($P63),ISBLANK($Q63),ISBLANK($R63),ISBLANK(#REF!),ISBLANK($T63),ISBLANK($U63),ISBLANK($V63),ISBLANK($W63),ISBLANK($X63),ISBLANK($Y63),ISBLANK($Z63))</formula>
    </cfRule>
  </conditionalFormatting>
  <conditionalFormatting sqref="E84:G89 E93:G93 E95:G96">
    <cfRule type="expression" dxfId="749" priority="70">
      <formula>AND(ISBLANK($L84),ISBLANK($M84),ISBLANK($N84),ISBLANK($O84),ISBLANK($P84),ISBLANK($Q84),ISBLANK($R84),ISBLANK($S84),ISBLANK(#REF!),ISBLANK($U84),ISBLANK($V84),ISBLANK($W84),ISBLANK($X84),ISBLANK($Y84),ISBLANK($Z84))</formula>
    </cfRule>
  </conditionalFormatting>
  <conditionalFormatting sqref="E94:G94">
    <cfRule type="expression" dxfId="748" priority="72">
      <formula>AND(ISBLANK(#REF!),ISBLANK($M94),ISBLANK($N94),ISBLANK($O94),ISBLANK($P94),ISBLANK($Q94),ISBLANK($R94),ISBLANK($S94),ISBLANK(#REF!),ISBLANK($U94),ISBLANK($V94),ISBLANK($W94),ISBLANK($X94),ISBLANK($Y94),ISBLANK($Z94))</formula>
    </cfRule>
  </conditionalFormatting>
  <conditionalFormatting sqref="E142:G142">
    <cfRule type="expression" dxfId="747" priority="125">
      <formula>AND(ISBLANK($L142),ISBLANK(#REF!),ISBLANK($N142),ISBLANK($O142),ISBLANK($P142),ISBLANK($Q142),ISBLANK($R142),ISBLANK($S142),ISBLANK($T142),ISBLANK($U142),ISBLANK($V142),ISBLANK($W142),ISBLANK($X142),ISBLANK($Y142),ISBLANK($Z142))</formula>
    </cfRule>
  </conditionalFormatting>
  <conditionalFormatting sqref="E143:G143">
    <cfRule type="expression" dxfId="746" priority="124">
      <formula>AND(ISBLANK($L143),ISBLANK($M142),ISBLANK($N143),ISBLANK($O143),ISBLANK($P143),ISBLANK($Q143),ISBLANK($R143),ISBLANK($S143),ISBLANK($T143),ISBLANK($U143),ISBLANK($V143),ISBLANK($W143),ISBLANK($X143),ISBLANK($Y143),ISBLANK($Z143))</formula>
    </cfRule>
  </conditionalFormatting>
  <conditionalFormatting sqref="F243">
    <cfRule type="cellIs" dxfId="745" priority="55" operator="notEqual">
      <formula>$E$243</formula>
    </cfRule>
  </conditionalFormatting>
  <conditionalFormatting sqref="F147:G151">
    <cfRule type="expression" dxfId="744" priority="1">
      <formula>AND(ISBLANK($L147),ISBLANK($M147),ISBLANK($N147),ISBLANK($O147),ISBLANK($P147),ISBLANK($Q147),ISBLANK($R147),ISBLANK($S147),ISBLANK($T147),ISBLANK($U147),ISBLANK($V147),ISBLANK($W147),ISBLANK($X147),ISBLANK($Y147),ISBLANK($Z147))</formula>
    </cfRule>
  </conditionalFormatting>
  <conditionalFormatting sqref="K3:K146 B3:B151">
    <cfRule type="cellIs" dxfId="743" priority="4" operator="equal">
      <formula>""</formula>
    </cfRule>
  </conditionalFormatting>
  <dataValidations count="3">
    <dataValidation type="list" allowBlank="1" showInputMessage="1" showErrorMessage="1" sqref="F179:F209" xr:uid="{0C1419F1-6277-4642-977C-59B89CAD4EF7}">
      <formula1>"Yes, No"</formula1>
    </dataValidation>
    <dataValidation showInputMessage="1" showErrorMessage="1" sqref="B2:K2" xr:uid="{FD9B109E-6A97-48D7-8C1D-417E7A784340}"/>
    <dataValidation type="whole" showInputMessage="1" showErrorMessage="1" sqref="C3:D151" xr:uid="{2A19E90F-5A47-4368-8852-4B39B9C9C333}">
      <formula1>0</formula1>
      <formula2>104</formula2>
    </dataValidation>
  </dataValidations>
  <pageMargins left="0.7" right="0.7" top="0.75" bottom="0.75" header="0.3" footer="0.3"/>
  <pageSetup orientation="portrait" r:id="rId1"/>
  <tableParts count="3">
    <tablePart r:id="rId2"/>
    <tablePart r:id="rId3"/>
    <tablePart r:id="rId4"/>
  </tableParts>
  <extLst>
    <ext xmlns:x14="http://schemas.microsoft.com/office/spreadsheetml/2009/9/main" uri="{78C0D931-6437-407d-A8EE-F0AAD7539E65}">
      <x14:conditionalFormattings>
        <x14:conditionalFormatting xmlns:xm="http://schemas.microsoft.com/office/excel/2006/main">
          <x14:cfRule type="expression" priority="119" id="{A79380AF-8686-4FA3-B56D-7A217885A952}">
            <xm:f>Pricing!$E$17="INR"</xm:f>
            <x14:dxf>
              <numFmt numFmtId="186" formatCode="[$₹-4009]\ #,##0.00"/>
            </x14:dxf>
          </x14:cfRule>
          <x14:cfRule type="expression" priority="120" id="{EE7CBA01-2599-4D97-BFC3-B85028BE6C2A}">
            <xm:f>Pricing!$E$17="USD"</xm:f>
            <x14:dxf>
              <numFmt numFmtId="171" formatCode="&quot;$&quot;#,##0.00"/>
            </x14:dxf>
          </x14:cfRule>
          <x14:cfRule type="expression" priority="121" id="{D4B1C2A4-1518-4A49-B80F-647FEF12F8B2}">
            <xm:f>Pricing!$E$17="CAD"</xm:f>
            <x14:dxf>
              <numFmt numFmtId="171" formatCode="&quot;$&quot;#,##0.00"/>
            </x14:dxf>
          </x14:cfRule>
          <x14:cfRule type="expression" priority="122" id="{A8D04723-8394-4C8E-8DD5-0D49A7942B01}">
            <xm:f>Pricing!$E$17="GBP"</xm:f>
            <x14:dxf>
              <numFmt numFmtId="185" formatCode="[$£-809]#,##0.00"/>
            </x14:dxf>
          </x14:cfRule>
          <xm:sqref>E212:E243 F243</xm:sqref>
        </x14:conditionalFormatting>
      </x14:conditionalFormattings>
    </ext>
    <ext xmlns:x14="http://schemas.microsoft.com/office/spreadsheetml/2009/9/main" uri="{CCE6A557-97BC-4b89-ADB6-D9C93CAAB3DF}">
      <x14:dataValidations xmlns:xm="http://schemas.microsoft.com/office/excel/2006/main" count="3">
        <x14:dataValidation type="list" showInputMessage="1" showErrorMessage="1" xr:uid="{7D726970-D477-4D57-988F-C6A9359A21B9}">
          <x14:formula1>
            <xm:f>'Lists (2)'!$J$2:$J$6</xm:f>
          </x14:formula1>
          <xm:sqref>B3:B146</xm:sqref>
        </x14:dataValidation>
        <x14:dataValidation type="list" allowBlank="1" showInputMessage="1" showErrorMessage="1" xr:uid="{8DA1741F-E93A-41F5-9066-709DE0DE2221}">
          <x14:formula1>
            <xm:f>'Lists (2)'!$H$2:$H$3</xm:f>
          </x14:formula1>
          <xm:sqref>H3:H151</xm:sqref>
        </x14:dataValidation>
        <x14:dataValidation type="list" allowBlank="1" showInputMessage="1" showErrorMessage="1" xr:uid="{98D40A07-38F2-41C6-BC4D-F98FF854C1C6}">
          <x14:formula1>
            <xm:f>'Lists (2)'!$L$2:$L$3</xm:f>
          </x14:formula1>
          <xm:sqref>K3:K151</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124CD9-FB21-460F-A474-33D32F096A76}">
  <sheetPr>
    <tabColor rgb="FF0070C0"/>
  </sheetPr>
  <dimension ref="B1:BJ93"/>
  <sheetViews>
    <sheetView topLeftCell="A12" zoomScale="85" zoomScaleNormal="85" workbookViewId="0">
      <selection activeCell="J34" sqref="J34:J38"/>
    </sheetView>
  </sheetViews>
  <sheetFormatPr defaultColWidth="8.85546875" defaultRowHeight="15"/>
  <cols>
    <col min="1" max="1" width="8.85546875" style="580"/>
    <col min="2" max="2" width="13.85546875" style="580" customWidth="1"/>
    <col min="3" max="3" width="23.85546875" style="581" customWidth="1"/>
    <col min="4" max="4" width="11.85546875" style="580" customWidth="1"/>
    <col min="5" max="7" width="12.85546875" style="580" customWidth="1"/>
    <col min="8" max="8" width="8.85546875" style="580"/>
    <col min="9" max="9" width="10.140625" style="580" bestFit="1" customWidth="1"/>
    <col min="10" max="12" width="15" style="580" bestFit="1" customWidth="1"/>
    <col min="13" max="13" width="23.140625" style="581" customWidth="1"/>
    <col min="14" max="14" width="14.85546875" style="580" customWidth="1"/>
    <col min="15" max="15" width="13.85546875" style="580" customWidth="1"/>
    <col min="16" max="16" width="12.85546875" style="580" bestFit="1" customWidth="1"/>
    <col min="17" max="17" width="20.42578125" style="580" customWidth="1"/>
    <col min="18" max="18" width="28.85546875" style="580" customWidth="1"/>
    <col min="19" max="22" width="8.85546875" style="580"/>
    <col min="23" max="23" width="11.42578125" style="580" bestFit="1" customWidth="1"/>
    <col min="24" max="24" width="16.5703125" style="580" customWidth="1"/>
    <col min="25" max="25" width="13.140625" style="580" customWidth="1"/>
    <col min="26" max="27" width="16.5703125" style="580" customWidth="1"/>
    <col min="28" max="16384" width="8.85546875" style="580"/>
  </cols>
  <sheetData>
    <row r="1" spans="2:32" ht="15.75" thickBot="1">
      <c r="B1" s="1202" t="s">
        <v>657</v>
      </c>
      <c r="C1" s="1202"/>
      <c r="E1" s="1202" t="s">
        <v>658</v>
      </c>
      <c r="F1" s="1202"/>
      <c r="G1" s="1202"/>
      <c r="L1" s="1203" t="s">
        <v>659</v>
      </c>
      <c r="M1" s="1204"/>
      <c r="N1" s="697">
        <f ca="1">IFERROR(SUMIF(Pricing!E27:E41,"*Project*",Pricing!J27:J41)/(Pricing!J42-SUMIF(Pricing!E27:E41,"*Project*",Pricing!J27:J41)),0)</f>
        <v>0.19753086419753085</v>
      </c>
    </row>
    <row r="2" spans="2:32" ht="19.5" thickBot="1">
      <c r="B2" s="818" t="s">
        <v>8</v>
      </c>
      <c r="C2" s="819" t="s">
        <v>660</v>
      </c>
      <c r="E2" s="598" t="s">
        <v>8</v>
      </c>
      <c r="F2" s="599" t="s">
        <v>661</v>
      </c>
      <c r="G2" s="598" t="s">
        <v>662</v>
      </c>
      <c r="L2" s="1205" t="s">
        <v>663</v>
      </c>
      <c r="M2" s="1206"/>
      <c r="N2" s="1206"/>
      <c r="O2" s="1206"/>
      <c r="P2" s="1206"/>
      <c r="Q2" s="1206"/>
      <c r="R2" s="1207"/>
      <c r="AD2" s="732"/>
      <c r="AE2" s="732" t="s">
        <v>664</v>
      </c>
      <c r="AF2" s="732" t="s">
        <v>665</v>
      </c>
    </row>
    <row r="3" spans="2:32" ht="18" customHeight="1">
      <c r="B3" s="820" t="s">
        <v>487</v>
      </c>
      <c r="C3" s="821">
        <v>1</v>
      </c>
      <c r="E3" s="580" t="s">
        <v>487</v>
      </c>
      <c r="F3" s="582">
        <f>Exp_Proj_Start</f>
        <v>44495</v>
      </c>
      <c r="G3" s="583">
        <f>IFERROR(Table911[[#This Row],[Start date]]+(7*Initiate_Length),"")</f>
        <v>44502</v>
      </c>
      <c r="L3" s="1208" t="s">
        <v>666</v>
      </c>
      <c r="M3" s="1209"/>
      <c r="N3" s="1209"/>
      <c r="O3" s="1209"/>
      <c r="P3" s="1209"/>
      <c r="Q3" s="1209"/>
      <c r="R3" s="1210"/>
      <c r="AD3" s="584" t="s">
        <v>487</v>
      </c>
      <c r="AE3" s="733">
        <v>0</v>
      </c>
      <c r="AF3" s="733">
        <f>AE3+Initiate_Length</f>
        <v>1</v>
      </c>
    </row>
    <row r="4" spans="2:32" ht="18" customHeight="1">
      <c r="B4" s="822" t="s">
        <v>429</v>
      </c>
      <c r="C4" s="821">
        <v>1</v>
      </c>
      <c r="E4" s="580" t="s">
        <v>429</v>
      </c>
      <c r="F4" s="582">
        <f>G3</f>
        <v>44502</v>
      </c>
      <c r="G4" s="583">
        <f>IFERROR(Table911[[#This Row],[Start date]]+(7*Plan_Length),"")</f>
        <v>44509</v>
      </c>
      <c r="L4" s="1211"/>
      <c r="M4" s="1212"/>
      <c r="N4" s="1212"/>
      <c r="O4" s="1212"/>
      <c r="P4" s="1212"/>
      <c r="Q4" s="1212"/>
      <c r="R4" s="1213"/>
      <c r="AD4" s="584" t="s">
        <v>429</v>
      </c>
      <c r="AE4" s="733">
        <f>1+AF3</f>
        <v>2</v>
      </c>
      <c r="AF4" s="733">
        <f>AF3+Plan_Length</f>
        <v>2</v>
      </c>
    </row>
    <row r="5" spans="2:32" ht="18" customHeight="1">
      <c r="B5" s="823" t="s">
        <v>97</v>
      </c>
      <c r="C5" s="821">
        <v>4</v>
      </c>
      <c r="E5" s="580" t="s">
        <v>97</v>
      </c>
      <c r="F5" s="582">
        <f>G4</f>
        <v>44509</v>
      </c>
      <c r="G5" s="583">
        <f>IFERROR(Table911[[#This Row],[Start date]]+(7*Execute_Length),"")</f>
        <v>44537</v>
      </c>
      <c r="L5" s="1211"/>
      <c r="M5" s="1212"/>
      <c r="N5" s="1212"/>
      <c r="O5" s="1212"/>
      <c r="P5" s="1212"/>
      <c r="Q5" s="1212"/>
      <c r="R5" s="1213"/>
      <c r="AD5" s="584" t="s">
        <v>97</v>
      </c>
      <c r="AE5" s="733">
        <f>AF4+1</f>
        <v>3</v>
      </c>
      <c r="AF5" s="733">
        <f>AF4+Execute_Length</f>
        <v>6</v>
      </c>
    </row>
    <row r="6" spans="2:32" ht="18" customHeight="1">
      <c r="B6" s="824" t="s">
        <v>137</v>
      </c>
      <c r="C6" s="821">
        <v>1</v>
      </c>
      <c r="E6" s="580" t="s">
        <v>137</v>
      </c>
      <c r="F6" s="582">
        <f>G5</f>
        <v>44537</v>
      </c>
      <c r="G6" s="583">
        <f>IFERROR(Table911[[#This Row],[Start date]]+(7*Deliver_Length),"")</f>
        <v>44544</v>
      </c>
      <c r="L6" s="1211"/>
      <c r="M6" s="1212"/>
      <c r="N6" s="1212"/>
      <c r="O6" s="1212"/>
      <c r="P6" s="1212"/>
      <c r="Q6" s="1212"/>
      <c r="R6" s="1213"/>
      <c r="AD6" s="584" t="s">
        <v>137</v>
      </c>
      <c r="AE6" s="733">
        <f>AF5+1</f>
        <v>7</v>
      </c>
      <c r="AF6" s="733">
        <f>AF5+Deliver_Length</f>
        <v>7</v>
      </c>
    </row>
    <row r="7" spans="2:32" ht="18" customHeight="1" thickBot="1">
      <c r="B7" s="825" t="s">
        <v>151</v>
      </c>
      <c r="C7" s="826">
        <v>1</v>
      </c>
      <c r="E7" s="580" t="s">
        <v>151</v>
      </c>
      <c r="F7" s="582">
        <f>G6</f>
        <v>44544</v>
      </c>
      <c r="G7" s="583">
        <f>IFERROR(Table911[[#This Row],[Start date]]+(7*Close_Length),"")</f>
        <v>44551</v>
      </c>
      <c r="L7" s="1214"/>
      <c r="M7" s="1215"/>
      <c r="N7" s="1215"/>
      <c r="O7" s="1215"/>
      <c r="P7" s="1215"/>
      <c r="Q7" s="1215"/>
      <c r="R7" s="1216"/>
      <c r="AD7" s="584" t="s">
        <v>151</v>
      </c>
      <c r="AE7" s="733">
        <f>AF6+1</f>
        <v>8</v>
      </c>
      <c r="AF7" s="733">
        <f>AF6+Close_Length</f>
        <v>8</v>
      </c>
    </row>
    <row r="9" spans="2:32">
      <c r="B9" s="1202" t="s">
        <v>667</v>
      </c>
      <c r="C9" s="1202"/>
      <c r="D9" s="1202"/>
      <c r="E9" s="1202"/>
      <c r="F9" s="1202"/>
      <c r="G9" s="1202"/>
      <c r="H9" s="1202"/>
      <c r="I9" s="1202"/>
      <c r="J9" s="1202"/>
      <c r="L9" s="1202" t="s">
        <v>668</v>
      </c>
      <c r="M9" s="1202"/>
      <c r="N9" s="1202"/>
      <c r="O9" s="1202"/>
      <c r="P9" s="1202"/>
      <c r="Q9" s="1202"/>
      <c r="R9" s="1202"/>
      <c r="U9" s="1202" t="s">
        <v>669</v>
      </c>
      <c r="V9" s="1202"/>
      <c r="W9" s="1202"/>
      <c r="X9" s="1202"/>
      <c r="Y9" s="1202"/>
      <c r="Z9" s="1202"/>
      <c r="AA9" s="1202"/>
    </row>
    <row r="10" spans="2:32" ht="18.75">
      <c r="B10" s="594" t="s">
        <v>548</v>
      </c>
      <c r="C10" s="595" t="s">
        <v>288</v>
      </c>
      <c r="D10" s="594" t="s">
        <v>487</v>
      </c>
      <c r="E10" s="594" t="s">
        <v>429</v>
      </c>
      <c r="F10" s="594" t="s">
        <v>97</v>
      </c>
      <c r="G10" s="594" t="s">
        <v>137</v>
      </c>
      <c r="H10" s="594" t="s">
        <v>151</v>
      </c>
      <c r="I10" s="594" t="s">
        <v>225</v>
      </c>
      <c r="J10" s="594" t="s">
        <v>623</v>
      </c>
      <c r="L10" s="596" t="s">
        <v>548</v>
      </c>
      <c r="M10" s="597" t="s">
        <v>288</v>
      </c>
      <c r="N10" s="596" t="s">
        <v>487</v>
      </c>
      <c r="O10" s="596" t="s">
        <v>429</v>
      </c>
      <c r="P10" s="596" t="s">
        <v>97</v>
      </c>
      <c r="Q10" s="596" t="s">
        <v>137</v>
      </c>
      <c r="R10" s="596" t="s">
        <v>151</v>
      </c>
      <c r="U10" s="562" t="s">
        <v>548</v>
      </c>
      <c r="V10" s="563" t="s">
        <v>288</v>
      </c>
      <c r="W10" s="562" t="s">
        <v>487</v>
      </c>
      <c r="X10" s="562" t="s">
        <v>81</v>
      </c>
      <c r="Y10" s="562" t="s">
        <v>97</v>
      </c>
      <c r="Z10" s="562" t="s">
        <v>137</v>
      </c>
      <c r="AA10" s="562" t="s">
        <v>151</v>
      </c>
    </row>
    <row r="11" spans="2:32" ht="45">
      <c r="B11" s="584" t="s">
        <v>470</v>
      </c>
      <c r="C11" s="585" t="str">
        <f ca="1">INDEX(RolesandSkills[Role + Practice],MATCH(RolePhaseTotals[[#This Row],[Role '#]],RolesandSkills[Role '#],0),1)</f>
        <v>Project Manager-PMO</v>
      </c>
      <c r="D11" s="586">
        <f ca="1">SUMIF(TandE[Phase],"Initiate",TandE[Role 1])+_xlfn.IFNA((INDEX(RolesandSkills[Initiate Hours],MATCH(RolePhaseTotals[[#This Row],[Role '#]],RolesandSkills[Role '#],0),1)),0)</f>
        <v>10</v>
      </c>
      <c r="E11" s="586">
        <f ca="1">SUMIF(TandE[Phase],"Plan",TandE[Role 1])+_xlfn.IFNA((INDEX(RolesandSkills[Plan Hours],MATCH(RolePhaseTotals[[#This Row],[Role '#]],RolesandSkills[Role '#],0),1)),0)</f>
        <v>10</v>
      </c>
      <c r="F11" s="586">
        <f ca="1">SUMIF(TandE[Phase],"Execute",TandE[Role 1])+_xlfn.IFNA((INDEX(RolesandSkills[Execute Hours],MATCH(RolePhaseTotals[[#This Row],[Role '#]],RolesandSkills[Role '#],0),1)),0)</f>
        <v>40</v>
      </c>
      <c r="G11" s="586">
        <f ca="1">SUMIF(TandE[Phase],"Deliver",TandE[Role 1])+_xlfn.IFNA((INDEX(RolesandSkills[Deliver Hours],MATCH(RolePhaseTotals[[#This Row],[Role '#]],RolesandSkills[Role '#],0),1)),0)</f>
        <v>10</v>
      </c>
      <c r="H11" s="586">
        <f ca="1">SUMIF(TandE[Phase],"Close",TandE[Role 1])+_xlfn.IFNA((INDEX(RolesandSkills[Close Hours],MATCH(RolePhaseTotals[[#This Row],[Role '#]],RolesandSkills[Role '#],0),1)),0)</f>
        <v>10</v>
      </c>
      <c r="I11" s="586">
        <f ca="1">SUM(RolePhaseTotals[[#This Row],[Initiate]:[Close]])</f>
        <v>80</v>
      </c>
      <c r="J11" s="587">
        <f ca="1">IFERROR(RolePhaseTotals[[#This Row],[Total]]/RolePhaseTotals[[#Totals],[Total]],0)</f>
        <v>0.16494845360824742</v>
      </c>
      <c r="L11" s="588" t="s">
        <v>470</v>
      </c>
      <c r="M11" s="589" t="str">
        <f ca="1">INDEX(RolesandSkills[Role + Practice],MATCH(Table21[[#This Row],[Role '#]],RolesandSkills[Role '#],0),1)</f>
        <v>Project Manager-PMO</v>
      </c>
      <c r="N11" s="586">
        <f ca="1">IF(ISERROR(D11/Initiate_Length),0,D11/Initiate_Length)</f>
        <v>10</v>
      </c>
      <c r="O11" s="586">
        <f t="shared" ref="O11:O25" ca="1" si="0">IF(ISERROR(E11/Plan_Length),0,E11/Plan_Length)</f>
        <v>10</v>
      </c>
      <c r="P11" s="586">
        <f t="shared" ref="P11:P25" ca="1" si="1">IF(ISERROR(F11/Execute_Length),0,F11/Execute_Length)</f>
        <v>10</v>
      </c>
      <c r="Q11" s="586">
        <f t="shared" ref="Q11:Q25" ca="1" si="2">IF(ISERROR(G11/Deliver_Length),0,G11/Deliver_Length)</f>
        <v>10</v>
      </c>
      <c r="R11" s="586">
        <f t="shared" ref="R11:R25" ca="1" si="3">IF(ISERROR(H11/Close_Length),0,H11/Close_Length)</f>
        <v>10</v>
      </c>
      <c r="U11" s="588" t="s">
        <v>470</v>
      </c>
      <c r="V11" s="589" t="str">
        <f ca="1">INDEX(RolesandSkills[Role + Practice],MATCH(Table2114[[#This Row],[Role '#]],RolesandSkills[Role '#],0),1)</f>
        <v>Project Manager-PMO</v>
      </c>
      <c r="W11" s="587">
        <f t="shared" ref="W11:W25" ca="1" si="4">IFERROR(D11/I11,0)</f>
        <v>0.125</v>
      </c>
      <c r="X11" s="587">
        <f t="shared" ref="X11:X25" ca="1" si="5">IFERROR(E11/I11,0)</f>
        <v>0.125</v>
      </c>
      <c r="Y11" s="587">
        <f t="shared" ref="Y11:Y25" ca="1" si="6">IFERROR(F11/I11,0)</f>
        <v>0.5</v>
      </c>
      <c r="Z11" s="587">
        <f t="shared" ref="Z11:Z25" ca="1" si="7">IFERROR(G11/I11,0)</f>
        <v>0.125</v>
      </c>
      <c r="AA11" s="587">
        <f t="shared" ref="AA11:AA25" ca="1" si="8">IFERROR(H11/I11,0)</f>
        <v>0.125</v>
      </c>
      <c r="AE11" s="731"/>
      <c r="AF11" s="731"/>
    </row>
    <row r="12" spans="2:32" ht="75">
      <c r="B12" s="584" t="s">
        <v>471</v>
      </c>
      <c r="C12" s="585" t="str">
        <f ca="1">INDEX(RolesandSkills[Role + Practice],MATCH(RolePhaseTotals[[#This Row],[Role '#]],RolesandSkills[Role '#],0),1)</f>
        <v>Solution Architect-Technology</v>
      </c>
      <c r="D12" s="586">
        <f ca="1">SUMIF(TandE[Phase],"Initiate",TandE[Role 2])+_xlfn.IFNA((INDEX(RolesandSkills[Initiate Hours],MATCH(RolePhaseTotals[[#This Row],[Role '#]],RolesandSkills[Role '#],0),1)),0)</f>
        <v>2</v>
      </c>
      <c r="E12" s="586">
        <f ca="1">SUMIF(TandE[Phase],"Plan",TandE[Role 2])+_xlfn.IFNA((INDEX(RolesandSkills[Plan Hours],MATCH(RolePhaseTotals[[#This Row],[Role '#]],RolesandSkills[Role '#],0),1)),0)</f>
        <v>31</v>
      </c>
      <c r="F12" s="586">
        <f ca="1">SUMIF(TandE[Phase],"Execute",TandE[Role 2])+_xlfn.IFNA((INDEX(RolesandSkills[Execute Hours],MATCH(RolePhaseTotals[[#This Row],[Role '#]],RolesandSkills[Role '#],0),1)),0)</f>
        <v>36</v>
      </c>
      <c r="G12" s="586">
        <f ca="1">SUMIF(TandE[Phase],"Deliver",TandE[Role 2])+_xlfn.IFNA((INDEX(RolesandSkills[Deliver Hours],MATCH(RolePhaseTotals[[#This Row],[Role '#]],RolesandSkills[Role '#],0),1)),0)</f>
        <v>8</v>
      </c>
      <c r="H12" s="586">
        <f ca="1">SUMIF(TandE[Phase],"Close",TandE[Role 2])+_xlfn.IFNA((INDEX(RolesandSkills[Close Hours],MATCH(RolePhaseTotals[[#This Row],[Role '#]],RolesandSkills[Role '#],0),1)),0)</f>
        <v>2</v>
      </c>
      <c r="I12" s="586">
        <f ca="1">SUM(RolePhaseTotals[[#This Row],[Initiate]:[Close]])</f>
        <v>79</v>
      </c>
      <c r="J12" s="587">
        <f ca="1">IFERROR(RolePhaseTotals[[#This Row],[Total]]/RolePhaseTotals[[#Totals],[Total]],0)</f>
        <v>0.16288659793814433</v>
      </c>
      <c r="L12" s="590" t="s">
        <v>471</v>
      </c>
      <c r="M12" s="589" t="str">
        <f ca="1">INDEX(RolesandSkills[Role + Practice],MATCH(Table21[[#This Row],[Role '#]],RolesandSkills[Role '#],0),1)</f>
        <v>Solution Architect-Technology</v>
      </c>
      <c r="N12" s="586">
        <f t="shared" ref="N12:N25" ca="1" si="9">IF(ISERROR(D12/Initiate_Length),0,D12/Initiate_Length)</f>
        <v>2</v>
      </c>
      <c r="O12" s="586">
        <f t="shared" ca="1" si="0"/>
        <v>31</v>
      </c>
      <c r="P12" s="586">
        <f t="shared" ca="1" si="1"/>
        <v>9</v>
      </c>
      <c r="Q12" s="586">
        <f t="shared" ca="1" si="2"/>
        <v>8</v>
      </c>
      <c r="R12" s="586">
        <f t="shared" ca="1" si="3"/>
        <v>2</v>
      </c>
      <c r="U12" s="590" t="s">
        <v>471</v>
      </c>
      <c r="V12" s="589" t="str">
        <f ca="1">INDEX(RolesandSkills[Role + Practice],MATCH(Table2114[[#This Row],[Role '#]],RolesandSkills[Role '#],0),1)</f>
        <v>Solution Architect-Technology</v>
      </c>
      <c r="W12" s="587">
        <f t="shared" ca="1" si="4"/>
        <v>2.5316455696202531E-2</v>
      </c>
      <c r="X12" s="587">
        <f t="shared" ca="1" si="5"/>
        <v>0.39240506329113922</v>
      </c>
      <c r="Y12" s="587">
        <f t="shared" ca="1" si="6"/>
        <v>0.45569620253164556</v>
      </c>
      <c r="Z12" s="587">
        <f t="shared" ca="1" si="7"/>
        <v>0.10126582278481013</v>
      </c>
      <c r="AA12" s="587">
        <f t="shared" ca="1" si="8"/>
        <v>2.5316455696202531E-2</v>
      </c>
    </row>
    <row r="13" spans="2:32" ht="90">
      <c r="B13" s="584" t="s">
        <v>472</v>
      </c>
      <c r="C13" s="585" t="str">
        <f ca="1">INDEX(RolesandSkills[Role + Practice],MATCH(RolePhaseTotals[[#This Row],[Role '#]],RolesandSkills[Role '#],0),1)</f>
        <v>Business Process Consultant-Technology</v>
      </c>
      <c r="D13" s="586">
        <f ca="1">SUMIF(TandE[Phase],"Initiate",TandE[Role 3])+_xlfn.IFNA((INDEX(RolesandSkills[Initiate Hours],MATCH(RolePhaseTotals[[#This Row],[Role '#]],RolesandSkills[Role '#],0),1)),0)</f>
        <v>2</v>
      </c>
      <c r="E13" s="586">
        <f ca="1">SUMIF(TandE[Phase],"Plan",TandE[Role 3])+_xlfn.IFNA((INDEX(RolesandSkills[Plan Hours],MATCH(RolePhaseTotals[[#This Row],[Role '#]],RolesandSkills[Role '#],0),1)),0)</f>
        <v>40</v>
      </c>
      <c r="F13" s="586">
        <f ca="1">SUMIF(TandE[Phase],"Execute",TandE[Role 3])+_xlfn.IFNA((INDEX(RolesandSkills[Execute Hours],MATCH(RolePhaseTotals[[#This Row],[Role '#]],RolesandSkills[Role '#],0),1)),0)</f>
        <v>72</v>
      </c>
      <c r="G13" s="586">
        <f ca="1">SUMIF(TandE[Phase],"Deliver",TandE[Role 3])+_xlfn.IFNA((INDEX(RolesandSkills[Deliver Hours],MATCH(RolePhaseTotals[[#This Row],[Role '#]],RolesandSkills[Role '#],0),1)),0)</f>
        <v>4</v>
      </c>
      <c r="H13" s="586">
        <f ca="1">SUMIF(TandE[Phase],"Close",TandE[Role 3])+_xlfn.IFNA((INDEX(RolesandSkills[Close Hours],MATCH(RolePhaseTotals[[#This Row],[Role '#]],RolesandSkills[Role '#],0),1)),0)</f>
        <v>2</v>
      </c>
      <c r="I13" s="586">
        <f ca="1">SUM(RolePhaseTotals[[#This Row],[Initiate]:[Close]])</f>
        <v>120</v>
      </c>
      <c r="J13" s="587">
        <f ca="1">IFERROR(RolePhaseTotals[[#This Row],[Total]]/RolePhaseTotals[[#Totals],[Total]],0)</f>
        <v>0.24742268041237114</v>
      </c>
      <c r="L13" s="588" t="s">
        <v>472</v>
      </c>
      <c r="M13" s="589" t="str">
        <f ca="1">INDEX(RolesandSkills[Role + Practice],MATCH(Table21[[#This Row],[Role '#]],RolesandSkills[Role '#],0),1)</f>
        <v>Business Process Consultant-Technology</v>
      </c>
      <c r="N13" s="586">
        <f t="shared" ca="1" si="9"/>
        <v>2</v>
      </c>
      <c r="O13" s="586">
        <f t="shared" ca="1" si="0"/>
        <v>40</v>
      </c>
      <c r="P13" s="586">
        <f t="shared" ca="1" si="1"/>
        <v>18</v>
      </c>
      <c r="Q13" s="586">
        <f t="shared" ca="1" si="2"/>
        <v>4</v>
      </c>
      <c r="R13" s="586">
        <f t="shared" ca="1" si="3"/>
        <v>2</v>
      </c>
      <c r="U13" s="588" t="s">
        <v>472</v>
      </c>
      <c r="V13" s="589" t="str">
        <f ca="1">INDEX(RolesandSkills[Role + Practice],MATCH(Table2114[[#This Row],[Role '#]],RolesandSkills[Role '#],0),1)</f>
        <v>Business Process Consultant-Technology</v>
      </c>
      <c r="W13" s="587">
        <f t="shared" ca="1" si="4"/>
        <v>1.6666666666666666E-2</v>
      </c>
      <c r="X13" s="587">
        <f t="shared" ca="1" si="5"/>
        <v>0.33333333333333331</v>
      </c>
      <c r="Y13" s="587">
        <f t="shared" ca="1" si="6"/>
        <v>0.6</v>
      </c>
      <c r="Z13" s="587">
        <f t="shared" ca="1" si="7"/>
        <v>3.3333333333333333E-2</v>
      </c>
      <c r="AA13" s="587">
        <f t="shared" ca="1" si="8"/>
        <v>1.6666666666666666E-2</v>
      </c>
    </row>
    <row r="14" spans="2:32" ht="105">
      <c r="B14" s="584" t="s">
        <v>473</v>
      </c>
      <c r="C14" s="585" t="str">
        <f ca="1">INDEX(RolesandSkills[Role + Practice],MATCH(RolePhaseTotals[[#This Row],[Role '#]],RolesandSkills[Role '#],0),1)</f>
        <v>Senior Technical Consultant-Technology</v>
      </c>
      <c r="D14" s="586">
        <f ca="1">SUMIF(TandE[Phase],"Initiate",TandE[Role 4])+_xlfn.IFNA((INDEX(RolesandSkills[Initiate Hours],MATCH(RolePhaseTotals[[#This Row],[Role '#]],RolesandSkills[Role '#],0),1)),0)</f>
        <v>0</v>
      </c>
      <c r="E14" s="586">
        <f ca="1">SUMIF(TandE[Phase],"Plan",TandE[Role 4])+_xlfn.IFNA((INDEX(RolesandSkills[Plan Hours],MATCH(RolePhaseTotals[[#This Row],[Role '#]],RolesandSkills[Role '#],0),1)),0)</f>
        <v>0</v>
      </c>
      <c r="F14" s="586">
        <f ca="1">SUMIF(TandE[Phase],"Execute",TandE[Role 4])+_xlfn.IFNA((INDEX(RolesandSkills[Execute Hours],MATCH(RolePhaseTotals[[#This Row],[Role '#]],RolesandSkills[Role '#],0),1)),0)</f>
        <v>124</v>
      </c>
      <c r="G14" s="586">
        <f ca="1">SUMIF(TandE[Phase],"Deliver",TandE[Role 4])+_xlfn.IFNA((INDEX(RolesandSkills[Deliver Hours],MATCH(RolePhaseTotals[[#This Row],[Role '#]],RolesandSkills[Role '#],0),1)),0)</f>
        <v>20</v>
      </c>
      <c r="H14" s="586">
        <f ca="1">SUMIF(TandE[Phase],"Close",TandE[Role 4])+_xlfn.IFNA((INDEX(RolesandSkills[Close Hours],MATCH(RolePhaseTotals[[#This Row],[Role '#]],RolesandSkills[Role '#],0),1)),0)</f>
        <v>10</v>
      </c>
      <c r="I14" s="586">
        <f ca="1">SUM(RolePhaseTotals[[#This Row],[Initiate]:[Close]])</f>
        <v>154</v>
      </c>
      <c r="J14" s="587">
        <f ca="1">IFERROR(RolePhaseTotals[[#This Row],[Total]]/RolePhaseTotals[[#Totals],[Total]],0)</f>
        <v>0.31752577319587627</v>
      </c>
      <c r="L14" s="590" t="s">
        <v>473</v>
      </c>
      <c r="M14" s="589" t="str">
        <f ca="1">INDEX(RolesandSkills[Role + Practice],MATCH(Table21[[#This Row],[Role '#]],RolesandSkills[Role '#],0),1)</f>
        <v>Senior Technical Consultant-Technology</v>
      </c>
      <c r="N14" s="586">
        <f t="shared" ca="1" si="9"/>
        <v>0</v>
      </c>
      <c r="O14" s="586">
        <f t="shared" ca="1" si="0"/>
        <v>0</v>
      </c>
      <c r="P14" s="586">
        <f t="shared" ca="1" si="1"/>
        <v>31</v>
      </c>
      <c r="Q14" s="586">
        <f t="shared" ca="1" si="2"/>
        <v>20</v>
      </c>
      <c r="R14" s="586">
        <f t="shared" ca="1" si="3"/>
        <v>10</v>
      </c>
      <c r="U14" s="590" t="s">
        <v>473</v>
      </c>
      <c r="V14" s="589" t="str">
        <f ca="1">INDEX(RolesandSkills[Role + Practice],MATCH(Table2114[[#This Row],[Role '#]],RolesandSkills[Role '#],0),1)</f>
        <v>Senior Technical Consultant-Technology</v>
      </c>
      <c r="W14" s="587">
        <f t="shared" ca="1" si="4"/>
        <v>0</v>
      </c>
      <c r="X14" s="587">
        <f t="shared" ca="1" si="5"/>
        <v>0</v>
      </c>
      <c r="Y14" s="587">
        <f t="shared" ca="1" si="6"/>
        <v>0.80519480519480524</v>
      </c>
      <c r="Z14" s="587">
        <f t="shared" ca="1" si="7"/>
        <v>0.12987012987012986</v>
      </c>
      <c r="AA14" s="587">
        <f t="shared" ca="1" si="8"/>
        <v>6.4935064935064929E-2</v>
      </c>
    </row>
    <row r="15" spans="2:32" ht="105">
      <c r="B15" s="584" t="s">
        <v>474</v>
      </c>
      <c r="C15" s="585" t="str">
        <f ca="1">INDEX(RolesandSkills[Role + Practice],MATCH(RolePhaseTotals[[#This Row],[Role '#]],RolesandSkills[Role '#],0),1)</f>
        <v>Workflow/Practice Strategist-Technology</v>
      </c>
      <c r="D15" s="586">
        <f ca="1">SUMIF(TandE[Phase],"Initiate",TandE[Role 5])+_xlfn.IFNA((INDEX(RolesandSkills[Initiate Hours],MATCH(RolePhaseTotals[[#This Row],[Role '#]],RolesandSkills[Role '#],0),1)),0)</f>
        <v>2</v>
      </c>
      <c r="E15" s="586">
        <f ca="1">SUMIF(TandE[Phase],"Plan",TandE[Role 5])+_xlfn.IFNA((INDEX(RolesandSkills[Plan Hours],MATCH(RolePhaseTotals[[#This Row],[Role '#]],RolesandSkills[Role '#],0),1)),0)</f>
        <v>38</v>
      </c>
      <c r="F15" s="586">
        <f ca="1">SUMIF(TandE[Phase],"Execute",TandE[Role 5])+_xlfn.IFNA((INDEX(RolesandSkills[Execute Hours],MATCH(RolePhaseTotals[[#This Row],[Role '#]],RolesandSkills[Role '#],0),1)),0)</f>
        <v>8</v>
      </c>
      <c r="G15" s="586">
        <f ca="1">SUMIF(TandE[Phase],"Deliver",TandE[Role 5])+_xlfn.IFNA((INDEX(RolesandSkills[Deliver Hours],MATCH(RolePhaseTotals[[#This Row],[Role '#]],RolesandSkills[Role '#],0),1)),0)</f>
        <v>2</v>
      </c>
      <c r="H15" s="586">
        <f ca="1">SUMIF(TandE[Phase],"Close",TandE[Role 5])+_xlfn.IFNA((INDEX(RolesandSkills[Close Hours],MATCH(RolePhaseTotals[[#This Row],[Role '#]],RolesandSkills[Role '#],0),1)),0)</f>
        <v>2</v>
      </c>
      <c r="I15" s="586">
        <f ca="1">SUM(RolePhaseTotals[[#This Row],[Initiate]:[Close]])</f>
        <v>52</v>
      </c>
      <c r="J15" s="587">
        <f ca="1">IFERROR(RolePhaseTotals[[#This Row],[Total]]/RolePhaseTotals[[#Totals],[Total]],0)</f>
        <v>0.10721649484536082</v>
      </c>
      <c r="L15" s="588" t="s">
        <v>474</v>
      </c>
      <c r="M15" s="589" t="str">
        <f ca="1">INDEX(RolesandSkills[Role + Practice],MATCH(Table21[[#This Row],[Role '#]],RolesandSkills[Role '#],0),1)</f>
        <v>Workflow/Practice Strategist-Technology</v>
      </c>
      <c r="N15" s="586">
        <f t="shared" ca="1" si="9"/>
        <v>2</v>
      </c>
      <c r="O15" s="586">
        <f t="shared" ca="1" si="0"/>
        <v>38</v>
      </c>
      <c r="P15" s="586">
        <f t="shared" ca="1" si="1"/>
        <v>2</v>
      </c>
      <c r="Q15" s="586">
        <f t="shared" ca="1" si="2"/>
        <v>2</v>
      </c>
      <c r="R15" s="586">
        <f t="shared" ca="1" si="3"/>
        <v>2</v>
      </c>
      <c r="U15" s="588" t="s">
        <v>474</v>
      </c>
      <c r="V15" s="589" t="str">
        <f ca="1">INDEX(RolesandSkills[Role + Practice],MATCH(Table2114[[#This Row],[Role '#]],RolesandSkills[Role '#],0),1)</f>
        <v>Workflow/Practice Strategist-Technology</v>
      </c>
      <c r="W15" s="587">
        <f t="shared" ca="1" si="4"/>
        <v>3.8461538461538464E-2</v>
      </c>
      <c r="X15" s="587">
        <f t="shared" ca="1" si="5"/>
        <v>0.73076923076923073</v>
      </c>
      <c r="Y15" s="587">
        <f t="shared" ca="1" si="6"/>
        <v>0.15384615384615385</v>
      </c>
      <c r="Z15" s="587">
        <f t="shared" ca="1" si="7"/>
        <v>3.8461538461538464E-2</v>
      </c>
      <c r="AA15" s="587">
        <f t="shared" ca="1" si="8"/>
        <v>3.8461538461538464E-2</v>
      </c>
    </row>
    <row r="16" spans="2:32">
      <c r="B16" s="584" t="s">
        <v>475</v>
      </c>
      <c r="C16" s="585" t="str">
        <f ca="1">INDEX(RolesandSkills[Role + Practice],MATCH(RolePhaseTotals[[#This Row],[Role '#]],RolesandSkills[Role '#],0),1)</f>
        <v>-</v>
      </c>
      <c r="D16" s="586">
        <f ca="1">SUMIF(TandE[Phase],"Initiate",TandE[Role 6])+_xlfn.IFNA((INDEX(RolesandSkills[Initiate Hours],MATCH(RolePhaseTotals[[#This Row],[Role '#]],RolesandSkills[Role '#],0),1)),0)</f>
        <v>0</v>
      </c>
      <c r="E16" s="586">
        <f ca="1">SUMIF(TandE[Phase],"Plan",TandE[Role 6])+_xlfn.IFNA((INDEX(RolesandSkills[Plan Hours],MATCH(RolePhaseTotals[[#This Row],[Role '#]],RolesandSkills[Role '#],0),1)),0)</f>
        <v>0</v>
      </c>
      <c r="F16" s="586">
        <f ca="1">SUMIF(TandE[Phase],"Execute",TandE[Role 6])+_xlfn.IFNA((INDEX(RolesandSkills[Execute Hours],MATCH(RolePhaseTotals[[#This Row],[Role '#]],RolesandSkills[Role '#],0),1)),0)</f>
        <v>0</v>
      </c>
      <c r="G16" s="586">
        <f ca="1">SUMIF(TandE[Phase],"Deliver",TandE[Role 6])+_xlfn.IFNA((INDEX(RolesandSkills[Deliver Hours],MATCH(RolePhaseTotals[[#This Row],[Role '#]],RolesandSkills[Role '#],0),1)),0)</f>
        <v>0</v>
      </c>
      <c r="H16" s="586">
        <f ca="1">SUMIF(TandE[Phase],"Close",TandE[Role 6])+_xlfn.IFNA((INDEX(RolesandSkills[Close Hours],MATCH(RolePhaseTotals[[#This Row],[Role '#]],RolesandSkills[Role '#],0),1)),0)</f>
        <v>0</v>
      </c>
      <c r="I16" s="586">
        <f ca="1">SUM(RolePhaseTotals[[#This Row],[Initiate]:[Close]])</f>
        <v>0</v>
      </c>
      <c r="J16" s="587">
        <f ca="1">IFERROR(RolePhaseTotals[[#This Row],[Total]]/RolePhaseTotals[[#Totals],[Total]],0)</f>
        <v>0</v>
      </c>
      <c r="L16" s="590" t="s">
        <v>475</v>
      </c>
      <c r="M16" s="589" t="str">
        <f ca="1">INDEX(RolesandSkills[Role + Practice],MATCH(Table21[[#This Row],[Role '#]],RolesandSkills[Role '#],0),1)</f>
        <v>-</v>
      </c>
      <c r="N16" s="586">
        <f t="shared" ca="1" si="9"/>
        <v>0</v>
      </c>
      <c r="O16" s="586">
        <f t="shared" ca="1" si="0"/>
        <v>0</v>
      </c>
      <c r="P16" s="586">
        <f t="shared" ca="1" si="1"/>
        <v>0</v>
      </c>
      <c r="Q16" s="586">
        <f t="shared" ca="1" si="2"/>
        <v>0</v>
      </c>
      <c r="R16" s="586">
        <f t="shared" ca="1" si="3"/>
        <v>0</v>
      </c>
      <c r="U16" s="590" t="s">
        <v>475</v>
      </c>
      <c r="V16" s="589" t="str">
        <f ca="1">INDEX(RolesandSkills[Role + Practice],MATCH(Table2114[[#This Row],[Role '#]],RolesandSkills[Role '#],0),1)</f>
        <v>-</v>
      </c>
      <c r="W16" s="587">
        <f t="shared" ca="1" si="4"/>
        <v>0</v>
      </c>
      <c r="X16" s="587">
        <f t="shared" ca="1" si="5"/>
        <v>0</v>
      </c>
      <c r="Y16" s="587">
        <f t="shared" ca="1" si="6"/>
        <v>0</v>
      </c>
      <c r="Z16" s="587">
        <f t="shared" ca="1" si="7"/>
        <v>0</v>
      </c>
      <c r="AA16" s="587">
        <f t="shared" ca="1" si="8"/>
        <v>0</v>
      </c>
    </row>
    <row r="17" spans="2:62">
      <c r="B17" s="584" t="s">
        <v>476</v>
      </c>
      <c r="C17" s="585" t="str">
        <f ca="1">INDEX(RolesandSkills[Role + Practice],MATCH(RolePhaseTotals[[#This Row],[Role '#]],RolesandSkills[Role '#],0),1)</f>
        <v>-</v>
      </c>
      <c r="D17" s="586">
        <f ca="1">SUMIF(TandE[Phase],"Initiate",TandE[Role 7])+_xlfn.IFNA((INDEX(RolesandSkills[Initiate Hours],MATCH(RolePhaseTotals[[#This Row],[Role '#]],RolesandSkills[Role '#],0),1)),0)</f>
        <v>0</v>
      </c>
      <c r="E17" s="586">
        <f ca="1">SUMIF(TandE[Phase],"Plan",TandE[Role 7])+_xlfn.IFNA((INDEX(RolesandSkills[Plan Hours],MATCH(RolePhaseTotals[[#This Row],[Role '#]],RolesandSkills[Role '#],0),1)),0)</f>
        <v>0</v>
      </c>
      <c r="F17" s="586">
        <f ca="1">SUMIF(TandE[Phase],"Execute",TandE[Role 7])+_xlfn.IFNA((INDEX(RolesandSkills[Execute Hours],MATCH(RolePhaseTotals[[#This Row],[Role '#]],RolesandSkills[Role '#],0),1)),0)</f>
        <v>0</v>
      </c>
      <c r="G17" s="586">
        <f ca="1">SUMIF(TandE[Phase],"Deliver",TandE[Role 7])+_xlfn.IFNA((INDEX(RolesandSkills[Deliver Hours],MATCH(RolePhaseTotals[[#This Row],[Role '#]],RolesandSkills[Role '#],0),1)),0)</f>
        <v>0</v>
      </c>
      <c r="H17" s="586">
        <f ca="1">SUMIF(TandE[Phase],"Close",TandE[Role 7])+_xlfn.IFNA((INDEX(RolesandSkills[Close Hours],MATCH(RolePhaseTotals[[#This Row],[Role '#]],RolesandSkills[Role '#],0),1)),0)</f>
        <v>0</v>
      </c>
      <c r="I17" s="586">
        <f ca="1">SUM(RolePhaseTotals[[#This Row],[Initiate]:[Close]])</f>
        <v>0</v>
      </c>
      <c r="J17" s="587">
        <f ca="1">IFERROR(RolePhaseTotals[[#This Row],[Total]]/RolePhaseTotals[[#Totals],[Total]],0)</f>
        <v>0</v>
      </c>
      <c r="L17" s="588" t="s">
        <v>476</v>
      </c>
      <c r="M17" s="589" t="str">
        <f ca="1">INDEX(RolesandSkills[Role + Practice],MATCH(Table21[[#This Row],[Role '#]],RolesandSkills[Role '#],0),1)</f>
        <v>-</v>
      </c>
      <c r="N17" s="586">
        <f t="shared" ca="1" si="9"/>
        <v>0</v>
      </c>
      <c r="O17" s="586">
        <f t="shared" ca="1" si="0"/>
        <v>0</v>
      </c>
      <c r="P17" s="586">
        <f t="shared" ca="1" si="1"/>
        <v>0</v>
      </c>
      <c r="Q17" s="586">
        <f t="shared" ca="1" si="2"/>
        <v>0</v>
      </c>
      <c r="R17" s="586">
        <f t="shared" ca="1" si="3"/>
        <v>0</v>
      </c>
      <c r="U17" s="588" t="s">
        <v>476</v>
      </c>
      <c r="V17" s="589" t="str">
        <f ca="1">INDEX(RolesandSkills[Role + Practice],MATCH(Table2114[[#This Row],[Role '#]],RolesandSkills[Role '#],0),1)</f>
        <v>-</v>
      </c>
      <c r="W17" s="587">
        <f t="shared" ca="1" si="4"/>
        <v>0</v>
      </c>
      <c r="X17" s="587">
        <f t="shared" ca="1" si="5"/>
        <v>0</v>
      </c>
      <c r="Y17" s="587">
        <f t="shared" ca="1" si="6"/>
        <v>0</v>
      </c>
      <c r="Z17" s="587">
        <f t="shared" ca="1" si="7"/>
        <v>0</v>
      </c>
      <c r="AA17" s="587">
        <f t="shared" ca="1" si="8"/>
        <v>0</v>
      </c>
    </row>
    <row r="18" spans="2:62">
      <c r="B18" s="584" t="s">
        <v>477</v>
      </c>
      <c r="C18" s="585" t="str">
        <f ca="1">INDEX(RolesandSkills[Role + Practice],MATCH(RolePhaseTotals[[#This Row],[Role '#]],RolesandSkills[Role '#],0),1)</f>
        <v>-</v>
      </c>
      <c r="D18" s="586">
        <f ca="1">SUMIF(TandE[Phase],"Initiate",TandE[Role 8])+_xlfn.IFNA((INDEX(RolesandSkills[Initiate Hours],MATCH(RolePhaseTotals[[#This Row],[Role '#]],RolesandSkills[Role '#],0),1)),0)</f>
        <v>0</v>
      </c>
      <c r="E18" s="586">
        <f ca="1">SUMIF(TandE[Phase],"Plan",TandE[Role 8])+_xlfn.IFNA((INDEX(RolesandSkills[Plan Hours],MATCH(RolePhaseTotals[[#This Row],[Role '#]],RolesandSkills[Role '#],0),1)),0)</f>
        <v>0</v>
      </c>
      <c r="F18" s="586">
        <f ca="1">SUMIF(TandE[Phase],"Execute",TandE[Role 8])+_xlfn.IFNA((INDEX(RolesandSkills[Execute Hours],MATCH(RolePhaseTotals[[#This Row],[Role '#]],RolesandSkills[Role '#],0),1)),0)</f>
        <v>0</v>
      </c>
      <c r="G18" s="586">
        <f ca="1">SUMIF(TandE[Phase],"Deliver",TandE[Role 8])+_xlfn.IFNA((INDEX(RolesandSkills[Deliver Hours],MATCH(RolePhaseTotals[[#This Row],[Role '#]],RolesandSkills[Role '#],0),1)),0)</f>
        <v>0</v>
      </c>
      <c r="H18" s="586">
        <f ca="1">SUMIF(TandE[Phase],"Close",TandE[Role 8])+_xlfn.IFNA((INDEX(RolesandSkills[Close Hours],MATCH(RolePhaseTotals[[#This Row],[Role '#]],RolesandSkills[Role '#],0),1)),0)</f>
        <v>0</v>
      </c>
      <c r="I18" s="586">
        <f ca="1">SUM(RolePhaseTotals[[#This Row],[Initiate]:[Close]])</f>
        <v>0</v>
      </c>
      <c r="J18" s="587">
        <f ca="1">IFERROR(RolePhaseTotals[[#This Row],[Total]]/RolePhaseTotals[[#Totals],[Total]],0)</f>
        <v>0</v>
      </c>
      <c r="L18" s="590" t="s">
        <v>477</v>
      </c>
      <c r="M18" s="589" t="str">
        <f ca="1">INDEX(RolesandSkills[Role + Practice],MATCH(Table21[[#This Row],[Role '#]],RolesandSkills[Role '#],0),1)</f>
        <v>-</v>
      </c>
      <c r="N18" s="586">
        <f t="shared" ca="1" si="9"/>
        <v>0</v>
      </c>
      <c r="O18" s="586">
        <f t="shared" ca="1" si="0"/>
        <v>0</v>
      </c>
      <c r="P18" s="586">
        <f t="shared" ca="1" si="1"/>
        <v>0</v>
      </c>
      <c r="Q18" s="586">
        <f t="shared" ca="1" si="2"/>
        <v>0</v>
      </c>
      <c r="R18" s="586">
        <f t="shared" ca="1" si="3"/>
        <v>0</v>
      </c>
      <c r="U18" s="590" t="s">
        <v>477</v>
      </c>
      <c r="V18" s="589" t="str">
        <f ca="1">INDEX(RolesandSkills[Role + Practice],MATCH(Table2114[[#This Row],[Role '#]],RolesandSkills[Role '#],0),1)</f>
        <v>-</v>
      </c>
      <c r="W18" s="587">
        <f t="shared" ca="1" si="4"/>
        <v>0</v>
      </c>
      <c r="X18" s="587">
        <f t="shared" ca="1" si="5"/>
        <v>0</v>
      </c>
      <c r="Y18" s="587">
        <f t="shared" ca="1" si="6"/>
        <v>0</v>
      </c>
      <c r="Z18" s="587">
        <f t="shared" ca="1" si="7"/>
        <v>0</v>
      </c>
      <c r="AA18" s="587">
        <f t="shared" ca="1" si="8"/>
        <v>0</v>
      </c>
    </row>
    <row r="19" spans="2:62">
      <c r="B19" s="584" t="s">
        <v>478</v>
      </c>
      <c r="C19" s="585" t="str">
        <f ca="1">INDEX(RolesandSkills[Role + Practice],MATCH(RolePhaseTotals[[#This Row],[Role '#]],RolesandSkills[Role '#],0),1)</f>
        <v>-</v>
      </c>
      <c r="D19" s="586">
        <f ca="1">SUMIF(TandE[Phase],"Initiate",TandE[Role 9])+_xlfn.IFNA((INDEX(RolesandSkills[Initiate Hours],MATCH(RolePhaseTotals[[#This Row],[Role '#]],RolesandSkills[Role '#],0),1)),0)</f>
        <v>0</v>
      </c>
      <c r="E19" s="586">
        <f ca="1">SUMIF(TandE[Phase],"Plan",TandE[Role 9])+_xlfn.IFNA((INDEX(RolesandSkills[Plan Hours],MATCH(RolePhaseTotals[[#This Row],[Role '#]],RolesandSkills[Role '#],0),1)),0)</f>
        <v>0</v>
      </c>
      <c r="F19" s="586">
        <f ca="1">SUMIF(TandE[Phase],"Execute",TandE[Role 9])+_xlfn.IFNA((INDEX(RolesandSkills[Execute Hours],MATCH(RolePhaseTotals[[#This Row],[Role '#]],RolesandSkills[Role '#],0),1)),0)</f>
        <v>0</v>
      </c>
      <c r="G19" s="586">
        <f ca="1">SUMIF(TandE[Phase],"Deliver",TandE[Role 9])+_xlfn.IFNA((INDEX(RolesandSkills[Deliver Hours],MATCH(RolePhaseTotals[[#This Row],[Role '#]],RolesandSkills[Role '#],0),1)),0)</f>
        <v>0</v>
      </c>
      <c r="H19" s="586">
        <f ca="1">SUMIF(TandE[Phase],"Close",TandE[Role 9])+_xlfn.IFNA((INDEX(RolesandSkills[Close Hours],MATCH(RolePhaseTotals[[#This Row],[Role '#]],RolesandSkills[Role '#],0),1)),0)</f>
        <v>0</v>
      </c>
      <c r="I19" s="586">
        <f ca="1">SUM(RolePhaseTotals[[#This Row],[Initiate]:[Close]])</f>
        <v>0</v>
      </c>
      <c r="J19" s="587">
        <f ca="1">IFERROR(RolePhaseTotals[[#This Row],[Total]]/RolePhaseTotals[[#Totals],[Total]],0)</f>
        <v>0</v>
      </c>
      <c r="L19" s="588" t="s">
        <v>478</v>
      </c>
      <c r="M19" s="589" t="str">
        <f ca="1">INDEX(RolesandSkills[Role + Practice],MATCH(Table21[[#This Row],[Role '#]],RolesandSkills[Role '#],0),1)</f>
        <v>-</v>
      </c>
      <c r="N19" s="586">
        <f t="shared" ca="1" si="9"/>
        <v>0</v>
      </c>
      <c r="O19" s="586">
        <f t="shared" ca="1" si="0"/>
        <v>0</v>
      </c>
      <c r="P19" s="586">
        <f t="shared" ca="1" si="1"/>
        <v>0</v>
      </c>
      <c r="Q19" s="586">
        <f t="shared" ca="1" si="2"/>
        <v>0</v>
      </c>
      <c r="R19" s="586">
        <f t="shared" ca="1" si="3"/>
        <v>0</v>
      </c>
      <c r="U19" s="588" t="s">
        <v>478</v>
      </c>
      <c r="V19" s="589" t="str">
        <f ca="1">INDEX(RolesandSkills[Role + Practice],MATCH(Table2114[[#This Row],[Role '#]],RolesandSkills[Role '#],0),1)</f>
        <v>-</v>
      </c>
      <c r="W19" s="587">
        <f t="shared" ca="1" si="4"/>
        <v>0</v>
      </c>
      <c r="X19" s="587">
        <f t="shared" ca="1" si="5"/>
        <v>0</v>
      </c>
      <c r="Y19" s="587">
        <f t="shared" ca="1" si="6"/>
        <v>0</v>
      </c>
      <c r="Z19" s="587">
        <f t="shared" ca="1" si="7"/>
        <v>0</v>
      </c>
      <c r="AA19" s="587">
        <f t="shared" ca="1" si="8"/>
        <v>0</v>
      </c>
    </row>
    <row r="20" spans="2:62">
      <c r="B20" s="584" t="s">
        <v>479</v>
      </c>
      <c r="C20" s="585" t="str">
        <f ca="1">INDEX(RolesandSkills[Role + Practice],MATCH(RolePhaseTotals[[#This Row],[Role '#]],RolesandSkills[Role '#],0),1)</f>
        <v>-</v>
      </c>
      <c r="D20" s="586">
        <f ca="1">SUMIF(TandE[Phase],"Initiate",TandE[Role 10])+_xlfn.IFNA((INDEX(RolesandSkills[Initiate Hours],MATCH(RolePhaseTotals[[#This Row],[Role '#]],RolesandSkills[Role '#],0),1)),0)</f>
        <v>0</v>
      </c>
      <c r="E20" s="586">
        <f ca="1">SUMIF(TandE[Phase],"Plan",TandE[Role 10])+_xlfn.IFNA((INDEX(RolesandSkills[Plan Hours],MATCH(RolePhaseTotals[[#This Row],[Role '#]],RolesandSkills[Role '#],0),1)),0)</f>
        <v>0</v>
      </c>
      <c r="F20" s="586">
        <f ca="1">SUMIF(TandE[Phase],"Execute",TandE[Role 10])+_xlfn.IFNA((INDEX(RolesandSkills[Execute Hours],MATCH(RolePhaseTotals[[#This Row],[Role '#]],RolesandSkills[Role '#],0),1)),0)</f>
        <v>0</v>
      </c>
      <c r="G20" s="586">
        <f ca="1">SUMIF(TandE[Phase],"Deliver",TandE[Role 10])+_xlfn.IFNA((INDEX(RolesandSkills[Deliver Hours],MATCH(RolePhaseTotals[[#This Row],[Role '#]],RolesandSkills[Role '#],0),1)),0)</f>
        <v>0</v>
      </c>
      <c r="H20" s="586">
        <f ca="1">SUMIF(TandE[Phase],"Close",TandE[Role 10])+_xlfn.IFNA((INDEX(RolesandSkills[Close Hours],MATCH(RolePhaseTotals[[#This Row],[Role '#]],RolesandSkills[Role '#],0),1)),0)</f>
        <v>0</v>
      </c>
      <c r="I20" s="586">
        <f ca="1">SUM(RolePhaseTotals[[#This Row],[Initiate]:[Close]])</f>
        <v>0</v>
      </c>
      <c r="J20" s="587">
        <f ca="1">IFERROR(RolePhaseTotals[[#This Row],[Total]]/RolePhaseTotals[[#Totals],[Total]],0)</f>
        <v>0</v>
      </c>
      <c r="L20" s="590" t="s">
        <v>479</v>
      </c>
      <c r="M20" s="589" t="str">
        <f ca="1">INDEX(RolesandSkills[Role + Practice],MATCH(Table21[[#This Row],[Role '#]],RolesandSkills[Role '#],0),1)</f>
        <v>-</v>
      </c>
      <c r="N20" s="586">
        <f t="shared" ca="1" si="9"/>
        <v>0</v>
      </c>
      <c r="O20" s="586">
        <f t="shared" ca="1" si="0"/>
        <v>0</v>
      </c>
      <c r="P20" s="586">
        <f t="shared" ca="1" si="1"/>
        <v>0</v>
      </c>
      <c r="Q20" s="586">
        <f t="shared" ca="1" si="2"/>
        <v>0</v>
      </c>
      <c r="R20" s="586">
        <f t="shared" ca="1" si="3"/>
        <v>0</v>
      </c>
      <c r="U20" s="590" t="s">
        <v>479</v>
      </c>
      <c r="V20" s="589" t="str">
        <f ca="1">INDEX(RolesandSkills[Role + Practice],MATCH(Table2114[[#This Row],[Role '#]],RolesandSkills[Role '#],0),1)</f>
        <v>-</v>
      </c>
      <c r="W20" s="587">
        <f t="shared" ca="1" si="4"/>
        <v>0</v>
      </c>
      <c r="X20" s="587">
        <f t="shared" ca="1" si="5"/>
        <v>0</v>
      </c>
      <c r="Y20" s="587">
        <f t="shared" ca="1" si="6"/>
        <v>0</v>
      </c>
      <c r="Z20" s="587">
        <f t="shared" ca="1" si="7"/>
        <v>0</v>
      </c>
      <c r="AA20" s="587">
        <f t="shared" ca="1" si="8"/>
        <v>0</v>
      </c>
    </row>
    <row r="21" spans="2:62">
      <c r="B21" s="584" t="s">
        <v>480</v>
      </c>
      <c r="C21" s="585" t="str">
        <f ca="1">INDEX(RolesandSkills[Role + Practice],MATCH(RolePhaseTotals[[#This Row],[Role '#]],RolesandSkills[Role '#],0),1)</f>
        <v>-</v>
      </c>
      <c r="D21" s="586">
        <f ca="1">SUMIF(TandE[Phase],"Initiate",TandE[Role 11])+_xlfn.IFNA((INDEX(RolesandSkills[Initiate Hours],MATCH(RolePhaseTotals[[#This Row],[Role '#]],RolesandSkills[Role '#],0),1)),0)</f>
        <v>0</v>
      </c>
      <c r="E21" s="586">
        <f ca="1">SUMIF(TandE[Phase],"Plan",TandE[Role 11])+_xlfn.IFNA((INDEX(RolesandSkills[Plan Hours],MATCH(RolePhaseTotals[[#This Row],[Role '#]],RolesandSkills[Role '#],0),1)),0)</f>
        <v>0</v>
      </c>
      <c r="F21" s="586">
        <f ca="1">SUMIF(TandE[Phase],"Execute",TandE[Role 11])+_xlfn.IFNA((INDEX(RolesandSkills[Execute Hours],MATCH(RolePhaseTotals[[#This Row],[Role '#]],RolesandSkills[Role '#],0),1)),0)</f>
        <v>0</v>
      </c>
      <c r="G21" s="586">
        <f ca="1">SUMIF(TandE[Phase],"Deliver",TandE[Role 11])+_xlfn.IFNA((INDEX(RolesandSkills[Deliver Hours],MATCH(RolePhaseTotals[[#This Row],[Role '#]],RolesandSkills[Role '#],0),1)),0)</f>
        <v>0</v>
      </c>
      <c r="H21" s="586">
        <f ca="1">SUMIF(TandE[Phase],"Close",TandE[Role 11])+_xlfn.IFNA((INDEX(RolesandSkills[Close Hours],MATCH(RolePhaseTotals[[#This Row],[Role '#]],RolesandSkills[Role '#],0),1)),0)</f>
        <v>0</v>
      </c>
      <c r="I21" s="586">
        <f ca="1">SUM(RolePhaseTotals[[#This Row],[Initiate]:[Close]])</f>
        <v>0</v>
      </c>
      <c r="J21" s="587">
        <f ca="1">IFERROR(RolePhaseTotals[[#This Row],[Total]]/RolePhaseTotals[[#Totals],[Total]],0)</f>
        <v>0</v>
      </c>
      <c r="L21" s="588" t="s">
        <v>480</v>
      </c>
      <c r="M21" s="589" t="str">
        <f ca="1">INDEX(RolesandSkills[Role + Practice],MATCH(Table21[[#This Row],[Role '#]],RolesandSkills[Role '#],0),1)</f>
        <v>-</v>
      </c>
      <c r="N21" s="586">
        <f t="shared" ca="1" si="9"/>
        <v>0</v>
      </c>
      <c r="O21" s="586">
        <f t="shared" ca="1" si="0"/>
        <v>0</v>
      </c>
      <c r="P21" s="586">
        <f t="shared" ca="1" si="1"/>
        <v>0</v>
      </c>
      <c r="Q21" s="586">
        <f t="shared" ca="1" si="2"/>
        <v>0</v>
      </c>
      <c r="R21" s="586">
        <f t="shared" ca="1" si="3"/>
        <v>0</v>
      </c>
      <c r="U21" s="588" t="s">
        <v>480</v>
      </c>
      <c r="V21" s="589" t="str">
        <f ca="1">INDEX(RolesandSkills[Role + Practice],MATCH(Table2114[[#This Row],[Role '#]],RolesandSkills[Role '#],0),1)</f>
        <v>-</v>
      </c>
      <c r="W21" s="587">
        <f t="shared" ca="1" si="4"/>
        <v>0</v>
      </c>
      <c r="X21" s="587">
        <f t="shared" ca="1" si="5"/>
        <v>0</v>
      </c>
      <c r="Y21" s="587">
        <f t="shared" ca="1" si="6"/>
        <v>0</v>
      </c>
      <c r="Z21" s="587">
        <f t="shared" ca="1" si="7"/>
        <v>0</v>
      </c>
      <c r="AA21" s="587">
        <f t="shared" ca="1" si="8"/>
        <v>0</v>
      </c>
    </row>
    <row r="22" spans="2:62">
      <c r="B22" s="584" t="s">
        <v>481</v>
      </c>
      <c r="C22" s="585" t="str">
        <f ca="1">INDEX(RolesandSkills[Role + Practice],MATCH(RolePhaseTotals[[#This Row],[Role '#]],RolesandSkills[Role '#],0),1)</f>
        <v>-</v>
      </c>
      <c r="D22" s="586">
        <f ca="1">SUMIF(TandE[Phase],"Initiate",TandE[Role 12])+_xlfn.IFNA((INDEX(RolesandSkills[Initiate Hours],MATCH(RolePhaseTotals[[#This Row],[Role '#]],RolesandSkills[Role '#],0),1)),0)</f>
        <v>0</v>
      </c>
      <c r="E22" s="586">
        <f ca="1">SUMIF(TandE[Phase],"Plan",TandE[Role 12])+_xlfn.IFNA((INDEX(RolesandSkills[Plan Hours],MATCH(RolePhaseTotals[[#This Row],[Role '#]],RolesandSkills[Role '#],0),1)),0)</f>
        <v>0</v>
      </c>
      <c r="F22" s="586">
        <f ca="1">SUMIF(TandE[Phase],"Execute",TandE[Role 12])+_xlfn.IFNA((INDEX(RolesandSkills[Execute Hours],MATCH(RolePhaseTotals[[#This Row],[Role '#]],RolesandSkills[Role '#],0),1)),0)</f>
        <v>0</v>
      </c>
      <c r="G22" s="586">
        <f ca="1">SUMIF(TandE[Phase],"Deliver",TandE[Role 12])+_xlfn.IFNA((INDEX(RolesandSkills[Deliver Hours],MATCH(RolePhaseTotals[[#This Row],[Role '#]],RolesandSkills[Role '#],0),1)),0)</f>
        <v>0</v>
      </c>
      <c r="H22" s="586">
        <f ca="1">SUMIF(TandE[Phase],"Close",TandE[Role 12])+_xlfn.IFNA((INDEX(RolesandSkills[Close Hours],MATCH(RolePhaseTotals[[#This Row],[Role '#]],RolesandSkills[Role '#],0),1)),0)</f>
        <v>0</v>
      </c>
      <c r="I22" s="586">
        <f ca="1">SUM(RolePhaseTotals[[#This Row],[Initiate]:[Close]])</f>
        <v>0</v>
      </c>
      <c r="J22" s="587">
        <f ca="1">IFERROR(RolePhaseTotals[[#This Row],[Total]]/RolePhaseTotals[[#Totals],[Total]],0)</f>
        <v>0</v>
      </c>
      <c r="L22" s="590" t="s">
        <v>481</v>
      </c>
      <c r="M22" s="589" t="str">
        <f ca="1">INDEX(RolesandSkills[Role + Practice],MATCH(Table21[[#This Row],[Role '#]],RolesandSkills[Role '#],0),1)</f>
        <v>-</v>
      </c>
      <c r="N22" s="586">
        <f t="shared" ca="1" si="9"/>
        <v>0</v>
      </c>
      <c r="O22" s="586">
        <f t="shared" ca="1" si="0"/>
        <v>0</v>
      </c>
      <c r="P22" s="586">
        <f t="shared" ca="1" si="1"/>
        <v>0</v>
      </c>
      <c r="Q22" s="586">
        <f t="shared" ca="1" si="2"/>
        <v>0</v>
      </c>
      <c r="R22" s="586">
        <f t="shared" ca="1" si="3"/>
        <v>0</v>
      </c>
      <c r="U22" s="590" t="s">
        <v>481</v>
      </c>
      <c r="V22" s="589" t="str">
        <f ca="1">INDEX(RolesandSkills[Role + Practice],MATCH(Table2114[[#This Row],[Role '#]],RolesandSkills[Role '#],0),1)</f>
        <v>-</v>
      </c>
      <c r="W22" s="587">
        <f t="shared" ca="1" si="4"/>
        <v>0</v>
      </c>
      <c r="X22" s="587">
        <f t="shared" ca="1" si="5"/>
        <v>0</v>
      </c>
      <c r="Y22" s="587">
        <f t="shared" ca="1" si="6"/>
        <v>0</v>
      </c>
      <c r="Z22" s="587">
        <f t="shared" ca="1" si="7"/>
        <v>0</v>
      </c>
      <c r="AA22" s="587">
        <f t="shared" ca="1" si="8"/>
        <v>0</v>
      </c>
    </row>
    <row r="23" spans="2:62">
      <c r="B23" s="584" t="s">
        <v>482</v>
      </c>
      <c r="C23" s="585" t="str">
        <f ca="1">INDEX(RolesandSkills[Role + Practice],MATCH(RolePhaseTotals[[#This Row],[Role '#]],RolesandSkills[Role '#],0),1)</f>
        <v>-</v>
      </c>
      <c r="D23" s="586">
        <f ca="1">SUMIF(TandE[Phase],"Initiate",TandE[Role 13])+_xlfn.IFNA((INDEX(RolesandSkills[Initiate Hours],MATCH(RolePhaseTotals[[#This Row],[Role '#]],RolesandSkills[Role '#],0),1)),0)</f>
        <v>0</v>
      </c>
      <c r="E23" s="586">
        <f ca="1">SUMIF(TandE[Phase],"Plan",TandE[Role 13])+_xlfn.IFNA((INDEX(RolesandSkills[Plan Hours],MATCH(RolePhaseTotals[[#This Row],[Role '#]],RolesandSkills[Role '#],0),1)),0)</f>
        <v>0</v>
      </c>
      <c r="F23" s="586">
        <f ca="1">SUMIF(TandE[Phase],"Execute",TandE[Role 13])+_xlfn.IFNA((INDEX(RolesandSkills[Execute Hours],MATCH(RolePhaseTotals[[#This Row],[Role '#]],RolesandSkills[Role '#],0),1)),0)</f>
        <v>0</v>
      </c>
      <c r="G23" s="586">
        <f ca="1">SUMIF(TandE[Phase],"Deliver",TandE[Role 13])+_xlfn.IFNA((INDEX(RolesandSkills[Deliver Hours],MATCH(RolePhaseTotals[[#This Row],[Role '#]],RolesandSkills[Role '#],0),1)),0)</f>
        <v>0</v>
      </c>
      <c r="H23" s="586">
        <f ca="1">SUMIF(TandE[Phase],"Close",TandE[Role 13])+_xlfn.IFNA((INDEX(RolesandSkills[Close Hours],MATCH(RolePhaseTotals[[#This Row],[Role '#]],RolesandSkills[Role '#],0),1)),0)</f>
        <v>0</v>
      </c>
      <c r="I23" s="586">
        <f ca="1">SUM(RolePhaseTotals[[#This Row],[Initiate]:[Close]])</f>
        <v>0</v>
      </c>
      <c r="J23" s="587">
        <f ca="1">IFERROR(RolePhaseTotals[[#This Row],[Total]]/RolePhaseTotals[[#Totals],[Total]],0)</f>
        <v>0</v>
      </c>
      <c r="L23" s="588" t="s">
        <v>482</v>
      </c>
      <c r="M23" s="589" t="str">
        <f ca="1">INDEX(RolesandSkills[Role + Practice],MATCH(Table21[[#This Row],[Role '#]],RolesandSkills[Role '#],0),1)</f>
        <v>-</v>
      </c>
      <c r="N23" s="586">
        <f t="shared" ca="1" si="9"/>
        <v>0</v>
      </c>
      <c r="O23" s="586">
        <f t="shared" ca="1" si="0"/>
        <v>0</v>
      </c>
      <c r="P23" s="586">
        <f t="shared" ca="1" si="1"/>
        <v>0</v>
      </c>
      <c r="Q23" s="586">
        <f t="shared" ca="1" si="2"/>
        <v>0</v>
      </c>
      <c r="R23" s="586">
        <f t="shared" ca="1" si="3"/>
        <v>0</v>
      </c>
      <c r="U23" s="588" t="s">
        <v>482</v>
      </c>
      <c r="V23" s="589" t="str">
        <f ca="1">INDEX(RolesandSkills[Role + Practice],MATCH(Table2114[[#This Row],[Role '#]],RolesandSkills[Role '#],0),1)</f>
        <v>-</v>
      </c>
      <c r="W23" s="587">
        <f t="shared" ca="1" si="4"/>
        <v>0</v>
      </c>
      <c r="X23" s="587">
        <f t="shared" ca="1" si="5"/>
        <v>0</v>
      </c>
      <c r="Y23" s="587">
        <f t="shared" ca="1" si="6"/>
        <v>0</v>
      </c>
      <c r="Z23" s="587">
        <f t="shared" ca="1" si="7"/>
        <v>0</v>
      </c>
      <c r="AA23" s="587">
        <f t="shared" ca="1" si="8"/>
        <v>0</v>
      </c>
    </row>
    <row r="24" spans="2:62">
      <c r="B24" s="584" t="s">
        <v>483</v>
      </c>
      <c r="C24" s="585" t="str">
        <f ca="1">INDEX(RolesandSkills[Role + Practice],MATCH(RolePhaseTotals[[#This Row],[Role '#]],RolesandSkills[Role '#],0),1)</f>
        <v>-</v>
      </c>
      <c r="D24" s="586">
        <f ca="1">SUMIF(TandE[Phase],"Initiate",TandE[Role 14])+_xlfn.IFNA((INDEX(RolesandSkills[Initiate Hours],MATCH(RolePhaseTotals[[#This Row],[Role '#]],RolesandSkills[Role '#],0),1)),0)</f>
        <v>0</v>
      </c>
      <c r="E24" s="586">
        <f ca="1">SUMIF(TandE[Phase],"Plan",TandE[Role 14])+_xlfn.IFNA((INDEX(RolesandSkills[Plan Hours],MATCH(RolePhaseTotals[[#This Row],[Role '#]],RolesandSkills[Role '#],0),1)),0)</f>
        <v>0</v>
      </c>
      <c r="F24" s="586">
        <f ca="1">SUMIF(TandE[Phase],"Execute",TandE[Role 14])+_xlfn.IFNA((INDEX(RolesandSkills[Execute Hours],MATCH(RolePhaseTotals[[#This Row],[Role '#]],RolesandSkills[Role '#],0),1)),0)</f>
        <v>0</v>
      </c>
      <c r="G24" s="586">
        <f ca="1">SUMIF(TandE[Phase],"Deliver",TandE[Role 14])+_xlfn.IFNA((INDEX(RolesandSkills[Deliver Hours],MATCH(RolePhaseTotals[[#This Row],[Role '#]],RolesandSkills[Role '#],0),1)),0)</f>
        <v>0</v>
      </c>
      <c r="H24" s="586">
        <f ca="1">SUMIF(TandE[Phase],"Close",TandE[Role 14])+_xlfn.IFNA((INDEX(RolesandSkills[Close Hours],MATCH(RolePhaseTotals[[#This Row],[Role '#]],RolesandSkills[Role '#],0),1)),0)</f>
        <v>0</v>
      </c>
      <c r="I24" s="586">
        <f ca="1">SUM(RolePhaseTotals[[#This Row],[Initiate]:[Close]])</f>
        <v>0</v>
      </c>
      <c r="J24" s="587">
        <f ca="1">IFERROR(RolePhaseTotals[[#This Row],[Total]]/RolePhaseTotals[[#Totals],[Total]],0)</f>
        <v>0</v>
      </c>
      <c r="L24" s="590" t="s">
        <v>483</v>
      </c>
      <c r="M24" s="589" t="str">
        <f ca="1">INDEX(RolesandSkills[Role + Practice],MATCH(Table21[[#This Row],[Role '#]],RolesandSkills[Role '#],0),1)</f>
        <v>-</v>
      </c>
      <c r="N24" s="586">
        <f t="shared" ca="1" si="9"/>
        <v>0</v>
      </c>
      <c r="O24" s="586">
        <f t="shared" ca="1" si="0"/>
        <v>0</v>
      </c>
      <c r="P24" s="586">
        <f t="shared" ca="1" si="1"/>
        <v>0</v>
      </c>
      <c r="Q24" s="586">
        <f t="shared" ca="1" si="2"/>
        <v>0</v>
      </c>
      <c r="R24" s="586">
        <f t="shared" ca="1" si="3"/>
        <v>0</v>
      </c>
      <c r="U24" s="590" t="s">
        <v>483</v>
      </c>
      <c r="V24" s="589" t="str">
        <f ca="1">INDEX(RolesandSkills[Role + Practice],MATCH(Table2114[[#This Row],[Role '#]],RolesandSkills[Role '#],0),1)</f>
        <v>-</v>
      </c>
      <c r="W24" s="587">
        <f t="shared" ca="1" si="4"/>
        <v>0</v>
      </c>
      <c r="X24" s="587">
        <f t="shared" ca="1" si="5"/>
        <v>0</v>
      </c>
      <c r="Y24" s="587">
        <f t="shared" ca="1" si="6"/>
        <v>0</v>
      </c>
      <c r="Z24" s="587">
        <f t="shared" ca="1" si="7"/>
        <v>0</v>
      </c>
      <c r="AA24" s="587">
        <f t="shared" ca="1" si="8"/>
        <v>0</v>
      </c>
    </row>
    <row r="25" spans="2:62">
      <c r="B25" s="584" t="s">
        <v>484</v>
      </c>
      <c r="C25" s="585" t="str">
        <f ca="1">INDEX(RolesandSkills[Role + Practice],MATCH(RolePhaseTotals[[#This Row],[Role '#]],RolesandSkills[Role '#],0),1)</f>
        <v>-</v>
      </c>
      <c r="D25" s="586">
        <f ca="1">SUMIF(TandE[Phase],"Initiate",TandE[Role 15])+_xlfn.IFNA((INDEX(RolesandSkills[Initiate Hours],MATCH(RolePhaseTotals[[#This Row],[Role '#]],RolesandSkills[Role '#],0),1)),0)</f>
        <v>0</v>
      </c>
      <c r="E25" s="586">
        <f ca="1">SUMIF(TandE[Phase],"Plan",TandE[Role 15])+_xlfn.IFNA((INDEX(RolesandSkills[Plan Hours],MATCH(RolePhaseTotals[[#This Row],[Role '#]],RolesandSkills[Role '#],0),1)),0)</f>
        <v>0</v>
      </c>
      <c r="F25" s="586">
        <f ca="1">SUMIF(TandE[Phase],"Execute",TandE[Role 15])+_xlfn.IFNA((INDEX(RolesandSkills[Execute Hours],MATCH(RolePhaseTotals[[#This Row],[Role '#]],RolesandSkills[Role '#],0),1)),0)</f>
        <v>0</v>
      </c>
      <c r="G25" s="586">
        <f ca="1">SUMIF(TandE[Phase],"Deliver",TandE[Role 15])+_xlfn.IFNA((INDEX(RolesandSkills[Deliver Hours],MATCH(RolePhaseTotals[[#This Row],[Role '#]],RolesandSkills[Role '#],0),1)),0)</f>
        <v>0</v>
      </c>
      <c r="H25" s="586">
        <f ca="1">SUMIF(TandE[Phase],"Close",TandE[Role 15])+_xlfn.IFNA((INDEX(RolesandSkills[Close Hours],MATCH(RolePhaseTotals[[#This Row],[Role '#]],RolesandSkills[Role '#],0),1)),0)</f>
        <v>0</v>
      </c>
      <c r="I25" s="586">
        <f ca="1">SUM(RolePhaseTotals[[#This Row],[Initiate]:[Close]])</f>
        <v>0</v>
      </c>
      <c r="J25" s="587">
        <f ca="1">IFERROR(RolePhaseTotals[[#This Row],[Total]]/RolePhaseTotals[[#Totals],[Total]],0)</f>
        <v>0</v>
      </c>
      <c r="L25" s="588" t="s">
        <v>484</v>
      </c>
      <c r="M25" s="589" t="str">
        <f ca="1">INDEX(RolesandSkills[Role + Practice],MATCH(Table21[[#This Row],[Role '#]],RolesandSkills[Role '#],0),1)</f>
        <v>-</v>
      </c>
      <c r="N25" s="586">
        <f t="shared" ca="1" si="9"/>
        <v>0</v>
      </c>
      <c r="O25" s="586">
        <f t="shared" ca="1" si="0"/>
        <v>0</v>
      </c>
      <c r="P25" s="586">
        <f t="shared" ca="1" si="1"/>
        <v>0</v>
      </c>
      <c r="Q25" s="586">
        <f t="shared" ca="1" si="2"/>
        <v>0</v>
      </c>
      <c r="R25" s="586">
        <f t="shared" ca="1" si="3"/>
        <v>0</v>
      </c>
      <c r="U25" s="588" t="s">
        <v>484</v>
      </c>
      <c r="V25" s="589" t="str">
        <f ca="1">INDEX(RolesandSkills[Role + Practice],MATCH(Table2114[[#This Row],[Role '#]],RolesandSkills[Role '#],0),1)</f>
        <v>-</v>
      </c>
      <c r="W25" s="587">
        <f t="shared" ca="1" si="4"/>
        <v>0</v>
      </c>
      <c r="X25" s="587">
        <f t="shared" ca="1" si="5"/>
        <v>0</v>
      </c>
      <c r="Y25" s="587">
        <f t="shared" ca="1" si="6"/>
        <v>0</v>
      </c>
      <c r="Z25" s="587">
        <f t="shared" ca="1" si="7"/>
        <v>0</v>
      </c>
      <c r="AA25" s="587">
        <f t="shared" ca="1" si="8"/>
        <v>0</v>
      </c>
    </row>
    <row r="26" spans="2:62">
      <c r="B26" s="584" t="s">
        <v>225</v>
      </c>
      <c r="C26" s="585"/>
      <c r="D26" s="586">
        <f ca="1">SUBTOTAL(109,RolePhaseTotals[Initiate])</f>
        <v>16</v>
      </c>
      <c r="E26" s="586">
        <f ca="1">SUBTOTAL(109,RolePhaseTotals[Plan])</f>
        <v>119</v>
      </c>
      <c r="F26" s="586">
        <f ca="1">SUBTOTAL(109,RolePhaseTotals[Execute])</f>
        <v>280</v>
      </c>
      <c r="G26" s="586">
        <f ca="1">SUBTOTAL(109,RolePhaseTotals[Deliver])</f>
        <v>44</v>
      </c>
      <c r="H26" s="586">
        <f ca="1">SUBTOTAL(109,RolePhaseTotals[Close])</f>
        <v>26</v>
      </c>
      <c r="I26" s="586">
        <f ca="1">SUBTOTAL(109,RolePhaseTotals[Total])</f>
        <v>485</v>
      </c>
      <c r="J26" s="584"/>
      <c r="L26" s="591" t="s">
        <v>225</v>
      </c>
      <c r="M26" s="592"/>
      <c r="N26" s="593">
        <f ca="1">SUBTOTAL(109,Table21[Initiate])</f>
        <v>16</v>
      </c>
      <c r="O26" s="593">
        <f ca="1">SUBTOTAL(109,Table21[Plan])</f>
        <v>119</v>
      </c>
      <c r="P26" s="593">
        <f ca="1">SUBTOTAL(109,Table21[Execute])</f>
        <v>70</v>
      </c>
      <c r="Q26" s="593">
        <f ca="1">SUBTOTAL(109,Table21[Deliver])</f>
        <v>44</v>
      </c>
      <c r="R26" s="593">
        <f ca="1">SUBTOTAL(109,Table21[Close])</f>
        <v>26</v>
      </c>
    </row>
    <row r="27" spans="2:62">
      <c r="B27" s="584" t="s">
        <v>623</v>
      </c>
      <c r="C27" s="585"/>
      <c r="D27" s="587">
        <f ca="1">IFERROR(RolePhaseTotals[[#Totals],[Initiate]]/RolePhaseTotals[[#Totals],[Total]],0)</f>
        <v>3.2989690721649485E-2</v>
      </c>
      <c r="E27" s="587">
        <f ca="1">IFERROR(RolePhaseTotals[[#Totals],[Plan]]/RolePhaseTotals[[#Totals],[Total]],0)</f>
        <v>0.24536082474226803</v>
      </c>
      <c r="F27" s="587">
        <f ca="1">IFERROR(RolePhaseTotals[[#Totals],[Execute]]/RolePhaseTotals[[#Totals],[Total]],0)</f>
        <v>0.57731958762886593</v>
      </c>
      <c r="G27" s="587">
        <f ca="1">IFERROR(RolePhaseTotals[[#Totals],[Deliver]]/RolePhaseTotals[[#Totals],[Total]],0)</f>
        <v>9.0721649484536079E-2</v>
      </c>
      <c r="H27" s="587">
        <f ca="1">IFERROR(RolePhaseTotals[[#Totals],[Close]]/RolePhaseTotals[[#Totals],[Total]],0)</f>
        <v>5.3608247422680409E-2</v>
      </c>
      <c r="I27" s="587"/>
      <c r="J27" s="584"/>
    </row>
    <row r="31" spans="2:62">
      <c r="B31" s="1217" t="s">
        <v>670</v>
      </c>
      <c r="C31" s="1218"/>
      <c r="D31" s="1218"/>
      <c r="E31" s="1218"/>
      <c r="F31" s="1218"/>
      <c r="G31" s="1218"/>
      <c r="H31" s="1218"/>
      <c r="I31" s="1218"/>
      <c r="J31" s="1218"/>
      <c r="K31" s="1218"/>
      <c r="L31" s="1218"/>
      <c r="M31" s="1218"/>
      <c r="N31" s="1218"/>
      <c r="O31" s="1218"/>
      <c r="P31" s="1218"/>
      <c r="Q31" s="1218"/>
      <c r="R31" s="1218"/>
      <c r="S31" s="1218"/>
      <c r="T31" s="1218"/>
      <c r="U31" s="1218"/>
      <c r="V31" s="1218"/>
      <c r="W31" s="1218"/>
      <c r="X31" s="1218"/>
      <c r="Y31" s="1218"/>
      <c r="Z31" s="1218"/>
      <c r="AA31" s="1218"/>
      <c r="AB31" s="1218"/>
      <c r="AC31" s="1218"/>
      <c r="AD31" s="1218"/>
      <c r="AE31" s="1218"/>
      <c r="AF31" s="1218"/>
      <c r="AG31" s="1218"/>
      <c r="AH31" s="1218"/>
      <c r="AI31" s="1218"/>
      <c r="AJ31" s="1218"/>
      <c r="AK31" s="1218"/>
      <c r="AL31" s="1218"/>
      <c r="AM31" s="1218"/>
      <c r="AN31" s="1218"/>
      <c r="AO31" s="1218"/>
      <c r="AP31" s="1218"/>
      <c r="AQ31" s="1218"/>
      <c r="AR31" s="1218"/>
      <c r="AS31" s="1218"/>
      <c r="AT31" s="1218"/>
      <c r="AU31" s="1218"/>
      <c r="AV31" s="1218"/>
      <c r="AW31" s="1218"/>
      <c r="AX31" s="1218"/>
      <c r="AY31" s="1218"/>
      <c r="AZ31" s="1218"/>
      <c r="BA31" s="1218"/>
      <c r="BB31" s="1218"/>
      <c r="BC31" s="1218"/>
      <c r="BD31" s="1218"/>
      <c r="BE31" s="1218"/>
      <c r="BF31" s="1218"/>
      <c r="BG31" s="1218"/>
      <c r="BH31" s="1218"/>
      <c r="BI31" s="1218"/>
      <c r="BJ31" s="1218"/>
    </row>
    <row r="32" spans="2:62" ht="75">
      <c r="B32" s="596" t="s">
        <v>548</v>
      </c>
      <c r="C32" s="597" t="s">
        <v>288</v>
      </c>
      <c r="D32" s="597" t="s">
        <v>347</v>
      </c>
      <c r="E32" s="597" t="s">
        <v>230</v>
      </c>
      <c r="F32" s="597" t="s">
        <v>281</v>
      </c>
      <c r="G32" s="597" t="s">
        <v>282</v>
      </c>
      <c r="H32" s="597" t="s">
        <v>283</v>
      </c>
      <c r="I32" s="767" t="s">
        <v>671</v>
      </c>
      <c r="J32" s="767" t="s">
        <v>672</v>
      </c>
      <c r="K32" s="580" t="s">
        <v>673</v>
      </c>
      <c r="L32" s="734" t="s">
        <v>674</v>
      </c>
      <c r="M32" s="734" t="s">
        <v>675</v>
      </c>
      <c r="N32" s="734" t="s">
        <v>676</v>
      </c>
      <c r="O32" s="734" t="s">
        <v>677</v>
      </c>
      <c r="P32" s="721" t="s">
        <v>678</v>
      </c>
      <c r="Q32" s="721" t="s">
        <v>679</v>
      </c>
      <c r="R32" s="721" t="s">
        <v>680</v>
      </c>
      <c r="S32" s="721" t="s">
        <v>681</v>
      </c>
      <c r="T32" s="721" t="s">
        <v>682</v>
      </c>
      <c r="U32" s="721" t="s">
        <v>683</v>
      </c>
      <c r="V32" s="721" t="s">
        <v>684</v>
      </c>
      <c r="W32" s="721" t="s">
        <v>685</v>
      </c>
      <c r="X32" s="721" t="s">
        <v>686</v>
      </c>
      <c r="Y32" s="721" t="s">
        <v>687</v>
      </c>
      <c r="Z32" s="721" t="s">
        <v>688</v>
      </c>
      <c r="AA32" s="721" t="s">
        <v>689</v>
      </c>
      <c r="AB32" s="721" t="s">
        <v>690</v>
      </c>
      <c r="AC32" s="721" t="s">
        <v>691</v>
      </c>
      <c r="AD32" s="721" t="s">
        <v>692</v>
      </c>
      <c r="AE32" s="721" t="s">
        <v>693</v>
      </c>
      <c r="AF32" s="721" t="s">
        <v>694</v>
      </c>
      <c r="AG32" s="721" t="s">
        <v>695</v>
      </c>
      <c r="AH32" s="721" t="s">
        <v>696</v>
      </c>
      <c r="AI32" s="721" t="s">
        <v>697</v>
      </c>
      <c r="AJ32" s="721" t="s">
        <v>698</v>
      </c>
      <c r="AK32" s="721" t="s">
        <v>699</v>
      </c>
      <c r="AL32" s="721" t="s">
        <v>700</v>
      </c>
      <c r="AM32" s="721" t="s">
        <v>701</v>
      </c>
      <c r="AN32" s="721" t="s">
        <v>702</v>
      </c>
      <c r="AO32" s="721" t="s">
        <v>703</v>
      </c>
      <c r="AP32" s="721" t="s">
        <v>704</v>
      </c>
      <c r="AQ32" s="721" t="s">
        <v>705</v>
      </c>
      <c r="AR32" s="721" t="s">
        <v>706</v>
      </c>
      <c r="AS32" s="721" t="s">
        <v>707</v>
      </c>
      <c r="AT32" s="721" t="s">
        <v>708</v>
      </c>
      <c r="AU32" s="721" t="s">
        <v>709</v>
      </c>
      <c r="AV32" s="721" t="s">
        <v>710</v>
      </c>
      <c r="AW32" s="721" t="s">
        <v>711</v>
      </c>
      <c r="AX32" s="721" t="s">
        <v>712</v>
      </c>
      <c r="AY32" s="721" t="s">
        <v>713</v>
      </c>
      <c r="AZ32" s="721" t="s">
        <v>714</v>
      </c>
      <c r="BA32" s="721" t="s">
        <v>715</v>
      </c>
      <c r="BB32" s="721" t="s">
        <v>716</v>
      </c>
      <c r="BC32" s="721" t="s">
        <v>717</v>
      </c>
      <c r="BD32" s="721" t="s">
        <v>718</v>
      </c>
      <c r="BE32" s="721" t="s">
        <v>719</v>
      </c>
      <c r="BF32" s="721" t="s">
        <v>720</v>
      </c>
      <c r="BG32" s="721" t="s">
        <v>721</v>
      </c>
      <c r="BH32" s="721" t="s">
        <v>722</v>
      </c>
      <c r="BI32" s="721" t="s">
        <v>723</v>
      </c>
      <c r="BJ32" s="721" t="s">
        <v>724</v>
      </c>
    </row>
    <row r="33" spans="2:62" ht="16.5" hidden="1" customHeight="1">
      <c r="B33" s="735"/>
      <c r="C33" s="736"/>
      <c r="D33" s="589"/>
      <c r="E33" s="589" t="e">
        <f ca="1">INDEX(RolesandSkills[Practice],MATCH(Table2117[[#This Row],[Role '#]],RolesandSkills[Role '#],0),1)</f>
        <v>#N/A</v>
      </c>
      <c r="F33" s="589"/>
      <c r="G33" s="589"/>
      <c r="H33" s="589"/>
      <c r="I33" s="768" t="str">
        <f t="shared" ref="I33:I48" si="10">I10</f>
        <v>Total</v>
      </c>
      <c r="J33" s="589">
        <f ca="1">SUM(Table2117[[#This Row],[1]:[52]])</f>
        <v>1378</v>
      </c>
      <c r="K33" s="586">
        <v>1</v>
      </c>
      <c r="L33" s="586">
        <v>2</v>
      </c>
      <c r="M33" s="586">
        <v>3</v>
      </c>
      <c r="N33" s="586">
        <v>4</v>
      </c>
      <c r="O33" s="586">
        <v>5</v>
      </c>
      <c r="P33" s="586">
        <v>6</v>
      </c>
      <c r="Q33" s="586">
        <v>7</v>
      </c>
      <c r="R33" s="586">
        <v>8</v>
      </c>
      <c r="S33" s="586">
        <v>9</v>
      </c>
      <c r="T33" s="586">
        <v>10</v>
      </c>
      <c r="U33" s="586">
        <v>11</v>
      </c>
      <c r="V33" s="586">
        <v>12</v>
      </c>
      <c r="W33" s="586">
        <v>13</v>
      </c>
      <c r="X33" s="586">
        <v>14</v>
      </c>
      <c r="Y33" s="586">
        <v>15</v>
      </c>
      <c r="Z33" s="586">
        <v>16</v>
      </c>
      <c r="AA33" s="586">
        <v>17</v>
      </c>
      <c r="AB33" s="586">
        <v>18</v>
      </c>
      <c r="AC33" s="586">
        <v>19</v>
      </c>
      <c r="AD33" s="586">
        <v>20</v>
      </c>
      <c r="AE33" s="586">
        <v>21</v>
      </c>
      <c r="AF33" s="586">
        <v>22</v>
      </c>
      <c r="AG33" s="586">
        <v>23</v>
      </c>
      <c r="AH33" s="586">
        <v>24</v>
      </c>
      <c r="AI33" s="586">
        <v>25</v>
      </c>
      <c r="AJ33" s="586">
        <v>26</v>
      </c>
      <c r="AK33" s="586">
        <v>27</v>
      </c>
      <c r="AL33" s="586">
        <v>28</v>
      </c>
      <c r="AM33" s="586">
        <v>29</v>
      </c>
      <c r="AN33" s="586">
        <v>30</v>
      </c>
      <c r="AO33" s="586">
        <v>31</v>
      </c>
      <c r="AP33" s="586">
        <v>32</v>
      </c>
      <c r="AQ33" s="586">
        <v>33</v>
      </c>
      <c r="AR33" s="586">
        <v>34</v>
      </c>
      <c r="AS33" s="586">
        <v>35</v>
      </c>
      <c r="AT33" s="586">
        <v>36</v>
      </c>
      <c r="AU33" s="586">
        <v>37</v>
      </c>
      <c r="AV33" s="586">
        <v>38</v>
      </c>
      <c r="AW33" s="586">
        <v>39</v>
      </c>
      <c r="AX33" s="586">
        <v>40</v>
      </c>
      <c r="AY33" s="586">
        <v>41</v>
      </c>
      <c r="AZ33" s="586">
        <v>42</v>
      </c>
      <c r="BA33" s="586">
        <v>43</v>
      </c>
      <c r="BB33" s="586">
        <v>44</v>
      </c>
      <c r="BC33" s="586">
        <v>45</v>
      </c>
      <c r="BD33" s="586">
        <v>46</v>
      </c>
      <c r="BE33" s="586">
        <v>47</v>
      </c>
      <c r="BF33" s="586">
        <v>48</v>
      </c>
      <c r="BG33" s="586">
        <v>49</v>
      </c>
      <c r="BH33" s="586">
        <v>50</v>
      </c>
      <c r="BI33" s="586">
        <v>51</v>
      </c>
      <c r="BJ33" s="586">
        <v>52</v>
      </c>
    </row>
    <row r="34" spans="2:62">
      <c r="B34" s="588" t="s">
        <v>470</v>
      </c>
      <c r="C34" s="589" t="str">
        <f ca="1">INDEX(RolesandSkills[Role + Practice],MATCH(Table2117[[#This Row],[Role '#]],RolesandSkills[Role '#],0),1)</f>
        <v>Project Manager-PMO</v>
      </c>
      <c r="D34" s="589" t="str">
        <f ca="1">INDEX(RolesandSkills[Resource Location],MATCH(Table2117[[#This Row],[Role '#]],RolesandSkills[Role '#],0),1)</f>
        <v>USA</v>
      </c>
      <c r="E34" s="589" t="str">
        <f ca="1">INDEX(RolesandSkills[Practice],MATCH(Table2117[[#This Row],[Role '#]],RolesandSkills[Role '#],0),1)</f>
        <v>PMO</v>
      </c>
      <c r="F34" s="589" t="str">
        <f ca="1">INDEX(RolesandSkills[Skill '#1],MATCH(Table2117[[#This Row],[Role '#]],RolesandSkills[Role '#],0),1)</f>
        <v/>
      </c>
      <c r="G34" s="589" t="str">
        <f ca="1">INDEX(RolesandSkills[Skill '#2],MATCH(Table2117[[#This Row],[Role '#]],RolesandSkills[Role '#],0),1)</f>
        <v/>
      </c>
      <c r="H34" s="589" t="str">
        <f ca="1">INDEX(RolesandSkills[Skill '#3],MATCH(Table2117[[#This Row],[Role '#]],RolesandSkills[Role '#],0),1)</f>
        <v/>
      </c>
      <c r="I34" s="768">
        <f t="shared" ca="1" si="10"/>
        <v>80</v>
      </c>
      <c r="J34" s="589">
        <f ca="1">SUM(Table2117[[#This Row],[1]:[52]])</f>
        <v>80</v>
      </c>
      <c r="K34" s="845" cm="1">
        <f t="array" aca="1" ref="K34" ca="1">SUM(IF(TandE[Start Week]&lt;=K33,IF(TandE[End Week]&gt;=K33,(TandE[Role 1]/(TandE[End Week]-(TandE[Start Week]-1)))),0))</f>
        <v>10</v>
      </c>
      <c r="L34" s="845" cm="1">
        <f t="array" aca="1" ref="L34" ca="1">SUM(IF(TandE[Start Week]&lt;=L33,IF(TandE[End Week]&gt;=L33,(TandE[Role 1]/(TandE[End Week]-(TandE[Start Week]-1)))),0))</f>
        <v>10</v>
      </c>
      <c r="M34" s="845" cm="1">
        <f t="array" aca="1" ref="M34" ca="1">SUM(IF(TandE[Start Week]&lt;=M33,IF(TandE[End Week]&gt;=M33,(TandE[Role 1]/(TandE[End Week]-(TandE[Start Week]-1)))),0))</f>
        <v>10</v>
      </c>
      <c r="N34" s="845" cm="1">
        <f t="array" aca="1" ref="N34" ca="1">SUM(IF(TandE[Start Week]&lt;=N33,IF(TandE[End Week]&gt;=N33,(TandE[Role 1]/(TandE[End Week]-(TandE[Start Week]-1)))),0))</f>
        <v>10</v>
      </c>
      <c r="O34" s="845" cm="1">
        <f t="array" aca="1" ref="O34" ca="1">SUM(IF(TandE[Start Week]&lt;=O33,IF(TandE[End Week]&gt;=O33,(TandE[Role 1]/(TandE[End Week]-(TandE[Start Week]-1)))),0))</f>
        <v>10</v>
      </c>
      <c r="P34" s="845" cm="1">
        <f t="array" aca="1" ref="P34" ca="1">SUM(IF(TandE[Start Week]&lt;=P33,IF(TandE[End Week]&gt;=P33,(TandE[Role 1]/(TandE[End Week]-(TandE[Start Week]-1)))),0))</f>
        <v>10</v>
      </c>
      <c r="Q34" s="845" cm="1">
        <f t="array" aca="1" ref="Q34" ca="1">SUM(IF(TandE[Start Week]&lt;=Q33,IF(TandE[End Week]&gt;=Q33,(TandE[Role 1]/(TandE[End Week]-(TandE[Start Week]-1)))),0))</f>
        <v>10</v>
      </c>
      <c r="R34" s="845" cm="1">
        <f t="array" aca="1" ref="R34" ca="1">SUM(IF(TandE[Start Week]&lt;=R33,IF(TandE[End Week]&gt;=R33,(TandE[Role 1]/(TandE[End Week]-(TandE[Start Week]-1)))),0))</f>
        <v>10</v>
      </c>
      <c r="S34" s="845" cm="1">
        <f t="array" aca="1" ref="S34" ca="1">SUM(IF(TandE[Start Week]&lt;=S33,IF(TandE[End Week]&gt;=S33,(TandE[Role 1]/(TandE[End Week]-(TandE[Start Week]-1)))),0))</f>
        <v>0</v>
      </c>
      <c r="T34" s="845" cm="1">
        <f t="array" aca="1" ref="T34" ca="1">SUM(IF(TandE[Start Week]&lt;=T33,IF(TandE[End Week]&gt;=T33,(TandE[Role 1]/(TandE[End Week]-(TandE[Start Week]-1)))),0))</f>
        <v>0</v>
      </c>
      <c r="U34" s="845" cm="1">
        <f t="array" aca="1" ref="U34" ca="1">SUM(IF(TandE[Start Week]&lt;=U33,IF(TandE[End Week]&gt;=U33,(TandE[Role 1]/(TandE[End Week]-(TandE[Start Week]-1)))),0))</f>
        <v>0</v>
      </c>
      <c r="V34" s="845" cm="1">
        <f t="array" aca="1" ref="V34" ca="1">SUM(IF(TandE[Start Week]&lt;=V33,IF(TandE[End Week]&gt;=V33,(TandE[Role 1]/(TandE[End Week]-(TandE[Start Week]-1)))),0))</f>
        <v>0</v>
      </c>
      <c r="W34" s="845" cm="1">
        <f t="array" aca="1" ref="W34" ca="1">SUM(IF(TandE[Start Week]&lt;=W33,IF(TandE[End Week]&gt;=W33,(TandE[Role 1]/(TandE[End Week]-(TandE[Start Week]-1)))),0))</f>
        <v>0</v>
      </c>
      <c r="X34" s="845" cm="1">
        <f t="array" aca="1" ref="X34" ca="1">SUM(IF(TandE[Start Week]&lt;=X33,IF(TandE[End Week]&gt;=X33,(TandE[Role 1]/(TandE[End Week]-(TandE[Start Week]-1)))),0))</f>
        <v>0</v>
      </c>
      <c r="Y34" s="845" cm="1">
        <f t="array" aca="1" ref="Y34" ca="1">SUM(IF(TandE[Start Week]&lt;=Y33,IF(TandE[End Week]&gt;=Y33,(TandE[Role 1]/(TandE[End Week]-(TandE[Start Week]-1)))),0))</f>
        <v>0</v>
      </c>
      <c r="Z34" s="845" cm="1">
        <f t="array" aca="1" ref="Z34" ca="1">SUM(IF(TandE[Start Week]&lt;=Z33,IF(TandE[End Week]&gt;=Z33,(TandE[Role 1]/(TandE[End Week]-(TandE[Start Week]-1)))),0))</f>
        <v>0</v>
      </c>
      <c r="AA34" s="845" cm="1">
        <f t="array" aca="1" ref="AA34" ca="1">SUM(IF(TandE[Start Week]&lt;=AA33,IF(TandE[End Week]&gt;=AA33,(TandE[Role 1]/(TandE[End Week]-(TandE[Start Week]-1)))),0))</f>
        <v>0</v>
      </c>
      <c r="AB34" s="845" cm="1">
        <f t="array" aca="1" ref="AB34" ca="1">SUM(IF(TandE[Start Week]&lt;=AB33,IF(TandE[End Week]&gt;=AB33,(TandE[Role 1]/(TandE[End Week]-(TandE[Start Week]-1)))),0))</f>
        <v>0</v>
      </c>
      <c r="AC34" s="845" cm="1">
        <f t="array" aca="1" ref="AC34" ca="1">SUM(IF(TandE[Start Week]&lt;=AC33,IF(TandE[End Week]&gt;=AC33,(TandE[Role 1]/(TandE[End Week]-(TandE[Start Week]-1)))),0))</f>
        <v>0</v>
      </c>
      <c r="AD34" s="845" cm="1">
        <f t="array" aca="1" ref="AD34" ca="1">SUM(IF(TandE[Start Week]&lt;=AD33,IF(TandE[End Week]&gt;=AD33,(TandE[Role 1]/(TandE[End Week]-(TandE[Start Week]-1)))),0))</f>
        <v>0</v>
      </c>
      <c r="AE34" s="845" cm="1">
        <f t="array" aca="1" ref="AE34" ca="1">SUM(IF(TandE[Start Week]&lt;=AE33,IF(TandE[End Week]&gt;=AE33,(TandE[Role 1]/(TandE[End Week]-(TandE[Start Week]-1)))),0))</f>
        <v>0</v>
      </c>
      <c r="AF34" s="845" cm="1">
        <f t="array" aca="1" ref="AF34" ca="1">SUM(IF(TandE[Start Week]&lt;=AF33,IF(TandE[End Week]&gt;=AF33,(TandE[Role 1]/(TandE[End Week]-(TandE[Start Week]-1)))),0))</f>
        <v>0</v>
      </c>
      <c r="AG34" s="845" cm="1">
        <f t="array" aca="1" ref="AG34" ca="1">SUM(IF(TandE[Start Week]&lt;=AG33,IF(TandE[End Week]&gt;=AG33,(TandE[Role 1]/(TandE[End Week]-(TandE[Start Week]-1)))),0))</f>
        <v>0</v>
      </c>
      <c r="AH34" s="845" cm="1">
        <f t="array" aca="1" ref="AH34" ca="1">SUM(IF(TandE[Start Week]&lt;=AH33,IF(TandE[[End Week]:[End Week]]&gt;=AH33,(TandE[[Role 1]:[Role 1]]/(TandE[[End Week]:[End Week]]-(TandE[[Start Week]:[Start Week]]-1)))),0))</f>
        <v>0</v>
      </c>
      <c r="AI34" s="845" cm="1">
        <f t="array" aca="1" ref="AI34" ca="1">SUM(IF(TandE[[Start Week]:[Start Week]]&lt;=AI33,IF(TandE[[End Week]:[End Week]]&gt;=AI33,(TandE[[Role 1]:[Role 1]]/(TandE[[End Week]:[End Week]]-(TandE[[Start Week]:[Start Week]]-1)))),0))</f>
        <v>0</v>
      </c>
      <c r="AJ34" s="845" cm="1">
        <f t="array" aca="1" ref="AJ34" ca="1">SUM(IF(TandE[[Start Week]:[Start Week]]&lt;=AJ33,IF(TandE[[End Week]:[End Week]]&gt;=AJ33,(TandE[[Role 1]:[Role 1]]/(TandE[[End Week]:[End Week]]-(TandE[[Start Week]:[Start Week]]-1)))),0))</f>
        <v>0</v>
      </c>
      <c r="AK34" s="845" cm="1">
        <f t="array" aca="1" ref="AK34" ca="1">SUM(IF(TandE[[Start Week]:[Start Week]]&lt;=AK33,IF(TandE[[End Week]:[End Week]]&gt;=AK33,(TandE[[Role 1]:[Role 1]]/(TandE[[End Week]:[End Week]]-(TandE[[Start Week]:[Start Week]]-1)))),0))</f>
        <v>0</v>
      </c>
      <c r="AL34" s="845" cm="1">
        <f t="array" aca="1" ref="AL34" ca="1">SUM(IF(TandE[[Start Week]:[Start Week]]&lt;=AL33,IF(TandE[[End Week]:[End Week]]&gt;=AL33,(TandE[[Role 1]:[Role 1]]/(TandE[[End Week]:[End Week]]-(TandE[[Start Week]:[Start Week]]-1)))),0))</f>
        <v>0</v>
      </c>
      <c r="AM34" s="845" cm="1">
        <f t="array" aca="1" ref="AM34" ca="1">SUM(IF(TandE[[Start Week]:[Start Week]]&lt;=AM33,IF(TandE[[End Week]:[End Week]]&gt;=AM33,(TandE[[Role 1]:[Role 1]]/(TandE[[End Week]:[End Week]]-(TandE[[Start Week]:[Start Week]]-1)))),0))</f>
        <v>0</v>
      </c>
      <c r="AN34" s="845" cm="1">
        <f t="array" aca="1" ref="AN34" ca="1">SUM(IF(TandE[[Start Week]:[Start Week]]&lt;=AN33,IF(TandE[[End Week]:[End Week]]&gt;=AN33,(TandE[[Role 1]:[Role 1]]/(TandE[[End Week]:[End Week]]-(TandE[[Start Week]:[Start Week]]-1)))),0))</f>
        <v>0</v>
      </c>
      <c r="AO34" s="845" cm="1">
        <f t="array" aca="1" ref="AO34" ca="1">SUM(IF(TandE[[Start Week]:[Start Week]]&lt;=AO33,IF(TandE[[End Week]:[End Week]]&gt;=AO33,(TandE[[Role 1]:[Role 1]]/(TandE[[End Week]:[End Week]]-(TandE[[Start Week]:[Start Week]]-1)))),0))</f>
        <v>0</v>
      </c>
      <c r="AP34" s="845" cm="1">
        <f t="array" aca="1" ref="AP34" ca="1">SUM(IF(TandE[[Start Week]:[Start Week]]&lt;=AP33,IF(TandE[[End Week]:[End Week]]&gt;=AP33,(TandE[[Role 1]:[Role 1]]/(TandE[[End Week]:[End Week]]-(TandE[[Start Week]:[Start Week]]-1)))),0))</f>
        <v>0</v>
      </c>
      <c r="AQ34" s="845" cm="1">
        <f t="array" aca="1" ref="AQ34" ca="1">SUM(IF(TandE[[Start Week]:[Start Week]]&lt;=AQ33,IF(TandE[[End Week]:[End Week]]&gt;=AQ33,(TandE[[Role 1]:[Role 1]]/(TandE[[End Week]:[End Week]]-(TandE[[Start Week]:[Start Week]]-1)))),0))</f>
        <v>0</v>
      </c>
      <c r="AR34" s="845" cm="1">
        <f t="array" aca="1" ref="AR34" ca="1">SUM(IF(TandE[[Start Week]:[Start Week]]&lt;=AR33,IF(TandE[[End Week]:[End Week]]&gt;=AR33,(TandE[[Role 1]:[Role 1]]/(TandE[[End Week]:[End Week]]-(TandE[[Start Week]:[Start Week]]-1)))),0))</f>
        <v>0</v>
      </c>
      <c r="AS34" s="845" cm="1">
        <f t="array" aca="1" ref="AS34" ca="1">SUM(IF(TandE[[Start Week]:[Start Week]]&lt;=AS33,IF(TandE[[End Week]:[End Week]]&gt;=AS33,(TandE[[Role 1]:[Role 1]]/(TandE[[End Week]:[End Week]]-(TandE[[Start Week]:[Start Week]]-1)))),0))</f>
        <v>0</v>
      </c>
      <c r="AT34" s="845" cm="1">
        <f t="array" aca="1" ref="AT34" ca="1">SUM(IF(TandE[[Start Week]:[Start Week]]&lt;=AT33,IF(TandE[[End Week]:[End Week]]&gt;=AT33,(TandE[[Role 1]:[Role 1]]/(TandE[[End Week]:[End Week]]-(TandE[[Start Week]:[Start Week]]-1)))),0))</f>
        <v>0</v>
      </c>
      <c r="AU34" s="845" cm="1">
        <f t="array" aca="1" ref="AU34" ca="1">SUM(IF(TandE[[Start Week]:[Start Week]]&lt;=AU33,IF(TandE[[End Week]:[End Week]]&gt;=AU33,(TandE[[Role 1]:[Role 1]]/(TandE[[End Week]:[End Week]]-(TandE[[Start Week]:[Start Week]]-1)))),0))</f>
        <v>0</v>
      </c>
      <c r="AV34" s="845" cm="1">
        <f t="array" aca="1" ref="AV34" ca="1">SUM(IF(TandE[[Start Week]:[Start Week]]&lt;=AV33,IF(TandE[[End Week]:[End Week]]&gt;=AV33,(TandE[[Role 1]:[Role 1]]/(TandE[[End Week]:[End Week]]-(TandE[[Start Week]:[Start Week]]-1)))),0))</f>
        <v>0</v>
      </c>
      <c r="AW34" s="845" cm="1">
        <f t="array" aca="1" ref="AW34" ca="1">SUM(IF(TandE[[Start Week]:[Start Week]]&lt;=AW33,IF(TandE[[End Week]:[End Week]]&gt;=AW33,(TandE[[Role 1]:[Role 1]]/(TandE[[End Week]:[End Week]]-(TandE[[Start Week]:[Start Week]]-1)))),0))</f>
        <v>0</v>
      </c>
      <c r="AX34" s="845" cm="1">
        <f t="array" aca="1" ref="AX34" ca="1">SUM(IF(TandE[[Start Week]:[Start Week]]&lt;=AX33,IF(TandE[[End Week]:[End Week]]&gt;=AX33,(TandE[[Role 1]:[Role 1]]/(TandE[[End Week]:[End Week]]-(TandE[[Start Week]:[Start Week]]-1)))),0))</f>
        <v>0</v>
      </c>
      <c r="AY34" s="845" cm="1">
        <f t="array" aca="1" ref="AY34" ca="1">SUM(IF(TandE[[Start Week]:[Start Week]]&lt;=AY33,IF(TandE[[End Week]:[End Week]]&gt;=AY33,(TandE[[Role 1]:[Role 1]]/(TandE[[End Week]:[End Week]]-(TandE[[Start Week]:[Start Week]]-1)))),0))</f>
        <v>0</v>
      </c>
      <c r="AZ34" s="845" cm="1">
        <f t="array" aca="1" ref="AZ34" ca="1">SUM(IF(TandE[[Start Week]:[Start Week]]&lt;=AZ33,IF(TandE[[End Week]:[End Week]]&gt;=AZ33,(TandE[[Role 1]:[Role 1]]/(TandE[[End Week]:[End Week]]-(TandE[[Start Week]:[Start Week]]-1)))),0))</f>
        <v>0</v>
      </c>
      <c r="BA34" s="845" cm="1">
        <f t="array" aca="1" ref="BA34" ca="1">SUM(IF(TandE[[Start Week]:[Start Week]]&lt;=BA33,IF(TandE[[End Week]:[End Week]]&gt;=BA33,(TandE[[Role 1]:[Role 1]]/(TandE[[End Week]:[End Week]]-(TandE[[Start Week]:[Start Week]]-1)))),0))</f>
        <v>0</v>
      </c>
      <c r="BB34" s="845" cm="1">
        <f t="array" aca="1" ref="BB34" ca="1">SUM(IF(TandE[[Start Week]:[Start Week]]&lt;=BB33,IF(TandE[[End Week]:[End Week]]&gt;=BB33,(TandE[[Role 1]:[Role 1]]/(TandE[[End Week]:[End Week]]-(TandE[[Start Week]:[Start Week]]-1)))),0))</f>
        <v>0</v>
      </c>
      <c r="BC34" s="845" cm="1">
        <f t="array" aca="1" ref="BC34" ca="1">SUM(IF(TandE[[Start Week]:[Start Week]]&lt;=BC33,IF(TandE[[End Week]:[End Week]]&gt;=BC33,(TandE[[Role 1]:[Role 1]]/(TandE[[End Week]:[End Week]]-(TandE[[Start Week]:[Start Week]]-1)))),0))</f>
        <v>0</v>
      </c>
      <c r="BD34" s="845" cm="1">
        <f t="array" aca="1" ref="BD34" ca="1">SUM(IF(TandE[[Start Week]:[Start Week]]&lt;=BD33,IF(TandE[[End Week]:[End Week]]&gt;=BD33,(TandE[[Role 1]:[Role 1]]/(TandE[[End Week]:[End Week]]-(TandE[[Start Week]:[Start Week]]-1)))),0))</f>
        <v>0</v>
      </c>
      <c r="BE34" s="845" cm="1">
        <f t="array" aca="1" ref="BE34" ca="1">SUM(IF(TandE[[Start Week]:[Start Week]]&lt;=BE33,IF(TandE[[End Week]:[End Week]]&gt;=BE33,(TandE[[Role 1]:[Role 1]]/(TandE[[End Week]:[End Week]]-(TandE[[Start Week]:[Start Week]]-1)))),0))</f>
        <v>0</v>
      </c>
      <c r="BF34" s="845" cm="1">
        <f t="array" aca="1" ref="BF34" ca="1">SUM(IF(TandE[[Start Week]:[Start Week]]&lt;=BF33,IF(TandE[[End Week]:[End Week]]&gt;=BF33,(TandE[[Role 1]:[Role 1]]/(TandE[[End Week]:[End Week]]-(TandE[[Start Week]:[Start Week]]-1)))),0))</f>
        <v>0</v>
      </c>
      <c r="BG34" s="845" cm="1">
        <f t="array" aca="1" ref="BG34" ca="1">SUM(IF(TandE[[Start Week]:[Start Week]]&lt;=BG33,IF(TandE[[End Week]:[End Week]]&gt;=BG33,(TandE[[Role 1]:[Role 1]]/(TandE[[End Week]:[End Week]]-(TandE[[Start Week]:[Start Week]]-1)))),0))</f>
        <v>0</v>
      </c>
      <c r="BH34" s="845" cm="1">
        <f t="array" aca="1" ref="BH34" ca="1">SUM(IF(TandE[[Start Week]:[Start Week]]&lt;=BH33,IF(TandE[[End Week]:[End Week]]&gt;=BH33,(TandE[[Role 1]:[Role 1]]/(TandE[[End Week]:[End Week]]-(TandE[[Start Week]:[Start Week]]-1)))),0))</f>
        <v>0</v>
      </c>
      <c r="BI34" s="845" cm="1">
        <f t="array" aca="1" ref="BI34" ca="1">SUM(IF(TandE[[Start Week]:[Start Week]]&lt;=BI33,IF(TandE[[End Week]:[End Week]]&gt;=BI33,(TandE[[Role 1]:[Role 1]]/(TandE[[End Week]:[End Week]]-(TandE[[Start Week]:[Start Week]]-1)))),0))</f>
        <v>0</v>
      </c>
      <c r="BJ34" s="845" cm="1">
        <f t="array" aca="1" ref="BJ34" ca="1">SUM(IF(TandE[[Start Week]:[Start Week]]&lt;=BJ33,IF(TandE[[End Week]:[End Week]]&gt;=BJ33,(TandE[[Role 1]:[Role 1]]/(TandE[[End Week]:[End Week]]-(TandE[[Start Week]:[Start Week]]-1)))),0))</f>
        <v>0</v>
      </c>
    </row>
    <row r="35" spans="2:62" ht="30">
      <c r="B35" s="590" t="s">
        <v>471</v>
      </c>
      <c r="C35" s="589" t="str">
        <f ca="1">INDEX(RolesandSkills[Role + Practice],MATCH(Table2117[[#This Row],[Role '#]],RolesandSkills[Role '#],0),1)</f>
        <v>Solution Architect-Technology</v>
      </c>
      <c r="D35" s="589" t="str">
        <f ca="1">INDEX(RolesandSkills[Resource Location],MATCH(Table2117[[#This Row],[Role '#]],RolesandSkills[Role '#],0),1)</f>
        <v>USA</v>
      </c>
      <c r="E35" s="589" t="str">
        <f ca="1">INDEX(RolesandSkills[Practice],MATCH(Table2117[[#This Row],[Role '#]],RolesandSkills[Role '#],0),1)</f>
        <v>Technology</v>
      </c>
      <c r="F35" s="589" t="str">
        <f ca="1">INDEX(RolesandSkills[Skill '#1],MATCH(Table2117[[#This Row],[Role '#]],RolesandSkills[Role '#],0),1)</f>
        <v>AI Now Assist ITSM</v>
      </c>
      <c r="G35" s="589" t="str">
        <f ca="1">INDEX(RolesandSkills[Skill '#2],MATCH(Table2117[[#This Row],[Role '#]],RolesandSkills[Role '#],0),1)</f>
        <v/>
      </c>
      <c r="H35" s="589" t="str">
        <f ca="1">INDEX(RolesandSkills[Skill '#3],MATCH(Table2117[[#This Row],[Role '#]],RolesandSkills[Role '#],0),1)</f>
        <v/>
      </c>
      <c r="I35" s="768">
        <f t="shared" ca="1" si="10"/>
        <v>79</v>
      </c>
      <c r="J35" s="589">
        <f ca="1">SUM(Table2117[[#This Row],[1]:[52]])</f>
        <v>79</v>
      </c>
      <c r="K35" s="845" cm="1">
        <f t="array" aca="1" ref="K35" ca="1">SUM(IF(TandE[Start Week]&lt;=K33,IF(TandE[End Week]&gt;=K33,(TandE[Role 2]/(TandE[End Week]-(TandE[Start Week]-1)))),0))</f>
        <v>2</v>
      </c>
      <c r="L35" s="845" cm="1">
        <f t="array" aca="1" ref="L35" ca="1">SUM(IF(TandE[[Start Week]:[Start Week]]&lt;=L33,IF(TandE[[End Week]:[End Week]]&gt;=L33,(TandE[[Role 2]:[Role 2]]/(TandE[[End Week]:[End Week]]-(TandE[[Start Week]:[Start Week]]-1)))),0))</f>
        <v>31</v>
      </c>
      <c r="M35" s="845" cm="1">
        <f t="array" aca="1" ref="M35" ca="1">SUM(IF(TandE[[Start Week]:[Start Week]]&lt;=M33,IF(TandE[[End Week]:[End Week]]&gt;=M33,(TandE[[Role 2]:[Role 2]]/(TandE[[End Week]:[End Week]]-(TandE[[Start Week]:[Start Week]]-1)))),0))</f>
        <v>9</v>
      </c>
      <c r="N35" s="845" cm="1">
        <f t="array" aca="1" ref="N35" ca="1">SUM(IF(TandE[[Start Week]:[Start Week]]&lt;=N33,IF(TandE[[End Week]:[End Week]]&gt;=N33,(TandE[[Role 2]:[Role 2]]/(TandE[[End Week]:[End Week]]-(TandE[[Start Week]:[Start Week]]-1)))),0))</f>
        <v>9</v>
      </c>
      <c r="O35" s="845" cm="1">
        <f t="array" aca="1" ref="O35" ca="1">SUM(IF(TandE[[Start Week]:[Start Week]]&lt;=O33,IF(TandE[[End Week]:[End Week]]&gt;=O33,(TandE[[Role 2]:[Role 2]]/(TandE[[End Week]:[End Week]]-(TandE[[Start Week]:[Start Week]]-1)))),0))</f>
        <v>9</v>
      </c>
      <c r="P35" s="845" cm="1">
        <f t="array" aca="1" ref="P35" ca="1">SUM(IF(TandE[[Start Week]:[Start Week]]&lt;=P33,IF(TandE[[End Week]:[End Week]]&gt;=P33,(TandE[[Role 2]:[Role 2]]/(TandE[[End Week]:[End Week]]-(TandE[[Start Week]:[Start Week]]-1)))),0))</f>
        <v>9</v>
      </c>
      <c r="Q35" s="845" cm="1">
        <f t="array" aca="1" ref="Q35" ca="1">SUM(IF(TandE[[Start Week]:[Start Week]]&lt;=Q33,IF(TandE[[End Week]:[End Week]]&gt;=Q33,(TandE[[Role 2]:[Role 2]]/(TandE[[End Week]:[End Week]]-(TandE[[Start Week]:[Start Week]]-1)))),0))</f>
        <v>8</v>
      </c>
      <c r="R35" s="845" cm="1">
        <f t="array" aca="1" ref="R35" ca="1">SUM(IF(TandE[[Start Week]:[Start Week]]&lt;=R33,IF(TandE[[End Week]:[End Week]]&gt;=R33,(TandE[[Role 2]:[Role 2]]/(TandE[[End Week]:[End Week]]-(TandE[[Start Week]:[Start Week]]-1)))),0))</f>
        <v>2</v>
      </c>
      <c r="S35" s="845" cm="1">
        <f t="array" aca="1" ref="S35" ca="1">SUM(IF(TandE[[Start Week]:[Start Week]]&lt;=S33,IF(TandE[[End Week]:[End Week]]&gt;=S33,(TandE[[Role 2]:[Role 2]]/(TandE[[End Week]:[End Week]]-(TandE[[Start Week]:[Start Week]]-1)))),0))</f>
        <v>0</v>
      </c>
      <c r="T35" s="845" cm="1">
        <f t="array" aca="1" ref="T35" ca="1">SUM(IF(TandE[[Start Week]:[Start Week]]&lt;=T33,IF(TandE[[End Week]:[End Week]]&gt;=T33,(TandE[[Role 2]:[Role 2]]/(TandE[[End Week]:[End Week]]-(TandE[[Start Week]:[Start Week]]-1)))),0))</f>
        <v>0</v>
      </c>
      <c r="U35" s="845" cm="1">
        <f t="array" aca="1" ref="U35" ca="1">SUM(IF(TandE[[Start Week]:[Start Week]]&lt;=U33,IF(TandE[[End Week]:[End Week]]&gt;=U33,(TandE[[Role 2]:[Role 2]]/(TandE[[End Week]:[End Week]]-(TandE[[Start Week]:[Start Week]]-1)))),0))</f>
        <v>0</v>
      </c>
      <c r="V35" s="845" cm="1">
        <f t="array" aca="1" ref="V35" ca="1">SUM(IF(TandE[[Start Week]:[Start Week]]&lt;=V33,IF(TandE[[End Week]:[End Week]]&gt;=V33,(TandE[[Role 2]:[Role 2]]/(TandE[[End Week]:[End Week]]-(TandE[[Start Week]:[Start Week]]-1)))),0))</f>
        <v>0</v>
      </c>
      <c r="W35" s="845" cm="1">
        <f t="array" aca="1" ref="W35" ca="1">SUM(IF(TandE[[Start Week]:[Start Week]]&lt;=W33,IF(TandE[[End Week]:[End Week]]&gt;=W33,(TandE[[Role 2]:[Role 2]]/(TandE[[End Week]:[End Week]]-(TandE[[Start Week]:[Start Week]]-1)))),0))</f>
        <v>0</v>
      </c>
      <c r="X35" s="845" cm="1">
        <f t="array" aca="1" ref="X35" ca="1">SUM(IF(TandE[[Start Week]:[Start Week]]&lt;=X33,IF(TandE[[End Week]:[End Week]]&gt;=X33,(TandE[[Role 2]:[Role 2]]/(TandE[[End Week]:[End Week]]-(TandE[[Start Week]:[Start Week]]-1)))),0))</f>
        <v>0</v>
      </c>
      <c r="Y35" s="845" cm="1">
        <f t="array" aca="1" ref="Y35" ca="1">SUM(IF(TandE[[Start Week]:[Start Week]]&lt;=Y33,IF(TandE[[End Week]:[End Week]]&gt;=Y33,(TandE[[Role 2]:[Role 2]]/(TandE[[End Week]:[End Week]]-(TandE[[Start Week]:[Start Week]]-1)))),0))</f>
        <v>0</v>
      </c>
      <c r="Z35" s="845" cm="1">
        <f t="array" aca="1" ref="Z35" ca="1">SUM(IF(TandE[[Start Week]:[Start Week]]&lt;=Z33,IF(TandE[[End Week]:[End Week]]&gt;=Z33,(TandE[[Role 2]:[Role 2]]/(TandE[[End Week]:[End Week]]-(TandE[[Start Week]:[Start Week]]-1)))),0))</f>
        <v>0</v>
      </c>
      <c r="AA35" s="845" cm="1">
        <f t="array" aca="1" ref="AA35" ca="1">SUM(IF(TandE[[Start Week]:[Start Week]]&lt;=AA33,IF(TandE[[End Week]:[End Week]]&gt;=AA33,(TandE[[Role 2]:[Role 2]]/(TandE[[End Week]:[End Week]]-(TandE[[Start Week]:[Start Week]]-1)))),0))</f>
        <v>0</v>
      </c>
      <c r="AB35" s="845" cm="1">
        <f t="array" aca="1" ref="AB35" ca="1">SUM(IF(TandE[[Start Week]:[Start Week]]&lt;=AB33,IF(TandE[[End Week]:[End Week]]&gt;=AB33,(TandE[[Role 2]:[Role 2]]/(TandE[[End Week]:[End Week]]-(TandE[[Start Week]:[Start Week]]-1)))),0))</f>
        <v>0</v>
      </c>
      <c r="AC35" s="845" cm="1">
        <f t="array" aca="1" ref="AC35" ca="1">SUM(IF(TandE[[Start Week]:[Start Week]]&lt;=AC33,IF(TandE[[End Week]:[End Week]]&gt;=AC33,(TandE[[Role 2]:[Role 2]]/(TandE[[End Week]:[End Week]]-(TandE[[Start Week]:[Start Week]]-1)))),0))</f>
        <v>0</v>
      </c>
      <c r="AD35" s="845" cm="1">
        <f t="array" aca="1" ref="AD35" ca="1">SUM(IF(TandE[[Start Week]:[Start Week]]&lt;=AD33,IF(TandE[[End Week]:[End Week]]&gt;=AD33,(TandE[[Role 2]:[Role 2]]/(TandE[[End Week]:[End Week]]-(TandE[[Start Week]:[Start Week]]-1)))),0))</f>
        <v>0</v>
      </c>
      <c r="AE35" s="845" cm="1">
        <f t="array" aca="1" ref="AE35" ca="1">SUM(IF(TandE[[Start Week]:[Start Week]]&lt;=AE33,IF(TandE[[End Week]:[End Week]]&gt;=AE33,(TandE[[Role 2]:[Role 2]]/(TandE[[End Week]:[End Week]]-(TandE[[Start Week]:[Start Week]]-1)))),0))</f>
        <v>0</v>
      </c>
      <c r="AF35" s="845" cm="1">
        <f t="array" aca="1" ref="AF35" ca="1">SUM(IF(TandE[[Start Week]:[Start Week]]&lt;=AF33,IF(TandE[[End Week]:[End Week]]&gt;=AF33,(TandE[[Role 2]:[Role 2]]/(TandE[[End Week]:[End Week]]-(TandE[[Start Week]:[Start Week]]-1)))),0))</f>
        <v>0</v>
      </c>
      <c r="AG35" s="845" cm="1">
        <f t="array" aca="1" ref="AG35" ca="1">SUM(IF(TandE[[Start Week]:[Start Week]]&lt;=AG33,IF(TandE[[End Week]:[End Week]]&gt;=AG33,(TandE[[Role 2]:[Role 2]]/(TandE[[End Week]:[End Week]]-(TandE[[Start Week]:[Start Week]]-1)))),0))</f>
        <v>0</v>
      </c>
      <c r="AH35" s="845" cm="1">
        <f t="array" aca="1" ref="AH35" ca="1">SUM(IF(TandE[[Start Week]:[Start Week]]&lt;=AH33,IF(TandE[[End Week]:[End Week]]&gt;=AH33,(TandE[[Role 2]:[Role 2]]/(TandE[[End Week]:[End Week]]-(TandE[[Start Week]:[Start Week]]-1)))),0))</f>
        <v>0</v>
      </c>
      <c r="AI35" s="845" cm="1">
        <f t="array" aca="1" ref="AI35" ca="1">SUM(IF(TandE[[Start Week]:[Start Week]]&lt;=AI33,IF(TandE[[End Week]:[End Week]]&gt;=AI33,(TandE[[Role 2]:[Role 2]]/(TandE[[End Week]:[End Week]]-(TandE[[Start Week]:[Start Week]]-1)))),0))</f>
        <v>0</v>
      </c>
      <c r="AJ35" s="845" cm="1">
        <f t="array" aca="1" ref="AJ35" ca="1">SUM(IF(TandE[[Start Week]:[Start Week]]&lt;=AJ33,IF(TandE[[End Week]:[End Week]]&gt;=AJ33,(TandE[[Role 2]:[Role 2]]/(TandE[[End Week]:[End Week]]-(TandE[[Start Week]:[Start Week]]-1)))),0))</f>
        <v>0</v>
      </c>
      <c r="AK35" s="845" cm="1">
        <f t="array" aca="1" ref="AK35" ca="1">SUM(IF(TandE[[Start Week]:[Start Week]]&lt;=AK33,IF(TandE[[End Week]:[End Week]]&gt;=AK33,(TandE[[Role 2]:[Role 2]]/(TandE[[End Week]:[End Week]]-(TandE[[Start Week]:[Start Week]]-1)))),0))</f>
        <v>0</v>
      </c>
      <c r="AL35" s="845" cm="1">
        <f t="array" aca="1" ref="AL35" ca="1">SUM(IF(TandE[[Start Week]:[Start Week]]&lt;=AL33,IF(TandE[[End Week]:[End Week]]&gt;=AL33,(TandE[[Role 2]:[Role 2]]/(TandE[[End Week]:[End Week]]-(TandE[[Start Week]:[Start Week]]-1)))),0))</f>
        <v>0</v>
      </c>
      <c r="AM35" s="845" cm="1">
        <f t="array" aca="1" ref="AM35" ca="1">SUM(IF(TandE[[Start Week]:[Start Week]]&lt;=AM33,IF(TandE[[End Week]:[End Week]]&gt;=AM33,(TandE[[Role 2]:[Role 2]]/(TandE[[End Week]:[End Week]]-(TandE[[Start Week]:[Start Week]]-1)))),0))</f>
        <v>0</v>
      </c>
      <c r="AN35" s="845" cm="1">
        <f t="array" aca="1" ref="AN35" ca="1">SUM(IF(TandE[[Start Week]:[Start Week]]&lt;=AN33,IF(TandE[[End Week]:[End Week]]&gt;=AN33,(TandE[[Role 2]:[Role 2]]/(TandE[[End Week]:[End Week]]-(TandE[[Start Week]:[Start Week]]-1)))),0))</f>
        <v>0</v>
      </c>
      <c r="AO35" s="845" cm="1">
        <f t="array" aca="1" ref="AO35" ca="1">SUM(IF(TandE[[Start Week]:[Start Week]]&lt;=AO33,IF(TandE[[End Week]:[End Week]]&gt;=AO33,(TandE[[Role 2]:[Role 2]]/(TandE[[End Week]:[End Week]]-(TandE[[Start Week]:[Start Week]]-1)))),0))</f>
        <v>0</v>
      </c>
      <c r="AP35" s="845" cm="1">
        <f t="array" aca="1" ref="AP35" ca="1">SUM(IF(TandE[[Start Week]:[Start Week]]&lt;=AP33,IF(TandE[[End Week]:[End Week]]&gt;=AP33,(TandE[[Role 2]:[Role 2]]/(TandE[[End Week]:[End Week]]-(TandE[[Start Week]:[Start Week]]-1)))),0))</f>
        <v>0</v>
      </c>
      <c r="AQ35" s="845" cm="1">
        <f t="array" aca="1" ref="AQ35" ca="1">SUM(IF(TandE[[Start Week]:[Start Week]]&lt;=AQ33,IF(TandE[[End Week]:[End Week]]&gt;=AQ33,(TandE[[Role 2]:[Role 2]]/(TandE[[End Week]:[End Week]]-(TandE[[Start Week]:[Start Week]]-1)))),0))</f>
        <v>0</v>
      </c>
      <c r="AR35" s="845" cm="1">
        <f t="array" aca="1" ref="AR35" ca="1">SUM(IF(TandE[[Start Week]:[Start Week]]&lt;=AR33,IF(TandE[[End Week]:[End Week]]&gt;=AR33,(TandE[[Role 2]:[Role 2]]/(TandE[[End Week]:[End Week]]-(TandE[[Start Week]:[Start Week]]-1)))),0))</f>
        <v>0</v>
      </c>
      <c r="AS35" s="845" cm="1">
        <f t="array" aca="1" ref="AS35" ca="1">SUM(IF(TandE[[Start Week]:[Start Week]]&lt;=AS33,IF(TandE[[End Week]:[End Week]]&gt;=AS33,(TandE[[Role 2]:[Role 2]]/(TandE[[End Week]:[End Week]]-(TandE[[Start Week]:[Start Week]]-1)))),0))</f>
        <v>0</v>
      </c>
      <c r="AT35" s="845" cm="1">
        <f t="array" aca="1" ref="AT35" ca="1">SUM(IF(TandE[[Start Week]:[Start Week]]&lt;=AT33,IF(TandE[[End Week]:[End Week]]&gt;=AT33,(TandE[[Role 2]:[Role 2]]/(TandE[[End Week]:[End Week]]-(TandE[[Start Week]:[Start Week]]-1)))),0))</f>
        <v>0</v>
      </c>
      <c r="AU35" s="845" cm="1">
        <f t="array" aca="1" ref="AU35" ca="1">SUM(IF(TandE[[Start Week]:[Start Week]]&lt;=AU33,IF(TandE[[End Week]:[End Week]]&gt;=AU33,(TandE[[Role 2]:[Role 2]]/(TandE[[End Week]:[End Week]]-(TandE[[Start Week]:[Start Week]]-1)))),0))</f>
        <v>0</v>
      </c>
      <c r="AV35" s="845" cm="1">
        <f t="array" aca="1" ref="AV35" ca="1">SUM(IF(TandE[[Start Week]:[Start Week]]&lt;=AV33,IF(TandE[[End Week]:[End Week]]&gt;=AV33,(TandE[[Role 2]:[Role 2]]/(TandE[[End Week]:[End Week]]-(TandE[[Start Week]:[Start Week]]-1)))),0))</f>
        <v>0</v>
      </c>
      <c r="AW35" s="845" cm="1">
        <f t="array" aca="1" ref="AW35" ca="1">SUM(IF(TandE[[Start Week]:[Start Week]]&lt;=AW33,IF(TandE[[End Week]:[End Week]]&gt;=AW33,(TandE[[Role 2]:[Role 2]]/(TandE[[End Week]:[End Week]]-(TandE[[Start Week]:[Start Week]]-1)))),0))</f>
        <v>0</v>
      </c>
      <c r="AX35" s="845" cm="1">
        <f t="array" aca="1" ref="AX35" ca="1">SUM(IF(TandE[[Start Week]:[Start Week]]&lt;=AX33,IF(TandE[[End Week]:[End Week]]&gt;=AX33,(TandE[[Role 2]:[Role 2]]/(TandE[[End Week]:[End Week]]-(TandE[[Start Week]:[Start Week]]-1)))),0))</f>
        <v>0</v>
      </c>
      <c r="AY35" s="845" cm="1">
        <f t="array" aca="1" ref="AY35" ca="1">SUM(IF(TandE[[Start Week]:[Start Week]]&lt;=AY33,IF(TandE[[End Week]:[End Week]]&gt;=AY33,(TandE[[Role 2]:[Role 2]]/(TandE[[End Week]:[End Week]]-(TandE[[Start Week]:[Start Week]]-1)))),0))</f>
        <v>0</v>
      </c>
      <c r="AZ35" s="845" cm="1">
        <f t="array" aca="1" ref="AZ35" ca="1">SUM(IF(TandE[[Start Week]:[Start Week]]&lt;=AZ33,IF(TandE[[End Week]:[End Week]]&gt;=AZ33,(TandE[[Role 2]:[Role 2]]/(TandE[[End Week]:[End Week]]-(TandE[[Start Week]:[Start Week]]-1)))),0))</f>
        <v>0</v>
      </c>
      <c r="BA35" s="845" cm="1">
        <f t="array" aca="1" ref="BA35" ca="1">SUM(IF(TandE[[Start Week]:[Start Week]]&lt;=BA33,IF(TandE[[End Week]:[End Week]]&gt;=BA33,(TandE[[Role 2]:[Role 2]]/(TandE[[End Week]:[End Week]]-(TandE[[Start Week]:[Start Week]]-1)))),0))</f>
        <v>0</v>
      </c>
      <c r="BB35" s="845" cm="1">
        <f t="array" aca="1" ref="BB35" ca="1">SUM(IF(TandE[[Start Week]:[Start Week]]&lt;=BB33,IF(TandE[[End Week]:[End Week]]&gt;=BB33,(TandE[[Role 2]:[Role 2]]/(TandE[[End Week]:[End Week]]-(TandE[[Start Week]:[Start Week]]-1)))),0))</f>
        <v>0</v>
      </c>
      <c r="BC35" s="845" cm="1">
        <f t="array" aca="1" ref="BC35" ca="1">SUM(IF(TandE[[Start Week]:[Start Week]]&lt;=BC33,IF(TandE[[End Week]:[End Week]]&gt;=BC33,(TandE[[Role 2]:[Role 2]]/(TandE[[End Week]:[End Week]]-(TandE[[Start Week]:[Start Week]]-1)))),0))</f>
        <v>0</v>
      </c>
      <c r="BD35" s="845" cm="1">
        <f t="array" aca="1" ref="BD35" ca="1">SUM(IF(TandE[[Start Week]:[Start Week]]&lt;=BD33,IF(TandE[[End Week]:[End Week]]&gt;=BD33,(TandE[[Role 2]:[Role 2]]/(TandE[[End Week]:[End Week]]-(TandE[[Start Week]:[Start Week]]-1)))),0))</f>
        <v>0</v>
      </c>
      <c r="BE35" s="845" cm="1">
        <f t="array" aca="1" ref="BE35" ca="1">SUM(IF(TandE[[Start Week]:[Start Week]]&lt;=BE33,IF(TandE[[End Week]:[End Week]]&gt;=BE33,(TandE[[Role 2]:[Role 2]]/(TandE[[End Week]:[End Week]]-(TandE[[Start Week]:[Start Week]]-1)))),0))</f>
        <v>0</v>
      </c>
      <c r="BF35" s="845" cm="1">
        <f t="array" aca="1" ref="BF35" ca="1">SUM(IF(TandE[[Start Week]:[Start Week]]&lt;=BF33,IF(TandE[[End Week]:[End Week]]&gt;=BF33,(TandE[[Role 2]:[Role 2]]/(TandE[[End Week]:[End Week]]-(TandE[[Start Week]:[Start Week]]-1)))),0))</f>
        <v>0</v>
      </c>
      <c r="BG35" s="845" cm="1">
        <f t="array" aca="1" ref="BG35" ca="1">SUM(IF(TandE[[Start Week]:[Start Week]]&lt;=BG33,IF(TandE[[End Week]:[End Week]]&gt;=BG33,(TandE[[Role 2]:[Role 2]]/(TandE[[End Week]:[End Week]]-(TandE[[Start Week]:[Start Week]]-1)))),0))</f>
        <v>0</v>
      </c>
      <c r="BH35" s="845" cm="1">
        <f t="array" aca="1" ref="BH35" ca="1">SUM(IF(TandE[[Start Week]:[Start Week]]&lt;=BH33,IF(TandE[[End Week]:[End Week]]&gt;=BH33,(TandE[[Role 2]:[Role 2]]/(TandE[[End Week]:[End Week]]-(TandE[[Start Week]:[Start Week]]-1)))),0))</f>
        <v>0</v>
      </c>
      <c r="BI35" s="845" cm="1">
        <f t="array" aca="1" ref="BI35" ca="1">SUM(IF(TandE[[Start Week]:[Start Week]]&lt;=BI33,IF(TandE[[End Week]:[End Week]]&gt;=BI33,(TandE[[Role 2]:[Role 2]]/(TandE[[End Week]:[End Week]]-(TandE[[Start Week]:[Start Week]]-1)))),0))</f>
        <v>0</v>
      </c>
      <c r="BJ35" s="845" cm="1">
        <f t="array" aca="1" ref="BJ35" ca="1">SUM(IF(TandE[[Start Week]:[Start Week]]&lt;=BJ33,IF(TandE[[End Week]:[End Week]]&gt;=BJ33,(TandE[[Role 2]:[Role 2]]/(TandE[[End Week]:[End Week]]-(TandE[[Start Week]:[Start Week]]-1)))),0))</f>
        <v>0</v>
      </c>
    </row>
    <row r="36" spans="2:62" ht="30">
      <c r="B36" s="588" t="s">
        <v>472</v>
      </c>
      <c r="C36" s="589" t="str">
        <f ca="1">INDEX(RolesandSkills[Role + Practice],MATCH(Table2117[[#This Row],[Role '#]],RolesandSkills[Role '#],0),1)</f>
        <v>Business Process Consultant-Technology</v>
      </c>
      <c r="D36" s="589" t="str">
        <f ca="1">INDEX(RolesandSkills[Resource Location],MATCH(Table2117[[#This Row],[Role '#]],RolesandSkills[Role '#],0),1)</f>
        <v>USA</v>
      </c>
      <c r="E36" s="589" t="str">
        <f ca="1">INDEX(RolesandSkills[Practice],MATCH(Table2117[[#This Row],[Role '#]],RolesandSkills[Role '#],0),1)</f>
        <v>Technology</v>
      </c>
      <c r="F36" s="589" t="str">
        <f ca="1">INDEX(RolesandSkills[Skill '#1],MATCH(Table2117[[#This Row],[Role '#]],RolesandSkills[Role '#],0),1)</f>
        <v>AI Now Assist ITSM</v>
      </c>
      <c r="G36" s="589" t="str">
        <f ca="1">INDEX(RolesandSkills[Skill '#2],MATCH(Table2117[[#This Row],[Role '#]],RolesandSkills[Role '#],0),1)</f>
        <v/>
      </c>
      <c r="H36" s="589" t="str">
        <f ca="1">INDEX(RolesandSkills[Skill '#3],MATCH(Table2117[[#This Row],[Role '#]],RolesandSkills[Role '#],0),1)</f>
        <v/>
      </c>
      <c r="I36" s="768">
        <f t="shared" ca="1" si="10"/>
        <v>120</v>
      </c>
      <c r="J36" s="589">
        <f ca="1">SUM(Table2117[[#This Row],[1]:[52]])</f>
        <v>120</v>
      </c>
      <c r="K36" s="845" cm="1">
        <f t="array" aca="1" ref="K36" ca="1">SUM(IF(TandE[Start Week]&lt;=K33,IF(TandE[End Week]&gt;=K33,(TandE[Role 3]/(TandE[End Week]-(TandE[Start Week]-1)))),0))</f>
        <v>2</v>
      </c>
      <c r="L36" s="845" cm="1">
        <f t="array" aca="1" ref="L36" ca="1">SUM(IF(TandE[[Start Week]:[Start Week]]&lt;=L33,IF(TandE[[End Week]:[End Week]]&gt;=L33,(TandE[[Role 3]:[Role 3]]/(TandE[[End Week]:[End Week]]-(TandE[[Start Week]:[Start Week]]-1)))),0))</f>
        <v>40</v>
      </c>
      <c r="M36" s="845" cm="1">
        <f t="array" aca="1" ref="M36" ca="1">SUM(IF(TandE[[Start Week]:[Start Week]]&lt;=M33,IF(TandE[[End Week]:[End Week]]&gt;=M33,(TandE[[Role 3]:[Role 3]]/(TandE[[End Week]:[End Week]]-(TandE[[Start Week]:[Start Week]]-1)))),0))</f>
        <v>18</v>
      </c>
      <c r="N36" s="845" cm="1">
        <f t="array" aca="1" ref="N36" ca="1">SUM(IF(TandE[[Start Week]:[Start Week]]&lt;=N33,IF(TandE[[End Week]:[End Week]]&gt;=N33,(TandE[[Role 3]:[Role 3]]/(TandE[[End Week]:[End Week]]-(TandE[[Start Week]:[Start Week]]-1)))),0))</f>
        <v>18</v>
      </c>
      <c r="O36" s="845" cm="1">
        <f t="array" aca="1" ref="O36" ca="1">SUM(IF(TandE[[Start Week]:[Start Week]]&lt;=O33,IF(TandE[[End Week]:[End Week]]&gt;=O33,(TandE[[Role 3]:[Role 3]]/(TandE[[End Week]:[End Week]]-(TandE[[Start Week]:[Start Week]]-1)))),0))</f>
        <v>18</v>
      </c>
      <c r="P36" s="845" cm="1">
        <f t="array" aca="1" ref="P36" ca="1">SUM(IF(TandE[[Start Week]:[Start Week]]&lt;=P33,IF(TandE[[End Week]:[End Week]]&gt;=P33,(TandE[[Role 3]:[Role 3]]/(TandE[[End Week]:[End Week]]-(TandE[[Start Week]:[Start Week]]-1)))),0))</f>
        <v>18</v>
      </c>
      <c r="Q36" s="845" cm="1">
        <f t="array" aca="1" ref="Q36" ca="1">SUM(IF(TandE[[Start Week]:[Start Week]]&lt;=Q33,IF(TandE[[End Week]:[End Week]]&gt;=Q33,(TandE[[Role 3]:[Role 3]]/(TandE[[End Week]:[End Week]]-(TandE[[Start Week]:[Start Week]]-1)))),0))</f>
        <v>4</v>
      </c>
      <c r="R36" s="845" cm="1">
        <f t="array" aca="1" ref="R36" ca="1">SUM(IF(TandE[[Start Week]:[Start Week]]&lt;=R33,IF(TandE[[End Week]:[End Week]]&gt;=R33,(TandE[[Role 3]:[Role 3]]/(TandE[[End Week]:[End Week]]-(TandE[[Start Week]:[Start Week]]-1)))),0))</f>
        <v>2</v>
      </c>
      <c r="S36" s="845" cm="1">
        <f t="array" aca="1" ref="S36" ca="1">SUM(IF(TandE[[Start Week]:[Start Week]]&lt;=S33,IF(TandE[[End Week]:[End Week]]&gt;=S33,(TandE[[Role 3]:[Role 3]]/(TandE[[End Week]:[End Week]]-(TandE[[Start Week]:[Start Week]]-1)))),0))</f>
        <v>0</v>
      </c>
      <c r="T36" s="845" cm="1">
        <f t="array" aca="1" ref="T36" ca="1">SUM(IF(TandE[[Start Week]:[Start Week]]&lt;=T33,IF(TandE[[End Week]:[End Week]]&gt;=T33,(TandE[[Role 3]:[Role 3]]/(TandE[[End Week]:[End Week]]-(TandE[[Start Week]:[Start Week]]-1)))),0))</f>
        <v>0</v>
      </c>
      <c r="U36" s="845" cm="1">
        <f t="array" aca="1" ref="U36" ca="1">SUM(IF(TandE[[Start Week]:[Start Week]]&lt;=U33,IF(TandE[[End Week]:[End Week]]&gt;=U33,(TandE[[Role 3]:[Role 3]]/(TandE[[End Week]:[End Week]]-(TandE[[Start Week]:[Start Week]]-1)))),0))</f>
        <v>0</v>
      </c>
      <c r="V36" s="845" cm="1">
        <f t="array" aca="1" ref="V36" ca="1">SUM(IF(TandE[[Start Week]:[Start Week]]&lt;=V33,IF(TandE[[End Week]:[End Week]]&gt;=V33,(TandE[[Role 3]:[Role 3]]/(TandE[[End Week]:[End Week]]-(TandE[[Start Week]:[Start Week]]-1)))),0))</f>
        <v>0</v>
      </c>
      <c r="W36" s="845" cm="1">
        <f t="array" aca="1" ref="W36" ca="1">SUM(IF(TandE[[Start Week]:[Start Week]]&lt;=W33,IF(TandE[[End Week]:[End Week]]&gt;=W33,(TandE[[Role 3]:[Role 3]]/(TandE[[End Week]:[End Week]]-(TandE[[Start Week]:[Start Week]]-1)))),0))</f>
        <v>0</v>
      </c>
      <c r="X36" s="845" cm="1">
        <f t="array" aca="1" ref="X36" ca="1">SUM(IF(TandE[[Start Week]:[Start Week]]&lt;=X33,IF(TandE[[End Week]:[End Week]]&gt;=X33,(TandE[[Role 3]:[Role 3]]/(TandE[[End Week]:[End Week]]-(TandE[[Start Week]:[Start Week]]-1)))),0))</f>
        <v>0</v>
      </c>
      <c r="Y36" s="845" cm="1">
        <f t="array" aca="1" ref="Y36" ca="1">SUM(IF(TandE[[Start Week]:[Start Week]]&lt;=Y33,IF(TandE[[End Week]:[End Week]]&gt;=Y33,(TandE[[Role 3]:[Role 3]]/(TandE[[End Week]:[End Week]]-(TandE[[Start Week]:[Start Week]]-1)))),0))</f>
        <v>0</v>
      </c>
      <c r="Z36" s="845" cm="1">
        <f t="array" aca="1" ref="Z36" ca="1">SUM(IF(TandE[[Start Week]:[Start Week]]&lt;=Z33,IF(TandE[[End Week]:[End Week]]&gt;=Z33,(TandE[[Role 3]:[Role 3]]/(TandE[[End Week]:[End Week]]-(TandE[[Start Week]:[Start Week]]-1)))),0))</f>
        <v>0</v>
      </c>
      <c r="AA36" s="845" cm="1">
        <f t="array" aca="1" ref="AA36" ca="1">SUM(IF(TandE[[Start Week]:[Start Week]]&lt;=AA33,IF(TandE[[End Week]:[End Week]]&gt;=AA33,(TandE[[Role 3]:[Role 3]]/(TandE[[End Week]:[End Week]]-(TandE[[Start Week]:[Start Week]]-1)))),0))</f>
        <v>0</v>
      </c>
      <c r="AB36" s="845" cm="1">
        <f t="array" aca="1" ref="AB36" ca="1">SUM(IF(TandE[[Start Week]:[Start Week]]&lt;=AB33,IF(TandE[[End Week]:[End Week]]&gt;=AB33,(TandE[[Role 3]:[Role 3]]/(TandE[[End Week]:[End Week]]-(TandE[[Start Week]:[Start Week]]-1)))),0))</f>
        <v>0</v>
      </c>
      <c r="AC36" s="845" cm="1">
        <f t="array" aca="1" ref="AC36" ca="1">SUM(IF(TandE[[Start Week]:[Start Week]]&lt;=AC33,IF(TandE[[End Week]:[End Week]]&gt;=AC33,(TandE[[Role 3]:[Role 3]]/(TandE[[End Week]:[End Week]]-(TandE[[Start Week]:[Start Week]]-1)))),0))</f>
        <v>0</v>
      </c>
      <c r="AD36" s="845" cm="1">
        <f t="array" aca="1" ref="AD36" ca="1">SUM(IF(TandE[[Start Week]:[Start Week]]&lt;=AD33,IF(TandE[[End Week]:[End Week]]&gt;=AD33,(TandE[[Role 3]:[Role 3]]/(TandE[[End Week]:[End Week]]-(TandE[[Start Week]:[Start Week]]-1)))),0))</f>
        <v>0</v>
      </c>
      <c r="AE36" s="845" cm="1">
        <f t="array" aca="1" ref="AE36" ca="1">SUM(IF(TandE[[Start Week]:[Start Week]]&lt;=AE33,IF(TandE[[End Week]:[End Week]]&gt;=AE33,(TandE[[Role 3]:[Role 3]]/(TandE[[End Week]:[End Week]]-(TandE[[Start Week]:[Start Week]]-1)))),0))</f>
        <v>0</v>
      </c>
      <c r="AF36" s="845" cm="1">
        <f t="array" aca="1" ref="AF36" ca="1">SUM(IF(TandE[[Start Week]:[Start Week]]&lt;=AF33,IF(TandE[[End Week]:[End Week]]&gt;=AF33,(TandE[[Role 3]:[Role 3]]/(TandE[[End Week]:[End Week]]-(TandE[[Start Week]:[Start Week]]-1)))),0))</f>
        <v>0</v>
      </c>
      <c r="AG36" s="845" cm="1">
        <f t="array" aca="1" ref="AG36" ca="1">SUM(IF(TandE[[Start Week]:[Start Week]]&lt;=AG33,IF(TandE[[End Week]:[End Week]]&gt;=AG33,(TandE[[Role 3]:[Role 3]]/(TandE[[End Week]:[End Week]]-(TandE[[Start Week]:[Start Week]]-1)))),0))</f>
        <v>0</v>
      </c>
      <c r="AH36" s="845" cm="1">
        <f t="array" aca="1" ref="AH36" ca="1">SUM(IF(TandE[[Start Week]:[Start Week]]&lt;=AH33,IF(TandE[[End Week]:[End Week]]&gt;=AH33,(TandE[[Role 3]:[Role 3]]/(TandE[[End Week]:[End Week]]-(TandE[[Start Week]:[Start Week]]-1)))),0))</f>
        <v>0</v>
      </c>
      <c r="AI36" s="845" cm="1">
        <f t="array" aca="1" ref="AI36" ca="1">SUM(IF(TandE[[Start Week]:[Start Week]]&lt;=AI33,IF(TandE[[End Week]:[End Week]]&gt;=AI33,(TandE[[Role 3]:[Role 3]]/(TandE[[End Week]:[End Week]]-(TandE[[Start Week]:[Start Week]]-1)))),0))</f>
        <v>0</v>
      </c>
      <c r="AJ36" s="845" cm="1">
        <f t="array" aca="1" ref="AJ36" ca="1">SUM(IF(TandE[[Start Week]:[Start Week]]&lt;=AJ33,IF(TandE[[End Week]:[End Week]]&gt;=AJ33,(TandE[[Role 3]:[Role 3]]/(TandE[[End Week]:[End Week]]-(TandE[[Start Week]:[Start Week]]-1)))),0))</f>
        <v>0</v>
      </c>
      <c r="AK36" s="845" cm="1">
        <f t="array" aca="1" ref="AK36" ca="1">SUM(IF(TandE[[Start Week]:[Start Week]]&lt;=AK33,IF(TandE[[End Week]:[End Week]]&gt;=AK33,(TandE[[Role 3]:[Role 3]]/(TandE[[End Week]:[End Week]]-(TandE[[Start Week]:[Start Week]]-1)))),0))</f>
        <v>0</v>
      </c>
      <c r="AL36" s="845" cm="1">
        <f t="array" aca="1" ref="AL36" ca="1">SUM(IF(TandE[[Start Week]:[Start Week]]&lt;=AL33,IF(TandE[[End Week]:[End Week]]&gt;=AL33,(TandE[[Role 3]:[Role 3]]/(TandE[[End Week]:[End Week]]-(TandE[[Start Week]:[Start Week]]-1)))),0))</f>
        <v>0</v>
      </c>
      <c r="AM36" s="845" cm="1">
        <f t="array" aca="1" ref="AM36" ca="1">SUM(IF(TandE[[Start Week]:[Start Week]]&lt;=AM33,IF(TandE[[End Week]:[End Week]]&gt;=AM33,(TandE[[Role 3]:[Role 3]]/(TandE[[End Week]:[End Week]]-(TandE[[Start Week]:[Start Week]]-1)))),0))</f>
        <v>0</v>
      </c>
      <c r="AN36" s="845" cm="1">
        <f t="array" aca="1" ref="AN36" ca="1">SUM(IF(TandE[[Start Week]:[Start Week]]&lt;=AN33,IF(TandE[[End Week]:[End Week]]&gt;=AN33,(TandE[[Role 3]:[Role 3]]/(TandE[[End Week]:[End Week]]-(TandE[[Start Week]:[Start Week]]-1)))),0))</f>
        <v>0</v>
      </c>
      <c r="AO36" s="845" cm="1">
        <f t="array" aca="1" ref="AO36" ca="1">SUM(IF(TandE[[Start Week]:[Start Week]]&lt;=AO33,IF(TandE[[End Week]:[End Week]]&gt;=AO33,(TandE[[Role 3]:[Role 3]]/(TandE[[End Week]:[End Week]]-(TandE[[Start Week]:[Start Week]]-1)))),0))</f>
        <v>0</v>
      </c>
      <c r="AP36" s="845" cm="1">
        <f t="array" aca="1" ref="AP36" ca="1">SUM(IF(TandE[[Start Week]:[Start Week]]&lt;=AP33,IF(TandE[[End Week]:[End Week]]&gt;=AP33,(TandE[[Role 3]:[Role 3]]/(TandE[[End Week]:[End Week]]-(TandE[[Start Week]:[Start Week]]-1)))),0))</f>
        <v>0</v>
      </c>
      <c r="AQ36" s="845" cm="1">
        <f t="array" aca="1" ref="AQ36" ca="1">SUM(IF(TandE[[Start Week]:[Start Week]]&lt;=AQ33,IF(TandE[[End Week]:[End Week]]&gt;=AQ33,(TandE[[Role 3]:[Role 3]]/(TandE[[End Week]:[End Week]]-(TandE[[Start Week]:[Start Week]]-1)))),0))</f>
        <v>0</v>
      </c>
      <c r="AR36" s="845" cm="1">
        <f t="array" aca="1" ref="AR36" ca="1">SUM(IF(TandE[[Start Week]:[Start Week]]&lt;=AR33,IF(TandE[[End Week]:[End Week]]&gt;=AR33,(TandE[[Role 3]:[Role 3]]/(TandE[[End Week]:[End Week]]-(TandE[[Start Week]:[Start Week]]-1)))),0))</f>
        <v>0</v>
      </c>
      <c r="AS36" s="845" cm="1">
        <f t="array" aca="1" ref="AS36" ca="1">SUM(IF(TandE[[Start Week]:[Start Week]]&lt;=AS33,IF(TandE[[End Week]:[End Week]]&gt;=AS33,(TandE[[Role 3]:[Role 3]]/(TandE[[End Week]:[End Week]]-(TandE[[Start Week]:[Start Week]]-1)))),0))</f>
        <v>0</v>
      </c>
      <c r="AT36" s="845" cm="1">
        <f t="array" aca="1" ref="AT36" ca="1">SUM(IF(TandE[[Start Week]:[Start Week]]&lt;=AT33,IF(TandE[[End Week]:[End Week]]&gt;=AT33,(TandE[[Role 3]:[Role 3]]/(TandE[[End Week]:[End Week]]-(TandE[[Start Week]:[Start Week]]-1)))),0))</f>
        <v>0</v>
      </c>
      <c r="AU36" s="845" cm="1">
        <f t="array" aca="1" ref="AU36" ca="1">SUM(IF(TandE[[Start Week]:[Start Week]]&lt;=AU33,IF(TandE[[End Week]:[End Week]]&gt;=AU33,(TandE[[Role 3]:[Role 3]]/(TandE[[End Week]:[End Week]]-(TandE[[Start Week]:[Start Week]]-1)))),0))</f>
        <v>0</v>
      </c>
      <c r="AV36" s="845" cm="1">
        <f t="array" aca="1" ref="AV36" ca="1">SUM(IF(TandE[[Start Week]:[Start Week]]&lt;=AV33,IF(TandE[[End Week]:[End Week]]&gt;=AV33,(TandE[[Role 3]:[Role 3]]/(TandE[[End Week]:[End Week]]-(TandE[[Start Week]:[Start Week]]-1)))),0))</f>
        <v>0</v>
      </c>
      <c r="AW36" s="845" cm="1">
        <f t="array" aca="1" ref="AW36" ca="1">SUM(IF(TandE[[Start Week]:[Start Week]]&lt;=AW33,IF(TandE[[End Week]:[End Week]]&gt;=AW33,(TandE[[Role 3]:[Role 3]]/(TandE[[End Week]:[End Week]]-(TandE[[Start Week]:[Start Week]]-1)))),0))</f>
        <v>0</v>
      </c>
      <c r="AX36" s="845" cm="1">
        <f t="array" aca="1" ref="AX36" ca="1">SUM(IF(TandE[[Start Week]:[Start Week]]&lt;=AX33,IF(TandE[[End Week]:[End Week]]&gt;=AX33,(TandE[[Role 3]:[Role 3]]/(TandE[[End Week]:[End Week]]-(TandE[[Start Week]:[Start Week]]-1)))),0))</f>
        <v>0</v>
      </c>
      <c r="AY36" s="845" cm="1">
        <f t="array" aca="1" ref="AY36" ca="1">SUM(IF(TandE[[Start Week]:[Start Week]]&lt;=AY33,IF(TandE[[End Week]:[End Week]]&gt;=AY33,(TandE[[Role 3]:[Role 3]]/(TandE[[End Week]:[End Week]]-(TandE[[Start Week]:[Start Week]]-1)))),0))</f>
        <v>0</v>
      </c>
      <c r="AZ36" s="845" cm="1">
        <f t="array" aca="1" ref="AZ36" ca="1">SUM(IF(TandE[[Start Week]:[Start Week]]&lt;=AZ33,IF(TandE[[End Week]:[End Week]]&gt;=AZ33,(TandE[[Role 3]:[Role 3]]/(TandE[[End Week]:[End Week]]-(TandE[[Start Week]:[Start Week]]-1)))),0))</f>
        <v>0</v>
      </c>
      <c r="BA36" s="845" cm="1">
        <f t="array" aca="1" ref="BA36" ca="1">SUM(IF(TandE[[Start Week]:[Start Week]]&lt;=BA33,IF(TandE[[End Week]:[End Week]]&gt;=BA33,(TandE[[Role 3]:[Role 3]]/(TandE[[End Week]:[End Week]]-(TandE[[Start Week]:[Start Week]]-1)))),0))</f>
        <v>0</v>
      </c>
      <c r="BB36" s="845" cm="1">
        <f t="array" aca="1" ref="BB36" ca="1">SUM(IF(TandE[[Start Week]:[Start Week]]&lt;=BB33,IF(TandE[[End Week]:[End Week]]&gt;=BB33,(TandE[[Role 3]:[Role 3]]/(TandE[[End Week]:[End Week]]-(TandE[[Start Week]:[Start Week]]-1)))),0))</f>
        <v>0</v>
      </c>
      <c r="BC36" s="845" cm="1">
        <f t="array" aca="1" ref="BC36" ca="1">SUM(IF(TandE[[Start Week]:[Start Week]]&lt;=BC33,IF(TandE[[End Week]:[End Week]]&gt;=BC33,(TandE[[Role 3]:[Role 3]]/(TandE[[End Week]:[End Week]]-(TandE[[Start Week]:[Start Week]]-1)))),0))</f>
        <v>0</v>
      </c>
      <c r="BD36" s="845" cm="1">
        <f t="array" aca="1" ref="BD36" ca="1">SUM(IF(TandE[[Start Week]:[Start Week]]&lt;=BD33,IF(TandE[[End Week]:[End Week]]&gt;=BD33,(TandE[[Role 3]:[Role 3]]/(TandE[[End Week]:[End Week]]-(TandE[[Start Week]:[Start Week]]-1)))),0))</f>
        <v>0</v>
      </c>
      <c r="BE36" s="845" cm="1">
        <f t="array" aca="1" ref="BE36" ca="1">SUM(IF(TandE[[Start Week]:[Start Week]]&lt;=BE33,IF(TandE[[End Week]:[End Week]]&gt;=BE33,(TandE[[Role 3]:[Role 3]]/(TandE[[End Week]:[End Week]]-(TandE[[Start Week]:[Start Week]]-1)))),0))</f>
        <v>0</v>
      </c>
      <c r="BF36" s="845" cm="1">
        <f t="array" aca="1" ref="BF36" ca="1">SUM(IF(TandE[[Start Week]:[Start Week]]&lt;=BF33,IF(TandE[[End Week]:[End Week]]&gt;=BF33,(TandE[[Role 3]:[Role 3]]/(TandE[[End Week]:[End Week]]-(TandE[[Start Week]:[Start Week]]-1)))),0))</f>
        <v>0</v>
      </c>
      <c r="BG36" s="845" cm="1">
        <f t="array" aca="1" ref="BG36" ca="1">SUM(IF(TandE[[Start Week]:[Start Week]]&lt;=BG33,IF(TandE[[End Week]:[End Week]]&gt;=BG33,(TandE[[Role 3]:[Role 3]]/(TandE[[End Week]:[End Week]]-(TandE[[Start Week]:[Start Week]]-1)))),0))</f>
        <v>0</v>
      </c>
      <c r="BH36" s="845" cm="1">
        <f t="array" aca="1" ref="BH36" ca="1">SUM(IF(TandE[[Start Week]:[Start Week]]&lt;=BH33,IF(TandE[[End Week]:[End Week]]&gt;=BH33,(TandE[[Role 3]:[Role 3]]/(TandE[[End Week]:[End Week]]-(TandE[[Start Week]:[Start Week]]-1)))),0))</f>
        <v>0</v>
      </c>
      <c r="BI36" s="845" cm="1">
        <f t="array" aca="1" ref="BI36" ca="1">SUM(IF(TandE[[Start Week]:[Start Week]]&lt;=BI33,IF(TandE[[End Week]:[End Week]]&gt;=BI33,(TandE[[Role 3]:[Role 3]]/(TandE[[End Week]:[End Week]]-(TandE[[Start Week]:[Start Week]]-1)))),0))</f>
        <v>0</v>
      </c>
      <c r="BJ36" s="845" cm="1">
        <f t="array" aca="1" ref="BJ36" ca="1">SUM(IF(TandE[[Start Week]:[Start Week]]&lt;=BJ33,IF(TandE[[End Week]:[End Week]]&gt;=BJ33,(TandE[[Role 3]:[Role 3]]/(TandE[[End Week]:[End Week]]-(TandE[[Start Week]:[Start Week]]-1)))),0))</f>
        <v>0</v>
      </c>
    </row>
    <row r="37" spans="2:62" ht="30">
      <c r="B37" s="590" t="s">
        <v>473</v>
      </c>
      <c r="C37" s="589" t="str">
        <f ca="1">INDEX(RolesandSkills[Role + Practice],MATCH(Table2117[[#This Row],[Role '#]],RolesandSkills[Role '#],0),1)</f>
        <v>Senior Technical Consultant-Technology</v>
      </c>
      <c r="D37" s="589" t="str">
        <f ca="1">INDEX(RolesandSkills[Resource Location],MATCH(Table2117[[#This Row],[Role '#]],RolesandSkills[Role '#],0),1)</f>
        <v>India</v>
      </c>
      <c r="E37" s="589" t="str">
        <f ca="1">INDEX(RolesandSkills[Practice],MATCH(Table2117[[#This Row],[Role '#]],RolesandSkills[Role '#],0),1)</f>
        <v>Technology</v>
      </c>
      <c r="F37" s="589" t="str">
        <f ca="1">INDEX(RolesandSkills[Skill '#1],MATCH(Table2117[[#This Row],[Role '#]],RolesandSkills[Role '#],0),1)</f>
        <v>AI Now Assist ITSM</v>
      </c>
      <c r="G37" s="589" t="str">
        <f ca="1">INDEX(RolesandSkills[Skill '#2],MATCH(Table2117[[#This Row],[Role '#]],RolesandSkills[Role '#],0),1)</f>
        <v/>
      </c>
      <c r="H37" s="589" t="str">
        <f ca="1">INDEX(RolesandSkills[Skill '#3],MATCH(Table2117[[#This Row],[Role '#]],RolesandSkills[Role '#],0),1)</f>
        <v/>
      </c>
      <c r="I37" s="768">
        <f t="shared" ca="1" si="10"/>
        <v>154</v>
      </c>
      <c r="J37" s="589">
        <f ca="1">SUM(Table2117[[#This Row],[1]:[52]])</f>
        <v>154</v>
      </c>
      <c r="K37" s="845" cm="1">
        <f t="array" aca="1" ref="K37" ca="1">SUM(IF(TandE[Start Week]&lt;=K33,IF(TandE[End Week]&gt;=K33,(TandE[Role 4]/(TandE[End Week]-(TandE[Start Week]-1)))),0))</f>
        <v>0</v>
      </c>
      <c r="L37" s="845" cm="1">
        <f t="array" aca="1" ref="L37" ca="1">SUM(IF(TandE[[Start Week]:[Start Week]]&lt;=L33,IF(TandE[[End Week]:[End Week]]&gt;=L33,(TandE[[Role 4]:[Role 4]]/(TandE[[End Week]:[End Week]]-(TandE[[Start Week]:[Start Week]]-1)))),0))</f>
        <v>0</v>
      </c>
      <c r="M37" s="845" cm="1">
        <f t="array" aca="1" ref="M37" ca="1">SUM(IF(TandE[[Start Week]:[Start Week]]&lt;=M33,IF(TandE[[End Week]:[End Week]]&gt;=M33,(TandE[[Role 4]:[Role 4]]/(TandE[[End Week]:[End Week]]-(TandE[[Start Week]:[Start Week]]-1)))),0))</f>
        <v>31</v>
      </c>
      <c r="N37" s="845" cm="1">
        <f t="array" aca="1" ref="N37" ca="1">SUM(IF(TandE[[Start Week]:[Start Week]]&lt;=N33,IF(TandE[[End Week]:[End Week]]&gt;=N33,(TandE[[Role 4]:[Role 4]]/(TandE[[End Week]:[End Week]]-(TandE[[Start Week]:[Start Week]]-1)))),0))</f>
        <v>31</v>
      </c>
      <c r="O37" s="845" cm="1">
        <f t="array" aca="1" ref="O37" ca="1">SUM(IF(TandE[[Start Week]:[Start Week]]&lt;=O33,IF(TandE[[End Week]:[End Week]]&gt;=O33,(TandE[[Role 4]:[Role 4]]/(TandE[[End Week]:[End Week]]-(TandE[[Start Week]:[Start Week]]-1)))),0))</f>
        <v>31</v>
      </c>
      <c r="P37" s="845" cm="1">
        <f t="array" aca="1" ref="P37" ca="1">SUM(IF(TandE[[Start Week]:[Start Week]]&lt;=P33,IF(TandE[[End Week]:[End Week]]&gt;=P33,(TandE[[Role 4]:[Role 4]]/(TandE[[End Week]:[End Week]]-(TandE[[Start Week]:[Start Week]]-1)))),0))</f>
        <v>31</v>
      </c>
      <c r="Q37" s="845" cm="1">
        <f t="array" aca="1" ref="Q37" ca="1">SUM(IF(TandE[[Start Week]:[Start Week]]&lt;=Q33,IF(TandE[[End Week]:[End Week]]&gt;=Q33,(TandE[[Role 4]:[Role 4]]/(TandE[[End Week]:[End Week]]-(TandE[[Start Week]:[Start Week]]-1)))),0))</f>
        <v>20</v>
      </c>
      <c r="R37" s="845" cm="1">
        <f t="array" aca="1" ref="R37" ca="1">SUM(IF(TandE[[Start Week]:[Start Week]]&lt;=R33,IF(TandE[[End Week]:[End Week]]&gt;=R33,(TandE[[Role 4]:[Role 4]]/(TandE[[End Week]:[End Week]]-(TandE[[Start Week]:[Start Week]]-1)))),0))</f>
        <v>10</v>
      </c>
      <c r="S37" s="845" cm="1">
        <f t="array" aca="1" ref="S37" ca="1">SUM(IF(TandE[[Start Week]:[Start Week]]&lt;=S33,IF(TandE[[End Week]:[End Week]]&gt;=S33,(TandE[[Role 4]:[Role 4]]/(TandE[[End Week]:[End Week]]-(TandE[[Start Week]:[Start Week]]-1)))),0))</f>
        <v>0</v>
      </c>
      <c r="T37" s="845" cm="1">
        <f t="array" aca="1" ref="T37" ca="1">SUM(IF(TandE[[Start Week]:[Start Week]]&lt;=T33,IF(TandE[[End Week]:[End Week]]&gt;=T33,(TandE[[Role 4]:[Role 4]]/(TandE[[End Week]:[End Week]]-(TandE[[Start Week]:[Start Week]]-1)))),0))</f>
        <v>0</v>
      </c>
      <c r="U37" s="845" cm="1">
        <f t="array" aca="1" ref="U37" ca="1">SUM(IF(TandE[[Start Week]:[Start Week]]&lt;=U33,IF(TandE[[End Week]:[End Week]]&gt;=U33,(TandE[[Role 4]:[Role 4]]/(TandE[[End Week]:[End Week]]-(TandE[[Start Week]:[Start Week]]-1)))),0))</f>
        <v>0</v>
      </c>
      <c r="V37" s="845" cm="1">
        <f t="array" aca="1" ref="V37" ca="1">SUM(IF(TandE[[Start Week]:[Start Week]]&lt;=V33,IF(TandE[[End Week]:[End Week]]&gt;=V33,(TandE[[Role 4]:[Role 4]]/(TandE[[End Week]:[End Week]]-(TandE[[Start Week]:[Start Week]]-1)))),0))</f>
        <v>0</v>
      </c>
      <c r="W37" s="845" cm="1">
        <f t="array" aca="1" ref="W37" ca="1">SUM(IF(TandE[[Start Week]:[Start Week]]&lt;=W33,IF(TandE[[End Week]:[End Week]]&gt;=W33,(TandE[[Role 4]:[Role 4]]/(TandE[[End Week]:[End Week]]-(TandE[[Start Week]:[Start Week]]-1)))),0))</f>
        <v>0</v>
      </c>
      <c r="X37" s="845" cm="1">
        <f t="array" aca="1" ref="X37" ca="1">SUM(IF(TandE[[Start Week]:[Start Week]]&lt;=X33,IF(TandE[[End Week]:[End Week]]&gt;=X33,(TandE[[Role 4]:[Role 4]]/(TandE[[End Week]:[End Week]]-(TandE[[Start Week]:[Start Week]]-1)))),0))</f>
        <v>0</v>
      </c>
      <c r="Y37" s="845" cm="1">
        <f t="array" aca="1" ref="Y37" ca="1">SUM(IF(TandE[[Start Week]:[Start Week]]&lt;=Y33,IF(TandE[[End Week]:[End Week]]&gt;=Y33,(TandE[[Role 4]:[Role 4]]/(TandE[[End Week]:[End Week]]-(TandE[[Start Week]:[Start Week]]-1)))),0))</f>
        <v>0</v>
      </c>
      <c r="Z37" s="845" cm="1">
        <f t="array" aca="1" ref="Z37" ca="1">SUM(IF(TandE[[Start Week]:[Start Week]]&lt;=Z33,IF(TandE[[End Week]:[End Week]]&gt;=Z33,(TandE[[Role 4]:[Role 4]]/(TandE[[End Week]:[End Week]]-(TandE[[Start Week]:[Start Week]]-1)))),0))</f>
        <v>0</v>
      </c>
      <c r="AA37" s="845" cm="1">
        <f t="array" aca="1" ref="AA37" ca="1">SUM(IF(TandE[[Start Week]:[Start Week]]&lt;=AA33,IF(TandE[[End Week]:[End Week]]&gt;=AA33,(TandE[[Role 4]:[Role 4]]/(TandE[[End Week]:[End Week]]-(TandE[[Start Week]:[Start Week]]-1)))),0))</f>
        <v>0</v>
      </c>
      <c r="AB37" s="845" cm="1">
        <f t="array" aca="1" ref="AB37" ca="1">SUM(IF(TandE[[Start Week]:[Start Week]]&lt;=AB33,IF(TandE[[End Week]:[End Week]]&gt;=AB33,(TandE[[Role 4]:[Role 4]]/(TandE[[End Week]:[End Week]]-(TandE[[Start Week]:[Start Week]]-1)))),0))</f>
        <v>0</v>
      </c>
      <c r="AC37" s="845" cm="1">
        <f t="array" aca="1" ref="AC37" ca="1">SUM(IF(TandE[[Start Week]:[Start Week]]&lt;=AC33,IF(TandE[[End Week]:[End Week]]&gt;=AC33,(TandE[[Role 4]:[Role 4]]/(TandE[[End Week]:[End Week]]-(TandE[[Start Week]:[Start Week]]-1)))),0))</f>
        <v>0</v>
      </c>
      <c r="AD37" s="845" cm="1">
        <f t="array" aca="1" ref="AD37" ca="1">SUM(IF(TandE[[Start Week]:[Start Week]]&lt;=AD33,IF(TandE[[End Week]:[End Week]]&gt;=AD33,(TandE[[Role 4]:[Role 4]]/(TandE[[End Week]:[End Week]]-(TandE[[Start Week]:[Start Week]]-1)))),0))</f>
        <v>0</v>
      </c>
      <c r="AE37" s="845" cm="1">
        <f t="array" aca="1" ref="AE37" ca="1">SUM(IF(TandE[[Start Week]:[Start Week]]&lt;=AE33,IF(TandE[[End Week]:[End Week]]&gt;=AE33,(TandE[[Role 4]:[Role 4]]/(TandE[[End Week]:[End Week]]-(TandE[[Start Week]:[Start Week]]-1)))),0))</f>
        <v>0</v>
      </c>
      <c r="AF37" s="845" cm="1">
        <f t="array" aca="1" ref="AF37" ca="1">SUM(IF(TandE[[Start Week]:[Start Week]]&lt;=AF33,IF(TandE[[End Week]:[End Week]]&gt;=AF33,(TandE[[Role 4]:[Role 4]]/(TandE[[End Week]:[End Week]]-(TandE[[Start Week]:[Start Week]]-1)))),0))</f>
        <v>0</v>
      </c>
      <c r="AG37" s="845" cm="1">
        <f t="array" aca="1" ref="AG37" ca="1">SUM(IF(TandE[[Start Week]:[Start Week]]&lt;=AG33,IF(TandE[[End Week]:[End Week]]&gt;=AG33,(TandE[[Role 4]:[Role 4]]/(TandE[[End Week]:[End Week]]-(TandE[[Start Week]:[Start Week]]-1)))),0))</f>
        <v>0</v>
      </c>
      <c r="AH37" s="845" cm="1">
        <f t="array" aca="1" ref="AH37" ca="1">SUM(IF(TandE[[Start Week]:[Start Week]]&lt;=AH33,IF(TandE[[End Week]:[End Week]]&gt;=AH33,(TandE[[Role 4]:[Role 4]]/(TandE[[End Week]:[End Week]]-(TandE[[Start Week]:[Start Week]]-1)))),0))</f>
        <v>0</v>
      </c>
      <c r="AI37" s="845" cm="1">
        <f t="array" aca="1" ref="AI37" ca="1">SUM(IF(TandE[[Start Week]:[Start Week]]&lt;=AI33,IF(TandE[[End Week]:[End Week]]&gt;=AI33,(TandE[[Role 4]:[Role 4]]/(TandE[[End Week]:[End Week]]-(TandE[[Start Week]:[Start Week]]-1)))),0))</f>
        <v>0</v>
      </c>
      <c r="AJ37" s="845" cm="1">
        <f t="array" aca="1" ref="AJ37" ca="1">SUM(IF(TandE[[Start Week]:[Start Week]]&lt;=AJ33,IF(TandE[[End Week]:[End Week]]&gt;=AJ33,(TandE[[Role 4]:[Role 4]]/(TandE[[End Week]:[End Week]]-(TandE[[Start Week]:[Start Week]]-1)))),0))</f>
        <v>0</v>
      </c>
      <c r="AK37" s="845" cm="1">
        <f t="array" aca="1" ref="AK37" ca="1">SUM(IF(TandE[[Start Week]:[Start Week]]&lt;=AK33,IF(TandE[[End Week]:[End Week]]&gt;=AK33,(TandE[[Role 4]:[Role 4]]/(TandE[[End Week]:[End Week]]-(TandE[[Start Week]:[Start Week]]-1)))),0))</f>
        <v>0</v>
      </c>
      <c r="AL37" s="845" cm="1">
        <f t="array" aca="1" ref="AL37" ca="1">SUM(IF(TandE[[Start Week]:[Start Week]]&lt;=AL33,IF(TandE[[End Week]:[End Week]]&gt;=AL33,(TandE[[Role 4]:[Role 4]]/(TandE[[End Week]:[End Week]]-(TandE[[Start Week]:[Start Week]]-1)))),0))</f>
        <v>0</v>
      </c>
      <c r="AM37" s="845" cm="1">
        <f t="array" aca="1" ref="AM37" ca="1">SUM(IF(TandE[[Start Week]:[Start Week]]&lt;=AM33,IF(TandE[[End Week]:[End Week]]&gt;=AM33,(TandE[[Role 4]:[Role 4]]/(TandE[[End Week]:[End Week]]-(TandE[[Start Week]:[Start Week]]-1)))),0))</f>
        <v>0</v>
      </c>
      <c r="AN37" s="845" cm="1">
        <f t="array" aca="1" ref="AN37" ca="1">SUM(IF(TandE[[Start Week]:[Start Week]]&lt;=AN33,IF(TandE[[End Week]:[End Week]]&gt;=AN33,(TandE[[Role 4]:[Role 4]]/(TandE[[End Week]:[End Week]]-(TandE[[Start Week]:[Start Week]]-1)))),0))</f>
        <v>0</v>
      </c>
      <c r="AO37" s="845" cm="1">
        <f t="array" aca="1" ref="AO37" ca="1">SUM(IF(TandE[[Start Week]:[Start Week]]&lt;=AO33,IF(TandE[[End Week]:[End Week]]&gt;=AO33,(TandE[[Role 4]:[Role 4]]/(TandE[[End Week]:[End Week]]-(TandE[[Start Week]:[Start Week]]-1)))),0))</f>
        <v>0</v>
      </c>
      <c r="AP37" s="845" cm="1">
        <f t="array" aca="1" ref="AP37" ca="1">SUM(IF(TandE[[Start Week]:[Start Week]]&lt;=AP33,IF(TandE[[End Week]:[End Week]]&gt;=AP33,(TandE[[Role 4]:[Role 4]]/(TandE[[End Week]:[End Week]]-(TandE[[Start Week]:[Start Week]]-1)))),0))</f>
        <v>0</v>
      </c>
      <c r="AQ37" s="845" cm="1">
        <f t="array" aca="1" ref="AQ37" ca="1">SUM(IF(TandE[[Start Week]:[Start Week]]&lt;=AQ33,IF(TandE[[End Week]:[End Week]]&gt;=AQ33,(TandE[[Role 4]:[Role 4]]/(TandE[[End Week]:[End Week]]-(TandE[[Start Week]:[Start Week]]-1)))),0))</f>
        <v>0</v>
      </c>
      <c r="AR37" s="845" cm="1">
        <f t="array" aca="1" ref="AR37" ca="1">SUM(IF(TandE[[Start Week]:[Start Week]]&lt;=AR33,IF(TandE[[End Week]:[End Week]]&gt;=AR33,(TandE[[Role 4]:[Role 4]]/(TandE[[End Week]:[End Week]]-(TandE[[Start Week]:[Start Week]]-1)))),0))</f>
        <v>0</v>
      </c>
      <c r="AS37" s="845" cm="1">
        <f t="array" aca="1" ref="AS37" ca="1">SUM(IF(TandE[[Start Week]:[Start Week]]&lt;=AS33,IF(TandE[[End Week]:[End Week]]&gt;=AS33,(TandE[[Role 4]:[Role 4]]/(TandE[[End Week]:[End Week]]-(TandE[[Start Week]:[Start Week]]-1)))),0))</f>
        <v>0</v>
      </c>
      <c r="AT37" s="845" cm="1">
        <f t="array" aca="1" ref="AT37" ca="1">SUM(IF(TandE[[Start Week]:[Start Week]]&lt;=AT33,IF(TandE[[End Week]:[End Week]]&gt;=AT33,(TandE[[Role 4]:[Role 4]]/(TandE[[End Week]:[End Week]]-(TandE[[Start Week]:[Start Week]]-1)))),0))</f>
        <v>0</v>
      </c>
      <c r="AU37" s="845" cm="1">
        <f t="array" aca="1" ref="AU37" ca="1">SUM(IF(TandE[[Start Week]:[Start Week]]&lt;=AU33,IF(TandE[[End Week]:[End Week]]&gt;=AU33,(TandE[[Role 4]:[Role 4]]/(TandE[[End Week]:[End Week]]-(TandE[[Start Week]:[Start Week]]-1)))),0))</f>
        <v>0</v>
      </c>
      <c r="AV37" s="845" cm="1">
        <f t="array" aca="1" ref="AV37" ca="1">SUM(IF(TandE[[Start Week]:[Start Week]]&lt;=AV33,IF(TandE[[End Week]:[End Week]]&gt;=AV33,(TandE[[Role 4]:[Role 4]]/(TandE[[End Week]:[End Week]]-(TandE[[Start Week]:[Start Week]]-1)))),0))</f>
        <v>0</v>
      </c>
      <c r="AW37" s="845" cm="1">
        <f t="array" aca="1" ref="AW37" ca="1">SUM(IF(TandE[[Start Week]:[Start Week]]&lt;=AW33,IF(TandE[[End Week]:[End Week]]&gt;=AW33,(TandE[[Role 4]:[Role 4]]/(TandE[[End Week]:[End Week]]-(TandE[[Start Week]:[Start Week]]-1)))),0))</f>
        <v>0</v>
      </c>
      <c r="AX37" s="845" cm="1">
        <f t="array" aca="1" ref="AX37" ca="1">SUM(IF(TandE[[Start Week]:[Start Week]]&lt;=AX33,IF(TandE[[End Week]:[End Week]]&gt;=AX33,(TandE[[Role 4]:[Role 4]]/(TandE[[End Week]:[End Week]]-(TandE[[Start Week]:[Start Week]]-1)))),0))</f>
        <v>0</v>
      </c>
      <c r="AY37" s="845" cm="1">
        <f t="array" aca="1" ref="AY37" ca="1">SUM(IF(TandE[[Start Week]:[Start Week]]&lt;=AY33,IF(TandE[[End Week]:[End Week]]&gt;=AY33,(TandE[[Role 4]:[Role 4]]/(TandE[[End Week]:[End Week]]-(TandE[[Start Week]:[Start Week]]-1)))),0))</f>
        <v>0</v>
      </c>
      <c r="AZ37" s="845" cm="1">
        <f t="array" aca="1" ref="AZ37" ca="1">SUM(IF(TandE[[Start Week]:[Start Week]]&lt;=AZ33,IF(TandE[[End Week]:[End Week]]&gt;=AZ33,(TandE[[Role 4]:[Role 4]]/(TandE[[End Week]:[End Week]]-(TandE[[Start Week]:[Start Week]]-1)))),0))</f>
        <v>0</v>
      </c>
      <c r="BA37" s="845" cm="1">
        <f t="array" aca="1" ref="BA37" ca="1">SUM(IF(TandE[[Start Week]:[Start Week]]&lt;=BA33,IF(TandE[[End Week]:[End Week]]&gt;=BA33,(TandE[[Role 4]:[Role 4]]/(TandE[[End Week]:[End Week]]-(TandE[[Start Week]:[Start Week]]-1)))),0))</f>
        <v>0</v>
      </c>
      <c r="BB37" s="845" cm="1">
        <f t="array" aca="1" ref="BB37" ca="1">SUM(IF(TandE[[Start Week]:[Start Week]]&lt;=BB33,IF(TandE[[End Week]:[End Week]]&gt;=BB33,(TandE[[Role 4]:[Role 4]]/(TandE[[End Week]:[End Week]]-(TandE[[Start Week]:[Start Week]]-1)))),0))</f>
        <v>0</v>
      </c>
      <c r="BC37" s="845" cm="1">
        <f t="array" aca="1" ref="BC37" ca="1">SUM(IF(TandE[[Start Week]:[Start Week]]&lt;=BC33,IF(TandE[[End Week]:[End Week]]&gt;=BC33,(TandE[[Role 4]:[Role 4]]/(TandE[[End Week]:[End Week]]-(TandE[[Start Week]:[Start Week]]-1)))),0))</f>
        <v>0</v>
      </c>
      <c r="BD37" s="845" cm="1">
        <f t="array" aca="1" ref="BD37" ca="1">SUM(IF(TandE[[Start Week]:[Start Week]]&lt;=BD33,IF(TandE[[End Week]:[End Week]]&gt;=BD33,(TandE[[Role 4]:[Role 4]]/(TandE[[End Week]:[End Week]]-(TandE[[Start Week]:[Start Week]]-1)))),0))</f>
        <v>0</v>
      </c>
      <c r="BE37" s="845" cm="1">
        <f t="array" aca="1" ref="BE37" ca="1">SUM(IF(TandE[[Start Week]:[Start Week]]&lt;=BE33,IF(TandE[[End Week]:[End Week]]&gt;=BE33,(TandE[[Role 4]:[Role 4]]/(TandE[[End Week]:[End Week]]-(TandE[[Start Week]:[Start Week]]-1)))),0))</f>
        <v>0</v>
      </c>
      <c r="BF37" s="845" cm="1">
        <f t="array" aca="1" ref="BF37" ca="1">SUM(IF(TandE[[Start Week]:[Start Week]]&lt;=BF33,IF(TandE[[End Week]:[End Week]]&gt;=BF33,(TandE[[Role 4]:[Role 4]]/(TandE[[End Week]:[End Week]]-(TandE[[Start Week]:[Start Week]]-1)))),0))</f>
        <v>0</v>
      </c>
      <c r="BG37" s="845" cm="1">
        <f t="array" aca="1" ref="BG37" ca="1">SUM(IF(TandE[[Start Week]:[Start Week]]&lt;=BG33,IF(TandE[[End Week]:[End Week]]&gt;=BG33,(TandE[[Role 4]:[Role 4]]/(TandE[[End Week]:[End Week]]-(TandE[[Start Week]:[Start Week]]-1)))),0))</f>
        <v>0</v>
      </c>
      <c r="BH37" s="845" cm="1">
        <f t="array" aca="1" ref="BH37" ca="1">SUM(IF(TandE[[Start Week]:[Start Week]]&lt;=BH33,IF(TandE[[End Week]:[End Week]]&gt;=BH33,(TandE[[Role 4]:[Role 4]]/(TandE[[End Week]:[End Week]]-(TandE[[Start Week]:[Start Week]]-1)))),0))</f>
        <v>0</v>
      </c>
      <c r="BI37" s="845" cm="1">
        <f t="array" aca="1" ref="BI37" ca="1">SUM(IF(TandE[[Start Week]:[Start Week]]&lt;=BI33,IF(TandE[[End Week]:[End Week]]&gt;=BI33,(TandE[[Role 4]:[Role 4]]/(TandE[[End Week]:[End Week]]-(TandE[[Start Week]:[Start Week]]-1)))),0))</f>
        <v>0</v>
      </c>
      <c r="BJ37" s="845" cm="1">
        <f t="array" aca="1" ref="BJ37" ca="1">SUM(IF(TandE[[Start Week]:[Start Week]]&lt;=BJ33,IF(TandE[[End Week]:[End Week]]&gt;=BJ33,(TandE[[Role 4]:[Role 4]]/(TandE[[End Week]:[End Week]]-(TandE[[Start Week]:[Start Week]]-1)))),0))</f>
        <v>0</v>
      </c>
    </row>
    <row r="38" spans="2:62" ht="30">
      <c r="B38" s="588" t="s">
        <v>474</v>
      </c>
      <c r="C38" s="589" t="str">
        <f ca="1">INDEX(RolesandSkills[Role + Practice],MATCH(Table2117[[#This Row],[Role '#]],RolesandSkills[Role '#],0),1)</f>
        <v>Workflow/Practice Strategist-Technology</v>
      </c>
      <c r="D38" s="589" t="str">
        <f ca="1">INDEX(RolesandSkills[Resource Location],MATCH(Table2117[[#This Row],[Role '#]],RolesandSkills[Role '#],0),1)</f>
        <v>USA</v>
      </c>
      <c r="E38" s="589" t="str">
        <f ca="1">INDEX(RolesandSkills[Practice],MATCH(Table2117[[#This Row],[Role '#]],RolesandSkills[Role '#],0),1)</f>
        <v>Technology</v>
      </c>
      <c r="F38" s="589" t="str">
        <f ca="1">INDEX(RolesandSkills[Skill '#1],MATCH(Table2117[[#This Row],[Role '#]],RolesandSkills[Role '#],0),1)</f>
        <v>AI Now Assist ITSM</v>
      </c>
      <c r="G38" s="589" t="str">
        <f ca="1">INDEX(RolesandSkills[Skill '#2],MATCH(Table2117[[#This Row],[Role '#]],RolesandSkills[Role '#],0),1)</f>
        <v/>
      </c>
      <c r="H38" s="589" t="str">
        <f ca="1">INDEX(RolesandSkills[Skill '#3],MATCH(Table2117[[#This Row],[Role '#]],RolesandSkills[Role '#],0),1)</f>
        <v/>
      </c>
      <c r="I38" s="768">
        <f t="shared" ca="1" si="10"/>
        <v>52</v>
      </c>
      <c r="J38" s="589">
        <f ca="1">SUM(Table2117[[#This Row],[1]:[52]])</f>
        <v>52</v>
      </c>
      <c r="K38" s="845" cm="1">
        <f t="array" aca="1" ref="K38" ca="1">SUM(IF(TandE[Start Week]&lt;=K33,IF(TandE[End Week]&gt;=K33,(TandE[Role 5]/(TandE[End Week]-(TandE[Start Week]-1)))),0))</f>
        <v>2</v>
      </c>
      <c r="L38" s="845" cm="1">
        <f t="array" aca="1" ref="L38" ca="1">SUM(IF(TandE[[Start Week]:[Start Week]]&lt;=L33,IF(TandE[[End Week]:[End Week]]&gt;=L33,(TandE[[Role 5]:[Role 5]]/(TandE[[End Week]:[End Week]]-(TandE[[Start Week]:[Start Week]]-1)))),0))</f>
        <v>38</v>
      </c>
      <c r="M38" s="845" cm="1">
        <f t="array" aca="1" ref="M38" ca="1">SUM(IF(TandE[[Start Week]:[Start Week]]&lt;=M33,IF(TandE[[End Week]:[End Week]]&gt;=M33,(TandE[[Role 5]:[Role 5]]/(TandE[[End Week]:[End Week]]-(TandE[[Start Week]:[Start Week]]-1)))),0))</f>
        <v>2</v>
      </c>
      <c r="N38" s="845" cm="1">
        <f t="array" aca="1" ref="N38" ca="1">SUM(IF(TandE[[Start Week]:[Start Week]]&lt;=N33,IF(TandE[[End Week]:[End Week]]&gt;=N33,(TandE[[Role 5]:[Role 5]]/(TandE[[End Week]:[End Week]]-(TandE[[Start Week]:[Start Week]]-1)))),0))</f>
        <v>2</v>
      </c>
      <c r="O38" s="845" cm="1">
        <f t="array" aca="1" ref="O38" ca="1">SUM(IF(TandE[[Start Week]:[Start Week]]&lt;=O33,IF(TandE[[End Week]:[End Week]]&gt;=O33,(TandE[[Role 5]:[Role 5]]/(TandE[[End Week]:[End Week]]-(TandE[[Start Week]:[Start Week]]-1)))),0))</f>
        <v>2</v>
      </c>
      <c r="P38" s="845" cm="1">
        <f t="array" aca="1" ref="P38" ca="1">SUM(IF(TandE[[Start Week]:[Start Week]]&lt;=P33,IF(TandE[[End Week]:[End Week]]&gt;=P33,(TandE[[Role 5]:[Role 5]]/(TandE[[End Week]:[End Week]]-(TandE[[Start Week]:[Start Week]]-1)))),0))</f>
        <v>2</v>
      </c>
      <c r="Q38" s="845" cm="1">
        <f t="array" aca="1" ref="Q38" ca="1">SUM(IF(TandE[[Start Week]:[Start Week]]&lt;=Q33,IF(TandE[[End Week]:[End Week]]&gt;=Q33,(TandE[[Role 5]:[Role 5]]/(TandE[[End Week]:[End Week]]-(TandE[[Start Week]:[Start Week]]-1)))),0))</f>
        <v>2</v>
      </c>
      <c r="R38" s="845" cm="1">
        <f t="array" aca="1" ref="R38" ca="1">SUM(IF(TandE[[Start Week]:[Start Week]]&lt;=R33,IF(TandE[[End Week]:[End Week]]&gt;=R33,(TandE[[Role 5]:[Role 5]]/(TandE[[End Week]:[End Week]]-(TandE[[Start Week]:[Start Week]]-1)))),0))</f>
        <v>2</v>
      </c>
      <c r="S38" s="845" cm="1">
        <f t="array" aca="1" ref="S38" ca="1">SUM(IF(TandE[[Start Week]:[Start Week]]&lt;=S33,IF(TandE[[End Week]:[End Week]]&gt;=S33,(TandE[[Role 5]:[Role 5]]/(TandE[[End Week]:[End Week]]-(TandE[[Start Week]:[Start Week]]-1)))),0))</f>
        <v>0</v>
      </c>
      <c r="T38" s="845" cm="1">
        <f t="array" aca="1" ref="T38" ca="1">SUM(IF(TandE[[Start Week]:[Start Week]]&lt;=T33,IF(TandE[[End Week]:[End Week]]&gt;=T33,(TandE[[Role 5]:[Role 5]]/(TandE[[End Week]:[End Week]]-(TandE[[Start Week]:[Start Week]]-1)))),0))</f>
        <v>0</v>
      </c>
      <c r="U38" s="845" cm="1">
        <f t="array" aca="1" ref="U38" ca="1">SUM(IF(TandE[[Start Week]:[Start Week]]&lt;=U33,IF(TandE[[End Week]:[End Week]]&gt;=U33,(TandE[[Role 5]:[Role 5]]/(TandE[[End Week]:[End Week]]-(TandE[[Start Week]:[Start Week]]-1)))),0))</f>
        <v>0</v>
      </c>
      <c r="V38" s="845" cm="1">
        <f t="array" aca="1" ref="V38" ca="1">SUM(IF(TandE[[Start Week]:[Start Week]]&lt;=V33,IF(TandE[[End Week]:[End Week]]&gt;=V33,(TandE[[Role 5]:[Role 5]]/(TandE[[End Week]:[End Week]]-(TandE[[Start Week]:[Start Week]]-1)))),0))</f>
        <v>0</v>
      </c>
      <c r="W38" s="845" cm="1">
        <f t="array" aca="1" ref="W38" ca="1">SUM(IF(TandE[[Start Week]:[Start Week]]&lt;=W33,IF(TandE[[End Week]:[End Week]]&gt;=W33,(TandE[[Role 5]:[Role 5]]/(TandE[[End Week]:[End Week]]-(TandE[[Start Week]:[Start Week]]-1)))),0))</f>
        <v>0</v>
      </c>
      <c r="X38" s="845" cm="1">
        <f t="array" aca="1" ref="X38" ca="1">SUM(IF(TandE[[Start Week]:[Start Week]]&lt;=X33,IF(TandE[[End Week]:[End Week]]&gt;=X33,(TandE[[Role 5]:[Role 5]]/(TandE[[End Week]:[End Week]]-(TandE[[Start Week]:[Start Week]]-1)))),0))</f>
        <v>0</v>
      </c>
      <c r="Y38" s="845" cm="1">
        <f t="array" aca="1" ref="Y38" ca="1">SUM(IF(TandE[[Start Week]:[Start Week]]&lt;=Y33,IF(TandE[[End Week]:[End Week]]&gt;=Y33,(TandE[[Role 5]:[Role 5]]/(TandE[[End Week]:[End Week]]-(TandE[[Start Week]:[Start Week]]-1)))),0))</f>
        <v>0</v>
      </c>
      <c r="Z38" s="845" cm="1">
        <f t="array" aca="1" ref="Z38" ca="1">SUM(IF(TandE[[Start Week]:[Start Week]]&lt;=Z33,IF(TandE[[End Week]:[End Week]]&gt;=Z33,(TandE[[Role 5]:[Role 5]]/(TandE[[End Week]:[End Week]]-(TandE[[Start Week]:[Start Week]]-1)))),0))</f>
        <v>0</v>
      </c>
      <c r="AA38" s="845" cm="1">
        <f t="array" aca="1" ref="AA38" ca="1">SUM(IF(TandE[[Start Week]:[Start Week]]&lt;=AA33,IF(TandE[[End Week]:[End Week]]&gt;=AA33,(TandE[[Role 5]:[Role 5]]/(TandE[[End Week]:[End Week]]-(TandE[[Start Week]:[Start Week]]-1)))),0))</f>
        <v>0</v>
      </c>
      <c r="AB38" s="845" cm="1">
        <f t="array" aca="1" ref="AB38" ca="1">SUM(IF(TandE[[Start Week]:[Start Week]]&lt;=AB33,IF(TandE[[End Week]:[End Week]]&gt;=AB33,(TandE[[Role 5]:[Role 5]]/(TandE[[End Week]:[End Week]]-(TandE[[Start Week]:[Start Week]]-1)))),0))</f>
        <v>0</v>
      </c>
      <c r="AC38" s="845" cm="1">
        <f t="array" aca="1" ref="AC38" ca="1">SUM(IF(TandE[[Start Week]:[Start Week]]&lt;=AC33,IF(TandE[[End Week]:[End Week]]&gt;=AC33,(TandE[[Role 5]:[Role 5]]/(TandE[[End Week]:[End Week]]-(TandE[[Start Week]:[Start Week]]-1)))),0))</f>
        <v>0</v>
      </c>
      <c r="AD38" s="845" cm="1">
        <f t="array" aca="1" ref="AD38" ca="1">SUM(IF(TandE[[Start Week]:[Start Week]]&lt;=AD33,IF(TandE[[End Week]:[End Week]]&gt;=AD33,(TandE[[Role 5]:[Role 5]]/(TandE[[End Week]:[End Week]]-(TandE[[Start Week]:[Start Week]]-1)))),0))</f>
        <v>0</v>
      </c>
      <c r="AE38" s="845" cm="1">
        <f t="array" aca="1" ref="AE38" ca="1">SUM(IF(TandE[[Start Week]:[Start Week]]&lt;=AE33,IF(TandE[[End Week]:[End Week]]&gt;=AE33,(TandE[[Role 5]:[Role 5]]/(TandE[[End Week]:[End Week]]-(TandE[[Start Week]:[Start Week]]-1)))),0))</f>
        <v>0</v>
      </c>
      <c r="AF38" s="845" cm="1">
        <f t="array" aca="1" ref="AF38" ca="1">SUM(IF(TandE[[Start Week]:[Start Week]]&lt;=AF33,IF(TandE[[End Week]:[End Week]]&gt;=AF33,(TandE[[Role 5]:[Role 5]]/(TandE[[End Week]:[End Week]]-(TandE[[Start Week]:[Start Week]]-1)))),0))</f>
        <v>0</v>
      </c>
      <c r="AG38" s="845" cm="1">
        <f t="array" aca="1" ref="AG38" ca="1">SUM(IF(TandE[[Start Week]:[Start Week]]&lt;=AG33,IF(TandE[[End Week]:[End Week]]&gt;=AG33,(TandE[[Role 5]:[Role 5]]/(TandE[[End Week]:[End Week]]-(TandE[[Start Week]:[Start Week]]-1)))),0))</f>
        <v>0</v>
      </c>
      <c r="AH38" s="845" cm="1">
        <f t="array" aca="1" ref="AH38" ca="1">SUM(IF(TandE[[Start Week]:[Start Week]]&lt;=AH33,IF(TandE[[End Week]:[End Week]]&gt;=AH33,(TandE[[Role 5]:[Role 5]]/(TandE[[End Week]:[End Week]]-(TandE[[Start Week]:[Start Week]]-1)))),0))</f>
        <v>0</v>
      </c>
      <c r="AI38" s="845" cm="1">
        <f t="array" aca="1" ref="AI38" ca="1">SUM(IF(TandE[[Start Week]:[Start Week]]&lt;=AI33,IF(TandE[[End Week]:[End Week]]&gt;=AI33,(TandE[[Role 5]:[Role 5]]/(TandE[[End Week]:[End Week]]-(TandE[[Start Week]:[Start Week]]-1)))),0))</f>
        <v>0</v>
      </c>
      <c r="AJ38" s="845" cm="1">
        <f t="array" aca="1" ref="AJ38" ca="1">SUM(IF(TandE[[Start Week]:[Start Week]]&lt;=AJ33,IF(TandE[[End Week]:[End Week]]&gt;=AJ33,(TandE[[Role 5]:[Role 5]]/(TandE[[End Week]:[End Week]]-(TandE[[Start Week]:[Start Week]]-1)))),0))</f>
        <v>0</v>
      </c>
      <c r="AK38" s="845" cm="1">
        <f t="array" aca="1" ref="AK38" ca="1">SUM(IF(TandE[[Start Week]:[Start Week]]&lt;=AK33,IF(TandE[[End Week]:[End Week]]&gt;=AK33,(TandE[[Role 5]:[Role 5]]/(TandE[[End Week]:[End Week]]-(TandE[[Start Week]:[Start Week]]-1)))),0))</f>
        <v>0</v>
      </c>
      <c r="AL38" s="845" cm="1">
        <f t="array" aca="1" ref="AL38" ca="1">SUM(IF(TandE[[Start Week]:[Start Week]]&lt;=AL33,IF(TandE[[End Week]:[End Week]]&gt;=AL33,(TandE[[Role 5]:[Role 5]]/(TandE[[End Week]:[End Week]]-(TandE[[Start Week]:[Start Week]]-1)))),0))</f>
        <v>0</v>
      </c>
      <c r="AM38" s="845" cm="1">
        <f t="array" aca="1" ref="AM38" ca="1">SUM(IF(TandE[[Start Week]:[Start Week]]&lt;=AM33,IF(TandE[[End Week]:[End Week]]&gt;=AM33,(TandE[[Role 5]:[Role 5]]/(TandE[[End Week]:[End Week]]-(TandE[[Start Week]:[Start Week]]-1)))),0))</f>
        <v>0</v>
      </c>
      <c r="AN38" s="845" cm="1">
        <f t="array" aca="1" ref="AN38" ca="1">SUM(IF(TandE[[Start Week]:[Start Week]]&lt;=AN33,IF(TandE[[End Week]:[End Week]]&gt;=AN33,(TandE[[Role 5]:[Role 5]]/(TandE[[End Week]:[End Week]]-(TandE[[Start Week]:[Start Week]]-1)))),0))</f>
        <v>0</v>
      </c>
      <c r="AO38" s="845" cm="1">
        <f t="array" aca="1" ref="AO38" ca="1">SUM(IF(TandE[[Start Week]:[Start Week]]&lt;=AO33,IF(TandE[[End Week]:[End Week]]&gt;=AO33,(TandE[[Role 5]:[Role 5]]/(TandE[[End Week]:[End Week]]-(TandE[[Start Week]:[Start Week]]-1)))),0))</f>
        <v>0</v>
      </c>
      <c r="AP38" s="845" cm="1">
        <f t="array" aca="1" ref="AP38" ca="1">SUM(IF(TandE[[Start Week]:[Start Week]]&lt;=AP33,IF(TandE[[End Week]:[End Week]]&gt;=AP33,(TandE[[Role 5]:[Role 5]]/(TandE[[End Week]:[End Week]]-(TandE[[Start Week]:[Start Week]]-1)))),0))</f>
        <v>0</v>
      </c>
      <c r="AQ38" s="845" cm="1">
        <f t="array" aca="1" ref="AQ38" ca="1">SUM(IF(TandE[[Start Week]:[Start Week]]&lt;=AQ33,IF(TandE[[End Week]:[End Week]]&gt;=AQ33,(TandE[[Role 5]:[Role 5]]/(TandE[[End Week]:[End Week]]-(TandE[[Start Week]:[Start Week]]-1)))),0))</f>
        <v>0</v>
      </c>
      <c r="AR38" s="845" cm="1">
        <f t="array" aca="1" ref="AR38" ca="1">SUM(IF(TandE[[Start Week]:[Start Week]]&lt;=AR33,IF(TandE[[End Week]:[End Week]]&gt;=AR33,(TandE[[Role 5]:[Role 5]]/(TandE[[End Week]:[End Week]]-(TandE[[Start Week]:[Start Week]]-1)))),0))</f>
        <v>0</v>
      </c>
      <c r="AS38" s="845" cm="1">
        <f t="array" aca="1" ref="AS38" ca="1">SUM(IF(TandE[[Start Week]:[Start Week]]&lt;=AS33,IF(TandE[[End Week]:[End Week]]&gt;=AS33,(TandE[[Role 5]:[Role 5]]/(TandE[[End Week]:[End Week]]-(TandE[[Start Week]:[Start Week]]-1)))),0))</f>
        <v>0</v>
      </c>
      <c r="AT38" s="845" cm="1">
        <f t="array" aca="1" ref="AT38" ca="1">SUM(IF(TandE[[Start Week]:[Start Week]]&lt;=AT33,IF(TandE[[End Week]:[End Week]]&gt;=AT33,(TandE[[Role 5]:[Role 5]]/(TandE[[End Week]:[End Week]]-(TandE[[Start Week]:[Start Week]]-1)))),0))</f>
        <v>0</v>
      </c>
      <c r="AU38" s="845" cm="1">
        <f t="array" aca="1" ref="AU38" ca="1">SUM(IF(TandE[[Start Week]:[Start Week]]&lt;=AU33,IF(TandE[[End Week]:[End Week]]&gt;=AU33,(TandE[[Role 5]:[Role 5]]/(TandE[[End Week]:[End Week]]-(TandE[[Start Week]:[Start Week]]-1)))),0))</f>
        <v>0</v>
      </c>
      <c r="AV38" s="845" cm="1">
        <f t="array" aca="1" ref="AV38" ca="1">SUM(IF(TandE[[Start Week]:[Start Week]]&lt;=AV33,IF(TandE[[End Week]:[End Week]]&gt;=AV33,(TandE[[Role 5]:[Role 5]]/(TandE[[End Week]:[End Week]]-(TandE[[Start Week]:[Start Week]]-1)))),0))</f>
        <v>0</v>
      </c>
      <c r="AW38" s="845" cm="1">
        <f t="array" aca="1" ref="AW38" ca="1">SUM(IF(TandE[[Start Week]:[Start Week]]&lt;=AW33,IF(TandE[[End Week]:[End Week]]&gt;=AW33,(TandE[[Role 5]:[Role 5]]/(TandE[[End Week]:[End Week]]-(TandE[[Start Week]:[Start Week]]-1)))),0))</f>
        <v>0</v>
      </c>
      <c r="AX38" s="845" cm="1">
        <f t="array" aca="1" ref="AX38" ca="1">SUM(IF(TandE[[Start Week]:[Start Week]]&lt;=AX33,IF(TandE[[End Week]:[End Week]]&gt;=AX33,(TandE[[Role 5]:[Role 5]]/(TandE[[End Week]:[End Week]]-(TandE[[Start Week]:[Start Week]]-1)))),0))</f>
        <v>0</v>
      </c>
      <c r="AY38" s="845" cm="1">
        <f t="array" aca="1" ref="AY38" ca="1">SUM(IF(TandE[[Start Week]:[Start Week]]&lt;=AY33,IF(TandE[[End Week]:[End Week]]&gt;=AY33,(TandE[[Role 5]:[Role 5]]/(TandE[[End Week]:[End Week]]-(TandE[[Start Week]:[Start Week]]-1)))),0))</f>
        <v>0</v>
      </c>
      <c r="AZ38" s="845" cm="1">
        <f t="array" aca="1" ref="AZ38" ca="1">SUM(IF(TandE[[Start Week]:[Start Week]]&lt;=AZ33,IF(TandE[[End Week]:[End Week]]&gt;=AZ33,(TandE[[Role 5]:[Role 5]]/(TandE[[End Week]:[End Week]]-(TandE[[Start Week]:[Start Week]]-1)))),0))</f>
        <v>0</v>
      </c>
      <c r="BA38" s="845" cm="1">
        <f t="array" aca="1" ref="BA38" ca="1">SUM(IF(TandE[[Start Week]:[Start Week]]&lt;=BA33,IF(TandE[[End Week]:[End Week]]&gt;=BA33,(TandE[[Role 5]:[Role 5]]/(TandE[[End Week]:[End Week]]-(TandE[[Start Week]:[Start Week]]-1)))),0))</f>
        <v>0</v>
      </c>
      <c r="BB38" s="845" cm="1">
        <f t="array" aca="1" ref="BB38" ca="1">SUM(IF(TandE[[Start Week]:[Start Week]]&lt;=BB33,IF(TandE[[End Week]:[End Week]]&gt;=BB33,(TandE[[Role 5]:[Role 5]]/(TandE[[End Week]:[End Week]]-(TandE[[Start Week]:[Start Week]]-1)))),0))</f>
        <v>0</v>
      </c>
      <c r="BC38" s="845" cm="1">
        <f t="array" aca="1" ref="BC38" ca="1">SUM(IF(TandE[[Start Week]:[Start Week]]&lt;=BC33,IF(TandE[[End Week]:[End Week]]&gt;=BC33,(TandE[[Role 5]:[Role 5]]/(TandE[[End Week]:[End Week]]-(TandE[[Start Week]:[Start Week]]-1)))),0))</f>
        <v>0</v>
      </c>
      <c r="BD38" s="845" cm="1">
        <f t="array" aca="1" ref="BD38" ca="1">SUM(IF(TandE[[Start Week]:[Start Week]]&lt;=BD33,IF(TandE[[End Week]:[End Week]]&gt;=BD33,(TandE[[Role 5]:[Role 5]]/(TandE[[End Week]:[End Week]]-(TandE[[Start Week]:[Start Week]]-1)))),0))</f>
        <v>0</v>
      </c>
      <c r="BE38" s="845" cm="1">
        <f t="array" aca="1" ref="BE38" ca="1">SUM(IF(TandE[[Start Week]:[Start Week]]&lt;=BE33,IF(TandE[[End Week]:[End Week]]&gt;=BE33,(TandE[[Role 5]:[Role 5]]/(TandE[[End Week]:[End Week]]-(TandE[[Start Week]:[Start Week]]-1)))),0))</f>
        <v>0</v>
      </c>
      <c r="BF38" s="845" cm="1">
        <f t="array" aca="1" ref="BF38" ca="1">SUM(IF(TandE[[Start Week]:[Start Week]]&lt;=BF33,IF(TandE[[End Week]:[End Week]]&gt;=BF33,(TandE[[Role 5]:[Role 5]]/(TandE[[End Week]:[End Week]]-(TandE[[Start Week]:[Start Week]]-1)))),0))</f>
        <v>0</v>
      </c>
      <c r="BG38" s="845" cm="1">
        <f t="array" aca="1" ref="BG38" ca="1">SUM(IF(TandE[[Start Week]:[Start Week]]&lt;=BG33,IF(TandE[[End Week]:[End Week]]&gt;=BG33,(TandE[[Role 5]:[Role 5]]/(TandE[[End Week]:[End Week]]-(TandE[[Start Week]:[Start Week]]-1)))),0))</f>
        <v>0</v>
      </c>
      <c r="BH38" s="845" cm="1">
        <f t="array" aca="1" ref="BH38" ca="1">SUM(IF(TandE[[Start Week]:[Start Week]]&lt;=BH33,IF(TandE[[End Week]:[End Week]]&gt;=BH33,(TandE[[Role 5]:[Role 5]]/(TandE[[End Week]:[End Week]]-(TandE[[Start Week]:[Start Week]]-1)))),0))</f>
        <v>0</v>
      </c>
      <c r="BI38" s="845" cm="1">
        <f t="array" aca="1" ref="BI38" ca="1">SUM(IF(TandE[[Start Week]:[Start Week]]&lt;=BI33,IF(TandE[[End Week]:[End Week]]&gt;=BI33,(TandE[[Role 5]:[Role 5]]/(TandE[[End Week]:[End Week]]-(TandE[[Start Week]:[Start Week]]-1)))),0))</f>
        <v>0</v>
      </c>
      <c r="BJ38" s="845" cm="1">
        <f t="array" aca="1" ref="BJ38" ca="1">SUM(IF(TandE[[Start Week]:[Start Week]]&lt;=BJ33,IF(TandE[[End Week]:[End Week]]&gt;=BJ33,(TandE[[Role 5]:[Role 5]]/(TandE[[End Week]:[End Week]]-(TandE[[Start Week]:[Start Week]]-1)))),0))</f>
        <v>0</v>
      </c>
    </row>
    <row r="39" spans="2:62">
      <c r="B39" s="590" t="s">
        <v>475</v>
      </c>
      <c r="C39" s="589" t="str">
        <f ca="1">INDEX(RolesandSkills[Role + Practice],MATCH(Table2117[[#This Row],[Role '#]],RolesandSkills[Role '#],0),1)</f>
        <v>-</v>
      </c>
      <c r="D39" s="589" t="str">
        <f ca="1">INDEX(RolesandSkills[Resource Location],MATCH(Table2117[[#This Row],[Role '#]],RolesandSkills[Role '#],0),1)</f>
        <v/>
      </c>
      <c r="E39" s="589" t="str">
        <f ca="1">INDEX(RolesandSkills[Practice],MATCH(Table2117[[#This Row],[Role '#]],RolesandSkills[Role '#],0),1)</f>
        <v/>
      </c>
      <c r="F39" s="589" t="str">
        <f ca="1">INDEX(RolesandSkills[Skill '#1],MATCH(Table2117[[#This Row],[Role '#]],RolesandSkills[Role '#],0),1)</f>
        <v/>
      </c>
      <c r="G39" s="589" t="str">
        <f ca="1">INDEX(RolesandSkills[Skill '#2],MATCH(Table2117[[#This Row],[Role '#]],RolesandSkills[Role '#],0),1)</f>
        <v/>
      </c>
      <c r="H39" s="589" t="str">
        <f ca="1">INDEX(RolesandSkills[Skill '#3],MATCH(Table2117[[#This Row],[Role '#]],RolesandSkills[Role '#],0),1)</f>
        <v/>
      </c>
      <c r="I39" s="768">
        <f t="shared" ca="1" si="10"/>
        <v>0</v>
      </c>
      <c r="J39" s="589">
        <f ca="1">SUM(Table2117[[#This Row],[1]:[52]])</f>
        <v>0</v>
      </c>
      <c r="K39" s="845" cm="1">
        <f t="array" aca="1" ref="K39" ca="1">SUM(IF(TandE[Start Week]&lt;=K33,IF(TandE[End Week]&gt;=K33,(TandE[Role 6]/(TandE[End Week]-(TandE[Start Week]-1)))),0))</f>
        <v>0</v>
      </c>
      <c r="L39" s="845" cm="1">
        <f t="array" aca="1" ref="L39" ca="1">SUM(IF(TandE[[Start Week]:[Start Week]]&lt;=L33,IF(TandE[[End Week]:[End Week]]&gt;=L33,(TandE[[Role 6]:[Role 6]]/(TandE[[End Week]:[End Week]]-(TandE[[Start Week]:[Start Week]]-1)))),0))</f>
        <v>0</v>
      </c>
      <c r="M39" s="845" cm="1">
        <f t="array" aca="1" ref="M39" ca="1">SUM(IF(TandE[[Start Week]:[Start Week]]&lt;=M33,IF(TandE[[End Week]:[End Week]]&gt;=M33,(TandE[[Role 6]:[Role 6]]/(TandE[[End Week]:[End Week]]-(TandE[[Start Week]:[Start Week]]-1)))),0))</f>
        <v>0</v>
      </c>
      <c r="N39" s="845" cm="1">
        <f t="array" aca="1" ref="N39" ca="1">SUM(IF(TandE[[Start Week]:[Start Week]]&lt;=N33,IF(TandE[[End Week]:[End Week]]&gt;=N33,(TandE[[Role 6]:[Role 6]]/(TandE[[End Week]:[End Week]]-(TandE[[Start Week]:[Start Week]]-1)))),0))</f>
        <v>0</v>
      </c>
      <c r="O39" s="845" cm="1">
        <f t="array" aca="1" ref="O39" ca="1">SUM(IF(TandE[[Start Week]:[Start Week]]&lt;=O33,IF(TandE[[End Week]:[End Week]]&gt;=O33,(TandE[[Role 6]:[Role 6]]/(TandE[[End Week]:[End Week]]-(TandE[[Start Week]:[Start Week]]-1)))),0))</f>
        <v>0</v>
      </c>
      <c r="P39" s="845" cm="1">
        <f t="array" aca="1" ref="P39" ca="1">SUM(IF(TandE[[Start Week]:[Start Week]]&lt;=P33,IF(TandE[[End Week]:[End Week]]&gt;=P33,(TandE[[Role 6]:[Role 6]]/(TandE[[End Week]:[End Week]]-(TandE[[Start Week]:[Start Week]]-1)))),0))</f>
        <v>0</v>
      </c>
      <c r="Q39" s="845" cm="1">
        <f t="array" aca="1" ref="Q39" ca="1">SUM(IF(TandE[[Start Week]:[Start Week]]&lt;=Q33,IF(TandE[[End Week]:[End Week]]&gt;=Q33,(TandE[[Role 6]:[Role 6]]/(TandE[[End Week]:[End Week]]-(TandE[[Start Week]:[Start Week]]-1)))),0))</f>
        <v>0</v>
      </c>
      <c r="R39" s="845" cm="1">
        <f t="array" aca="1" ref="R39" ca="1">SUM(IF(TandE[[Start Week]:[Start Week]]&lt;=R33,IF(TandE[[End Week]:[End Week]]&gt;=R33,(TandE[[Role 6]:[Role 6]]/(TandE[[End Week]:[End Week]]-(TandE[[Start Week]:[Start Week]]-1)))),0))</f>
        <v>0</v>
      </c>
      <c r="S39" s="845" cm="1">
        <f t="array" aca="1" ref="S39" ca="1">SUM(IF(TandE[[Start Week]:[Start Week]]&lt;=S33,IF(TandE[[End Week]:[End Week]]&gt;=S33,(TandE[[Role 6]:[Role 6]]/(TandE[[End Week]:[End Week]]-(TandE[[Start Week]:[Start Week]]-1)))),0))</f>
        <v>0</v>
      </c>
      <c r="T39" s="845" cm="1">
        <f t="array" aca="1" ref="T39" ca="1">SUM(IF(TandE[[Start Week]:[Start Week]]&lt;=T33,IF(TandE[[End Week]:[End Week]]&gt;=T33,(TandE[[Role 6]:[Role 6]]/(TandE[[End Week]:[End Week]]-(TandE[[Start Week]:[Start Week]]-1)))),0))</f>
        <v>0</v>
      </c>
      <c r="U39" s="845" cm="1">
        <f t="array" aca="1" ref="U39" ca="1">SUM(IF(TandE[[Start Week]:[Start Week]]&lt;=U33,IF(TandE[[End Week]:[End Week]]&gt;=U33,(TandE[[Role 6]:[Role 6]]/(TandE[[End Week]:[End Week]]-(TandE[[Start Week]:[Start Week]]-1)))),0))</f>
        <v>0</v>
      </c>
      <c r="V39" s="845" cm="1">
        <f t="array" aca="1" ref="V39" ca="1">SUM(IF(TandE[[Start Week]:[Start Week]]&lt;=V33,IF(TandE[[End Week]:[End Week]]&gt;=V33,(TandE[[Role 6]:[Role 6]]/(TandE[[End Week]:[End Week]]-(TandE[[Start Week]:[Start Week]]-1)))),0))</f>
        <v>0</v>
      </c>
      <c r="W39" s="845" cm="1">
        <f t="array" aca="1" ref="W39" ca="1">SUM(IF(TandE[[Start Week]:[Start Week]]&lt;=W33,IF(TandE[[End Week]:[End Week]]&gt;=W33,(TandE[[Role 6]:[Role 6]]/(TandE[[End Week]:[End Week]]-(TandE[[Start Week]:[Start Week]]-1)))),0))</f>
        <v>0</v>
      </c>
      <c r="X39" s="845" cm="1">
        <f t="array" aca="1" ref="X39" ca="1">SUM(IF(TandE[[Start Week]:[Start Week]]&lt;=X33,IF(TandE[[End Week]:[End Week]]&gt;=X33,(TandE[[Role 6]:[Role 6]]/(TandE[[End Week]:[End Week]]-(TandE[[Start Week]:[Start Week]]-1)))),0))</f>
        <v>0</v>
      </c>
      <c r="Y39" s="845" cm="1">
        <f t="array" aca="1" ref="Y39" ca="1">SUM(IF(TandE[[Start Week]:[Start Week]]&lt;=Y33,IF(TandE[[End Week]:[End Week]]&gt;=Y33,(TandE[[Role 6]:[Role 6]]/(TandE[[End Week]:[End Week]]-(TandE[[Start Week]:[Start Week]]-1)))),0))</f>
        <v>0</v>
      </c>
      <c r="Z39" s="845" cm="1">
        <f t="array" aca="1" ref="Z39" ca="1">SUM(IF(TandE[[Start Week]:[Start Week]]&lt;=Z33,IF(TandE[[End Week]:[End Week]]&gt;=Z33,(TandE[[Role 6]:[Role 6]]/(TandE[[End Week]:[End Week]]-(TandE[[Start Week]:[Start Week]]-1)))),0))</f>
        <v>0</v>
      </c>
      <c r="AA39" s="845" cm="1">
        <f t="array" aca="1" ref="AA39" ca="1">SUM(IF(TandE[[Start Week]:[Start Week]]&lt;=AA33,IF(TandE[[End Week]:[End Week]]&gt;=AA33,(TandE[[Role 6]:[Role 6]]/(TandE[[End Week]:[End Week]]-(TandE[[Start Week]:[Start Week]]-1)))),0))</f>
        <v>0</v>
      </c>
      <c r="AB39" s="845" cm="1">
        <f t="array" aca="1" ref="AB39" ca="1">SUM(IF(TandE[[Start Week]:[Start Week]]&lt;=AB33,IF(TandE[[End Week]:[End Week]]&gt;=AB33,(TandE[[Role 6]:[Role 6]]/(TandE[[End Week]:[End Week]]-(TandE[[Start Week]:[Start Week]]-1)))),0))</f>
        <v>0</v>
      </c>
      <c r="AC39" s="845" cm="1">
        <f t="array" aca="1" ref="AC39" ca="1">SUM(IF(TandE[[Start Week]:[Start Week]]&lt;=AC33,IF(TandE[[End Week]:[End Week]]&gt;=AC33,(TandE[[Role 6]:[Role 6]]/(TandE[[End Week]:[End Week]]-(TandE[[Start Week]:[Start Week]]-1)))),0))</f>
        <v>0</v>
      </c>
      <c r="AD39" s="845" cm="1">
        <f t="array" aca="1" ref="AD39" ca="1">SUM(IF(TandE[[Start Week]:[Start Week]]&lt;=AD33,IF(TandE[[End Week]:[End Week]]&gt;=AD33,(TandE[[Role 6]:[Role 6]]/(TandE[[End Week]:[End Week]]-(TandE[[Start Week]:[Start Week]]-1)))),0))</f>
        <v>0</v>
      </c>
      <c r="AE39" s="845" cm="1">
        <f t="array" aca="1" ref="AE39" ca="1">SUM(IF(TandE[[Start Week]:[Start Week]]&lt;=AE33,IF(TandE[[End Week]:[End Week]]&gt;=AE33,(TandE[[Role 6]:[Role 6]]/(TandE[[End Week]:[End Week]]-(TandE[[Start Week]:[Start Week]]-1)))),0))</f>
        <v>0</v>
      </c>
      <c r="AF39" s="845" cm="1">
        <f t="array" aca="1" ref="AF39" ca="1">SUM(IF(TandE[[Start Week]:[Start Week]]&lt;=AF33,IF(TandE[[End Week]:[End Week]]&gt;=AF33,(TandE[[Role 6]:[Role 6]]/(TandE[[End Week]:[End Week]]-(TandE[[Start Week]:[Start Week]]-1)))),0))</f>
        <v>0</v>
      </c>
      <c r="AG39" s="845" cm="1">
        <f t="array" aca="1" ref="AG39" ca="1">SUM(IF(TandE[[Start Week]:[Start Week]]&lt;=AG33,IF(TandE[[End Week]:[End Week]]&gt;=AG33,(TandE[[Role 6]:[Role 6]]/(TandE[[End Week]:[End Week]]-(TandE[[Start Week]:[Start Week]]-1)))),0))</f>
        <v>0</v>
      </c>
      <c r="AH39" s="845" cm="1">
        <f t="array" aca="1" ref="AH39" ca="1">SUM(IF(TandE[[Start Week]:[Start Week]]&lt;=AH33,IF(TandE[[End Week]:[End Week]]&gt;=AH33,(TandE[[Role 6]:[Role 6]]/(TandE[[End Week]:[End Week]]-(TandE[[Start Week]:[Start Week]]-1)))),0))</f>
        <v>0</v>
      </c>
      <c r="AI39" s="845" cm="1">
        <f t="array" aca="1" ref="AI39" ca="1">SUM(IF(TandE[[Start Week]:[Start Week]]&lt;=AI33,IF(TandE[[End Week]:[End Week]]&gt;=AI33,(TandE[[Role 6]:[Role 6]]/(TandE[[End Week]:[End Week]]-(TandE[[Start Week]:[Start Week]]-1)))),0))</f>
        <v>0</v>
      </c>
      <c r="AJ39" s="845" cm="1">
        <f t="array" aca="1" ref="AJ39" ca="1">SUM(IF(TandE[[Start Week]:[Start Week]]&lt;=AJ33,IF(TandE[[End Week]:[End Week]]&gt;=AJ33,(TandE[[Role 6]:[Role 6]]/(TandE[[End Week]:[End Week]]-(TandE[[Start Week]:[Start Week]]-1)))),0))</f>
        <v>0</v>
      </c>
      <c r="AK39" s="845" cm="1">
        <f t="array" aca="1" ref="AK39" ca="1">SUM(IF(TandE[[Start Week]:[Start Week]]&lt;=AK33,IF(TandE[[End Week]:[End Week]]&gt;=AK33,(TandE[[Role 6]:[Role 6]]/(TandE[[End Week]:[End Week]]-(TandE[[Start Week]:[Start Week]]-1)))),0))</f>
        <v>0</v>
      </c>
      <c r="AL39" s="845" cm="1">
        <f t="array" aca="1" ref="AL39" ca="1">SUM(IF(TandE[[Start Week]:[Start Week]]&lt;=AL33,IF(TandE[[End Week]:[End Week]]&gt;=AL33,(TandE[[Role 6]:[Role 6]]/(TandE[[End Week]:[End Week]]-(TandE[[Start Week]:[Start Week]]-1)))),0))</f>
        <v>0</v>
      </c>
      <c r="AM39" s="845" cm="1">
        <f t="array" aca="1" ref="AM39" ca="1">SUM(IF(TandE[[Start Week]:[Start Week]]&lt;=AM33,IF(TandE[[End Week]:[End Week]]&gt;=AM33,(TandE[[Role 6]:[Role 6]]/(TandE[[End Week]:[End Week]]-(TandE[[Start Week]:[Start Week]]-1)))),0))</f>
        <v>0</v>
      </c>
      <c r="AN39" s="845" cm="1">
        <f t="array" aca="1" ref="AN39" ca="1">SUM(IF(TandE[[Start Week]:[Start Week]]&lt;=AN33,IF(TandE[[End Week]:[End Week]]&gt;=AN33,(TandE[[Role 6]:[Role 6]]/(TandE[[End Week]:[End Week]]-(TandE[[Start Week]:[Start Week]]-1)))),0))</f>
        <v>0</v>
      </c>
      <c r="AO39" s="845" cm="1">
        <f t="array" aca="1" ref="AO39" ca="1">SUM(IF(TandE[[Start Week]:[Start Week]]&lt;=AO33,IF(TandE[[End Week]:[End Week]]&gt;=AO33,(TandE[[Role 6]:[Role 6]]/(TandE[[End Week]:[End Week]]-(TandE[[Start Week]:[Start Week]]-1)))),0))</f>
        <v>0</v>
      </c>
      <c r="AP39" s="845" cm="1">
        <f t="array" aca="1" ref="AP39" ca="1">SUM(IF(TandE[[Start Week]:[Start Week]]&lt;=AP33,IF(TandE[[End Week]:[End Week]]&gt;=AP33,(TandE[[Role 6]:[Role 6]]/(TandE[[End Week]:[End Week]]-(TandE[[Start Week]:[Start Week]]-1)))),0))</f>
        <v>0</v>
      </c>
      <c r="AQ39" s="845" cm="1">
        <f t="array" aca="1" ref="AQ39" ca="1">SUM(IF(TandE[[Start Week]:[Start Week]]&lt;=AQ33,IF(TandE[[End Week]:[End Week]]&gt;=AQ33,(TandE[[Role 6]:[Role 6]]/(TandE[[End Week]:[End Week]]-(TandE[[Start Week]:[Start Week]]-1)))),0))</f>
        <v>0</v>
      </c>
      <c r="AR39" s="845" cm="1">
        <f t="array" aca="1" ref="AR39" ca="1">SUM(IF(TandE[[Start Week]:[Start Week]]&lt;=AR33,IF(TandE[[End Week]:[End Week]]&gt;=AR33,(TandE[[Role 6]:[Role 6]]/(TandE[[End Week]:[End Week]]-(TandE[[Start Week]:[Start Week]]-1)))),0))</f>
        <v>0</v>
      </c>
      <c r="AS39" s="845" cm="1">
        <f t="array" aca="1" ref="AS39" ca="1">SUM(IF(TandE[[Start Week]:[Start Week]]&lt;=AS33,IF(TandE[[End Week]:[End Week]]&gt;=AS33,(TandE[[Role 6]:[Role 6]]/(TandE[[End Week]:[End Week]]-(TandE[[Start Week]:[Start Week]]-1)))),0))</f>
        <v>0</v>
      </c>
      <c r="AT39" s="845" cm="1">
        <f t="array" aca="1" ref="AT39" ca="1">SUM(IF(TandE[[Start Week]:[Start Week]]&lt;=AT33,IF(TandE[[End Week]:[End Week]]&gt;=AT33,(TandE[[Role 6]:[Role 6]]/(TandE[[End Week]:[End Week]]-(TandE[[Start Week]:[Start Week]]-1)))),0))</f>
        <v>0</v>
      </c>
      <c r="AU39" s="845" cm="1">
        <f t="array" aca="1" ref="AU39" ca="1">SUM(IF(TandE[[Start Week]:[Start Week]]&lt;=AU33,IF(TandE[[End Week]:[End Week]]&gt;=AU33,(TandE[[Role 6]:[Role 6]]/(TandE[[End Week]:[End Week]]-(TandE[[Start Week]:[Start Week]]-1)))),0))</f>
        <v>0</v>
      </c>
      <c r="AV39" s="845" cm="1">
        <f t="array" aca="1" ref="AV39" ca="1">SUM(IF(TandE[[Start Week]:[Start Week]]&lt;=AV33,IF(TandE[[End Week]:[End Week]]&gt;=AV33,(TandE[[Role 6]:[Role 6]]/(TandE[[End Week]:[End Week]]-(TandE[[Start Week]:[Start Week]]-1)))),0))</f>
        <v>0</v>
      </c>
      <c r="AW39" s="845" cm="1">
        <f t="array" aca="1" ref="AW39" ca="1">SUM(IF(TandE[[Start Week]:[Start Week]]&lt;=AW33,IF(TandE[[End Week]:[End Week]]&gt;=AW33,(TandE[[Role 6]:[Role 6]]/(TandE[[End Week]:[End Week]]-(TandE[[Start Week]:[Start Week]]-1)))),0))</f>
        <v>0</v>
      </c>
      <c r="AX39" s="845" cm="1">
        <f t="array" aca="1" ref="AX39" ca="1">SUM(IF(TandE[[Start Week]:[Start Week]]&lt;=AX33,IF(TandE[[End Week]:[End Week]]&gt;=AX33,(TandE[[Role 6]:[Role 6]]/(TandE[[End Week]:[End Week]]-(TandE[[Start Week]:[Start Week]]-1)))),0))</f>
        <v>0</v>
      </c>
      <c r="AY39" s="845" cm="1">
        <f t="array" aca="1" ref="AY39" ca="1">SUM(IF(TandE[[Start Week]:[Start Week]]&lt;=AY33,IF(TandE[[End Week]:[End Week]]&gt;=AY33,(TandE[[Role 6]:[Role 6]]/(TandE[[End Week]:[End Week]]-(TandE[[Start Week]:[Start Week]]-1)))),0))</f>
        <v>0</v>
      </c>
      <c r="AZ39" s="845" cm="1">
        <f t="array" aca="1" ref="AZ39" ca="1">SUM(IF(TandE[[Start Week]:[Start Week]]&lt;=AZ33,IF(TandE[[End Week]:[End Week]]&gt;=AZ33,(TandE[[Role 6]:[Role 6]]/(TandE[[End Week]:[End Week]]-(TandE[[Start Week]:[Start Week]]-1)))),0))</f>
        <v>0</v>
      </c>
      <c r="BA39" s="845" cm="1">
        <f t="array" aca="1" ref="BA39" ca="1">SUM(IF(TandE[[Start Week]:[Start Week]]&lt;=BA33,IF(TandE[[End Week]:[End Week]]&gt;=BA33,(TandE[[Role 6]:[Role 6]]/(TandE[[End Week]:[End Week]]-(TandE[[Start Week]:[Start Week]]-1)))),0))</f>
        <v>0</v>
      </c>
      <c r="BB39" s="845" cm="1">
        <f t="array" aca="1" ref="BB39" ca="1">SUM(IF(TandE[[Start Week]:[Start Week]]&lt;=BB33,IF(TandE[[End Week]:[End Week]]&gt;=BB33,(TandE[[Role 6]:[Role 6]]/(TandE[[End Week]:[End Week]]-(TandE[[Start Week]:[Start Week]]-1)))),0))</f>
        <v>0</v>
      </c>
      <c r="BC39" s="845" cm="1">
        <f t="array" aca="1" ref="BC39" ca="1">SUM(IF(TandE[[Start Week]:[Start Week]]&lt;=BC33,IF(TandE[[End Week]:[End Week]]&gt;=BC33,(TandE[[Role 6]:[Role 6]]/(TandE[[End Week]:[End Week]]-(TandE[[Start Week]:[Start Week]]-1)))),0))</f>
        <v>0</v>
      </c>
      <c r="BD39" s="845" cm="1">
        <f t="array" aca="1" ref="BD39" ca="1">SUM(IF(TandE[[Start Week]:[Start Week]]&lt;=BD33,IF(TandE[[End Week]:[End Week]]&gt;=BD33,(TandE[[Role 6]:[Role 6]]/(TandE[[End Week]:[End Week]]-(TandE[[Start Week]:[Start Week]]-1)))),0))</f>
        <v>0</v>
      </c>
      <c r="BE39" s="845" cm="1">
        <f t="array" aca="1" ref="BE39" ca="1">SUM(IF(TandE[[Start Week]:[Start Week]]&lt;=BE33,IF(TandE[[End Week]:[End Week]]&gt;=BE33,(TandE[[Role 6]:[Role 6]]/(TandE[[End Week]:[End Week]]-(TandE[[Start Week]:[Start Week]]-1)))),0))</f>
        <v>0</v>
      </c>
      <c r="BF39" s="845" cm="1">
        <f t="array" aca="1" ref="BF39" ca="1">SUM(IF(TandE[[Start Week]:[Start Week]]&lt;=BF33,IF(TandE[[End Week]:[End Week]]&gt;=BF33,(TandE[[Role 6]:[Role 6]]/(TandE[[End Week]:[End Week]]-(TandE[[Start Week]:[Start Week]]-1)))),0))</f>
        <v>0</v>
      </c>
      <c r="BG39" s="845" cm="1">
        <f t="array" aca="1" ref="BG39" ca="1">SUM(IF(TandE[[Start Week]:[Start Week]]&lt;=BG33,IF(TandE[[End Week]:[End Week]]&gt;=BG33,(TandE[[Role 6]:[Role 6]]/(TandE[[End Week]:[End Week]]-(TandE[[Start Week]:[Start Week]]-1)))),0))</f>
        <v>0</v>
      </c>
      <c r="BH39" s="845" cm="1">
        <f t="array" aca="1" ref="BH39" ca="1">SUM(IF(TandE[[Start Week]:[Start Week]]&lt;=BH33,IF(TandE[[End Week]:[End Week]]&gt;=BH33,(TandE[[Role 6]:[Role 6]]/(TandE[[End Week]:[End Week]]-(TandE[[Start Week]:[Start Week]]-1)))),0))</f>
        <v>0</v>
      </c>
      <c r="BI39" s="845" cm="1">
        <f t="array" aca="1" ref="BI39" ca="1">SUM(IF(TandE[[Start Week]:[Start Week]]&lt;=BI33,IF(TandE[[End Week]:[End Week]]&gt;=BI33,(TandE[[Role 6]:[Role 6]]/(TandE[[End Week]:[End Week]]-(TandE[[Start Week]:[Start Week]]-1)))),0))</f>
        <v>0</v>
      </c>
      <c r="BJ39" s="845" cm="1">
        <f t="array" aca="1" ref="BJ39" ca="1">SUM(IF(TandE[[Start Week]:[Start Week]]&lt;=BJ33,IF(TandE[[End Week]:[End Week]]&gt;=BJ33,(TandE[[Role 6]:[Role 6]]/(TandE[[End Week]:[End Week]]-(TandE[[Start Week]:[Start Week]]-1)))),0))</f>
        <v>0</v>
      </c>
    </row>
    <row r="40" spans="2:62">
      <c r="B40" s="588" t="s">
        <v>476</v>
      </c>
      <c r="C40" s="589" t="str">
        <f ca="1">INDEX(RolesandSkills[Role + Practice],MATCH(Table2117[[#This Row],[Role '#]],RolesandSkills[Role '#],0),1)</f>
        <v>-</v>
      </c>
      <c r="D40" s="589" t="str">
        <f ca="1">INDEX(RolesandSkills[Resource Location],MATCH(Table2117[[#This Row],[Role '#]],RolesandSkills[Role '#],0),1)</f>
        <v/>
      </c>
      <c r="E40" s="589" t="str">
        <f ca="1">INDEX(RolesandSkills[Practice],MATCH(Table2117[[#This Row],[Role '#]],RolesandSkills[Role '#],0),1)</f>
        <v/>
      </c>
      <c r="F40" s="589" t="str">
        <f ca="1">INDEX(RolesandSkills[Skill '#1],MATCH(Table2117[[#This Row],[Role '#]],RolesandSkills[Role '#],0),1)</f>
        <v/>
      </c>
      <c r="G40" s="589" t="str">
        <f ca="1">INDEX(RolesandSkills[Skill '#2],MATCH(Table2117[[#This Row],[Role '#]],RolesandSkills[Role '#],0),1)</f>
        <v/>
      </c>
      <c r="H40" s="589" t="str">
        <f ca="1">INDEX(RolesandSkills[Skill '#3],MATCH(Table2117[[#This Row],[Role '#]],RolesandSkills[Role '#],0),1)</f>
        <v/>
      </c>
      <c r="I40" s="768">
        <f t="shared" ca="1" si="10"/>
        <v>0</v>
      </c>
      <c r="J40" s="589">
        <f ca="1">SUM(Table2117[[#This Row],[1]:[52]])</f>
        <v>0</v>
      </c>
      <c r="K40" s="845" cm="1">
        <f t="array" aca="1" ref="K40" ca="1">SUM(IF(TandE[Start Week]&lt;=K33,IF(TandE[End Week]&gt;=K33,(TandE[Role 7]/(TandE[End Week]-(TandE[Start Week]-1)))),0))</f>
        <v>0</v>
      </c>
      <c r="L40" s="845" cm="1">
        <f t="array" aca="1" ref="L40" ca="1">SUM(IF(TandE[[Start Week]:[Start Week]]&lt;=L33,IF(TandE[[End Week]:[End Week]]&gt;=L33,(TandE[[Role 7]:[Role 7]]/(TandE[[End Week]:[End Week]]-(TandE[[Start Week]:[Start Week]]-1)))),0))</f>
        <v>0</v>
      </c>
      <c r="M40" s="845" cm="1">
        <f t="array" aca="1" ref="M40" ca="1">SUM(IF(TandE[[Start Week]:[Start Week]]&lt;=M33,IF(TandE[[End Week]:[End Week]]&gt;=M33,(TandE[[Role 7]:[Role 7]]/(TandE[[End Week]:[End Week]]-(TandE[[Start Week]:[Start Week]]-1)))),0))</f>
        <v>0</v>
      </c>
      <c r="N40" s="845" cm="1">
        <f t="array" aca="1" ref="N40" ca="1">SUM(IF(TandE[[Start Week]:[Start Week]]&lt;=N33,IF(TandE[[End Week]:[End Week]]&gt;=N33,(TandE[[Role 7]:[Role 7]]/(TandE[[End Week]:[End Week]]-(TandE[[Start Week]:[Start Week]]-1)))),0))</f>
        <v>0</v>
      </c>
      <c r="O40" s="845" cm="1">
        <f t="array" aca="1" ref="O40" ca="1">SUM(IF(TandE[[Start Week]:[Start Week]]&lt;=O33,IF(TandE[[End Week]:[End Week]]&gt;=O33,(TandE[[Role 7]:[Role 7]]/(TandE[[End Week]:[End Week]]-(TandE[[Start Week]:[Start Week]]-1)))),0))</f>
        <v>0</v>
      </c>
      <c r="P40" s="845" cm="1">
        <f t="array" aca="1" ref="P40" ca="1">SUM(IF(TandE[[Start Week]:[Start Week]]&lt;=P33,IF(TandE[[End Week]:[End Week]]&gt;=P33,(TandE[[Role 7]:[Role 7]]/(TandE[[End Week]:[End Week]]-(TandE[[Start Week]:[Start Week]]-1)))),0))</f>
        <v>0</v>
      </c>
      <c r="Q40" s="845" cm="1">
        <f t="array" aca="1" ref="Q40" ca="1">SUM(IF(TandE[[Start Week]:[Start Week]]&lt;=Q33,IF(TandE[[End Week]:[End Week]]&gt;=Q33,(TandE[[Role 7]:[Role 7]]/(TandE[[End Week]:[End Week]]-(TandE[[Start Week]:[Start Week]]-1)))),0))</f>
        <v>0</v>
      </c>
      <c r="R40" s="845" cm="1">
        <f t="array" aca="1" ref="R40" ca="1">SUM(IF(TandE[[Start Week]:[Start Week]]&lt;=R33,IF(TandE[[End Week]:[End Week]]&gt;=R33,(TandE[[Role 7]:[Role 7]]/(TandE[[End Week]:[End Week]]-(TandE[[Start Week]:[Start Week]]-1)))),0))</f>
        <v>0</v>
      </c>
      <c r="S40" s="845" cm="1">
        <f t="array" aca="1" ref="S40" ca="1">SUM(IF(TandE[[Start Week]:[Start Week]]&lt;=S33,IF(TandE[[End Week]:[End Week]]&gt;=S33,(TandE[[Role 7]:[Role 7]]/(TandE[[End Week]:[End Week]]-(TandE[[Start Week]:[Start Week]]-1)))),0))</f>
        <v>0</v>
      </c>
      <c r="T40" s="845" cm="1">
        <f t="array" aca="1" ref="T40" ca="1">SUM(IF(TandE[[Start Week]:[Start Week]]&lt;=T33,IF(TandE[[End Week]:[End Week]]&gt;=T33,(TandE[[Role 7]:[Role 7]]/(TandE[[End Week]:[End Week]]-(TandE[[Start Week]:[Start Week]]-1)))),0))</f>
        <v>0</v>
      </c>
      <c r="U40" s="845" cm="1">
        <f t="array" aca="1" ref="U40" ca="1">SUM(IF(TandE[[Start Week]:[Start Week]]&lt;=U33,IF(TandE[[End Week]:[End Week]]&gt;=U33,(TandE[[Role 7]:[Role 7]]/(TandE[[End Week]:[End Week]]-(TandE[[Start Week]:[Start Week]]-1)))),0))</f>
        <v>0</v>
      </c>
      <c r="V40" s="845" cm="1">
        <f t="array" aca="1" ref="V40" ca="1">SUM(IF(TandE[[Start Week]:[Start Week]]&lt;=V33,IF(TandE[[End Week]:[End Week]]&gt;=V33,(TandE[[Role 7]:[Role 7]]/(TandE[[End Week]:[End Week]]-(TandE[[Start Week]:[Start Week]]-1)))),0))</f>
        <v>0</v>
      </c>
      <c r="W40" s="845" cm="1">
        <f t="array" aca="1" ref="W40" ca="1">SUM(IF(TandE[[Start Week]:[Start Week]]&lt;=W33,IF(TandE[[End Week]:[End Week]]&gt;=W33,(TandE[[Role 7]:[Role 7]]/(TandE[[End Week]:[End Week]]-(TandE[[Start Week]:[Start Week]]-1)))),0))</f>
        <v>0</v>
      </c>
      <c r="X40" s="845" cm="1">
        <f t="array" aca="1" ref="X40" ca="1">SUM(IF(TandE[[Start Week]:[Start Week]]&lt;=X33,IF(TandE[[End Week]:[End Week]]&gt;=X33,(TandE[[Role 7]:[Role 7]]/(TandE[[End Week]:[End Week]]-(TandE[[Start Week]:[Start Week]]-1)))),0))</f>
        <v>0</v>
      </c>
      <c r="Y40" s="845" cm="1">
        <f t="array" aca="1" ref="Y40" ca="1">SUM(IF(TandE[[Start Week]:[Start Week]]&lt;=Y33,IF(TandE[[End Week]:[End Week]]&gt;=Y33,(TandE[[Role 7]:[Role 7]]/(TandE[[End Week]:[End Week]]-(TandE[[Start Week]:[Start Week]]-1)))),0))</f>
        <v>0</v>
      </c>
      <c r="Z40" s="845" cm="1">
        <f t="array" aca="1" ref="Z40" ca="1">SUM(IF(TandE[[Start Week]:[Start Week]]&lt;=Z33,IF(TandE[[End Week]:[End Week]]&gt;=Z33,(TandE[[Role 7]:[Role 7]]/(TandE[[End Week]:[End Week]]-(TandE[[Start Week]:[Start Week]]-1)))),0))</f>
        <v>0</v>
      </c>
      <c r="AA40" s="845" cm="1">
        <f t="array" aca="1" ref="AA40" ca="1">SUM(IF(TandE[[Start Week]:[Start Week]]&lt;=AA33,IF(TandE[[End Week]:[End Week]]&gt;=AA33,(TandE[[Role 7]:[Role 7]]/(TandE[[End Week]:[End Week]]-(TandE[[Start Week]:[Start Week]]-1)))),0))</f>
        <v>0</v>
      </c>
      <c r="AB40" s="845" cm="1">
        <f t="array" aca="1" ref="AB40" ca="1">SUM(IF(TandE[[Start Week]:[Start Week]]&lt;=AB33,IF(TandE[[End Week]:[End Week]]&gt;=AB33,(TandE[[Role 7]:[Role 7]]/(TandE[[End Week]:[End Week]]-(TandE[[Start Week]:[Start Week]]-1)))),0))</f>
        <v>0</v>
      </c>
      <c r="AC40" s="845" cm="1">
        <f t="array" aca="1" ref="AC40" ca="1">SUM(IF(TandE[[Start Week]:[Start Week]]&lt;=AC33,IF(TandE[[End Week]:[End Week]]&gt;=AC33,(TandE[[Role 7]:[Role 7]]/(TandE[[End Week]:[End Week]]-(TandE[[Start Week]:[Start Week]]-1)))),0))</f>
        <v>0</v>
      </c>
      <c r="AD40" s="845" cm="1">
        <f t="array" aca="1" ref="AD40" ca="1">SUM(IF(TandE[[Start Week]:[Start Week]]&lt;=AD33,IF(TandE[[End Week]:[End Week]]&gt;=AD33,(TandE[[Role 7]:[Role 7]]/(TandE[[End Week]:[End Week]]-(TandE[[Start Week]:[Start Week]]-1)))),0))</f>
        <v>0</v>
      </c>
      <c r="AE40" s="845" cm="1">
        <f t="array" aca="1" ref="AE40" ca="1">SUM(IF(TandE[[Start Week]:[Start Week]]&lt;=AE33,IF(TandE[[End Week]:[End Week]]&gt;=AE33,(TandE[[Role 7]:[Role 7]]/(TandE[[End Week]:[End Week]]-(TandE[[Start Week]:[Start Week]]-1)))),0))</f>
        <v>0</v>
      </c>
      <c r="AF40" s="845" cm="1">
        <f t="array" aca="1" ref="AF40" ca="1">SUM(IF(TandE[[Start Week]:[Start Week]]&lt;=AF33,IF(TandE[[End Week]:[End Week]]&gt;=AF33,(TandE[[Role 7]:[Role 7]]/(TandE[[End Week]:[End Week]]-(TandE[[Start Week]:[Start Week]]-1)))),0))</f>
        <v>0</v>
      </c>
      <c r="AG40" s="845" cm="1">
        <f t="array" aca="1" ref="AG40" ca="1">SUM(IF(TandE[[Start Week]:[Start Week]]&lt;=AG33,IF(TandE[[End Week]:[End Week]]&gt;=AG33,(TandE[[Role 7]:[Role 7]]/(TandE[[End Week]:[End Week]]-(TandE[[Start Week]:[Start Week]]-1)))),0))</f>
        <v>0</v>
      </c>
      <c r="AH40" s="845" cm="1">
        <f t="array" aca="1" ref="AH40" ca="1">SUM(IF(TandE[[Start Week]:[Start Week]]&lt;=AH33,IF(TandE[[End Week]:[End Week]]&gt;=AH33,(TandE[[Role 7]:[Role 7]]/(TandE[[End Week]:[End Week]]-(TandE[[Start Week]:[Start Week]]-1)))),0))</f>
        <v>0</v>
      </c>
      <c r="AI40" s="845" cm="1">
        <f t="array" aca="1" ref="AI40" ca="1">SUM(IF(TandE[[Start Week]:[Start Week]]&lt;=AI33,IF(TandE[[End Week]:[End Week]]&gt;=AI33,(TandE[[Role 7]:[Role 7]]/(TandE[[End Week]:[End Week]]-(TandE[[Start Week]:[Start Week]]-1)))),0))</f>
        <v>0</v>
      </c>
      <c r="AJ40" s="845" cm="1">
        <f t="array" aca="1" ref="AJ40" ca="1">SUM(IF(TandE[[Start Week]:[Start Week]]&lt;=AJ33,IF(TandE[[End Week]:[End Week]]&gt;=AJ33,(TandE[[Role 7]:[Role 7]]/(TandE[[End Week]:[End Week]]-(TandE[[Start Week]:[Start Week]]-1)))),0))</f>
        <v>0</v>
      </c>
      <c r="AK40" s="845" cm="1">
        <f t="array" aca="1" ref="AK40" ca="1">SUM(IF(TandE[[Start Week]:[Start Week]]&lt;=AK33,IF(TandE[[End Week]:[End Week]]&gt;=AK33,(TandE[[Role 7]:[Role 7]]/(TandE[[End Week]:[End Week]]-(TandE[[Start Week]:[Start Week]]-1)))),0))</f>
        <v>0</v>
      </c>
      <c r="AL40" s="845" cm="1">
        <f t="array" aca="1" ref="AL40" ca="1">SUM(IF(TandE[[Start Week]:[Start Week]]&lt;=AL33,IF(TandE[[End Week]:[End Week]]&gt;=AL33,(TandE[[Role 7]:[Role 7]]/(TandE[[End Week]:[End Week]]-(TandE[[Start Week]:[Start Week]]-1)))),0))</f>
        <v>0</v>
      </c>
      <c r="AM40" s="845" cm="1">
        <f t="array" aca="1" ref="AM40" ca="1">SUM(IF(TandE[[Start Week]:[Start Week]]&lt;=AM33,IF(TandE[[End Week]:[End Week]]&gt;=AM33,(TandE[[Role 7]:[Role 7]]/(TandE[[End Week]:[End Week]]-(TandE[[Start Week]:[Start Week]]-1)))),0))</f>
        <v>0</v>
      </c>
      <c r="AN40" s="845" cm="1">
        <f t="array" aca="1" ref="AN40" ca="1">SUM(IF(TandE[[Start Week]:[Start Week]]&lt;=AN33,IF(TandE[[End Week]:[End Week]]&gt;=AN33,(TandE[[Role 7]:[Role 7]]/(TandE[[End Week]:[End Week]]-(TandE[[Start Week]:[Start Week]]-1)))),0))</f>
        <v>0</v>
      </c>
      <c r="AO40" s="845" cm="1">
        <f t="array" aca="1" ref="AO40" ca="1">SUM(IF(TandE[[Start Week]:[Start Week]]&lt;=AO33,IF(TandE[[End Week]:[End Week]]&gt;=AO33,(TandE[[Role 7]:[Role 7]]/(TandE[[End Week]:[End Week]]-(TandE[[Start Week]:[Start Week]]-1)))),0))</f>
        <v>0</v>
      </c>
      <c r="AP40" s="845" cm="1">
        <f t="array" aca="1" ref="AP40" ca="1">SUM(IF(TandE[[Start Week]:[Start Week]]&lt;=AP33,IF(TandE[[End Week]:[End Week]]&gt;=AP33,(TandE[[Role 7]:[Role 7]]/(TandE[[End Week]:[End Week]]-(TandE[[Start Week]:[Start Week]]-1)))),0))</f>
        <v>0</v>
      </c>
      <c r="AQ40" s="845" cm="1">
        <f t="array" aca="1" ref="AQ40" ca="1">SUM(IF(TandE[[Start Week]:[Start Week]]&lt;=AQ33,IF(TandE[[End Week]:[End Week]]&gt;=AQ33,(TandE[[Role 7]:[Role 7]]/(TandE[[End Week]:[End Week]]-(TandE[[Start Week]:[Start Week]]-1)))),0))</f>
        <v>0</v>
      </c>
      <c r="AR40" s="845" cm="1">
        <f t="array" aca="1" ref="AR40" ca="1">SUM(IF(TandE[[Start Week]:[Start Week]]&lt;=AR33,IF(TandE[[End Week]:[End Week]]&gt;=AR33,(TandE[[Role 7]:[Role 7]]/(TandE[[End Week]:[End Week]]-(TandE[[Start Week]:[Start Week]]-1)))),0))</f>
        <v>0</v>
      </c>
      <c r="AS40" s="845" cm="1">
        <f t="array" aca="1" ref="AS40" ca="1">SUM(IF(TandE[[Start Week]:[Start Week]]&lt;=AS33,IF(TandE[[End Week]:[End Week]]&gt;=AS33,(TandE[[Role 7]:[Role 7]]/(TandE[[End Week]:[End Week]]-(TandE[[Start Week]:[Start Week]]-1)))),0))</f>
        <v>0</v>
      </c>
      <c r="AT40" s="845" cm="1">
        <f t="array" aca="1" ref="AT40" ca="1">SUM(IF(TandE[[Start Week]:[Start Week]]&lt;=AT33,IF(TandE[[End Week]:[End Week]]&gt;=AT33,(TandE[[Role 7]:[Role 7]]/(TandE[[End Week]:[End Week]]-(TandE[[Start Week]:[Start Week]]-1)))),0))</f>
        <v>0</v>
      </c>
      <c r="AU40" s="845" cm="1">
        <f t="array" aca="1" ref="AU40" ca="1">SUM(IF(TandE[[Start Week]:[Start Week]]&lt;=AU33,IF(TandE[[End Week]:[End Week]]&gt;=AU33,(TandE[[Role 7]:[Role 7]]/(TandE[[End Week]:[End Week]]-(TandE[[Start Week]:[Start Week]]-1)))),0))</f>
        <v>0</v>
      </c>
      <c r="AV40" s="845" cm="1">
        <f t="array" aca="1" ref="AV40" ca="1">SUM(IF(TandE[[Start Week]:[Start Week]]&lt;=AV33,IF(TandE[[End Week]:[End Week]]&gt;=AV33,(TandE[[Role 7]:[Role 7]]/(TandE[[End Week]:[End Week]]-(TandE[[Start Week]:[Start Week]]-1)))),0))</f>
        <v>0</v>
      </c>
      <c r="AW40" s="845" cm="1">
        <f t="array" aca="1" ref="AW40" ca="1">SUM(IF(TandE[[Start Week]:[Start Week]]&lt;=AW33,IF(TandE[[End Week]:[End Week]]&gt;=AW33,(TandE[[Role 7]:[Role 7]]/(TandE[[End Week]:[End Week]]-(TandE[[Start Week]:[Start Week]]-1)))),0))</f>
        <v>0</v>
      </c>
      <c r="AX40" s="845" cm="1">
        <f t="array" aca="1" ref="AX40" ca="1">SUM(IF(TandE[[Start Week]:[Start Week]]&lt;=AX33,IF(TandE[[End Week]:[End Week]]&gt;=AX33,(TandE[[Role 7]:[Role 7]]/(TandE[[End Week]:[End Week]]-(TandE[[Start Week]:[Start Week]]-1)))),0))</f>
        <v>0</v>
      </c>
      <c r="AY40" s="845" cm="1">
        <f t="array" aca="1" ref="AY40" ca="1">SUM(IF(TandE[[Start Week]:[Start Week]]&lt;=AY33,IF(TandE[[End Week]:[End Week]]&gt;=AY33,(TandE[[Role 7]:[Role 7]]/(TandE[[End Week]:[End Week]]-(TandE[[Start Week]:[Start Week]]-1)))),0))</f>
        <v>0</v>
      </c>
      <c r="AZ40" s="845" cm="1">
        <f t="array" aca="1" ref="AZ40" ca="1">SUM(IF(TandE[[Start Week]:[Start Week]]&lt;=AZ33,IF(TandE[[End Week]:[End Week]]&gt;=AZ33,(TandE[[Role 7]:[Role 7]]/(TandE[[End Week]:[End Week]]-(TandE[[Start Week]:[Start Week]]-1)))),0))</f>
        <v>0</v>
      </c>
      <c r="BA40" s="845" cm="1">
        <f t="array" aca="1" ref="BA40" ca="1">SUM(IF(TandE[[Start Week]:[Start Week]]&lt;=BA33,IF(TandE[[End Week]:[End Week]]&gt;=BA33,(TandE[[Role 7]:[Role 7]]/(TandE[[End Week]:[End Week]]-(TandE[[Start Week]:[Start Week]]-1)))),0))</f>
        <v>0</v>
      </c>
      <c r="BB40" s="845" cm="1">
        <f t="array" aca="1" ref="BB40" ca="1">SUM(IF(TandE[[Start Week]:[Start Week]]&lt;=BB33,IF(TandE[[End Week]:[End Week]]&gt;=BB33,(TandE[[Role 7]:[Role 7]]/(TandE[[End Week]:[End Week]]-(TandE[[Start Week]:[Start Week]]-1)))),0))</f>
        <v>0</v>
      </c>
      <c r="BC40" s="845" cm="1">
        <f t="array" aca="1" ref="BC40" ca="1">SUM(IF(TandE[[Start Week]:[Start Week]]&lt;=BC33,IF(TandE[[End Week]:[End Week]]&gt;=BC33,(TandE[[Role 7]:[Role 7]]/(TandE[[End Week]:[End Week]]-(TandE[[Start Week]:[Start Week]]-1)))),0))</f>
        <v>0</v>
      </c>
      <c r="BD40" s="845" cm="1">
        <f t="array" aca="1" ref="BD40" ca="1">SUM(IF(TandE[[Start Week]:[Start Week]]&lt;=BD33,IF(TandE[[End Week]:[End Week]]&gt;=BD33,(TandE[[Role 7]:[Role 7]]/(TandE[[End Week]:[End Week]]-(TandE[[Start Week]:[Start Week]]-1)))),0))</f>
        <v>0</v>
      </c>
      <c r="BE40" s="845" cm="1">
        <f t="array" aca="1" ref="BE40" ca="1">SUM(IF(TandE[[Start Week]:[Start Week]]&lt;=BE33,IF(TandE[[End Week]:[End Week]]&gt;=BE33,(TandE[[Role 7]:[Role 7]]/(TandE[[End Week]:[End Week]]-(TandE[[Start Week]:[Start Week]]-1)))),0))</f>
        <v>0</v>
      </c>
      <c r="BF40" s="845" cm="1">
        <f t="array" aca="1" ref="BF40" ca="1">SUM(IF(TandE[[Start Week]:[Start Week]]&lt;=BF33,IF(TandE[[End Week]:[End Week]]&gt;=BF33,(TandE[[Role 7]:[Role 7]]/(TandE[[End Week]:[End Week]]-(TandE[[Start Week]:[Start Week]]-1)))),0))</f>
        <v>0</v>
      </c>
      <c r="BG40" s="845" cm="1">
        <f t="array" aca="1" ref="BG40" ca="1">SUM(IF(TandE[[Start Week]:[Start Week]]&lt;=BG33,IF(TandE[[End Week]:[End Week]]&gt;=BG33,(TandE[[Role 7]:[Role 7]]/(TandE[[End Week]:[End Week]]-(TandE[[Start Week]:[Start Week]]-1)))),0))</f>
        <v>0</v>
      </c>
      <c r="BH40" s="845" cm="1">
        <f t="array" aca="1" ref="BH40" ca="1">SUM(IF(TandE[[Start Week]:[Start Week]]&lt;=BH33,IF(TandE[[End Week]:[End Week]]&gt;=BH33,(TandE[[Role 7]:[Role 7]]/(TandE[[End Week]:[End Week]]-(TandE[[Start Week]:[Start Week]]-1)))),0))</f>
        <v>0</v>
      </c>
      <c r="BI40" s="845" cm="1">
        <f t="array" aca="1" ref="BI40" ca="1">SUM(IF(TandE[[Start Week]:[Start Week]]&lt;=BI33,IF(TandE[[End Week]:[End Week]]&gt;=BI33,(TandE[[Role 7]:[Role 7]]/(TandE[[End Week]:[End Week]]-(TandE[[Start Week]:[Start Week]]-1)))),0))</f>
        <v>0</v>
      </c>
      <c r="BJ40" s="845" cm="1">
        <f t="array" aca="1" ref="BJ40" ca="1">SUM(IF(TandE[[Start Week]:[Start Week]]&lt;=BJ33,IF(TandE[[End Week]:[End Week]]&gt;=BJ33,(TandE[[Role 7]:[Role 7]]/(TandE[[End Week]:[End Week]]-(TandE[[Start Week]:[Start Week]]-1)))),0))</f>
        <v>0</v>
      </c>
    </row>
    <row r="41" spans="2:62">
      <c r="B41" s="590" t="s">
        <v>477</v>
      </c>
      <c r="C41" s="589" t="str">
        <f ca="1">INDEX(RolesandSkills[Role + Practice],MATCH(Table2117[[#This Row],[Role '#]],RolesandSkills[Role '#],0),1)</f>
        <v>-</v>
      </c>
      <c r="D41" s="589" t="str">
        <f ca="1">INDEX(RolesandSkills[Resource Location],MATCH(Table2117[[#This Row],[Role '#]],RolesandSkills[Role '#],0),1)</f>
        <v/>
      </c>
      <c r="E41" s="589" t="str">
        <f ca="1">INDEX(RolesandSkills[Practice],MATCH(Table2117[[#This Row],[Role '#]],RolesandSkills[Role '#],0),1)</f>
        <v/>
      </c>
      <c r="F41" s="589" t="str">
        <f ca="1">INDEX(RolesandSkills[Skill '#1],MATCH(Table2117[[#This Row],[Role '#]],RolesandSkills[Role '#],0),1)</f>
        <v/>
      </c>
      <c r="G41" s="589" t="str">
        <f ca="1">INDEX(RolesandSkills[Skill '#2],MATCH(Table2117[[#This Row],[Role '#]],RolesandSkills[Role '#],0),1)</f>
        <v/>
      </c>
      <c r="H41" s="589" t="str">
        <f ca="1">INDEX(RolesandSkills[Skill '#3],MATCH(Table2117[[#This Row],[Role '#]],RolesandSkills[Role '#],0),1)</f>
        <v/>
      </c>
      <c r="I41" s="768">
        <f t="shared" ca="1" si="10"/>
        <v>0</v>
      </c>
      <c r="J41" s="589">
        <f ca="1">SUM(Table2117[[#This Row],[1]:[52]])</f>
        <v>0</v>
      </c>
      <c r="K41" s="845" cm="1">
        <f t="array" aca="1" ref="K41" ca="1">SUM(IF(TandE[Start Week]&lt;=K33,IF(TandE[End Week]&gt;=K33,(TandE[Role 8]/(TandE[End Week]-(TandE[Start Week]-1)))),0))</f>
        <v>0</v>
      </c>
      <c r="L41" s="845" cm="1">
        <f t="array" aca="1" ref="L41" ca="1">SUM(IF(TandE[[Start Week]:[Start Week]]&lt;=L33,IF(TandE[[End Week]:[End Week]]&gt;=L33,(TandE[[Role 8]:[Role 8]]/(TandE[[End Week]:[End Week]]-(TandE[[Start Week]:[Start Week]]-1)))),0))</f>
        <v>0</v>
      </c>
      <c r="M41" s="845" cm="1">
        <f t="array" aca="1" ref="M41" ca="1">SUM(IF(TandE[[Start Week]:[Start Week]]&lt;=M33,IF(TandE[[End Week]:[End Week]]&gt;=M33,(TandE[[Role 8]:[Role 8]]/(TandE[[End Week]:[End Week]]-(TandE[[Start Week]:[Start Week]]-1)))),0))</f>
        <v>0</v>
      </c>
      <c r="N41" s="845" cm="1">
        <f t="array" aca="1" ref="N41" ca="1">SUM(IF(TandE[[Start Week]:[Start Week]]&lt;=N33,IF(TandE[[End Week]:[End Week]]&gt;=N33,(TandE[[Role 8]:[Role 8]]/(TandE[[End Week]:[End Week]]-(TandE[[Start Week]:[Start Week]]-1)))),0))</f>
        <v>0</v>
      </c>
      <c r="O41" s="845" cm="1">
        <f t="array" aca="1" ref="O41" ca="1">SUM(IF(TandE[[Start Week]:[Start Week]]&lt;=O33,IF(TandE[[End Week]:[End Week]]&gt;=O33,(TandE[[Role 8]:[Role 8]]/(TandE[[End Week]:[End Week]]-(TandE[[Start Week]:[Start Week]]-1)))),0))</f>
        <v>0</v>
      </c>
      <c r="P41" s="845" cm="1">
        <f t="array" aca="1" ref="P41" ca="1">SUM(IF(TandE[[Start Week]:[Start Week]]&lt;=P33,IF(TandE[[End Week]:[End Week]]&gt;=P33,(TandE[[Role 8]:[Role 8]]/(TandE[[End Week]:[End Week]]-(TandE[[Start Week]:[Start Week]]-1)))),0))</f>
        <v>0</v>
      </c>
      <c r="Q41" s="845" cm="1">
        <f t="array" aca="1" ref="Q41" ca="1">SUM(IF(TandE[[Start Week]:[Start Week]]&lt;=Q33,IF(TandE[[End Week]:[End Week]]&gt;=Q33,(TandE[[Role 8]:[Role 8]]/(TandE[[End Week]:[End Week]]-(TandE[[Start Week]:[Start Week]]-1)))),0))</f>
        <v>0</v>
      </c>
      <c r="R41" s="845" cm="1">
        <f t="array" aca="1" ref="R41" ca="1">SUM(IF(TandE[[Start Week]:[Start Week]]&lt;=R33,IF(TandE[[End Week]:[End Week]]&gt;=R33,(TandE[[Role 8]:[Role 8]]/(TandE[[End Week]:[End Week]]-(TandE[[Start Week]:[Start Week]]-1)))),0))</f>
        <v>0</v>
      </c>
      <c r="S41" s="845" cm="1">
        <f t="array" aca="1" ref="S41" ca="1">SUM(IF(TandE[[Start Week]:[Start Week]]&lt;=S33,IF(TandE[[End Week]:[End Week]]&gt;=S33,(TandE[[Role 8]:[Role 8]]/(TandE[[End Week]:[End Week]]-(TandE[[Start Week]:[Start Week]]-1)))),0))</f>
        <v>0</v>
      </c>
      <c r="T41" s="845" cm="1">
        <f t="array" aca="1" ref="T41" ca="1">SUM(IF(TandE[[Start Week]:[Start Week]]&lt;=T33,IF(TandE[[End Week]:[End Week]]&gt;=T33,(TandE[[Role 8]:[Role 8]]/(TandE[[End Week]:[End Week]]-(TandE[[Start Week]:[Start Week]]-1)))),0))</f>
        <v>0</v>
      </c>
      <c r="U41" s="845" cm="1">
        <f t="array" aca="1" ref="U41" ca="1">SUM(IF(TandE[[Start Week]:[Start Week]]&lt;=U33,IF(TandE[[End Week]:[End Week]]&gt;=U33,(TandE[[Role 8]:[Role 8]]/(TandE[[End Week]:[End Week]]-(TandE[[Start Week]:[Start Week]]-1)))),0))</f>
        <v>0</v>
      </c>
      <c r="V41" s="845" cm="1">
        <f t="array" aca="1" ref="V41" ca="1">SUM(IF(TandE[[Start Week]:[Start Week]]&lt;=V33,IF(TandE[[End Week]:[End Week]]&gt;=V33,(TandE[[Role 8]:[Role 8]]/(TandE[[End Week]:[End Week]]-(TandE[[Start Week]:[Start Week]]-1)))),0))</f>
        <v>0</v>
      </c>
      <c r="W41" s="845" cm="1">
        <f t="array" aca="1" ref="W41" ca="1">SUM(IF(TandE[[Start Week]:[Start Week]]&lt;=W33,IF(TandE[[End Week]:[End Week]]&gt;=W33,(TandE[[Role 8]:[Role 8]]/(TandE[[End Week]:[End Week]]-(TandE[[Start Week]:[Start Week]]-1)))),0))</f>
        <v>0</v>
      </c>
      <c r="X41" s="845" cm="1">
        <f t="array" aca="1" ref="X41" ca="1">SUM(IF(TandE[[Start Week]:[Start Week]]&lt;=X33,IF(TandE[[End Week]:[End Week]]&gt;=X33,(TandE[[Role 8]:[Role 8]]/(TandE[[End Week]:[End Week]]-(TandE[[Start Week]:[Start Week]]-1)))),0))</f>
        <v>0</v>
      </c>
      <c r="Y41" s="845" cm="1">
        <f t="array" aca="1" ref="Y41" ca="1">SUM(IF(TandE[[Start Week]:[Start Week]]&lt;=Y33,IF(TandE[[End Week]:[End Week]]&gt;=Y33,(TandE[[Role 8]:[Role 8]]/(TandE[[End Week]:[End Week]]-(TandE[[Start Week]:[Start Week]]-1)))),0))</f>
        <v>0</v>
      </c>
      <c r="Z41" s="845" cm="1">
        <f t="array" aca="1" ref="Z41" ca="1">SUM(IF(TandE[[Start Week]:[Start Week]]&lt;=Z33,IF(TandE[[End Week]:[End Week]]&gt;=Z33,(TandE[[Role 8]:[Role 8]]/(TandE[[End Week]:[End Week]]-(TandE[[Start Week]:[Start Week]]-1)))),0))</f>
        <v>0</v>
      </c>
      <c r="AA41" s="845" cm="1">
        <f t="array" aca="1" ref="AA41" ca="1">SUM(IF(TandE[[Start Week]:[Start Week]]&lt;=AA33,IF(TandE[[End Week]:[End Week]]&gt;=AA33,(TandE[[Role 8]:[Role 8]]/(TandE[[End Week]:[End Week]]-(TandE[[Start Week]:[Start Week]]-1)))),0))</f>
        <v>0</v>
      </c>
      <c r="AB41" s="845" cm="1">
        <f t="array" aca="1" ref="AB41" ca="1">SUM(IF(TandE[[Start Week]:[Start Week]]&lt;=AB33,IF(TandE[[End Week]:[End Week]]&gt;=AB33,(TandE[[Role 8]:[Role 8]]/(TandE[[End Week]:[End Week]]-(TandE[[Start Week]:[Start Week]]-1)))),0))</f>
        <v>0</v>
      </c>
      <c r="AC41" s="845" cm="1">
        <f t="array" aca="1" ref="AC41" ca="1">SUM(IF(TandE[[Start Week]:[Start Week]]&lt;=AC33,IF(TandE[[End Week]:[End Week]]&gt;=AC33,(TandE[[Role 8]:[Role 8]]/(TandE[[End Week]:[End Week]]-(TandE[[Start Week]:[Start Week]]-1)))),0))</f>
        <v>0</v>
      </c>
      <c r="AD41" s="845" cm="1">
        <f t="array" aca="1" ref="AD41" ca="1">SUM(IF(TandE[[Start Week]:[Start Week]]&lt;=AD33,IF(TandE[[End Week]:[End Week]]&gt;=AD33,(TandE[[Role 8]:[Role 8]]/(TandE[[End Week]:[End Week]]-(TandE[[Start Week]:[Start Week]]-1)))),0))</f>
        <v>0</v>
      </c>
      <c r="AE41" s="845" cm="1">
        <f t="array" aca="1" ref="AE41" ca="1">SUM(IF(TandE[[Start Week]:[Start Week]]&lt;=AE33,IF(TandE[[End Week]:[End Week]]&gt;=AE33,(TandE[[Role 8]:[Role 8]]/(TandE[[End Week]:[End Week]]-(TandE[[Start Week]:[Start Week]]-1)))),0))</f>
        <v>0</v>
      </c>
      <c r="AF41" s="845" cm="1">
        <f t="array" aca="1" ref="AF41" ca="1">SUM(IF(TandE[[Start Week]:[Start Week]]&lt;=AF33,IF(TandE[[End Week]:[End Week]]&gt;=AF33,(TandE[[Role 8]:[Role 8]]/(TandE[[End Week]:[End Week]]-(TandE[[Start Week]:[Start Week]]-1)))),0))</f>
        <v>0</v>
      </c>
      <c r="AG41" s="845" cm="1">
        <f t="array" aca="1" ref="AG41" ca="1">SUM(IF(TandE[[Start Week]:[Start Week]]&lt;=AG33,IF(TandE[[End Week]:[End Week]]&gt;=AG33,(TandE[[Role 8]:[Role 8]]/(TandE[[End Week]:[End Week]]-(TandE[[Start Week]:[Start Week]]-1)))),0))</f>
        <v>0</v>
      </c>
      <c r="AH41" s="845" cm="1">
        <f t="array" aca="1" ref="AH41" ca="1">SUM(IF(TandE[[Start Week]:[Start Week]]&lt;=AH33,IF(TandE[[End Week]:[End Week]]&gt;=AH33,(TandE[[Role 8]:[Role 8]]/(TandE[[End Week]:[End Week]]-(TandE[[Start Week]:[Start Week]]-1)))),0))</f>
        <v>0</v>
      </c>
      <c r="AI41" s="845" cm="1">
        <f t="array" aca="1" ref="AI41" ca="1">SUM(IF(TandE[[Start Week]:[Start Week]]&lt;=AI33,IF(TandE[[End Week]:[End Week]]&gt;=AI33,(TandE[[Role 8]:[Role 8]]/(TandE[[End Week]:[End Week]]-(TandE[[Start Week]:[Start Week]]-1)))),0))</f>
        <v>0</v>
      </c>
      <c r="AJ41" s="845" cm="1">
        <f t="array" aca="1" ref="AJ41" ca="1">SUM(IF(TandE[[Start Week]:[Start Week]]&lt;=AJ33,IF(TandE[[End Week]:[End Week]]&gt;=AJ33,(TandE[[Role 8]:[Role 8]]/(TandE[[End Week]:[End Week]]-(TandE[[Start Week]:[Start Week]]-1)))),0))</f>
        <v>0</v>
      </c>
      <c r="AK41" s="845" cm="1">
        <f t="array" aca="1" ref="AK41" ca="1">SUM(IF(TandE[[Start Week]:[Start Week]]&lt;=AK33,IF(TandE[[End Week]:[End Week]]&gt;=AK33,(TandE[[Role 8]:[Role 8]]/(TandE[[End Week]:[End Week]]-(TandE[[Start Week]:[Start Week]]-1)))),0))</f>
        <v>0</v>
      </c>
      <c r="AL41" s="845" cm="1">
        <f t="array" aca="1" ref="AL41" ca="1">SUM(IF(TandE[[Start Week]:[Start Week]]&lt;=AL33,IF(TandE[[End Week]:[End Week]]&gt;=AL33,(TandE[[Role 8]:[Role 8]]/(TandE[[End Week]:[End Week]]-(TandE[[Start Week]:[Start Week]]-1)))),0))</f>
        <v>0</v>
      </c>
      <c r="AM41" s="845" cm="1">
        <f t="array" aca="1" ref="AM41" ca="1">SUM(IF(TandE[[Start Week]:[Start Week]]&lt;=AM33,IF(TandE[[End Week]:[End Week]]&gt;=AM33,(TandE[[Role 8]:[Role 8]]/(TandE[[End Week]:[End Week]]-(TandE[[Start Week]:[Start Week]]-1)))),0))</f>
        <v>0</v>
      </c>
      <c r="AN41" s="845" cm="1">
        <f t="array" aca="1" ref="AN41" ca="1">SUM(IF(TandE[[Start Week]:[Start Week]]&lt;=AN33,IF(TandE[[End Week]:[End Week]]&gt;=AN33,(TandE[[Role 8]:[Role 8]]/(TandE[[End Week]:[End Week]]-(TandE[[Start Week]:[Start Week]]-1)))),0))</f>
        <v>0</v>
      </c>
      <c r="AO41" s="845" cm="1">
        <f t="array" aca="1" ref="AO41" ca="1">SUM(IF(TandE[[Start Week]:[Start Week]]&lt;=AO33,IF(TandE[[End Week]:[End Week]]&gt;=AO33,(TandE[[Role 8]:[Role 8]]/(TandE[[End Week]:[End Week]]-(TandE[[Start Week]:[Start Week]]-1)))),0))</f>
        <v>0</v>
      </c>
      <c r="AP41" s="845" cm="1">
        <f t="array" aca="1" ref="AP41" ca="1">SUM(IF(TandE[[Start Week]:[Start Week]]&lt;=AP33,IF(TandE[[End Week]:[End Week]]&gt;=AP33,(TandE[[Role 8]:[Role 8]]/(TandE[[End Week]:[End Week]]-(TandE[[Start Week]:[Start Week]]-1)))),0))</f>
        <v>0</v>
      </c>
      <c r="AQ41" s="845" cm="1">
        <f t="array" aca="1" ref="AQ41" ca="1">SUM(IF(TandE[[Start Week]:[Start Week]]&lt;=AQ33,IF(TandE[[End Week]:[End Week]]&gt;=AQ33,(TandE[[Role 8]:[Role 8]]/(TandE[[End Week]:[End Week]]-(TandE[[Start Week]:[Start Week]]-1)))),0))</f>
        <v>0</v>
      </c>
      <c r="AR41" s="845" cm="1">
        <f t="array" aca="1" ref="AR41" ca="1">SUM(IF(TandE[[Start Week]:[Start Week]]&lt;=AR33,IF(TandE[[End Week]:[End Week]]&gt;=AR33,(TandE[[Role 8]:[Role 8]]/(TandE[[End Week]:[End Week]]-(TandE[[Start Week]:[Start Week]]-1)))),0))</f>
        <v>0</v>
      </c>
      <c r="AS41" s="845" cm="1">
        <f t="array" aca="1" ref="AS41" ca="1">SUM(IF(TandE[[Start Week]:[Start Week]]&lt;=AS33,IF(TandE[[End Week]:[End Week]]&gt;=AS33,(TandE[[Role 8]:[Role 8]]/(TandE[[End Week]:[End Week]]-(TandE[[Start Week]:[Start Week]]-1)))),0))</f>
        <v>0</v>
      </c>
      <c r="AT41" s="845" cm="1">
        <f t="array" aca="1" ref="AT41" ca="1">SUM(IF(TandE[[Start Week]:[Start Week]]&lt;=AT33,IF(TandE[[End Week]:[End Week]]&gt;=AT33,(TandE[[Role 8]:[Role 8]]/(TandE[[End Week]:[End Week]]-(TandE[[Start Week]:[Start Week]]-1)))),0))</f>
        <v>0</v>
      </c>
      <c r="AU41" s="845" cm="1">
        <f t="array" aca="1" ref="AU41" ca="1">SUM(IF(TandE[[Start Week]:[Start Week]]&lt;=AU33,IF(TandE[[End Week]:[End Week]]&gt;=AU33,(TandE[[Role 8]:[Role 8]]/(TandE[[End Week]:[End Week]]-(TandE[[Start Week]:[Start Week]]-1)))),0))</f>
        <v>0</v>
      </c>
      <c r="AV41" s="845" cm="1">
        <f t="array" aca="1" ref="AV41" ca="1">SUM(IF(TandE[[Start Week]:[Start Week]]&lt;=AV33,IF(TandE[[End Week]:[End Week]]&gt;=AV33,(TandE[[Role 8]:[Role 8]]/(TandE[[End Week]:[End Week]]-(TandE[[Start Week]:[Start Week]]-1)))),0))</f>
        <v>0</v>
      </c>
      <c r="AW41" s="845" cm="1">
        <f t="array" aca="1" ref="AW41" ca="1">SUM(IF(TandE[[Start Week]:[Start Week]]&lt;=AW33,IF(TandE[[End Week]:[End Week]]&gt;=AW33,(TandE[[Role 8]:[Role 8]]/(TandE[[End Week]:[End Week]]-(TandE[[Start Week]:[Start Week]]-1)))),0))</f>
        <v>0</v>
      </c>
      <c r="AX41" s="845" cm="1">
        <f t="array" aca="1" ref="AX41" ca="1">SUM(IF(TandE[[Start Week]:[Start Week]]&lt;=AX33,IF(TandE[[End Week]:[End Week]]&gt;=AX33,(TandE[[Role 8]:[Role 8]]/(TandE[[End Week]:[End Week]]-(TandE[[Start Week]:[Start Week]]-1)))),0))</f>
        <v>0</v>
      </c>
      <c r="AY41" s="845" cm="1">
        <f t="array" aca="1" ref="AY41" ca="1">SUM(IF(TandE[[Start Week]:[Start Week]]&lt;=AY33,IF(TandE[[End Week]:[End Week]]&gt;=AY33,(TandE[[Role 8]:[Role 8]]/(TandE[[End Week]:[End Week]]-(TandE[[Start Week]:[Start Week]]-1)))),0))</f>
        <v>0</v>
      </c>
      <c r="AZ41" s="845" cm="1">
        <f t="array" aca="1" ref="AZ41" ca="1">SUM(IF(TandE[[Start Week]:[Start Week]]&lt;=AZ33,IF(TandE[[End Week]:[End Week]]&gt;=AZ33,(TandE[[Role 8]:[Role 8]]/(TandE[[End Week]:[End Week]]-(TandE[[Start Week]:[Start Week]]-1)))),0))</f>
        <v>0</v>
      </c>
      <c r="BA41" s="845" cm="1">
        <f t="array" aca="1" ref="BA41" ca="1">SUM(IF(TandE[[Start Week]:[Start Week]]&lt;=BA33,IF(TandE[[End Week]:[End Week]]&gt;=BA33,(TandE[[Role 8]:[Role 8]]/(TandE[[End Week]:[End Week]]-(TandE[[Start Week]:[Start Week]]-1)))),0))</f>
        <v>0</v>
      </c>
      <c r="BB41" s="845" cm="1">
        <f t="array" aca="1" ref="BB41" ca="1">SUM(IF(TandE[[Start Week]:[Start Week]]&lt;=BB33,IF(TandE[[End Week]:[End Week]]&gt;=BB33,(TandE[[Role 8]:[Role 8]]/(TandE[[End Week]:[End Week]]-(TandE[[Start Week]:[Start Week]]-1)))),0))</f>
        <v>0</v>
      </c>
      <c r="BC41" s="845" cm="1">
        <f t="array" aca="1" ref="BC41" ca="1">SUM(IF(TandE[[Start Week]:[Start Week]]&lt;=BC33,IF(TandE[[End Week]:[End Week]]&gt;=BC33,(TandE[[Role 8]:[Role 8]]/(TandE[[End Week]:[End Week]]-(TandE[[Start Week]:[Start Week]]-1)))),0))</f>
        <v>0</v>
      </c>
      <c r="BD41" s="845" cm="1">
        <f t="array" aca="1" ref="BD41" ca="1">SUM(IF(TandE[[Start Week]:[Start Week]]&lt;=BD33,IF(TandE[[End Week]:[End Week]]&gt;=BD33,(TandE[[Role 8]:[Role 8]]/(TandE[[End Week]:[End Week]]-(TandE[[Start Week]:[Start Week]]-1)))),0))</f>
        <v>0</v>
      </c>
      <c r="BE41" s="845" cm="1">
        <f t="array" aca="1" ref="BE41" ca="1">SUM(IF(TandE[[Start Week]:[Start Week]]&lt;=BE33,IF(TandE[[End Week]:[End Week]]&gt;=BE33,(TandE[[Role 8]:[Role 8]]/(TandE[[End Week]:[End Week]]-(TandE[[Start Week]:[Start Week]]-1)))),0))</f>
        <v>0</v>
      </c>
      <c r="BF41" s="845" cm="1">
        <f t="array" aca="1" ref="BF41" ca="1">SUM(IF(TandE[[Start Week]:[Start Week]]&lt;=BF33,IF(TandE[[End Week]:[End Week]]&gt;=BF33,(TandE[[Role 8]:[Role 8]]/(TandE[[End Week]:[End Week]]-(TandE[[Start Week]:[Start Week]]-1)))),0))</f>
        <v>0</v>
      </c>
      <c r="BG41" s="845" cm="1">
        <f t="array" aca="1" ref="BG41" ca="1">SUM(IF(TandE[[Start Week]:[Start Week]]&lt;=BG33,IF(TandE[[End Week]:[End Week]]&gt;=BG33,(TandE[[Role 8]:[Role 8]]/(TandE[[End Week]:[End Week]]-(TandE[[Start Week]:[Start Week]]-1)))),0))</f>
        <v>0</v>
      </c>
      <c r="BH41" s="845" cm="1">
        <f t="array" aca="1" ref="BH41" ca="1">SUM(IF(TandE[[Start Week]:[Start Week]]&lt;=BH33,IF(TandE[[End Week]:[End Week]]&gt;=BH33,(TandE[[Role 8]:[Role 8]]/(TandE[[End Week]:[End Week]]-(TandE[[Start Week]:[Start Week]]-1)))),0))</f>
        <v>0</v>
      </c>
      <c r="BI41" s="845" cm="1">
        <f t="array" aca="1" ref="BI41" ca="1">SUM(IF(TandE[[Start Week]:[Start Week]]&lt;=BI33,IF(TandE[[End Week]:[End Week]]&gt;=BI33,(TandE[[Role 8]:[Role 8]]/(TandE[[End Week]:[End Week]]-(TandE[[Start Week]:[Start Week]]-1)))),0))</f>
        <v>0</v>
      </c>
      <c r="BJ41" s="845" cm="1">
        <f t="array" aca="1" ref="BJ41" ca="1">SUM(IF(TandE[[Start Week]:[Start Week]]&lt;=BJ33,IF(TandE[[End Week]:[End Week]]&gt;=BJ33,(TandE[[Role 8]:[Role 8]]/(TandE[[End Week]:[End Week]]-(TandE[[Start Week]:[Start Week]]-1)))),0))</f>
        <v>0</v>
      </c>
    </row>
    <row r="42" spans="2:62">
      <c r="B42" s="588" t="s">
        <v>478</v>
      </c>
      <c r="C42" s="589" t="str">
        <f ca="1">INDEX(RolesandSkills[Role + Practice],MATCH(Table2117[[#This Row],[Role '#]],RolesandSkills[Role '#],0),1)</f>
        <v>-</v>
      </c>
      <c r="D42" s="589" t="str">
        <f ca="1">INDEX(RolesandSkills[Resource Location],MATCH(Table2117[[#This Row],[Role '#]],RolesandSkills[Role '#],0),1)</f>
        <v/>
      </c>
      <c r="E42" s="589" t="str">
        <f ca="1">INDEX(RolesandSkills[Practice],MATCH(Table2117[[#This Row],[Role '#]],RolesandSkills[Role '#],0),1)</f>
        <v/>
      </c>
      <c r="F42" s="589" t="str">
        <f ca="1">INDEX(RolesandSkills[Skill '#1],MATCH(Table2117[[#This Row],[Role '#]],RolesandSkills[Role '#],0),1)</f>
        <v/>
      </c>
      <c r="G42" s="589" t="str">
        <f ca="1">INDEX(RolesandSkills[Skill '#2],MATCH(Table2117[[#This Row],[Role '#]],RolesandSkills[Role '#],0),1)</f>
        <v/>
      </c>
      <c r="H42" s="589" t="str">
        <f ca="1">INDEX(RolesandSkills[Skill '#3],MATCH(Table2117[[#This Row],[Role '#]],RolesandSkills[Role '#],0),1)</f>
        <v/>
      </c>
      <c r="I42" s="768">
        <f t="shared" ca="1" si="10"/>
        <v>0</v>
      </c>
      <c r="J42" s="589">
        <f ca="1">SUM(Table2117[[#This Row],[1]:[52]])</f>
        <v>0</v>
      </c>
      <c r="K42" s="845" cm="1">
        <f t="array" aca="1" ref="K42" ca="1">SUM(IF(TandE[Start Week]&lt;=K33,IF(TandE[End Week]&gt;=K33,(TandE[Role 9]/(TandE[End Week]-(TandE[Start Week]-1)))),0))</f>
        <v>0</v>
      </c>
      <c r="L42" s="845" cm="1">
        <f t="array" aca="1" ref="L42" ca="1">SUM(IF(TandE[[Start Week]:[Start Week]]&lt;=L33,IF(TandE[[End Week]:[End Week]]&gt;=L33,(TandE[[Role 9]:[Role 9]]/(TandE[[End Week]:[End Week]]-(TandE[[Start Week]:[Start Week]]-1)))),0))</f>
        <v>0</v>
      </c>
      <c r="M42" s="845" cm="1">
        <f t="array" aca="1" ref="M42" ca="1">SUM(IF(TandE[[Start Week]:[Start Week]]&lt;=M33,IF(TandE[[End Week]:[End Week]]&gt;=M33,(TandE[[Role 9]:[Role 9]]/(TandE[[End Week]:[End Week]]-(TandE[[Start Week]:[Start Week]]-1)))),0))</f>
        <v>0</v>
      </c>
      <c r="N42" s="845" cm="1">
        <f t="array" aca="1" ref="N42" ca="1">SUM(IF(TandE[[Start Week]:[Start Week]]&lt;=N33,IF(TandE[[End Week]:[End Week]]&gt;=N33,(TandE[[Role 9]:[Role 9]]/(TandE[[End Week]:[End Week]]-(TandE[[Start Week]:[Start Week]]-1)))),0))</f>
        <v>0</v>
      </c>
      <c r="O42" s="845" cm="1">
        <f t="array" aca="1" ref="O42" ca="1">SUM(IF(TandE[[Start Week]:[Start Week]]&lt;=O33,IF(TandE[[End Week]:[End Week]]&gt;=O33,(TandE[[Role 9]:[Role 9]]/(TandE[[End Week]:[End Week]]-(TandE[[Start Week]:[Start Week]]-1)))),0))</f>
        <v>0</v>
      </c>
      <c r="P42" s="845" cm="1">
        <f t="array" aca="1" ref="P42" ca="1">SUM(IF(TandE[[Start Week]:[Start Week]]&lt;=P33,IF(TandE[[End Week]:[End Week]]&gt;=P33,(TandE[[Role 9]:[Role 9]]/(TandE[[End Week]:[End Week]]-(TandE[[Start Week]:[Start Week]]-1)))),0))</f>
        <v>0</v>
      </c>
      <c r="Q42" s="845" cm="1">
        <f t="array" aca="1" ref="Q42" ca="1">SUM(IF(TandE[[Start Week]:[Start Week]]&lt;=Q33,IF(TandE[[End Week]:[End Week]]&gt;=Q33,(TandE[[Role 9]:[Role 9]]/(TandE[[End Week]:[End Week]]-(TandE[[Start Week]:[Start Week]]-1)))),0))</f>
        <v>0</v>
      </c>
      <c r="R42" s="845" cm="1">
        <f t="array" aca="1" ref="R42" ca="1">SUM(IF(TandE[[Start Week]:[Start Week]]&lt;=R33,IF(TandE[[End Week]:[End Week]]&gt;=R33,(TandE[[Role 9]:[Role 9]]/(TandE[[End Week]:[End Week]]-(TandE[[Start Week]:[Start Week]]-1)))),0))</f>
        <v>0</v>
      </c>
      <c r="S42" s="845" cm="1">
        <f t="array" aca="1" ref="S42" ca="1">SUM(IF(TandE[[Start Week]:[Start Week]]&lt;=S33,IF(TandE[[End Week]:[End Week]]&gt;=S33,(TandE[[Role 9]:[Role 9]]/(TandE[[End Week]:[End Week]]-(TandE[[Start Week]:[Start Week]]-1)))),0))</f>
        <v>0</v>
      </c>
      <c r="T42" s="845" cm="1">
        <f t="array" aca="1" ref="T42" ca="1">SUM(IF(TandE[[Start Week]:[Start Week]]&lt;=T33,IF(TandE[[End Week]:[End Week]]&gt;=T33,(TandE[[Role 9]:[Role 9]]/(TandE[[End Week]:[End Week]]-(TandE[[Start Week]:[Start Week]]-1)))),0))</f>
        <v>0</v>
      </c>
      <c r="U42" s="845" cm="1">
        <f t="array" aca="1" ref="U42" ca="1">SUM(IF(TandE[[Start Week]:[Start Week]]&lt;=U33,IF(TandE[[End Week]:[End Week]]&gt;=U33,(TandE[[Role 9]:[Role 9]]/(TandE[[End Week]:[End Week]]-(TandE[[Start Week]:[Start Week]]-1)))),0))</f>
        <v>0</v>
      </c>
      <c r="V42" s="845" cm="1">
        <f t="array" aca="1" ref="V42" ca="1">SUM(IF(TandE[[Start Week]:[Start Week]]&lt;=V33,IF(TandE[[End Week]:[End Week]]&gt;=V33,(TandE[[Role 9]:[Role 9]]/(TandE[[End Week]:[End Week]]-(TandE[[Start Week]:[Start Week]]-1)))),0))</f>
        <v>0</v>
      </c>
      <c r="W42" s="845" cm="1">
        <f t="array" aca="1" ref="W42" ca="1">SUM(IF(TandE[[Start Week]:[Start Week]]&lt;=W33,IF(TandE[[End Week]:[End Week]]&gt;=W33,(TandE[[Role 9]:[Role 9]]/(TandE[[End Week]:[End Week]]-(TandE[[Start Week]:[Start Week]]-1)))),0))</f>
        <v>0</v>
      </c>
      <c r="X42" s="845" cm="1">
        <f t="array" aca="1" ref="X42" ca="1">SUM(IF(TandE[[Start Week]:[Start Week]]&lt;=X33,IF(TandE[[End Week]:[End Week]]&gt;=X33,(TandE[[Role 9]:[Role 9]]/(TandE[[End Week]:[End Week]]-(TandE[[Start Week]:[Start Week]]-1)))),0))</f>
        <v>0</v>
      </c>
      <c r="Y42" s="845" cm="1">
        <f t="array" aca="1" ref="Y42" ca="1">SUM(IF(TandE[[Start Week]:[Start Week]]&lt;=Y33,IF(TandE[[End Week]:[End Week]]&gt;=Y33,(TandE[[Role 9]:[Role 9]]/(TandE[[End Week]:[End Week]]-(TandE[[Start Week]:[Start Week]]-1)))),0))</f>
        <v>0</v>
      </c>
      <c r="Z42" s="845" cm="1">
        <f t="array" aca="1" ref="Z42" ca="1">SUM(IF(TandE[[Start Week]:[Start Week]]&lt;=Z33,IF(TandE[[End Week]:[End Week]]&gt;=Z33,(TandE[[Role 9]:[Role 9]]/(TandE[[End Week]:[End Week]]-(TandE[[Start Week]:[Start Week]]-1)))),0))</f>
        <v>0</v>
      </c>
      <c r="AA42" s="845" cm="1">
        <f t="array" aca="1" ref="AA42" ca="1">SUM(IF(TandE[[Start Week]:[Start Week]]&lt;=AA33,IF(TandE[[End Week]:[End Week]]&gt;=AA33,(TandE[[Role 9]:[Role 9]]/(TandE[[End Week]:[End Week]]-(TandE[[Start Week]:[Start Week]]-1)))),0))</f>
        <v>0</v>
      </c>
      <c r="AB42" s="845" cm="1">
        <f t="array" aca="1" ref="AB42" ca="1">SUM(IF(TandE[[Start Week]:[Start Week]]&lt;=AB33,IF(TandE[[End Week]:[End Week]]&gt;=AB33,(TandE[[Role 9]:[Role 9]]/(TandE[[End Week]:[End Week]]-(TandE[[Start Week]:[Start Week]]-1)))),0))</f>
        <v>0</v>
      </c>
      <c r="AC42" s="845" cm="1">
        <f t="array" aca="1" ref="AC42" ca="1">SUM(IF(TandE[[Start Week]:[Start Week]]&lt;=AC33,IF(TandE[[End Week]:[End Week]]&gt;=AC33,(TandE[[Role 9]:[Role 9]]/(TandE[[End Week]:[End Week]]-(TandE[[Start Week]:[Start Week]]-1)))),0))</f>
        <v>0</v>
      </c>
      <c r="AD42" s="845" cm="1">
        <f t="array" aca="1" ref="AD42" ca="1">SUM(IF(TandE[[Start Week]:[Start Week]]&lt;=AD33,IF(TandE[[End Week]:[End Week]]&gt;=AD33,(TandE[[Role 9]:[Role 9]]/(TandE[[End Week]:[End Week]]-(TandE[[Start Week]:[Start Week]]-1)))),0))</f>
        <v>0</v>
      </c>
      <c r="AE42" s="845" cm="1">
        <f t="array" aca="1" ref="AE42" ca="1">SUM(IF(TandE[[Start Week]:[Start Week]]&lt;=AE33,IF(TandE[[End Week]:[End Week]]&gt;=AE33,(TandE[[Role 9]:[Role 9]]/(TandE[[End Week]:[End Week]]-(TandE[[Start Week]:[Start Week]]-1)))),0))</f>
        <v>0</v>
      </c>
      <c r="AF42" s="845" cm="1">
        <f t="array" aca="1" ref="AF42" ca="1">SUM(IF(TandE[[Start Week]:[Start Week]]&lt;=AF33,IF(TandE[[End Week]:[End Week]]&gt;=AF33,(TandE[[Role 9]:[Role 9]]/(TandE[[End Week]:[End Week]]-(TandE[[Start Week]:[Start Week]]-1)))),0))</f>
        <v>0</v>
      </c>
      <c r="AG42" s="845" cm="1">
        <f t="array" aca="1" ref="AG42" ca="1">SUM(IF(TandE[[Start Week]:[Start Week]]&lt;=AG33,IF(TandE[[End Week]:[End Week]]&gt;=AG33,(TandE[[Role 9]:[Role 9]]/(TandE[[End Week]:[End Week]]-(TandE[[Start Week]:[Start Week]]-1)))),0))</f>
        <v>0</v>
      </c>
      <c r="AH42" s="845" cm="1">
        <f t="array" aca="1" ref="AH42" ca="1">SUM(IF(TandE[[Start Week]:[Start Week]]&lt;=AH33,IF(TandE[[End Week]:[End Week]]&gt;=AH33,(TandE[[Role 9]:[Role 9]]/(TandE[[End Week]:[End Week]]-(TandE[[Start Week]:[Start Week]]-1)))),0))</f>
        <v>0</v>
      </c>
      <c r="AI42" s="845" cm="1">
        <f t="array" aca="1" ref="AI42" ca="1">SUM(IF(TandE[[Start Week]:[Start Week]]&lt;=AI33,IF(TandE[[End Week]:[End Week]]&gt;=AI33,(TandE[[Role 9]:[Role 9]]/(TandE[[End Week]:[End Week]]-(TandE[[Start Week]:[Start Week]]-1)))),0))</f>
        <v>0</v>
      </c>
      <c r="AJ42" s="845" cm="1">
        <f t="array" aca="1" ref="AJ42" ca="1">SUM(IF(TandE[[Start Week]:[Start Week]]&lt;=AJ33,IF(TandE[[End Week]:[End Week]]&gt;=AJ33,(TandE[[Role 9]:[Role 9]]/(TandE[[End Week]:[End Week]]-(TandE[[Start Week]:[Start Week]]-1)))),0))</f>
        <v>0</v>
      </c>
      <c r="AK42" s="845" cm="1">
        <f t="array" aca="1" ref="AK42" ca="1">SUM(IF(TandE[[Start Week]:[Start Week]]&lt;=AK33,IF(TandE[[End Week]:[End Week]]&gt;=AK33,(TandE[[Role 9]:[Role 9]]/(TandE[[End Week]:[End Week]]-(TandE[[Start Week]:[Start Week]]-1)))),0))</f>
        <v>0</v>
      </c>
      <c r="AL42" s="845" cm="1">
        <f t="array" aca="1" ref="AL42" ca="1">SUM(IF(TandE[[Start Week]:[Start Week]]&lt;=AL33,IF(TandE[[End Week]:[End Week]]&gt;=AL33,(TandE[[Role 9]:[Role 9]]/(TandE[[End Week]:[End Week]]-(TandE[[Start Week]:[Start Week]]-1)))),0))</f>
        <v>0</v>
      </c>
      <c r="AM42" s="845" cm="1">
        <f t="array" aca="1" ref="AM42" ca="1">SUM(IF(TandE[[Start Week]:[Start Week]]&lt;=AM33,IF(TandE[[End Week]:[End Week]]&gt;=AM33,(TandE[[Role 9]:[Role 9]]/(TandE[[End Week]:[End Week]]-(TandE[[Start Week]:[Start Week]]-1)))),0))</f>
        <v>0</v>
      </c>
      <c r="AN42" s="845" cm="1">
        <f t="array" aca="1" ref="AN42" ca="1">SUM(IF(TandE[[Start Week]:[Start Week]]&lt;=AN33,IF(TandE[[End Week]:[End Week]]&gt;=AN33,(TandE[[Role 9]:[Role 9]]/(TandE[[End Week]:[End Week]]-(TandE[[Start Week]:[Start Week]]-1)))),0))</f>
        <v>0</v>
      </c>
      <c r="AO42" s="845" cm="1">
        <f t="array" aca="1" ref="AO42" ca="1">SUM(IF(TandE[[Start Week]:[Start Week]]&lt;=AO33,IF(TandE[[End Week]:[End Week]]&gt;=AO33,(TandE[[Role 9]:[Role 9]]/(TandE[[End Week]:[End Week]]-(TandE[[Start Week]:[Start Week]]-1)))),0))</f>
        <v>0</v>
      </c>
      <c r="AP42" s="845" cm="1">
        <f t="array" aca="1" ref="AP42" ca="1">SUM(IF(TandE[[Start Week]:[Start Week]]&lt;=AP33,IF(TandE[[End Week]:[End Week]]&gt;=AP33,(TandE[[Role 9]:[Role 9]]/(TandE[[End Week]:[End Week]]-(TandE[[Start Week]:[Start Week]]-1)))),0))</f>
        <v>0</v>
      </c>
      <c r="AQ42" s="845" cm="1">
        <f t="array" aca="1" ref="AQ42" ca="1">SUM(IF(TandE[[Start Week]:[Start Week]]&lt;=AQ33,IF(TandE[[End Week]:[End Week]]&gt;=AQ33,(TandE[[Role 9]:[Role 9]]/(TandE[[End Week]:[End Week]]-(TandE[[Start Week]:[Start Week]]-1)))),0))</f>
        <v>0</v>
      </c>
      <c r="AR42" s="845" cm="1">
        <f t="array" aca="1" ref="AR42" ca="1">SUM(IF(TandE[[Start Week]:[Start Week]]&lt;=AR33,IF(TandE[[End Week]:[End Week]]&gt;=AR33,(TandE[[Role 9]:[Role 9]]/(TandE[[End Week]:[End Week]]-(TandE[[Start Week]:[Start Week]]-1)))),0))</f>
        <v>0</v>
      </c>
      <c r="AS42" s="845" cm="1">
        <f t="array" aca="1" ref="AS42" ca="1">SUM(IF(TandE[[Start Week]:[Start Week]]&lt;=AS33,IF(TandE[[End Week]:[End Week]]&gt;=AS33,(TandE[[Role 9]:[Role 9]]/(TandE[[End Week]:[End Week]]-(TandE[[Start Week]:[Start Week]]-1)))),0))</f>
        <v>0</v>
      </c>
      <c r="AT42" s="845" cm="1">
        <f t="array" aca="1" ref="AT42" ca="1">SUM(IF(TandE[[Start Week]:[Start Week]]&lt;=AT33,IF(TandE[[End Week]:[End Week]]&gt;=AT33,(TandE[[Role 9]:[Role 9]]/(TandE[[End Week]:[End Week]]-(TandE[[Start Week]:[Start Week]]-1)))),0))</f>
        <v>0</v>
      </c>
      <c r="AU42" s="845" cm="1">
        <f t="array" aca="1" ref="AU42" ca="1">SUM(IF(TandE[[Start Week]:[Start Week]]&lt;=AU33,IF(TandE[[End Week]:[End Week]]&gt;=AU33,(TandE[[Role 9]:[Role 9]]/(TandE[[End Week]:[End Week]]-(TandE[[Start Week]:[Start Week]]-1)))),0))</f>
        <v>0</v>
      </c>
      <c r="AV42" s="845" cm="1">
        <f t="array" aca="1" ref="AV42" ca="1">SUM(IF(TandE[[Start Week]:[Start Week]]&lt;=AV33,IF(TandE[[End Week]:[End Week]]&gt;=AV33,(TandE[[Role 9]:[Role 9]]/(TandE[[End Week]:[End Week]]-(TandE[[Start Week]:[Start Week]]-1)))),0))</f>
        <v>0</v>
      </c>
      <c r="AW42" s="845" cm="1">
        <f t="array" aca="1" ref="AW42" ca="1">SUM(IF(TandE[[Start Week]:[Start Week]]&lt;=AW33,IF(TandE[[End Week]:[End Week]]&gt;=AW33,(TandE[[Role 9]:[Role 9]]/(TandE[[End Week]:[End Week]]-(TandE[[Start Week]:[Start Week]]-1)))),0))</f>
        <v>0</v>
      </c>
      <c r="AX42" s="845" cm="1">
        <f t="array" aca="1" ref="AX42" ca="1">SUM(IF(TandE[[Start Week]:[Start Week]]&lt;=AX33,IF(TandE[[End Week]:[End Week]]&gt;=AX33,(TandE[[Role 9]:[Role 9]]/(TandE[[End Week]:[End Week]]-(TandE[[Start Week]:[Start Week]]-1)))),0))</f>
        <v>0</v>
      </c>
      <c r="AY42" s="845" cm="1">
        <f t="array" aca="1" ref="AY42" ca="1">SUM(IF(TandE[[Start Week]:[Start Week]]&lt;=AY33,IF(TandE[[End Week]:[End Week]]&gt;=AY33,(TandE[[Role 9]:[Role 9]]/(TandE[[End Week]:[End Week]]-(TandE[[Start Week]:[Start Week]]-1)))),0))</f>
        <v>0</v>
      </c>
      <c r="AZ42" s="845" cm="1">
        <f t="array" aca="1" ref="AZ42" ca="1">SUM(IF(TandE[[Start Week]:[Start Week]]&lt;=AZ33,IF(TandE[[End Week]:[End Week]]&gt;=AZ33,(TandE[[Role 9]:[Role 9]]/(TandE[[End Week]:[End Week]]-(TandE[[Start Week]:[Start Week]]-1)))),0))</f>
        <v>0</v>
      </c>
      <c r="BA42" s="845" cm="1">
        <f t="array" aca="1" ref="BA42" ca="1">SUM(IF(TandE[[Start Week]:[Start Week]]&lt;=BA33,IF(TandE[[End Week]:[End Week]]&gt;=BA33,(TandE[[Role 9]:[Role 9]]/(TandE[[End Week]:[End Week]]-(TandE[[Start Week]:[Start Week]]-1)))),0))</f>
        <v>0</v>
      </c>
      <c r="BB42" s="845" cm="1">
        <f t="array" aca="1" ref="BB42" ca="1">SUM(IF(TandE[[Start Week]:[Start Week]]&lt;=BB33,IF(TandE[[End Week]:[End Week]]&gt;=BB33,(TandE[[Role 9]:[Role 9]]/(TandE[[End Week]:[End Week]]-(TandE[[Start Week]:[Start Week]]-1)))),0))</f>
        <v>0</v>
      </c>
      <c r="BC42" s="845" cm="1">
        <f t="array" aca="1" ref="BC42" ca="1">SUM(IF(TandE[[Start Week]:[Start Week]]&lt;=BC33,IF(TandE[[End Week]:[End Week]]&gt;=BC33,(TandE[[Role 9]:[Role 9]]/(TandE[[End Week]:[End Week]]-(TandE[[Start Week]:[Start Week]]-1)))),0))</f>
        <v>0</v>
      </c>
      <c r="BD42" s="845" cm="1">
        <f t="array" aca="1" ref="BD42" ca="1">SUM(IF(TandE[[Start Week]:[Start Week]]&lt;=BD33,IF(TandE[[End Week]:[End Week]]&gt;=BD33,(TandE[[Role 9]:[Role 9]]/(TandE[[End Week]:[End Week]]-(TandE[[Start Week]:[Start Week]]-1)))),0))</f>
        <v>0</v>
      </c>
      <c r="BE42" s="845" cm="1">
        <f t="array" aca="1" ref="BE42" ca="1">SUM(IF(TandE[[Start Week]:[Start Week]]&lt;=BE33,IF(TandE[[End Week]:[End Week]]&gt;=BE33,(TandE[[Role 9]:[Role 9]]/(TandE[[End Week]:[End Week]]-(TandE[[Start Week]:[Start Week]]-1)))),0))</f>
        <v>0</v>
      </c>
      <c r="BF42" s="845" cm="1">
        <f t="array" aca="1" ref="BF42" ca="1">SUM(IF(TandE[[Start Week]:[Start Week]]&lt;=BF33,IF(TandE[[End Week]:[End Week]]&gt;=BF33,(TandE[[Role 9]:[Role 9]]/(TandE[[End Week]:[End Week]]-(TandE[[Start Week]:[Start Week]]-1)))),0))</f>
        <v>0</v>
      </c>
      <c r="BG42" s="845" cm="1">
        <f t="array" aca="1" ref="BG42" ca="1">SUM(IF(TandE[[Start Week]:[Start Week]]&lt;=BG33,IF(TandE[[End Week]:[End Week]]&gt;=BG33,(TandE[[Role 9]:[Role 9]]/(TandE[[End Week]:[End Week]]-(TandE[[Start Week]:[Start Week]]-1)))),0))</f>
        <v>0</v>
      </c>
      <c r="BH42" s="845" cm="1">
        <f t="array" aca="1" ref="BH42" ca="1">SUM(IF(TandE[[Start Week]:[Start Week]]&lt;=BH33,IF(TandE[[End Week]:[End Week]]&gt;=BH33,(TandE[[Role 9]:[Role 9]]/(TandE[[End Week]:[End Week]]-(TandE[[Start Week]:[Start Week]]-1)))),0))</f>
        <v>0</v>
      </c>
      <c r="BI42" s="845" cm="1">
        <f t="array" aca="1" ref="BI42" ca="1">SUM(IF(TandE[[Start Week]:[Start Week]]&lt;=BI33,IF(TandE[[End Week]:[End Week]]&gt;=BI33,(TandE[[Role 9]:[Role 9]]/(TandE[[End Week]:[End Week]]-(TandE[[Start Week]:[Start Week]]-1)))),0))</f>
        <v>0</v>
      </c>
      <c r="BJ42" s="845" cm="1">
        <f t="array" aca="1" ref="BJ42" ca="1">SUM(IF(TandE[[Start Week]:[Start Week]]&lt;=BJ33,IF(TandE[[End Week]:[End Week]]&gt;=BJ33,(TandE[[Role 9]:[Role 9]]/(TandE[[End Week]:[End Week]]-(TandE[[Start Week]:[Start Week]]-1)))),0))</f>
        <v>0</v>
      </c>
    </row>
    <row r="43" spans="2:62">
      <c r="B43" s="590" t="s">
        <v>479</v>
      </c>
      <c r="C43" s="589" t="str">
        <f ca="1">INDEX(RolesandSkills[Role + Practice],MATCH(Table2117[[#This Row],[Role '#]],RolesandSkills[Role '#],0),1)</f>
        <v>-</v>
      </c>
      <c r="D43" s="589" t="str">
        <f ca="1">INDEX(RolesandSkills[Resource Location],MATCH(Table2117[[#This Row],[Role '#]],RolesandSkills[Role '#],0),1)</f>
        <v/>
      </c>
      <c r="E43" s="589" t="str">
        <f ca="1">INDEX(RolesandSkills[Practice],MATCH(Table2117[[#This Row],[Role '#]],RolesandSkills[Role '#],0),1)</f>
        <v/>
      </c>
      <c r="F43" s="589" t="str">
        <f ca="1">INDEX(RolesandSkills[Skill '#1],MATCH(Table2117[[#This Row],[Role '#]],RolesandSkills[Role '#],0),1)</f>
        <v/>
      </c>
      <c r="G43" s="589" t="str">
        <f ca="1">INDEX(RolesandSkills[Skill '#2],MATCH(Table2117[[#This Row],[Role '#]],RolesandSkills[Role '#],0),1)</f>
        <v/>
      </c>
      <c r="H43" s="589" t="str">
        <f ca="1">INDEX(RolesandSkills[Skill '#3],MATCH(Table2117[[#This Row],[Role '#]],RolesandSkills[Role '#],0),1)</f>
        <v/>
      </c>
      <c r="I43" s="768">
        <f t="shared" ca="1" si="10"/>
        <v>0</v>
      </c>
      <c r="J43" s="589">
        <f ca="1">SUM(Table2117[[#This Row],[1]:[52]])</f>
        <v>0</v>
      </c>
      <c r="K43" s="845" cm="1">
        <f t="array" aca="1" ref="K43" ca="1">SUM(IF(TandE[Start Week]&lt;=K33,IF(TandE[End Week]&gt;=K33,(TandE[Role 10]/(TandE[End Week]-(TandE[Start Week]-1)))),0))</f>
        <v>0</v>
      </c>
      <c r="L43" s="845" cm="1">
        <f t="array" aca="1" ref="L43" ca="1">SUM(IF(TandE[[Start Week]:[Start Week]]&lt;=L33,IF(TandE[[End Week]:[End Week]]&gt;=L33,(TandE[[Role 10]:[Role 10]]/(TandE[[End Week]:[End Week]]-(TandE[[Start Week]:[Start Week]]-1)))),0))</f>
        <v>0</v>
      </c>
      <c r="M43" s="845" cm="1">
        <f t="array" aca="1" ref="M43" ca="1">SUM(IF(TandE[[Start Week]:[Start Week]]&lt;=M33,IF(TandE[[End Week]:[End Week]]&gt;=M33,(TandE[[Role 10]:[Role 10]]/(TandE[[End Week]:[End Week]]-(TandE[[Start Week]:[Start Week]]-1)))),0))</f>
        <v>0</v>
      </c>
      <c r="N43" s="845" cm="1">
        <f t="array" aca="1" ref="N43" ca="1">SUM(IF(TandE[[Start Week]:[Start Week]]&lt;=N33,IF(TandE[[End Week]:[End Week]]&gt;=N33,(TandE[[Role 10]:[Role 10]]/(TandE[[End Week]:[End Week]]-(TandE[[Start Week]:[Start Week]]-1)))),0))</f>
        <v>0</v>
      </c>
      <c r="O43" s="845" cm="1">
        <f t="array" aca="1" ref="O43" ca="1">SUM(IF(TandE[[Start Week]:[Start Week]]&lt;=O33,IF(TandE[[End Week]:[End Week]]&gt;=O33,(TandE[[Role 10]:[Role 10]]/(TandE[[End Week]:[End Week]]-(TandE[[Start Week]:[Start Week]]-1)))),0))</f>
        <v>0</v>
      </c>
      <c r="P43" s="845" cm="1">
        <f t="array" aca="1" ref="P43" ca="1">SUM(IF(TandE[[Start Week]:[Start Week]]&lt;=P33,IF(TandE[[End Week]:[End Week]]&gt;=P33,(TandE[[Role 10]:[Role 10]]/(TandE[[End Week]:[End Week]]-(TandE[[Start Week]:[Start Week]]-1)))),0))</f>
        <v>0</v>
      </c>
      <c r="Q43" s="845" cm="1">
        <f t="array" aca="1" ref="Q43" ca="1">SUM(IF(TandE[[Start Week]:[Start Week]]&lt;=Q33,IF(TandE[[End Week]:[End Week]]&gt;=Q33,(TandE[[Role 10]:[Role 10]]/(TandE[[End Week]:[End Week]]-(TandE[[Start Week]:[Start Week]]-1)))),0))</f>
        <v>0</v>
      </c>
      <c r="R43" s="845" cm="1">
        <f t="array" aca="1" ref="R43" ca="1">SUM(IF(TandE[[Start Week]:[Start Week]]&lt;=R33,IF(TandE[[End Week]:[End Week]]&gt;=R33,(TandE[[Role 10]:[Role 10]]/(TandE[[End Week]:[End Week]]-(TandE[[Start Week]:[Start Week]]-1)))),0))</f>
        <v>0</v>
      </c>
      <c r="S43" s="845" cm="1">
        <f t="array" aca="1" ref="S43" ca="1">SUM(IF(TandE[[Start Week]:[Start Week]]&lt;=S33,IF(TandE[[End Week]:[End Week]]&gt;=S33,(TandE[[Role 10]:[Role 10]]/(TandE[[End Week]:[End Week]]-(TandE[[Start Week]:[Start Week]]-1)))),0))</f>
        <v>0</v>
      </c>
      <c r="T43" s="845" cm="1">
        <f t="array" aca="1" ref="T43" ca="1">SUM(IF(TandE[[Start Week]:[Start Week]]&lt;=T33,IF(TandE[[End Week]:[End Week]]&gt;=T33,(TandE[[Role 10]:[Role 10]]/(TandE[[End Week]:[End Week]]-(TandE[[Start Week]:[Start Week]]-1)))),0))</f>
        <v>0</v>
      </c>
      <c r="U43" s="845" cm="1">
        <f t="array" aca="1" ref="U43" ca="1">SUM(IF(TandE[[Start Week]:[Start Week]]&lt;=U33,IF(TandE[[End Week]:[End Week]]&gt;=U33,(TandE[[Role 10]:[Role 10]]/(TandE[[End Week]:[End Week]]-(TandE[[Start Week]:[Start Week]]-1)))),0))</f>
        <v>0</v>
      </c>
      <c r="V43" s="845" cm="1">
        <f t="array" aca="1" ref="V43" ca="1">SUM(IF(TandE[[Start Week]:[Start Week]]&lt;=V33,IF(TandE[[End Week]:[End Week]]&gt;=V33,(TandE[[Role 10]:[Role 10]]/(TandE[[End Week]:[End Week]]-(TandE[[Start Week]:[Start Week]]-1)))),0))</f>
        <v>0</v>
      </c>
      <c r="W43" s="845" cm="1">
        <f t="array" aca="1" ref="W43" ca="1">SUM(IF(TandE[[Start Week]:[Start Week]]&lt;=W33,IF(TandE[[End Week]:[End Week]]&gt;=W33,(TandE[[Role 10]:[Role 10]]/(TandE[[End Week]:[End Week]]-(TandE[[Start Week]:[Start Week]]-1)))),0))</f>
        <v>0</v>
      </c>
      <c r="X43" s="845" cm="1">
        <f t="array" aca="1" ref="X43" ca="1">SUM(IF(TandE[[Start Week]:[Start Week]]&lt;=X33,IF(TandE[[End Week]:[End Week]]&gt;=X33,(TandE[[Role 10]:[Role 10]]/(TandE[[End Week]:[End Week]]-(TandE[[Start Week]:[Start Week]]-1)))),0))</f>
        <v>0</v>
      </c>
      <c r="Y43" s="845" cm="1">
        <f t="array" aca="1" ref="Y43" ca="1">SUM(IF(TandE[[Start Week]:[Start Week]]&lt;=Y33,IF(TandE[[End Week]:[End Week]]&gt;=Y33,(TandE[[Role 10]:[Role 10]]/(TandE[[End Week]:[End Week]]-(TandE[[Start Week]:[Start Week]]-1)))),0))</f>
        <v>0</v>
      </c>
      <c r="Z43" s="845" cm="1">
        <f t="array" aca="1" ref="Z43" ca="1">SUM(IF(TandE[[Start Week]:[Start Week]]&lt;=Z33,IF(TandE[[End Week]:[End Week]]&gt;=Z33,(TandE[[Role 10]:[Role 10]]/(TandE[[End Week]:[End Week]]-(TandE[[Start Week]:[Start Week]]-1)))),0))</f>
        <v>0</v>
      </c>
      <c r="AA43" s="845" cm="1">
        <f t="array" aca="1" ref="AA43" ca="1">SUM(IF(TandE[[Start Week]:[Start Week]]&lt;=AA33,IF(TandE[[End Week]:[End Week]]&gt;=AA33,(TandE[[Role 10]:[Role 10]]/(TandE[[End Week]:[End Week]]-(TandE[[Start Week]:[Start Week]]-1)))),0))</f>
        <v>0</v>
      </c>
      <c r="AB43" s="845" cm="1">
        <f t="array" aca="1" ref="AB43" ca="1">SUM(IF(TandE[[Start Week]:[Start Week]]&lt;=AB33,IF(TandE[[End Week]:[End Week]]&gt;=AB33,(TandE[[Role 10]:[Role 10]]/(TandE[[End Week]:[End Week]]-(TandE[[Start Week]:[Start Week]]-1)))),0))</f>
        <v>0</v>
      </c>
      <c r="AC43" s="845" cm="1">
        <f t="array" aca="1" ref="AC43" ca="1">SUM(IF(TandE[[Start Week]:[Start Week]]&lt;=AC33,IF(TandE[[End Week]:[End Week]]&gt;=AC33,(TandE[[Role 10]:[Role 10]]/(TandE[[End Week]:[End Week]]-(TandE[[Start Week]:[Start Week]]-1)))),0))</f>
        <v>0</v>
      </c>
      <c r="AD43" s="845" cm="1">
        <f t="array" aca="1" ref="AD43" ca="1">SUM(IF(TandE[[Start Week]:[Start Week]]&lt;=AD33,IF(TandE[[End Week]:[End Week]]&gt;=AD33,(TandE[[Role 10]:[Role 10]]/(TandE[[End Week]:[End Week]]-(TandE[[Start Week]:[Start Week]]-1)))),0))</f>
        <v>0</v>
      </c>
      <c r="AE43" s="845" cm="1">
        <f t="array" aca="1" ref="AE43" ca="1">SUM(IF(TandE[[Start Week]:[Start Week]]&lt;=AE33,IF(TandE[[End Week]:[End Week]]&gt;=AE33,(TandE[[Role 10]:[Role 10]]/(TandE[[End Week]:[End Week]]-(TandE[[Start Week]:[Start Week]]-1)))),0))</f>
        <v>0</v>
      </c>
      <c r="AF43" s="845" cm="1">
        <f t="array" aca="1" ref="AF43" ca="1">SUM(IF(TandE[[Start Week]:[Start Week]]&lt;=AF33,IF(TandE[[End Week]:[End Week]]&gt;=AF33,(TandE[[Role 10]:[Role 10]]/(TandE[[End Week]:[End Week]]-(TandE[[Start Week]:[Start Week]]-1)))),0))</f>
        <v>0</v>
      </c>
      <c r="AG43" s="845" cm="1">
        <f t="array" aca="1" ref="AG43" ca="1">SUM(IF(TandE[[Start Week]:[Start Week]]&lt;=AG33,IF(TandE[[End Week]:[End Week]]&gt;=AG33,(TandE[[Role 10]:[Role 10]]/(TandE[[End Week]:[End Week]]-(TandE[[Start Week]:[Start Week]]-1)))),0))</f>
        <v>0</v>
      </c>
      <c r="AH43" s="845" cm="1">
        <f t="array" aca="1" ref="AH43" ca="1">SUM(IF(TandE[[Start Week]:[Start Week]]&lt;=AH33,IF(TandE[[End Week]:[End Week]]&gt;=AH33,(TandE[[Role 10]:[Role 10]]/(TandE[[End Week]:[End Week]]-(TandE[[Start Week]:[Start Week]]-1)))),0))</f>
        <v>0</v>
      </c>
      <c r="AI43" s="845" cm="1">
        <f t="array" aca="1" ref="AI43" ca="1">SUM(IF(TandE[[Start Week]:[Start Week]]&lt;=AI33,IF(TandE[[End Week]:[End Week]]&gt;=AI33,(TandE[[Role 10]:[Role 10]]/(TandE[[End Week]:[End Week]]-(TandE[[Start Week]:[Start Week]]-1)))),0))</f>
        <v>0</v>
      </c>
      <c r="AJ43" s="845" cm="1">
        <f t="array" aca="1" ref="AJ43" ca="1">SUM(IF(TandE[[Start Week]:[Start Week]]&lt;=AJ33,IF(TandE[[End Week]:[End Week]]&gt;=AJ33,(TandE[[Role 10]:[Role 10]]/(TandE[[End Week]:[End Week]]-(TandE[[Start Week]:[Start Week]]-1)))),0))</f>
        <v>0</v>
      </c>
      <c r="AK43" s="845" cm="1">
        <f t="array" aca="1" ref="AK43" ca="1">SUM(IF(TandE[[Start Week]:[Start Week]]&lt;=AK33,IF(TandE[[End Week]:[End Week]]&gt;=AK33,(TandE[[Role 10]:[Role 10]]/(TandE[[End Week]:[End Week]]-(TandE[[Start Week]:[Start Week]]-1)))),0))</f>
        <v>0</v>
      </c>
      <c r="AL43" s="845" cm="1">
        <f t="array" aca="1" ref="AL43" ca="1">SUM(IF(TandE[[Start Week]:[Start Week]]&lt;=AL33,IF(TandE[[End Week]:[End Week]]&gt;=AL33,(TandE[[Role 10]:[Role 10]]/(TandE[[End Week]:[End Week]]-(TandE[[Start Week]:[Start Week]]-1)))),0))</f>
        <v>0</v>
      </c>
      <c r="AM43" s="845" cm="1">
        <f t="array" aca="1" ref="AM43" ca="1">SUM(IF(TandE[[Start Week]:[Start Week]]&lt;=AM33,IF(TandE[[End Week]:[End Week]]&gt;=AM33,(TandE[[Role 10]:[Role 10]]/(TandE[[End Week]:[End Week]]-(TandE[[Start Week]:[Start Week]]-1)))),0))</f>
        <v>0</v>
      </c>
      <c r="AN43" s="845" cm="1">
        <f t="array" aca="1" ref="AN43" ca="1">SUM(IF(TandE[[Start Week]:[Start Week]]&lt;=AN33,IF(TandE[[End Week]:[End Week]]&gt;=AN33,(TandE[[Role 10]:[Role 10]]/(TandE[[End Week]:[End Week]]-(TandE[[Start Week]:[Start Week]]-1)))),0))</f>
        <v>0</v>
      </c>
      <c r="AO43" s="845" cm="1">
        <f t="array" aca="1" ref="AO43" ca="1">SUM(IF(TandE[[Start Week]:[Start Week]]&lt;=AO33,IF(TandE[[End Week]:[End Week]]&gt;=AO33,(TandE[[Role 10]:[Role 10]]/(TandE[[End Week]:[End Week]]-(TandE[[Start Week]:[Start Week]]-1)))),0))</f>
        <v>0</v>
      </c>
      <c r="AP43" s="845" cm="1">
        <f t="array" aca="1" ref="AP43" ca="1">SUM(IF(TandE[[Start Week]:[Start Week]]&lt;=AP33,IF(TandE[[End Week]:[End Week]]&gt;=AP33,(TandE[[Role 10]:[Role 10]]/(TandE[[End Week]:[End Week]]-(TandE[[Start Week]:[Start Week]]-1)))),0))</f>
        <v>0</v>
      </c>
      <c r="AQ43" s="845" cm="1">
        <f t="array" aca="1" ref="AQ43" ca="1">SUM(IF(TandE[[Start Week]:[Start Week]]&lt;=AQ33,IF(TandE[[End Week]:[End Week]]&gt;=AQ33,(TandE[[Role 10]:[Role 10]]/(TandE[[End Week]:[End Week]]-(TandE[[Start Week]:[Start Week]]-1)))),0))</f>
        <v>0</v>
      </c>
      <c r="AR43" s="845" cm="1">
        <f t="array" aca="1" ref="AR43" ca="1">SUM(IF(TandE[[Start Week]:[Start Week]]&lt;=AR33,IF(TandE[[End Week]:[End Week]]&gt;=AR33,(TandE[[Role 10]:[Role 10]]/(TandE[[End Week]:[End Week]]-(TandE[[Start Week]:[Start Week]]-1)))),0))</f>
        <v>0</v>
      </c>
      <c r="AS43" s="845" cm="1">
        <f t="array" aca="1" ref="AS43" ca="1">SUM(IF(TandE[[Start Week]:[Start Week]]&lt;=AS33,IF(TandE[[End Week]:[End Week]]&gt;=AS33,(TandE[[Role 10]:[Role 10]]/(TandE[[End Week]:[End Week]]-(TandE[[Start Week]:[Start Week]]-1)))),0))</f>
        <v>0</v>
      </c>
      <c r="AT43" s="845" cm="1">
        <f t="array" aca="1" ref="AT43" ca="1">SUM(IF(TandE[[Start Week]:[Start Week]]&lt;=AT33,IF(TandE[[End Week]:[End Week]]&gt;=AT33,(TandE[[Role 10]:[Role 10]]/(TandE[[End Week]:[End Week]]-(TandE[[Start Week]:[Start Week]]-1)))),0))</f>
        <v>0</v>
      </c>
      <c r="AU43" s="845" cm="1">
        <f t="array" aca="1" ref="AU43" ca="1">SUM(IF(TandE[[Start Week]:[Start Week]]&lt;=AU33,IF(TandE[[End Week]:[End Week]]&gt;=AU33,(TandE[[Role 10]:[Role 10]]/(TandE[[End Week]:[End Week]]-(TandE[[Start Week]:[Start Week]]-1)))),0))</f>
        <v>0</v>
      </c>
      <c r="AV43" s="845" cm="1">
        <f t="array" aca="1" ref="AV43" ca="1">SUM(IF(TandE[[Start Week]:[Start Week]]&lt;=AV33,IF(TandE[[End Week]:[End Week]]&gt;=AV33,(TandE[[Role 10]:[Role 10]]/(TandE[[End Week]:[End Week]]-(TandE[[Start Week]:[Start Week]]-1)))),0))</f>
        <v>0</v>
      </c>
      <c r="AW43" s="845" cm="1">
        <f t="array" aca="1" ref="AW43" ca="1">SUM(IF(TandE[[Start Week]:[Start Week]]&lt;=AW33,IF(TandE[[End Week]:[End Week]]&gt;=AW33,(TandE[[Role 10]:[Role 10]]/(TandE[[End Week]:[End Week]]-(TandE[[Start Week]:[Start Week]]-1)))),0))</f>
        <v>0</v>
      </c>
      <c r="AX43" s="845" cm="1">
        <f t="array" aca="1" ref="AX43" ca="1">SUM(IF(TandE[[Start Week]:[Start Week]]&lt;=AX33,IF(TandE[[End Week]:[End Week]]&gt;=AX33,(TandE[[Role 10]:[Role 10]]/(TandE[[End Week]:[End Week]]-(TandE[[Start Week]:[Start Week]]-1)))),0))</f>
        <v>0</v>
      </c>
      <c r="AY43" s="845" cm="1">
        <f t="array" aca="1" ref="AY43" ca="1">SUM(IF(TandE[[Start Week]:[Start Week]]&lt;=AY33,IF(TandE[[End Week]:[End Week]]&gt;=AY33,(TandE[[Role 10]:[Role 10]]/(TandE[[End Week]:[End Week]]-(TandE[[Start Week]:[Start Week]]-1)))),0))</f>
        <v>0</v>
      </c>
      <c r="AZ43" s="845" cm="1">
        <f t="array" aca="1" ref="AZ43" ca="1">SUM(IF(TandE[[Start Week]:[Start Week]]&lt;=AZ33,IF(TandE[[End Week]:[End Week]]&gt;=AZ33,(TandE[[Role 10]:[Role 10]]/(TandE[[End Week]:[End Week]]-(TandE[[Start Week]:[Start Week]]-1)))),0))</f>
        <v>0</v>
      </c>
      <c r="BA43" s="845" cm="1">
        <f t="array" aca="1" ref="BA43" ca="1">SUM(IF(TandE[[Start Week]:[Start Week]]&lt;=BA33,IF(TandE[[End Week]:[End Week]]&gt;=BA33,(TandE[[Role 10]:[Role 10]]/(TandE[[End Week]:[End Week]]-(TandE[[Start Week]:[Start Week]]-1)))),0))</f>
        <v>0</v>
      </c>
      <c r="BB43" s="845" cm="1">
        <f t="array" aca="1" ref="BB43" ca="1">SUM(IF(TandE[[Start Week]:[Start Week]]&lt;=BB33,IF(TandE[[End Week]:[End Week]]&gt;=BB33,(TandE[[Role 10]:[Role 10]]/(TandE[[End Week]:[End Week]]-(TandE[[Start Week]:[Start Week]]-1)))),0))</f>
        <v>0</v>
      </c>
      <c r="BC43" s="845" cm="1">
        <f t="array" aca="1" ref="BC43" ca="1">SUM(IF(TandE[[Start Week]:[Start Week]]&lt;=BC33,IF(TandE[[End Week]:[End Week]]&gt;=BC33,(TandE[[Role 10]:[Role 10]]/(TandE[[End Week]:[End Week]]-(TandE[[Start Week]:[Start Week]]-1)))),0))</f>
        <v>0</v>
      </c>
      <c r="BD43" s="845" cm="1">
        <f t="array" aca="1" ref="BD43" ca="1">SUM(IF(TandE[[Start Week]:[Start Week]]&lt;=BD33,IF(TandE[[End Week]:[End Week]]&gt;=BD33,(TandE[[Role 10]:[Role 10]]/(TandE[[End Week]:[End Week]]-(TandE[[Start Week]:[Start Week]]-1)))),0))</f>
        <v>0</v>
      </c>
      <c r="BE43" s="845" cm="1">
        <f t="array" aca="1" ref="BE43" ca="1">SUM(IF(TandE[[Start Week]:[Start Week]]&lt;=BE33,IF(TandE[[End Week]:[End Week]]&gt;=BE33,(TandE[[Role 10]:[Role 10]]/(TandE[[End Week]:[End Week]]-(TandE[[Start Week]:[Start Week]]-1)))),0))</f>
        <v>0</v>
      </c>
      <c r="BF43" s="845" cm="1">
        <f t="array" aca="1" ref="BF43" ca="1">SUM(IF(TandE[[Start Week]:[Start Week]]&lt;=BF33,IF(TandE[[End Week]:[End Week]]&gt;=BF33,(TandE[[Role 10]:[Role 10]]/(TandE[[End Week]:[End Week]]-(TandE[[Start Week]:[Start Week]]-1)))),0))</f>
        <v>0</v>
      </c>
      <c r="BG43" s="845" cm="1">
        <f t="array" aca="1" ref="BG43" ca="1">SUM(IF(TandE[[Start Week]:[Start Week]]&lt;=BG33,IF(TandE[[End Week]:[End Week]]&gt;=BG33,(TandE[[Role 10]:[Role 10]]/(TandE[[End Week]:[End Week]]-(TandE[[Start Week]:[Start Week]]-1)))),0))</f>
        <v>0</v>
      </c>
      <c r="BH43" s="845" cm="1">
        <f t="array" aca="1" ref="BH43" ca="1">SUM(IF(TandE[[Start Week]:[Start Week]]&lt;=BH33,IF(TandE[[End Week]:[End Week]]&gt;=BH33,(TandE[[Role 10]:[Role 10]]/(TandE[[End Week]:[End Week]]-(TandE[[Start Week]:[Start Week]]-1)))),0))</f>
        <v>0</v>
      </c>
      <c r="BI43" s="845" cm="1">
        <f t="array" aca="1" ref="BI43" ca="1">SUM(IF(TandE[[Start Week]:[Start Week]]&lt;=BI33,IF(TandE[[End Week]:[End Week]]&gt;=BI33,(TandE[[Role 10]:[Role 10]]/(TandE[[End Week]:[End Week]]-(TandE[[Start Week]:[Start Week]]-1)))),0))</f>
        <v>0</v>
      </c>
      <c r="BJ43" s="845" cm="1">
        <f t="array" aca="1" ref="BJ43" ca="1">SUM(IF(TandE[[Start Week]:[Start Week]]&lt;=BJ33,IF(TandE[[End Week]:[End Week]]&gt;=BJ33,(TandE[[Role 10]:[Role 10]]/(TandE[[End Week]:[End Week]]-(TandE[[Start Week]:[Start Week]]-1)))),0))</f>
        <v>0</v>
      </c>
    </row>
    <row r="44" spans="2:62">
      <c r="B44" s="588" t="s">
        <v>480</v>
      </c>
      <c r="C44" s="589" t="str">
        <f ca="1">INDEX(RolesandSkills[Role + Practice],MATCH(Table2117[[#This Row],[Role '#]],RolesandSkills[Role '#],0),1)</f>
        <v>-</v>
      </c>
      <c r="D44" s="589" t="str">
        <f ca="1">INDEX(RolesandSkills[Resource Location],MATCH(Table2117[[#This Row],[Role '#]],RolesandSkills[Role '#],0),1)</f>
        <v/>
      </c>
      <c r="E44" s="589" t="str">
        <f ca="1">INDEX(RolesandSkills[Practice],MATCH(Table2117[[#This Row],[Role '#]],RolesandSkills[Role '#],0),1)</f>
        <v/>
      </c>
      <c r="F44" s="589" t="str">
        <f ca="1">INDEX(RolesandSkills[Skill '#1],MATCH(Table2117[[#This Row],[Role '#]],RolesandSkills[Role '#],0),1)</f>
        <v/>
      </c>
      <c r="G44" s="589" t="str">
        <f ca="1">INDEX(RolesandSkills[Skill '#2],MATCH(Table2117[[#This Row],[Role '#]],RolesandSkills[Role '#],0),1)</f>
        <v/>
      </c>
      <c r="H44" s="589" t="str">
        <f ca="1">INDEX(RolesandSkills[Skill '#3],MATCH(Table2117[[#This Row],[Role '#]],RolesandSkills[Role '#],0),1)</f>
        <v/>
      </c>
      <c r="I44" s="768">
        <f t="shared" ca="1" si="10"/>
        <v>0</v>
      </c>
      <c r="J44" s="589">
        <f ca="1">SUM(Table2117[[#This Row],[1]:[52]])</f>
        <v>0</v>
      </c>
      <c r="K44" s="845" cm="1">
        <f t="array" aca="1" ref="K44" ca="1">SUM(IF(TandE[Start Week]&lt;=K33,IF(TandE[End Week]&gt;=K33,(TandE[Role 11]/(TandE[End Week]-(TandE[Start Week]-1)))),0))</f>
        <v>0</v>
      </c>
      <c r="L44" s="845" cm="1">
        <f t="array" aca="1" ref="L44" ca="1">SUM(IF(TandE[[Start Week]:[Start Week]]&lt;=L33,IF(TandE[[End Week]:[End Week]]&gt;=L33,(TandE[[Role 11]:[Role 11]]/(TandE[[End Week]:[End Week]]-(TandE[[Start Week]:[Start Week]]-1)))),0))</f>
        <v>0</v>
      </c>
      <c r="M44" s="845" cm="1">
        <f t="array" aca="1" ref="M44" ca="1">SUM(IF(TandE[[Start Week]:[Start Week]]&lt;=M33,IF(TandE[[End Week]:[End Week]]&gt;=M33,(TandE[[Role 11]:[Role 11]]/(TandE[[End Week]:[End Week]]-(TandE[[Start Week]:[Start Week]]-1)))),0))</f>
        <v>0</v>
      </c>
      <c r="N44" s="845" cm="1">
        <f t="array" aca="1" ref="N44" ca="1">SUM(IF(TandE[[Start Week]:[Start Week]]&lt;=N33,IF(TandE[[End Week]:[End Week]]&gt;=N33,(TandE[[Role 11]:[Role 11]]/(TandE[[End Week]:[End Week]]-(TandE[[Start Week]:[Start Week]]-1)))),0))</f>
        <v>0</v>
      </c>
      <c r="O44" s="845" cm="1">
        <f t="array" aca="1" ref="O44" ca="1">SUM(IF(TandE[[Start Week]:[Start Week]]&lt;=O33,IF(TandE[[End Week]:[End Week]]&gt;=O33,(TandE[[Role 11]:[Role 11]]/(TandE[[End Week]:[End Week]]-(TandE[[Start Week]:[Start Week]]-1)))),0))</f>
        <v>0</v>
      </c>
      <c r="P44" s="845" cm="1">
        <f t="array" aca="1" ref="P44" ca="1">SUM(IF(TandE[[Start Week]:[Start Week]]&lt;=P33,IF(TandE[[End Week]:[End Week]]&gt;=P33,(TandE[[Role 11]:[Role 11]]/(TandE[[End Week]:[End Week]]-(TandE[[Start Week]:[Start Week]]-1)))),0))</f>
        <v>0</v>
      </c>
      <c r="Q44" s="845" cm="1">
        <f t="array" aca="1" ref="Q44" ca="1">SUM(IF(TandE[[Start Week]:[Start Week]]&lt;=Q33,IF(TandE[[End Week]:[End Week]]&gt;=Q33,(TandE[[Role 11]:[Role 11]]/(TandE[[End Week]:[End Week]]-(TandE[[Start Week]:[Start Week]]-1)))),0))</f>
        <v>0</v>
      </c>
      <c r="R44" s="845" cm="1">
        <f t="array" aca="1" ref="R44" ca="1">SUM(IF(TandE[[Start Week]:[Start Week]]&lt;=R33,IF(TandE[[End Week]:[End Week]]&gt;=R33,(TandE[[Role 11]:[Role 11]]/(TandE[[End Week]:[End Week]]-(TandE[[Start Week]:[Start Week]]-1)))),0))</f>
        <v>0</v>
      </c>
      <c r="S44" s="845" cm="1">
        <f t="array" aca="1" ref="S44" ca="1">SUM(IF(TandE[[Start Week]:[Start Week]]&lt;=S33,IF(TandE[[End Week]:[End Week]]&gt;=S33,(TandE[[Role 11]:[Role 11]]/(TandE[[End Week]:[End Week]]-(TandE[[Start Week]:[Start Week]]-1)))),0))</f>
        <v>0</v>
      </c>
      <c r="T44" s="845" cm="1">
        <f t="array" aca="1" ref="T44" ca="1">SUM(IF(TandE[[Start Week]:[Start Week]]&lt;=T33,IF(TandE[[End Week]:[End Week]]&gt;=T33,(TandE[[Role 11]:[Role 11]]/(TandE[[End Week]:[End Week]]-(TandE[[Start Week]:[Start Week]]-1)))),0))</f>
        <v>0</v>
      </c>
      <c r="U44" s="845" cm="1">
        <f t="array" aca="1" ref="U44" ca="1">SUM(IF(TandE[[Start Week]:[Start Week]]&lt;=U33,IF(TandE[[End Week]:[End Week]]&gt;=U33,(TandE[[Role 11]:[Role 11]]/(TandE[[End Week]:[End Week]]-(TandE[[Start Week]:[Start Week]]-1)))),0))</f>
        <v>0</v>
      </c>
      <c r="V44" s="845" cm="1">
        <f t="array" aca="1" ref="V44" ca="1">SUM(IF(TandE[[Start Week]:[Start Week]]&lt;=V33,IF(TandE[[End Week]:[End Week]]&gt;=V33,(TandE[[Role 11]:[Role 11]]/(TandE[[End Week]:[End Week]]-(TandE[[Start Week]:[Start Week]]-1)))),0))</f>
        <v>0</v>
      </c>
      <c r="W44" s="845" cm="1">
        <f t="array" aca="1" ref="W44" ca="1">SUM(IF(TandE[[Start Week]:[Start Week]]&lt;=W33,IF(TandE[[End Week]:[End Week]]&gt;=W33,(TandE[[Role 11]:[Role 11]]/(TandE[[End Week]:[End Week]]-(TandE[[Start Week]:[Start Week]]-1)))),0))</f>
        <v>0</v>
      </c>
      <c r="X44" s="845" cm="1">
        <f t="array" aca="1" ref="X44" ca="1">SUM(IF(TandE[[Start Week]:[Start Week]]&lt;=X33,IF(TandE[[End Week]:[End Week]]&gt;=X33,(TandE[[Role 11]:[Role 11]]/(TandE[[End Week]:[End Week]]-(TandE[[Start Week]:[Start Week]]-1)))),0))</f>
        <v>0</v>
      </c>
      <c r="Y44" s="845" cm="1">
        <f t="array" aca="1" ref="Y44" ca="1">SUM(IF(TandE[[Start Week]:[Start Week]]&lt;=Y33,IF(TandE[[End Week]:[End Week]]&gt;=Y33,(TandE[[Role 11]:[Role 11]]/(TandE[[End Week]:[End Week]]-(TandE[[Start Week]:[Start Week]]-1)))),0))</f>
        <v>0</v>
      </c>
      <c r="Z44" s="845" cm="1">
        <f t="array" aca="1" ref="Z44" ca="1">SUM(IF(TandE[[Start Week]:[Start Week]]&lt;=Z33,IF(TandE[[End Week]:[End Week]]&gt;=Z33,(TandE[[Role 11]:[Role 11]]/(TandE[[End Week]:[End Week]]-(TandE[[Start Week]:[Start Week]]-1)))),0))</f>
        <v>0</v>
      </c>
      <c r="AA44" s="845" cm="1">
        <f t="array" aca="1" ref="AA44" ca="1">SUM(IF(TandE[[Start Week]:[Start Week]]&lt;=AA33,IF(TandE[[End Week]:[End Week]]&gt;=AA33,(TandE[[Role 11]:[Role 11]]/(TandE[[End Week]:[End Week]]-(TandE[[Start Week]:[Start Week]]-1)))),0))</f>
        <v>0</v>
      </c>
      <c r="AB44" s="845" cm="1">
        <f t="array" aca="1" ref="AB44" ca="1">SUM(IF(TandE[[Start Week]:[Start Week]]&lt;=AB33,IF(TandE[[End Week]:[End Week]]&gt;=AB33,(TandE[[Role 11]:[Role 11]]/(TandE[[End Week]:[End Week]]-(TandE[[Start Week]:[Start Week]]-1)))),0))</f>
        <v>0</v>
      </c>
      <c r="AC44" s="845" cm="1">
        <f t="array" aca="1" ref="AC44" ca="1">SUM(IF(TandE[[Start Week]:[Start Week]]&lt;=AC33,IF(TandE[[End Week]:[End Week]]&gt;=AC33,(TandE[[Role 11]:[Role 11]]/(TandE[[End Week]:[End Week]]-(TandE[[Start Week]:[Start Week]]-1)))),0))</f>
        <v>0</v>
      </c>
      <c r="AD44" s="845" cm="1">
        <f t="array" aca="1" ref="AD44" ca="1">SUM(IF(TandE[[Start Week]:[Start Week]]&lt;=AD33,IF(TandE[[End Week]:[End Week]]&gt;=AD33,(TandE[[Role 11]:[Role 11]]/(TandE[[End Week]:[End Week]]-(TandE[[Start Week]:[Start Week]]-1)))),0))</f>
        <v>0</v>
      </c>
      <c r="AE44" s="845" cm="1">
        <f t="array" aca="1" ref="AE44" ca="1">SUM(IF(TandE[[Start Week]:[Start Week]]&lt;=AE33,IF(TandE[[End Week]:[End Week]]&gt;=AE33,(TandE[[Role 11]:[Role 11]]/(TandE[[End Week]:[End Week]]-(TandE[[Start Week]:[Start Week]]-1)))),0))</f>
        <v>0</v>
      </c>
      <c r="AF44" s="845" cm="1">
        <f t="array" aca="1" ref="AF44" ca="1">SUM(IF(TandE[[Start Week]:[Start Week]]&lt;=AF33,IF(TandE[[End Week]:[End Week]]&gt;=AF33,(TandE[[Role 11]:[Role 11]]/(TandE[[End Week]:[End Week]]-(TandE[[Start Week]:[Start Week]]-1)))),0))</f>
        <v>0</v>
      </c>
      <c r="AG44" s="845" cm="1">
        <f t="array" aca="1" ref="AG44" ca="1">SUM(IF(TandE[[Start Week]:[Start Week]]&lt;=AG33,IF(TandE[[End Week]:[End Week]]&gt;=AG33,(TandE[[Role 11]:[Role 11]]/(TandE[[End Week]:[End Week]]-(TandE[[Start Week]:[Start Week]]-1)))),0))</f>
        <v>0</v>
      </c>
      <c r="AH44" s="845" cm="1">
        <f t="array" aca="1" ref="AH44" ca="1">SUM(IF(TandE[[Start Week]:[Start Week]]&lt;=AH33,IF(TandE[[End Week]:[End Week]]&gt;=AH33,(TandE[[Role 11]:[Role 11]]/(TandE[[End Week]:[End Week]]-(TandE[[Start Week]:[Start Week]]-1)))),0))</f>
        <v>0</v>
      </c>
      <c r="AI44" s="845" cm="1">
        <f t="array" aca="1" ref="AI44" ca="1">SUM(IF(TandE[[Start Week]:[Start Week]]&lt;=AI33,IF(TandE[[End Week]:[End Week]]&gt;=AI33,(TandE[[Role 11]:[Role 11]]/(TandE[[End Week]:[End Week]]-(TandE[[Start Week]:[Start Week]]-1)))),0))</f>
        <v>0</v>
      </c>
      <c r="AJ44" s="845" cm="1">
        <f t="array" aca="1" ref="AJ44" ca="1">SUM(IF(TandE[[Start Week]:[Start Week]]&lt;=AJ33,IF(TandE[[End Week]:[End Week]]&gt;=AJ33,(TandE[[Role 11]:[Role 11]]/(TandE[[End Week]:[End Week]]-(TandE[[Start Week]:[Start Week]]-1)))),0))</f>
        <v>0</v>
      </c>
      <c r="AK44" s="845" cm="1">
        <f t="array" aca="1" ref="AK44" ca="1">SUM(IF(TandE[[Start Week]:[Start Week]]&lt;=AK33,IF(TandE[[End Week]:[End Week]]&gt;=AK33,(TandE[[Role 11]:[Role 11]]/(TandE[[End Week]:[End Week]]-(TandE[[Start Week]:[Start Week]]-1)))),0))</f>
        <v>0</v>
      </c>
      <c r="AL44" s="845" cm="1">
        <f t="array" aca="1" ref="AL44" ca="1">SUM(IF(TandE[[Start Week]:[Start Week]]&lt;=AL33,IF(TandE[[End Week]:[End Week]]&gt;=AL33,(TandE[[Role 11]:[Role 11]]/(TandE[[End Week]:[End Week]]-(TandE[[Start Week]:[Start Week]]-1)))),0))</f>
        <v>0</v>
      </c>
      <c r="AM44" s="845" cm="1">
        <f t="array" aca="1" ref="AM44" ca="1">SUM(IF(TandE[[Start Week]:[Start Week]]&lt;=AM33,IF(TandE[[End Week]:[End Week]]&gt;=AM33,(TandE[[Role 11]:[Role 11]]/(TandE[[End Week]:[End Week]]-(TandE[[Start Week]:[Start Week]]-1)))),0))</f>
        <v>0</v>
      </c>
      <c r="AN44" s="845" cm="1">
        <f t="array" aca="1" ref="AN44" ca="1">SUM(IF(TandE[[Start Week]:[Start Week]]&lt;=AN33,IF(TandE[[End Week]:[End Week]]&gt;=AN33,(TandE[[Role 11]:[Role 11]]/(TandE[[End Week]:[End Week]]-(TandE[[Start Week]:[Start Week]]-1)))),0))</f>
        <v>0</v>
      </c>
      <c r="AO44" s="845" cm="1">
        <f t="array" aca="1" ref="AO44" ca="1">SUM(IF(TandE[[Start Week]:[Start Week]]&lt;=AO33,IF(TandE[[End Week]:[End Week]]&gt;=AO33,(TandE[[Role 11]:[Role 11]]/(TandE[[End Week]:[End Week]]-(TandE[[Start Week]:[Start Week]]-1)))),0))</f>
        <v>0</v>
      </c>
      <c r="AP44" s="845" cm="1">
        <f t="array" aca="1" ref="AP44" ca="1">SUM(IF(TandE[[Start Week]:[Start Week]]&lt;=AP33,IF(TandE[[End Week]:[End Week]]&gt;=AP33,(TandE[[Role 11]:[Role 11]]/(TandE[[End Week]:[End Week]]-(TandE[[Start Week]:[Start Week]]-1)))),0))</f>
        <v>0</v>
      </c>
      <c r="AQ44" s="845" cm="1">
        <f t="array" aca="1" ref="AQ44" ca="1">SUM(IF(TandE[[Start Week]:[Start Week]]&lt;=AQ33,IF(TandE[[End Week]:[End Week]]&gt;=AQ33,(TandE[[Role 11]:[Role 11]]/(TandE[[End Week]:[End Week]]-(TandE[[Start Week]:[Start Week]]-1)))),0))</f>
        <v>0</v>
      </c>
      <c r="AR44" s="845" cm="1">
        <f t="array" aca="1" ref="AR44" ca="1">SUM(IF(TandE[[Start Week]:[Start Week]]&lt;=AR33,IF(TandE[[End Week]:[End Week]]&gt;=AR33,(TandE[[Role 11]:[Role 11]]/(TandE[[End Week]:[End Week]]-(TandE[[Start Week]:[Start Week]]-1)))),0))</f>
        <v>0</v>
      </c>
      <c r="AS44" s="845" cm="1">
        <f t="array" aca="1" ref="AS44" ca="1">SUM(IF(TandE[[Start Week]:[Start Week]]&lt;=AS33,IF(TandE[[End Week]:[End Week]]&gt;=AS33,(TandE[[Role 11]:[Role 11]]/(TandE[[End Week]:[End Week]]-(TandE[[Start Week]:[Start Week]]-1)))),0))</f>
        <v>0</v>
      </c>
      <c r="AT44" s="845" cm="1">
        <f t="array" aca="1" ref="AT44" ca="1">SUM(IF(TandE[[Start Week]:[Start Week]]&lt;=AT33,IF(TandE[[End Week]:[End Week]]&gt;=AT33,(TandE[[Role 11]:[Role 11]]/(TandE[[End Week]:[End Week]]-(TandE[[Start Week]:[Start Week]]-1)))),0))</f>
        <v>0</v>
      </c>
      <c r="AU44" s="845" cm="1">
        <f t="array" aca="1" ref="AU44" ca="1">SUM(IF(TandE[[Start Week]:[Start Week]]&lt;=AU33,IF(TandE[[End Week]:[End Week]]&gt;=AU33,(TandE[[Role 11]:[Role 11]]/(TandE[[End Week]:[End Week]]-(TandE[[Start Week]:[Start Week]]-1)))),0))</f>
        <v>0</v>
      </c>
      <c r="AV44" s="845" cm="1">
        <f t="array" aca="1" ref="AV44" ca="1">SUM(IF(TandE[[Start Week]:[Start Week]]&lt;=AV33,IF(TandE[[End Week]:[End Week]]&gt;=AV33,(TandE[[Role 11]:[Role 11]]/(TandE[[End Week]:[End Week]]-(TandE[[Start Week]:[Start Week]]-1)))),0))</f>
        <v>0</v>
      </c>
      <c r="AW44" s="845" cm="1">
        <f t="array" aca="1" ref="AW44" ca="1">SUM(IF(TandE[[Start Week]:[Start Week]]&lt;=AW33,IF(TandE[[End Week]:[End Week]]&gt;=AW33,(TandE[[Role 11]:[Role 11]]/(TandE[[End Week]:[End Week]]-(TandE[[Start Week]:[Start Week]]-1)))),0))</f>
        <v>0</v>
      </c>
      <c r="AX44" s="845" cm="1">
        <f t="array" aca="1" ref="AX44" ca="1">SUM(IF(TandE[[Start Week]:[Start Week]]&lt;=AX33,IF(TandE[[End Week]:[End Week]]&gt;=AX33,(TandE[[Role 11]:[Role 11]]/(TandE[[End Week]:[End Week]]-(TandE[[Start Week]:[Start Week]]-1)))),0))</f>
        <v>0</v>
      </c>
      <c r="AY44" s="845" cm="1">
        <f t="array" aca="1" ref="AY44" ca="1">SUM(IF(TandE[[Start Week]:[Start Week]]&lt;=AY33,IF(TandE[[End Week]:[End Week]]&gt;=AY33,(TandE[[Role 11]:[Role 11]]/(TandE[[End Week]:[End Week]]-(TandE[[Start Week]:[Start Week]]-1)))),0))</f>
        <v>0</v>
      </c>
      <c r="AZ44" s="845" cm="1">
        <f t="array" aca="1" ref="AZ44" ca="1">SUM(IF(TandE[[Start Week]:[Start Week]]&lt;=AZ33,IF(TandE[[End Week]:[End Week]]&gt;=AZ33,(TandE[[Role 11]:[Role 11]]/(TandE[[End Week]:[End Week]]-(TandE[[Start Week]:[Start Week]]-1)))),0))</f>
        <v>0</v>
      </c>
      <c r="BA44" s="845" cm="1">
        <f t="array" aca="1" ref="BA44" ca="1">SUM(IF(TandE[[Start Week]:[Start Week]]&lt;=BA33,IF(TandE[[End Week]:[End Week]]&gt;=BA33,(TandE[[Role 11]:[Role 11]]/(TandE[[End Week]:[End Week]]-(TandE[[Start Week]:[Start Week]]-1)))),0))</f>
        <v>0</v>
      </c>
      <c r="BB44" s="845" cm="1">
        <f t="array" aca="1" ref="BB44" ca="1">SUM(IF(TandE[[Start Week]:[Start Week]]&lt;=BB33,IF(TandE[[End Week]:[End Week]]&gt;=BB33,(TandE[[Role 11]:[Role 11]]/(TandE[[End Week]:[End Week]]-(TandE[[Start Week]:[Start Week]]-1)))),0))</f>
        <v>0</v>
      </c>
      <c r="BC44" s="845" cm="1">
        <f t="array" aca="1" ref="BC44" ca="1">SUM(IF(TandE[[Start Week]:[Start Week]]&lt;=BC33,IF(TandE[[End Week]:[End Week]]&gt;=BC33,(TandE[[Role 11]:[Role 11]]/(TandE[[End Week]:[End Week]]-(TandE[[Start Week]:[Start Week]]-1)))),0))</f>
        <v>0</v>
      </c>
      <c r="BD44" s="845" cm="1">
        <f t="array" aca="1" ref="BD44" ca="1">SUM(IF(TandE[[Start Week]:[Start Week]]&lt;=BD33,IF(TandE[[End Week]:[End Week]]&gt;=BD33,(TandE[[Role 11]:[Role 11]]/(TandE[[End Week]:[End Week]]-(TandE[[Start Week]:[Start Week]]-1)))),0))</f>
        <v>0</v>
      </c>
      <c r="BE44" s="845" cm="1">
        <f t="array" aca="1" ref="BE44" ca="1">SUM(IF(TandE[[Start Week]:[Start Week]]&lt;=BE33,IF(TandE[[End Week]:[End Week]]&gt;=BE33,(TandE[[Role 11]:[Role 11]]/(TandE[[End Week]:[End Week]]-(TandE[[Start Week]:[Start Week]]-1)))),0))</f>
        <v>0</v>
      </c>
      <c r="BF44" s="845" cm="1">
        <f t="array" aca="1" ref="BF44" ca="1">SUM(IF(TandE[[Start Week]:[Start Week]]&lt;=BF33,IF(TandE[[End Week]:[End Week]]&gt;=BF33,(TandE[[Role 11]:[Role 11]]/(TandE[[End Week]:[End Week]]-(TandE[[Start Week]:[Start Week]]-1)))),0))</f>
        <v>0</v>
      </c>
      <c r="BG44" s="845" cm="1">
        <f t="array" aca="1" ref="BG44" ca="1">SUM(IF(TandE[[Start Week]:[Start Week]]&lt;=BG33,IF(TandE[[End Week]:[End Week]]&gt;=BG33,(TandE[[Role 11]:[Role 11]]/(TandE[[End Week]:[End Week]]-(TandE[[Start Week]:[Start Week]]-1)))),0))</f>
        <v>0</v>
      </c>
      <c r="BH44" s="845" cm="1">
        <f t="array" aca="1" ref="BH44" ca="1">SUM(IF(TandE[[Start Week]:[Start Week]]&lt;=BH33,IF(TandE[[End Week]:[End Week]]&gt;=BH33,(TandE[[Role 11]:[Role 11]]/(TandE[[End Week]:[End Week]]-(TandE[[Start Week]:[Start Week]]-1)))),0))</f>
        <v>0</v>
      </c>
      <c r="BI44" s="845" cm="1">
        <f t="array" aca="1" ref="BI44" ca="1">SUM(IF(TandE[[Start Week]:[Start Week]]&lt;=BI33,IF(TandE[[End Week]:[End Week]]&gt;=BI33,(TandE[[Role 11]:[Role 11]]/(TandE[[End Week]:[End Week]]-(TandE[[Start Week]:[Start Week]]-1)))),0))</f>
        <v>0</v>
      </c>
      <c r="BJ44" s="845" cm="1">
        <f t="array" aca="1" ref="BJ44" ca="1">SUM(IF(TandE[[Start Week]:[Start Week]]&lt;=BJ33,IF(TandE[[End Week]:[End Week]]&gt;=BJ33,(TandE[[Role 11]:[Role 11]]/(TandE[[End Week]:[End Week]]-(TandE[[Start Week]:[Start Week]]-1)))),0))</f>
        <v>0</v>
      </c>
    </row>
    <row r="45" spans="2:62">
      <c r="B45" s="590" t="s">
        <v>481</v>
      </c>
      <c r="C45" s="589" t="str">
        <f ca="1">INDEX(RolesandSkills[Role + Practice],MATCH(Table2117[[#This Row],[Role '#]],RolesandSkills[Role '#],0),1)</f>
        <v>-</v>
      </c>
      <c r="D45" s="589" t="str">
        <f ca="1">INDEX(RolesandSkills[Resource Location],MATCH(Table2117[[#This Row],[Role '#]],RolesandSkills[Role '#],0),1)</f>
        <v/>
      </c>
      <c r="E45" s="589" t="str">
        <f ca="1">INDEX(RolesandSkills[Practice],MATCH(Table2117[[#This Row],[Role '#]],RolesandSkills[Role '#],0),1)</f>
        <v/>
      </c>
      <c r="F45" s="589" t="str">
        <f ca="1">INDEX(RolesandSkills[Skill '#1],MATCH(Table2117[[#This Row],[Role '#]],RolesandSkills[Role '#],0),1)</f>
        <v/>
      </c>
      <c r="G45" s="589" t="str">
        <f ca="1">INDEX(RolesandSkills[Skill '#2],MATCH(Table2117[[#This Row],[Role '#]],RolesandSkills[Role '#],0),1)</f>
        <v/>
      </c>
      <c r="H45" s="589" t="str">
        <f ca="1">INDEX(RolesandSkills[Skill '#3],MATCH(Table2117[[#This Row],[Role '#]],RolesandSkills[Role '#],0),1)</f>
        <v/>
      </c>
      <c r="I45" s="768">
        <f t="shared" ca="1" si="10"/>
        <v>0</v>
      </c>
      <c r="J45" s="589">
        <f ca="1">SUM(Table2117[[#This Row],[1]:[52]])</f>
        <v>0</v>
      </c>
      <c r="K45" s="845" cm="1">
        <f t="array" aca="1" ref="K45" ca="1">SUM(IF(TandE[Start Week]&lt;=K33,IF(TandE[End Week]&gt;=K33,(TandE[Role 12]/(TandE[End Week]-(TandE[Start Week]-1)))),0))</f>
        <v>0</v>
      </c>
      <c r="L45" s="845" cm="1">
        <f t="array" aca="1" ref="L45" ca="1">SUM(IF(TandE[[Start Week]:[Start Week]]&lt;=L33,IF(TandE[[End Week]:[End Week]]&gt;=L33,(TandE[[Role 12]:[Role 12]]/(TandE[[End Week]:[End Week]]-(TandE[[Start Week]:[Start Week]]-1)))),0))</f>
        <v>0</v>
      </c>
      <c r="M45" s="845" cm="1">
        <f t="array" aca="1" ref="M45" ca="1">SUM(IF(TandE[[Start Week]:[Start Week]]&lt;=M33,IF(TandE[[End Week]:[End Week]]&gt;=M33,(TandE[[Role 12]:[Role 12]]/(TandE[[End Week]:[End Week]]-(TandE[[Start Week]:[Start Week]]-1)))),0))</f>
        <v>0</v>
      </c>
      <c r="N45" s="845" cm="1">
        <f t="array" aca="1" ref="N45" ca="1">SUM(IF(TandE[[Start Week]:[Start Week]]&lt;=N33,IF(TandE[[End Week]:[End Week]]&gt;=N33,(TandE[[Role 12]:[Role 12]]/(TandE[[End Week]:[End Week]]-(TandE[[Start Week]:[Start Week]]-1)))),0))</f>
        <v>0</v>
      </c>
      <c r="O45" s="845" cm="1">
        <f t="array" aca="1" ref="O45" ca="1">SUM(IF(TandE[[Start Week]:[Start Week]]&lt;=O33,IF(TandE[[End Week]:[End Week]]&gt;=O33,(TandE[[Role 12]:[Role 12]]/(TandE[[End Week]:[End Week]]-(TandE[[Start Week]:[Start Week]]-1)))),0))</f>
        <v>0</v>
      </c>
      <c r="P45" s="845" cm="1">
        <f t="array" aca="1" ref="P45" ca="1">SUM(IF(TandE[[Start Week]:[Start Week]]&lt;=P33,IF(TandE[[End Week]:[End Week]]&gt;=P33,(TandE[[Role 12]:[Role 12]]/(TandE[[End Week]:[End Week]]-(TandE[[Start Week]:[Start Week]]-1)))),0))</f>
        <v>0</v>
      </c>
      <c r="Q45" s="845" cm="1">
        <f t="array" aca="1" ref="Q45" ca="1">SUM(IF(TandE[[Start Week]:[Start Week]]&lt;=Q33,IF(TandE[[End Week]:[End Week]]&gt;=Q33,(TandE[[Role 12]:[Role 12]]/(TandE[[End Week]:[End Week]]-(TandE[[Start Week]:[Start Week]]-1)))),0))</f>
        <v>0</v>
      </c>
      <c r="R45" s="845" cm="1">
        <f t="array" aca="1" ref="R45" ca="1">SUM(IF(TandE[[Start Week]:[Start Week]]&lt;=R33,IF(TandE[[End Week]:[End Week]]&gt;=R33,(TandE[[Role 12]:[Role 12]]/(TandE[[End Week]:[End Week]]-(TandE[[Start Week]:[Start Week]]-1)))),0))</f>
        <v>0</v>
      </c>
      <c r="S45" s="845" cm="1">
        <f t="array" aca="1" ref="S45" ca="1">SUM(IF(TandE[[Start Week]:[Start Week]]&lt;=S33,IF(TandE[[End Week]:[End Week]]&gt;=S33,(TandE[[Role 12]:[Role 12]]/(TandE[[End Week]:[End Week]]-(TandE[[Start Week]:[Start Week]]-1)))),0))</f>
        <v>0</v>
      </c>
      <c r="T45" s="845" cm="1">
        <f t="array" aca="1" ref="T45" ca="1">SUM(IF(TandE[[Start Week]:[Start Week]]&lt;=T33,IF(TandE[[End Week]:[End Week]]&gt;=T33,(TandE[[Role 12]:[Role 12]]/(TandE[[End Week]:[End Week]]-(TandE[[Start Week]:[Start Week]]-1)))),0))</f>
        <v>0</v>
      </c>
      <c r="U45" s="845" cm="1">
        <f t="array" aca="1" ref="U45" ca="1">SUM(IF(TandE[[Start Week]:[Start Week]]&lt;=U33,IF(TandE[[End Week]:[End Week]]&gt;=U33,(TandE[[Role 12]:[Role 12]]/(TandE[[End Week]:[End Week]]-(TandE[[Start Week]:[Start Week]]-1)))),0))</f>
        <v>0</v>
      </c>
      <c r="V45" s="845" cm="1">
        <f t="array" aca="1" ref="V45" ca="1">SUM(IF(TandE[[Start Week]:[Start Week]]&lt;=V33,IF(TandE[[End Week]:[End Week]]&gt;=V33,(TandE[[Role 12]:[Role 12]]/(TandE[[End Week]:[End Week]]-(TandE[[Start Week]:[Start Week]]-1)))),0))</f>
        <v>0</v>
      </c>
      <c r="W45" s="845" cm="1">
        <f t="array" aca="1" ref="W45" ca="1">SUM(IF(TandE[[Start Week]:[Start Week]]&lt;=W33,IF(TandE[[End Week]:[End Week]]&gt;=W33,(TandE[[Role 12]:[Role 12]]/(TandE[[End Week]:[End Week]]-(TandE[[Start Week]:[Start Week]]-1)))),0))</f>
        <v>0</v>
      </c>
      <c r="X45" s="845" cm="1">
        <f t="array" aca="1" ref="X45" ca="1">SUM(IF(TandE[[Start Week]:[Start Week]]&lt;=X33,IF(TandE[[End Week]:[End Week]]&gt;=X33,(TandE[[Role 12]:[Role 12]]/(TandE[[End Week]:[End Week]]-(TandE[[Start Week]:[Start Week]]-1)))),0))</f>
        <v>0</v>
      </c>
      <c r="Y45" s="845" cm="1">
        <f t="array" aca="1" ref="Y45" ca="1">SUM(IF(TandE[[Start Week]:[Start Week]]&lt;=Y33,IF(TandE[[End Week]:[End Week]]&gt;=Y33,(TandE[[Role 12]:[Role 12]]/(TandE[[End Week]:[End Week]]-(TandE[[Start Week]:[Start Week]]-1)))),0))</f>
        <v>0</v>
      </c>
      <c r="Z45" s="845" cm="1">
        <f t="array" aca="1" ref="Z45" ca="1">SUM(IF(TandE[[Start Week]:[Start Week]]&lt;=Z33,IF(TandE[[End Week]:[End Week]]&gt;=Z33,(TandE[[Role 12]:[Role 12]]/(TandE[[End Week]:[End Week]]-(TandE[[Start Week]:[Start Week]]-1)))),0))</f>
        <v>0</v>
      </c>
      <c r="AA45" s="845" cm="1">
        <f t="array" aca="1" ref="AA45" ca="1">SUM(IF(TandE[[Start Week]:[Start Week]]&lt;=AA33,IF(TandE[[End Week]:[End Week]]&gt;=AA33,(TandE[[Role 12]:[Role 12]]/(TandE[[End Week]:[End Week]]-(TandE[[Start Week]:[Start Week]]-1)))),0))</f>
        <v>0</v>
      </c>
      <c r="AB45" s="845" cm="1">
        <f t="array" aca="1" ref="AB45" ca="1">SUM(IF(TandE[[Start Week]:[Start Week]]&lt;=AB33,IF(TandE[[End Week]:[End Week]]&gt;=AB33,(TandE[[Role 12]:[Role 12]]/(TandE[[End Week]:[End Week]]-(TandE[[Start Week]:[Start Week]]-1)))),0))</f>
        <v>0</v>
      </c>
      <c r="AC45" s="845" cm="1">
        <f t="array" aca="1" ref="AC45" ca="1">SUM(IF(TandE[[Start Week]:[Start Week]]&lt;=AC33,IF(TandE[[End Week]:[End Week]]&gt;=AC33,(TandE[[Role 12]:[Role 12]]/(TandE[[End Week]:[End Week]]-(TandE[[Start Week]:[Start Week]]-1)))),0))</f>
        <v>0</v>
      </c>
      <c r="AD45" s="845" cm="1">
        <f t="array" aca="1" ref="AD45" ca="1">SUM(IF(TandE[[Start Week]:[Start Week]]&lt;=AD33,IF(TandE[[End Week]:[End Week]]&gt;=AD33,(TandE[[Role 12]:[Role 12]]/(TandE[[End Week]:[End Week]]-(TandE[[Start Week]:[Start Week]]-1)))),0))</f>
        <v>0</v>
      </c>
      <c r="AE45" s="845" cm="1">
        <f t="array" aca="1" ref="AE45" ca="1">SUM(IF(TandE[[Start Week]:[Start Week]]&lt;=AE33,IF(TandE[[End Week]:[End Week]]&gt;=AE33,(TandE[[Role 12]:[Role 12]]/(TandE[[End Week]:[End Week]]-(TandE[[Start Week]:[Start Week]]-1)))),0))</f>
        <v>0</v>
      </c>
      <c r="AF45" s="845" cm="1">
        <f t="array" aca="1" ref="AF45" ca="1">SUM(IF(TandE[[Start Week]:[Start Week]]&lt;=AF33,IF(TandE[[End Week]:[End Week]]&gt;=AF33,(TandE[[Role 12]:[Role 12]]/(TandE[[End Week]:[End Week]]-(TandE[[Start Week]:[Start Week]]-1)))),0))</f>
        <v>0</v>
      </c>
      <c r="AG45" s="845" cm="1">
        <f t="array" aca="1" ref="AG45" ca="1">SUM(IF(TandE[[Start Week]:[Start Week]]&lt;=AG33,IF(TandE[[End Week]:[End Week]]&gt;=AG33,(TandE[[Role 12]:[Role 12]]/(TandE[[End Week]:[End Week]]-(TandE[[Start Week]:[Start Week]]-1)))),0))</f>
        <v>0</v>
      </c>
      <c r="AH45" s="845" cm="1">
        <f t="array" aca="1" ref="AH45" ca="1">SUM(IF(TandE[[Start Week]:[Start Week]]&lt;=AH33,IF(TandE[[End Week]:[End Week]]&gt;=AH33,(TandE[[Role 12]:[Role 12]]/(TandE[[End Week]:[End Week]]-(TandE[[Start Week]:[Start Week]]-1)))),0))</f>
        <v>0</v>
      </c>
      <c r="AI45" s="845" cm="1">
        <f t="array" aca="1" ref="AI45" ca="1">SUM(IF(TandE[[Start Week]:[Start Week]]&lt;=AI33,IF(TandE[[End Week]:[End Week]]&gt;=AI33,(TandE[[Role 12]:[Role 12]]/(TandE[[End Week]:[End Week]]-(TandE[[Start Week]:[Start Week]]-1)))),0))</f>
        <v>0</v>
      </c>
      <c r="AJ45" s="845" cm="1">
        <f t="array" aca="1" ref="AJ45" ca="1">SUM(IF(TandE[[Start Week]:[Start Week]]&lt;=AJ33,IF(TandE[[End Week]:[End Week]]&gt;=AJ33,(TandE[[Role 12]:[Role 12]]/(TandE[[End Week]:[End Week]]-(TandE[[Start Week]:[Start Week]]-1)))),0))</f>
        <v>0</v>
      </c>
      <c r="AK45" s="845" cm="1">
        <f t="array" aca="1" ref="AK45" ca="1">SUM(IF(TandE[[Start Week]:[Start Week]]&lt;=AK33,IF(TandE[[End Week]:[End Week]]&gt;=AK33,(TandE[[Role 12]:[Role 12]]/(TandE[[End Week]:[End Week]]-(TandE[[Start Week]:[Start Week]]-1)))),0))</f>
        <v>0</v>
      </c>
      <c r="AL45" s="845" cm="1">
        <f t="array" aca="1" ref="AL45" ca="1">SUM(IF(TandE[[Start Week]:[Start Week]]&lt;=AL33,IF(TandE[[End Week]:[End Week]]&gt;=AL33,(TandE[[Role 12]:[Role 12]]/(TandE[[End Week]:[End Week]]-(TandE[[Start Week]:[Start Week]]-1)))),0))</f>
        <v>0</v>
      </c>
      <c r="AM45" s="845" cm="1">
        <f t="array" aca="1" ref="AM45" ca="1">SUM(IF(TandE[[Start Week]:[Start Week]]&lt;=AM33,IF(TandE[[End Week]:[End Week]]&gt;=AM33,(TandE[[Role 12]:[Role 12]]/(TandE[[End Week]:[End Week]]-(TandE[[Start Week]:[Start Week]]-1)))),0))</f>
        <v>0</v>
      </c>
      <c r="AN45" s="845" cm="1">
        <f t="array" aca="1" ref="AN45" ca="1">SUM(IF(TandE[[Start Week]:[Start Week]]&lt;=AN33,IF(TandE[[End Week]:[End Week]]&gt;=AN33,(TandE[[Role 12]:[Role 12]]/(TandE[[End Week]:[End Week]]-(TandE[[Start Week]:[Start Week]]-1)))),0))</f>
        <v>0</v>
      </c>
      <c r="AO45" s="845" cm="1">
        <f t="array" aca="1" ref="AO45" ca="1">SUM(IF(TandE[[Start Week]:[Start Week]]&lt;=AO33,IF(TandE[[End Week]:[End Week]]&gt;=AO33,(TandE[[Role 12]:[Role 12]]/(TandE[[End Week]:[End Week]]-(TandE[[Start Week]:[Start Week]]-1)))),0))</f>
        <v>0</v>
      </c>
      <c r="AP45" s="845" cm="1">
        <f t="array" aca="1" ref="AP45" ca="1">SUM(IF(TandE[[Start Week]:[Start Week]]&lt;=AP33,IF(TandE[[End Week]:[End Week]]&gt;=AP33,(TandE[[Role 12]:[Role 12]]/(TandE[[End Week]:[End Week]]-(TandE[[Start Week]:[Start Week]]-1)))),0))</f>
        <v>0</v>
      </c>
      <c r="AQ45" s="845" cm="1">
        <f t="array" aca="1" ref="AQ45" ca="1">SUM(IF(TandE[[Start Week]:[Start Week]]&lt;=AQ33,IF(TandE[[End Week]:[End Week]]&gt;=AQ33,(TandE[[Role 12]:[Role 12]]/(TandE[[End Week]:[End Week]]-(TandE[[Start Week]:[Start Week]]-1)))),0))</f>
        <v>0</v>
      </c>
      <c r="AR45" s="845" cm="1">
        <f t="array" aca="1" ref="AR45" ca="1">SUM(IF(TandE[[Start Week]:[Start Week]]&lt;=AR33,IF(TandE[[End Week]:[End Week]]&gt;=AR33,(TandE[[Role 12]:[Role 12]]/(TandE[[End Week]:[End Week]]-(TandE[[Start Week]:[Start Week]]-1)))),0))</f>
        <v>0</v>
      </c>
      <c r="AS45" s="845" cm="1">
        <f t="array" aca="1" ref="AS45" ca="1">SUM(IF(TandE[[Start Week]:[Start Week]]&lt;=AS33,IF(TandE[[End Week]:[End Week]]&gt;=AS33,(TandE[[Role 12]:[Role 12]]/(TandE[[End Week]:[End Week]]-(TandE[[Start Week]:[Start Week]]-1)))),0))</f>
        <v>0</v>
      </c>
      <c r="AT45" s="845" cm="1">
        <f t="array" aca="1" ref="AT45" ca="1">SUM(IF(TandE[[Start Week]:[Start Week]]&lt;=AT33,IF(TandE[[End Week]:[End Week]]&gt;=AT33,(TandE[[Role 12]:[Role 12]]/(TandE[[End Week]:[End Week]]-(TandE[[Start Week]:[Start Week]]-1)))),0))</f>
        <v>0</v>
      </c>
      <c r="AU45" s="845" cm="1">
        <f t="array" aca="1" ref="AU45" ca="1">SUM(IF(TandE[[Start Week]:[Start Week]]&lt;=AU33,IF(TandE[[End Week]:[End Week]]&gt;=AU33,(TandE[[Role 12]:[Role 12]]/(TandE[[End Week]:[End Week]]-(TandE[[Start Week]:[Start Week]]-1)))),0))</f>
        <v>0</v>
      </c>
      <c r="AV45" s="845" cm="1">
        <f t="array" aca="1" ref="AV45" ca="1">SUM(IF(TandE[[Start Week]:[Start Week]]&lt;=AV33,IF(TandE[[End Week]:[End Week]]&gt;=AV33,(TandE[[Role 12]:[Role 12]]/(TandE[[End Week]:[End Week]]-(TandE[[Start Week]:[Start Week]]-1)))),0))</f>
        <v>0</v>
      </c>
      <c r="AW45" s="845" cm="1">
        <f t="array" aca="1" ref="AW45" ca="1">SUM(IF(TandE[[Start Week]:[Start Week]]&lt;=AW33,IF(TandE[[End Week]:[End Week]]&gt;=AW33,(TandE[[Role 12]:[Role 12]]/(TandE[[End Week]:[End Week]]-(TandE[[Start Week]:[Start Week]]-1)))),0))</f>
        <v>0</v>
      </c>
      <c r="AX45" s="845" cm="1">
        <f t="array" aca="1" ref="AX45" ca="1">SUM(IF(TandE[[Start Week]:[Start Week]]&lt;=AX33,IF(TandE[[End Week]:[End Week]]&gt;=AX33,(TandE[[Role 12]:[Role 12]]/(TandE[[End Week]:[End Week]]-(TandE[[Start Week]:[Start Week]]-1)))),0))</f>
        <v>0</v>
      </c>
      <c r="AY45" s="845" cm="1">
        <f t="array" aca="1" ref="AY45" ca="1">SUM(IF(TandE[[Start Week]:[Start Week]]&lt;=AY33,IF(TandE[[End Week]:[End Week]]&gt;=AY33,(TandE[[Role 12]:[Role 12]]/(TandE[[End Week]:[End Week]]-(TandE[[Start Week]:[Start Week]]-1)))),0))</f>
        <v>0</v>
      </c>
      <c r="AZ45" s="845" cm="1">
        <f t="array" aca="1" ref="AZ45" ca="1">SUM(IF(TandE[[Start Week]:[Start Week]]&lt;=AZ33,IF(TandE[[End Week]:[End Week]]&gt;=AZ33,(TandE[[Role 12]:[Role 12]]/(TandE[[End Week]:[End Week]]-(TandE[[Start Week]:[Start Week]]-1)))),0))</f>
        <v>0</v>
      </c>
      <c r="BA45" s="845" cm="1">
        <f t="array" aca="1" ref="BA45" ca="1">SUM(IF(TandE[[Start Week]:[Start Week]]&lt;=BA33,IF(TandE[[End Week]:[End Week]]&gt;=BA33,(TandE[[Role 12]:[Role 12]]/(TandE[[End Week]:[End Week]]-(TandE[[Start Week]:[Start Week]]-1)))),0))</f>
        <v>0</v>
      </c>
      <c r="BB45" s="845" cm="1">
        <f t="array" aca="1" ref="BB45" ca="1">SUM(IF(TandE[[Start Week]:[Start Week]]&lt;=BB33,IF(TandE[[End Week]:[End Week]]&gt;=BB33,(TandE[[Role 12]:[Role 12]]/(TandE[[End Week]:[End Week]]-(TandE[[Start Week]:[Start Week]]-1)))),0))</f>
        <v>0</v>
      </c>
      <c r="BC45" s="845" cm="1">
        <f t="array" aca="1" ref="BC45" ca="1">SUM(IF(TandE[[Start Week]:[Start Week]]&lt;=BC33,IF(TandE[[End Week]:[End Week]]&gt;=BC33,(TandE[[Role 12]:[Role 12]]/(TandE[[End Week]:[End Week]]-(TandE[[Start Week]:[Start Week]]-1)))),0))</f>
        <v>0</v>
      </c>
      <c r="BD45" s="845" cm="1">
        <f t="array" aca="1" ref="BD45" ca="1">SUM(IF(TandE[[Start Week]:[Start Week]]&lt;=BD33,IF(TandE[[End Week]:[End Week]]&gt;=BD33,(TandE[[Role 12]:[Role 12]]/(TandE[[End Week]:[End Week]]-(TandE[[Start Week]:[Start Week]]-1)))),0))</f>
        <v>0</v>
      </c>
      <c r="BE45" s="845" cm="1">
        <f t="array" aca="1" ref="BE45" ca="1">SUM(IF(TandE[[Start Week]:[Start Week]]&lt;=BE33,IF(TandE[[End Week]:[End Week]]&gt;=BE33,(TandE[[Role 12]:[Role 12]]/(TandE[[End Week]:[End Week]]-(TandE[[Start Week]:[Start Week]]-1)))),0))</f>
        <v>0</v>
      </c>
      <c r="BF45" s="845" cm="1">
        <f t="array" aca="1" ref="BF45" ca="1">SUM(IF(TandE[[Start Week]:[Start Week]]&lt;=BF33,IF(TandE[[End Week]:[End Week]]&gt;=BF33,(TandE[[Role 12]:[Role 12]]/(TandE[[End Week]:[End Week]]-(TandE[[Start Week]:[Start Week]]-1)))),0))</f>
        <v>0</v>
      </c>
      <c r="BG45" s="845" cm="1">
        <f t="array" aca="1" ref="BG45" ca="1">SUM(IF(TandE[[Start Week]:[Start Week]]&lt;=BG33,IF(TandE[[End Week]:[End Week]]&gt;=BG33,(TandE[[Role 12]:[Role 12]]/(TandE[[End Week]:[End Week]]-(TandE[[Start Week]:[Start Week]]-1)))),0))</f>
        <v>0</v>
      </c>
      <c r="BH45" s="845" cm="1">
        <f t="array" aca="1" ref="BH45" ca="1">SUM(IF(TandE[[Start Week]:[Start Week]]&lt;=BH33,IF(TandE[[End Week]:[End Week]]&gt;=BH33,(TandE[[Role 12]:[Role 12]]/(TandE[[End Week]:[End Week]]-(TandE[[Start Week]:[Start Week]]-1)))),0))</f>
        <v>0</v>
      </c>
      <c r="BI45" s="845" cm="1">
        <f t="array" aca="1" ref="BI45" ca="1">SUM(IF(TandE[[Start Week]:[Start Week]]&lt;=BI33,IF(TandE[[End Week]:[End Week]]&gt;=BI33,(TandE[[Role 12]:[Role 12]]/(TandE[[End Week]:[End Week]]-(TandE[[Start Week]:[Start Week]]-1)))),0))</f>
        <v>0</v>
      </c>
      <c r="BJ45" s="845" cm="1">
        <f t="array" aca="1" ref="BJ45" ca="1">SUM(IF(TandE[[Start Week]:[Start Week]]&lt;=BJ33,IF(TandE[[End Week]:[End Week]]&gt;=BJ33,(TandE[[Role 12]:[Role 12]]/(TandE[[End Week]:[End Week]]-(TandE[[Start Week]:[Start Week]]-1)))),0))</f>
        <v>0</v>
      </c>
    </row>
    <row r="46" spans="2:62">
      <c r="B46" s="588" t="s">
        <v>482</v>
      </c>
      <c r="C46" s="589" t="str">
        <f ca="1">INDEX(RolesandSkills[Role + Practice],MATCH(Table2117[[#This Row],[Role '#]],RolesandSkills[Role '#],0),1)</f>
        <v>-</v>
      </c>
      <c r="D46" s="589" t="str">
        <f ca="1">INDEX(RolesandSkills[Resource Location],MATCH(Table2117[[#This Row],[Role '#]],RolesandSkills[Role '#],0),1)</f>
        <v/>
      </c>
      <c r="E46" s="589" t="str">
        <f ca="1">INDEX(RolesandSkills[Practice],MATCH(Table2117[[#This Row],[Role '#]],RolesandSkills[Role '#],0),1)</f>
        <v/>
      </c>
      <c r="F46" s="589" t="str">
        <f ca="1">INDEX(RolesandSkills[Skill '#1],MATCH(Table2117[[#This Row],[Role '#]],RolesandSkills[Role '#],0),1)</f>
        <v/>
      </c>
      <c r="G46" s="589" t="str">
        <f ca="1">INDEX(RolesandSkills[Skill '#2],MATCH(Table2117[[#This Row],[Role '#]],RolesandSkills[Role '#],0),1)</f>
        <v/>
      </c>
      <c r="H46" s="589" t="str">
        <f ca="1">INDEX(RolesandSkills[Skill '#3],MATCH(Table2117[[#This Row],[Role '#]],RolesandSkills[Role '#],0),1)</f>
        <v/>
      </c>
      <c r="I46" s="768">
        <f t="shared" ca="1" si="10"/>
        <v>0</v>
      </c>
      <c r="J46" s="589">
        <f ca="1">SUM(Table2117[[#This Row],[1]:[52]])</f>
        <v>0</v>
      </c>
      <c r="K46" s="845" cm="1">
        <f t="array" aca="1" ref="K46" ca="1">SUM(IF(TandE[Start Week]&lt;=K33,IF(TandE[End Week]&gt;=K33,(TandE[Role 13]/(TandE[End Week]-(TandE[Start Week]-1)))),0))</f>
        <v>0</v>
      </c>
      <c r="L46" s="845" cm="1">
        <f t="array" aca="1" ref="L46" ca="1">SUM(IF(TandE[[Start Week]:[Start Week]]&lt;=L33,IF(TandE[[End Week]:[End Week]]&gt;=L33,(TandE[[Role 13]:[Role 13]]/(TandE[[End Week]:[End Week]]-(TandE[[Start Week]:[Start Week]]-1)))),0))</f>
        <v>0</v>
      </c>
      <c r="M46" s="845" cm="1">
        <f t="array" aca="1" ref="M46" ca="1">SUM(IF(TandE[[Start Week]:[Start Week]]&lt;=M33,IF(TandE[[End Week]:[End Week]]&gt;=M33,(TandE[[Role 13]:[Role 13]]/(TandE[[End Week]:[End Week]]-(TandE[[Start Week]:[Start Week]]-1)))),0))</f>
        <v>0</v>
      </c>
      <c r="N46" s="845" cm="1">
        <f t="array" aca="1" ref="N46" ca="1">SUM(IF(TandE[[Start Week]:[Start Week]]&lt;=N33,IF(TandE[[End Week]:[End Week]]&gt;=N33,(TandE[[Role 13]:[Role 13]]/(TandE[[End Week]:[End Week]]-(TandE[[Start Week]:[Start Week]]-1)))),0))</f>
        <v>0</v>
      </c>
      <c r="O46" s="845" cm="1">
        <f t="array" aca="1" ref="O46" ca="1">SUM(IF(TandE[[Start Week]:[Start Week]]&lt;=O33,IF(TandE[[End Week]:[End Week]]&gt;=O33,(TandE[[Role 13]:[Role 13]]/(TandE[[End Week]:[End Week]]-(TandE[[Start Week]:[Start Week]]-1)))),0))</f>
        <v>0</v>
      </c>
      <c r="P46" s="845" cm="1">
        <f t="array" aca="1" ref="P46" ca="1">SUM(IF(TandE[[Start Week]:[Start Week]]&lt;=P33,IF(TandE[[End Week]:[End Week]]&gt;=P33,(TandE[[Role 13]:[Role 13]]/(TandE[[End Week]:[End Week]]-(TandE[[Start Week]:[Start Week]]-1)))),0))</f>
        <v>0</v>
      </c>
      <c r="Q46" s="845" cm="1">
        <f t="array" aca="1" ref="Q46" ca="1">SUM(IF(TandE[[Start Week]:[Start Week]]&lt;=Q33,IF(TandE[[End Week]:[End Week]]&gt;=Q33,(TandE[[Role 13]:[Role 13]]/(TandE[[End Week]:[End Week]]-(TandE[[Start Week]:[Start Week]]-1)))),0))</f>
        <v>0</v>
      </c>
      <c r="R46" s="845" cm="1">
        <f t="array" aca="1" ref="R46" ca="1">SUM(IF(TandE[[Start Week]:[Start Week]]&lt;=R33,IF(TandE[[End Week]:[End Week]]&gt;=R33,(TandE[[Role 13]:[Role 13]]/(TandE[[End Week]:[End Week]]-(TandE[[Start Week]:[Start Week]]-1)))),0))</f>
        <v>0</v>
      </c>
      <c r="S46" s="845" cm="1">
        <f t="array" aca="1" ref="S46" ca="1">SUM(IF(TandE[[Start Week]:[Start Week]]&lt;=S33,IF(TandE[[End Week]:[End Week]]&gt;=S33,(TandE[[Role 13]:[Role 13]]/(TandE[[End Week]:[End Week]]-(TandE[[Start Week]:[Start Week]]-1)))),0))</f>
        <v>0</v>
      </c>
      <c r="T46" s="845" cm="1">
        <f t="array" aca="1" ref="T46" ca="1">SUM(IF(TandE[[Start Week]:[Start Week]]&lt;=T33,IF(TandE[[End Week]:[End Week]]&gt;=T33,(TandE[[Role 13]:[Role 13]]/(TandE[[End Week]:[End Week]]-(TandE[[Start Week]:[Start Week]]-1)))),0))</f>
        <v>0</v>
      </c>
      <c r="U46" s="845" cm="1">
        <f t="array" aca="1" ref="U46" ca="1">SUM(IF(TandE[[Start Week]:[Start Week]]&lt;=U33,IF(TandE[[End Week]:[End Week]]&gt;=U33,(TandE[[Role 13]:[Role 13]]/(TandE[[End Week]:[End Week]]-(TandE[[Start Week]:[Start Week]]-1)))),0))</f>
        <v>0</v>
      </c>
      <c r="V46" s="845" cm="1">
        <f t="array" aca="1" ref="V46" ca="1">SUM(IF(TandE[[Start Week]:[Start Week]]&lt;=V33,IF(TandE[[End Week]:[End Week]]&gt;=V33,(TandE[[Role 13]:[Role 13]]/(TandE[[End Week]:[End Week]]-(TandE[[Start Week]:[Start Week]]-1)))),0))</f>
        <v>0</v>
      </c>
      <c r="W46" s="845" cm="1">
        <f t="array" aca="1" ref="W46" ca="1">SUM(IF(TandE[[Start Week]:[Start Week]]&lt;=W33,IF(TandE[[End Week]:[End Week]]&gt;=W33,(TandE[[Role 13]:[Role 13]]/(TandE[[End Week]:[End Week]]-(TandE[[Start Week]:[Start Week]]-1)))),0))</f>
        <v>0</v>
      </c>
      <c r="X46" s="845" cm="1">
        <f t="array" aca="1" ref="X46" ca="1">SUM(IF(TandE[[Start Week]:[Start Week]]&lt;=X33,IF(TandE[[End Week]:[End Week]]&gt;=X33,(TandE[[Role 13]:[Role 13]]/(TandE[[End Week]:[End Week]]-(TandE[[Start Week]:[Start Week]]-1)))),0))</f>
        <v>0</v>
      </c>
      <c r="Y46" s="845" cm="1">
        <f t="array" aca="1" ref="Y46" ca="1">SUM(IF(TandE[[Start Week]:[Start Week]]&lt;=Y33,IF(TandE[[End Week]:[End Week]]&gt;=Y33,(TandE[[Role 13]:[Role 13]]/(TandE[[End Week]:[End Week]]-(TandE[[Start Week]:[Start Week]]-1)))),0))</f>
        <v>0</v>
      </c>
      <c r="Z46" s="845" cm="1">
        <f t="array" aca="1" ref="Z46" ca="1">SUM(IF(TandE[[Start Week]:[Start Week]]&lt;=Z33,IF(TandE[[End Week]:[End Week]]&gt;=Z33,(TandE[[Role 13]:[Role 13]]/(TandE[[End Week]:[End Week]]-(TandE[[Start Week]:[Start Week]]-1)))),0))</f>
        <v>0</v>
      </c>
      <c r="AA46" s="845" cm="1">
        <f t="array" aca="1" ref="AA46" ca="1">SUM(IF(TandE[[Start Week]:[Start Week]]&lt;=AA33,IF(TandE[[End Week]:[End Week]]&gt;=AA33,(TandE[[Role 13]:[Role 13]]/(TandE[[End Week]:[End Week]]-(TandE[[Start Week]:[Start Week]]-1)))),0))</f>
        <v>0</v>
      </c>
      <c r="AB46" s="845" cm="1">
        <f t="array" aca="1" ref="AB46" ca="1">SUM(IF(TandE[[Start Week]:[Start Week]]&lt;=AB33,IF(TandE[[End Week]:[End Week]]&gt;=AB33,(TandE[[Role 13]:[Role 13]]/(TandE[[End Week]:[End Week]]-(TandE[[Start Week]:[Start Week]]-1)))),0))</f>
        <v>0</v>
      </c>
      <c r="AC46" s="845" cm="1">
        <f t="array" aca="1" ref="AC46" ca="1">SUM(IF(TandE[[Start Week]:[Start Week]]&lt;=AC33,IF(TandE[[End Week]:[End Week]]&gt;=AC33,(TandE[[Role 13]:[Role 13]]/(TandE[[End Week]:[End Week]]-(TandE[[Start Week]:[Start Week]]-1)))),0))</f>
        <v>0</v>
      </c>
      <c r="AD46" s="845" cm="1">
        <f t="array" aca="1" ref="AD46" ca="1">SUM(IF(TandE[[Start Week]:[Start Week]]&lt;=AD33,IF(TandE[[End Week]:[End Week]]&gt;=AD33,(TandE[[Role 13]:[Role 13]]/(TandE[[End Week]:[End Week]]-(TandE[[Start Week]:[Start Week]]-1)))),0))</f>
        <v>0</v>
      </c>
      <c r="AE46" s="845" cm="1">
        <f t="array" aca="1" ref="AE46" ca="1">SUM(IF(TandE[[Start Week]:[Start Week]]&lt;=AE33,IF(TandE[[End Week]:[End Week]]&gt;=AE33,(TandE[[Role 13]:[Role 13]]/(TandE[[End Week]:[End Week]]-(TandE[[Start Week]:[Start Week]]-1)))),0))</f>
        <v>0</v>
      </c>
      <c r="AF46" s="845" cm="1">
        <f t="array" aca="1" ref="AF46" ca="1">SUM(IF(TandE[[Start Week]:[Start Week]]&lt;=AF33,IF(TandE[[End Week]:[End Week]]&gt;=AF33,(TandE[[Role 13]:[Role 13]]/(TandE[[End Week]:[End Week]]-(TandE[[Start Week]:[Start Week]]-1)))),0))</f>
        <v>0</v>
      </c>
      <c r="AG46" s="845" cm="1">
        <f t="array" aca="1" ref="AG46" ca="1">SUM(IF(TandE[[Start Week]:[Start Week]]&lt;=AG33,IF(TandE[[End Week]:[End Week]]&gt;=AG33,(TandE[[Role 13]:[Role 13]]/(TandE[[End Week]:[End Week]]-(TandE[[Start Week]:[Start Week]]-1)))),0))</f>
        <v>0</v>
      </c>
      <c r="AH46" s="845" cm="1">
        <f t="array" aca="1" ref="AH46" ca="1">SUM(IF(TandE[[Start Week]:[Start Week]]&lt;=AH33,IF(TandE[[End Week]:[End Week]]&gt;=AH33,(TandE[[Role 13]:[Role 13]]/(TandE[[End Week]:[End Week]]-(TandE[[Start Week]:[Start Week]]-1)))),0))</f>
        <v>0</v>
      </c>
      <c r="AI46" s="845" cm="1">
        <f t="array" aca="1" ref="AI46" ca="1">SUM(IF(TandE[[Start Week]:[Start Week]]&lt;=AI33,IF(TandE[[End Week]:[End Week]]&gt;=AI33,(TandE[[Role 13]:[Role 13]]/(TandE[[End Week]:[End Week]]-(TandE[[Start Week]:[Start Week]]-1)))),0))</f>
        <v>0</v>
      </c>
      <c r="AJ46" s="845" cm="1">
        <f t="array" aca="1" ref="AJ46" ca="1">SUM(IF(TandE[[Start Week]:[Start Week]]&lt;=AJ33,IF(TandE[[End Week]:[End Week]]&gt;=AJ33,(TandE[[Role 13]:[Role 13]]/(TandE[[End Week]:[End Week]]-(TandE[[Start Week]:[Start Week]]-1)))),0))</f>
        <v>0</v>
      </c>
      <c r="AK46" s="845" cm="1">
        <f t="array" aca="1" ref="AK46" ca="1">SUM(IF(TandE[[Start Week]:[Start Week]]&lt;=AK33,IF(TandE[[End Week]:[End Week]]&gt;=AK33,(TandE[[Role 13]:[Role 13]]/(TandE[[End Week]:[End Week]]-(TandE[[Start Week]:[Start Week]]-1)))),0))</f>
        <v>0</v>
      </c>
      <c r="AL46" s="845" cm="1">
        <f t="array" aca="1" ref="AL46" ca="1">SUM(IF(TandE[[Start Week]:[Start Week]]&lt;=AL33,IF(TandE[[End Week]:[End Week]]&gt;=AL33,(TandE[[Role 13]:[Role 13]]/(TandE[[End Week]:[End Week]]-(TandE[[Start Week]:[Start Week]]-1)))),0))</f>
        <v>0</v>
      </c>
      <c r="AM46" s="845" cm="1">
        <f t="array" aca="1" ref="AM46" ca="1">SUM(IF(TandE[[Start Week]:[Start Week]]&lt;=AM33,IF(TandE[[End Week]:[End Week]]&gt;=AM33,(TandE[[Role 13]:[Role 13]]/(TandE[[End Week]:[End Week]]-(TandE[[Start Week]:[Start Week]]-1)))),0))</f>
        <v>0</v>
      </c>
      <c r="AN46" s="845" cm="1">
        <f t="array" aca="1" ref="AN46" ca="1">SUM(IF(TandE[[Start Week]:[Start Week]]&lt;=AN33,IF(TandE[[End Week]:[End Week]]&gt;=AN33,(TandE[[Role 13]:[Role 13]]/(TandE[[End Week]:[End Week]]-(TandE[[Start Week]:[Start Week]]-1)))),0))</f>
        <v>0</v>
      </c>
      <c r="AO46" s="845" cm="1">
        <f t="array" aca="1" ref="AO46" ca="1">SUM(IF(TandE[[Start Week]:[Start Week]]&lt;=AO33,IF(TandE[[End Week]:[End Week]]&gt;=AO33,(TandE[[Role 13]:[Role 13]]/(TandE[[End Week]:[End Week]]-(TandE[[Start Week]:[Start Week]]-1)))),0))</f>
        <v>0</v>
      </c>
      <c r="AP46" s="845" cm="1">
        <f t="array" aca="1" ref="AP46" ca="1">SUM(IF(TandE[[Start Week]:[Start Week]]&lt;=AP33,IF(TandE[[End Week]:[End Week]]&gt;=AP33,(TandE[[Role 13]:[Role 13]]/(TandE[[End Week]:[End Week]]-(TandE[[Start Week]:[Start Week]]-1)))),0))</f>
        <v>0</v>
      </c>
      <c r="AQ46" s="845" cm="1">
        <f t="array" aca="1" ref="AQ46" ca="1">SUM(IF(TandE[[Start Week]:[Start Week]]&lt;=AQ33,IF(TandE[[End Week]:[End Week]]&gt;=AQ33,(TandE[[Role 13]:[Role 13]]/(TandE[[End Week]:[End Week]]-(TandE[[Start Week]:[Start Week]]-1)))),0))</f>
        <v>0</v>
      </c>
      <c r="AR46" s="845" cm="1">
        <f t="array" aca="1" ref="AR46" ca="1">SUM(IF(TandE[[Start Week]:[Start Week]]&lt;=AR33,IF(TandE[[End Week]:[End Week]]&gt;=AR33,(TandE[[Role 13]:[Role 13]]/(TandE[[End Week]:[End Week]]-(TandE[[Start Week]:[Start Week]]-1)))),0))</f>
        <v>0</v>
      </c>
      <c r="AS46" s="845" cm="1">
        <f t="array" aca="1" ref="AS46" ca="1">SUM(IF(TandE[[Start Week]:[Start Week]]&lt;=AS33,IF(TandE[[End Week]:[End Week]]&gt;=AS33,(TandE[[Role 13]:[Role 13]]/(TandE[[End Week]:[End Week]]-(TandE[[Start Week]:[Start Week]]-1)))),0))</f>
        <v>0</v>
      </c>
      <c r="AT46" s="845" cm="1">
        <f t="array" aca="1" ref="AT46" ca="1">SUM(IF(TandE[[Start Week]:[Start Week]]&lt;=AT33,IF(TandE[[End Week]:[End Week]]&gt;=AT33,(TandE[[Role 13]:[Role 13]]/(TandE[[End Week]:[End Week]]-(TandE[[Start Week]:[Start Week]]-1)))),0))</f>
        <v>0</v>
      </c>
      <c r="AU46" s="845" cm="1">
        <f t="array" aca="1" ref="AU46" ca="1">SUM(IF(TandE[[Start Week]:[Start Week]]&lt;=AU33,IF(TandE[[End Week]:[End Week]]&gt;=AU33,(TandE[[Role 13]:[Role 13]]/(TandE[[End Week]:[End Week]]-(TandE[[Start Week]:[Start Week]]-1)))),0))</f>
        <v>0</v>
      </c>
      <c r="AV46" s="845" cm="1">
        <f t="array" aca="1" ref="AV46" ca="1">SUM(IF(TandE[[Start Week]:[Start Week]]&lt;=AV33,IF(TandE[[End Week]:[End Week]]&gt;=AV33,(TandE[[Role 13]:[Role 13]]/(TandE[[End Week]:[End Week]]-(TandE[[Start Week]:[Start Week]]-1)))),0))</f>
        <v>0</v>
      </c>
      <c r="AW46" s="845" cm="1">
        <f t="array" aca="1" ref="AW46" ca="1">SUM(IF(TandE[[Start Week]:[Start Week]]&lt;=AW33,IF(TandE[[End Week]:[End Week]]&gt;=AW33,(TandE[[Role 13]:[Role 13]]/(TandE[[End Week]:[End Week]]-(TandE[[Start Week]:[Start Week]]-1)))),0))</f>
        <v>0</v>
      </c>
      <c r="AX46" s="845" cm="1">
        <f t="array" aca="1" ref="AX46" ca="1">SUM(IF(TandE[[Start Week]:[Start Week]]&lt;=AX33,IF(TandE[[End Week]:[End Week]]&gt;=AX33,(TandE[[Role 13]:[Role 13]]/(TandE[[End Week]:[End Week]]-(TandE[[Start Week]:[Start Week]]-1)))),0))</f>
        <v>0</v>
      </c>
      <c r="AY46" s="845" cm="1">
        <f t="array" aca="1" ref="AY46" ca="1">SUM(IF(TandE[[Start Week]:[Start Week]]&lt;=AY33,IF(TandE[[End Week]:[End Week]]&gt;=AY33,(TandE[[Role 13]:[Role 13]]/(TandE[[End Week]:[End Week]]-(TandE[[Start Week]:[Start Week]]-1)))),0))</f>
        <v>0</v>
      </c>
      <c r="AZ46" s="845" cm="1">
        <f t="array" aca="1" ref="AZ46" ca="1">SUM(IF(TandE[[Start Week]:[Start Week]]&lt;=AZ33,IF(TandE[[End Week]:[End Week]]&gt;=AZ33,(TandE[[Role 13]:[Role 13]]/(TandE[[End Week]:[End Week]]-(TandE[[Start Week]:[Start Week]]-1)))),0))</f>
        <v>0</v>
      </c>
      <c r="BA46" s="845" cm="1">
        <f t="array" aca="1" ref="BA46" ca="1">SUM(IF(TandE[[Start Week]:[Start Week]]&lt;=BA33,IF(TandE[[End Week]:[End Week]]&gt;=BA33,(TandE[[Role 13]:[Role 13]]/(TandE[[End Week]:[End Week]]-(TandE[[Start Week]:[Start Week]]-1)))),0))</f>
        <v>0</v>
      </c>
      <c r="BB46" s="845" cm="1">
        <f t="array" aca="1" ref="BB46" ca="1">SUM(IF(TandE[[Start Week]:[Start Week]]&lt;=BB33,IF(TandE[[End Week]:[End Week]]&gt;=BB33,(TandE[[Role 13]:[Role 13]]/(TandE[[End Week]:[End Week]]-(TandE[[Start Week]:[Start Week]]-1)))),0))</f>
        <v>0</v>
      </c>
      <c r="BC46" s="845" cm="1">
        <f t="array" aca="1" ref="BC46" ca="1">SUM(IF(TandE[[Start Week]:[Start Week]]&lt;=BC33,IF(TandE[[End Week]:[End Week]]&gt;=BC33,(TandE[[Role 13]:[Role 13]]/(TandE[[End Week]:[End Week]]-(TandE[[Start Week]:[Start Week]]-1)))),0))</f>
        <v>0</v>
      </c>
      <c r="BD46" s="845" cm="1">
        <f t="array" aca="1" ref="BD46" ca="1">SUM(IF(TandE[[Start Week]:[Start Week]]&lt;=BD33,IF(TandE[[End Week]:[End Week]]&gt;=BD33,(TandE[[Role 13]:[Role 13]]/(TandE[[End Week]:[End Week]]-(TandE[[Start Week]:[Start Week]]-1)))),0))</f>
        <v>0</v>
      </c>
      <c r="BE46" s="845" cm="1">
        <f t="array" aca="1" ref="BE46" ca="1">SUM(IF(TandE[[Start Week]:[Start Week]]&lt;=BE33,IF(TandE[[End Week]:[End Week]]&gt;=BE33,(TandE[[Role 13]:[Role 13]]/(TandE[[End Week]:[End Week]]-(TandE[[Start Week]:[Start Week]]-1)))),0))</f>
        <v>0</v>
      </c>
      <c r="BF46" s="845" cm="1">
        <f t="array" aca="1" ref="BF46" ca="1">SUM(IF(TandE[[Start Week]:[Start Week]]&lt;=BF33,IF(TandE[[End Week]:[End Week]]&gt;=BF33,(TandE[[Role 13]:[Role 13]]/(TandE[[End Week]:[End Week]]-(TandE[[Start Week]:[Start Week]]-1)))),0))</f>
        <v>0</v>
      </c>
      <c r="BG46" s="845" cm="1">
        <f t="array" aca="1" ref="BG46" ca="1">SUM(IF(TandE[[Start Week]:[Start Week]]&lt;=BG33,IF(TandE[[End Week]:[End Week]]&gt;=BG33,(TandE[[Role 13]:[Role 13]]/(TandE[[End Week]:[End Week]]-(TandE[[Start Week]:[Start Week]]-1)))),0))</f>
        <v>0</v>
      </c>
      <c r="BH46" s="845" cm="1">
        <f t="array" aca="1" ref="BH46" ca="1">SUM(IF(TandE[[Start Week]:[Start Week]]&lt;=BH33,IF(TandE[[End Week]:[End Week]]&gt;=BH33,(TandE[[Role 13]:[Role 13]]/(TandE[[End Week]:[End Week]]-(TandE[[Start Week]:[Start Week]]-1)))),0))</f>
        <v>0</v>
      </c>
      <c r="BI46" s="845" cm="1">
        <f t="array" aca="1" ref="BI46" ca="1">SUM(IF(TandE[[Start Week]:[Start Week]]&lt;=BI33,IF(TandE[[End Week]:[End Week]]&gt;=BI33,(TandE[[Role 13]:[Role 13]]/(TandE[[End Week]:[End Week]]-(TandE[[Start Week]:[Start Week]]-1)))),0))</f>
        <v>0</v>
      </c>
      <c r="BJ46" s="845" cm="1">
        <f t="array" aca="1" ref="BJ46" ca="1">SUM(IF(TandE[[Start Week]:[Start Week]]&lt;=BJ33,IF(TandE[[End Week]:[End Week]]&gt;=BJ33,(TandE[[Role 13]:[Role 13]]/(TandE[[End Week]:[End Week]]-(TandE[[Start Week]:[Start Week]]-1)))),0))</f>
        <v>0</v>
      </c>
    </row>
    <row r="47" spans="2:62">
      <c r="B47" s="590" t="s">
        <v>483</v>
      </c>
      <c r="C47" s="589" t="str">
        <f ca="1">INDEX(RolesandSkills[Role + Practice],MATCH(Table2117[[#This Row],[Role '#]],RolesandSkills[Role '#],0),1)</f>
        <v>-</v>
      </c>
      <c r="D47" s="589" t="str">
        <f ca="1">INDEX(RolesandSkills[Resource Location],MATCH(Table2117[[#This Row],[Role '#]],RolesandSkills[Role '#],0),1)</f>
        <v/>
      </c>
      <c r="E47" s="589" t="str">
        <f ca="1">INDEX(RolesandSkills[Practice],MATCH(Table2117[[#This Row],[Role '#]],RolesandSkills[Role '#],0),1)</f>
        <v/>
      </c>
      <c r="F47" s="589" t="str">
        <f ca="1">INDEX(RolesandSkills[Skill '#1],MATCH(Table2117[[#This Row],[Role '#]],RolesandSkills[Role '#],0),1)</f>
        <v/>
      </c>
      <c r="G47" s="589" t="str">
        <f ca="1">INDEX(RolesandSkills[Skill '#2],MATCH(Table2117[[#This Row],[Role '#]],RolesandSkills[Role '#],0),1)</f>
        <v/>
      </c>
      <c r="H47" s="589" t="str">
        <f ca="1">INDEX(RolesandSkills[Skill '#3],MATCH(Table2117[[#This Row],[Role '#]],RolesandSkills[Role '#],0),1)</f>
        <v/>
      </c>
      <c r="I47" s="768">
        <f t="shared" ca="1" si="10"/>
        <v>0</v>
      </c>
      <c r="J47" s="589">
        <f ca="1">SUM(Table2117[[#This Row],[1]:[52]])</f>
        <v>0</v>
      </c>
      <c r="K47" s="845" cm="1">
        <f t="array" aca="1" ref="K47" ca="1">SUM(IF(TandE[Start Week]&lt;=K33,IF(TandE[End Week]&gt;=K33,(TandE[Role 14]/(TandE[End Week]-(TandE[Start Week]-1)))),0))</f>
        <v>0</v>
      </c>
      <c r="L47" s="845" cm="1">
        <f t="array" aca="1" ref="L47" ca="1">SUM(IF(TandE[[Start Week]:[Start Week]]&lt;=L33,IF(TandE[[End Week]:[End Week]]&gt;=L33,(TandE[[Role 14]:[Role 14]]/(TandE[[End Week]:[End Week]]-(TandE[[Start Week]:[Start Week]]-1)))),0))</f>
        <v>0</v>
      </c>
      <c r="M47" s="845" cm="1">
        <f t="array" aca="1" ref="M47" ca="1">SUM(IF(TandE[[Start Week]:[Start Week]]&lt;=M33,IF(TandE[[End Week]:[End Week]]&gt;=M33,(TandE[[Role 14]:[Role 14]]/(TandE[[End Week]:[End Week]]-(TandE[[Start Week]:[Start Week]]-1)))),0))</f>
        <v>0</v>
      </c>
      <c r="N47" s="845" cm="1">
        <f t="array" aca="1" ref="N47" ca="1">SUM(IF(TandE[[Start Week]:[Start Week]]&lt;=N33,IF(TandE[[End Week]:[End Week]]&gt;=N33,(TandE[[Role 14]:[Role 14]]/(TandE[[End Week]:[End Week]]-(TandE[[Start Week]:[Start Week]]-1)))),0))</f>
        <v>0</v>
      </c>
      <c r="O47" s="845" cm="1">
        <f t="array" aca="1" ref="O47" ca="1">SUM(IF(TandE[[Start Week]:[Start Week]]&lt;=O33,IF(TandE[[End Week]:[End Week]]&gt;=O33,(TandE[[Role 14]:[Role 14]]/(TandE[[End Week]:[End Week]]-(TandE[[Start Week]:[Start Week]]-1)))),0))</f>
        <v>0</v>
      </c>
      <c r="P47" s="845" cm="1">
        <f t="array" aca="1" ref="P47" ca="1">SUM(IF(TandE[[Start Week]:[Start Week]]&lt;=P33,IF(TandE[[End Week]:[End Week]]&gt;=P33,(TandE[[Role 14]:[Role 14]]/(TandE[[End Week]:[End Week]]-(TandE[[Start Week]:[Start Week]]-1)))),0))</f>
        <v>0</v>
      </c>
      <c r="Q47" s="845" cm="1">
        <f t="array" aca="1" ref="Q47" ca="1">SUM(IF(TandE[[Start Week]:[Start Week]]&lt;=Q33,IF(TandE[[End Week]:[End Week]]&gt;=Q33,(TandE[[Role 14]:[Role 14]]/(TandE[[End Week]:[End Week]]-(TandE[[Start Week]:[Start Week]]-1)))),0))</f>
        <v>0</v>
      </c>
      <c r="R47" s="845" cm="1">
        <f t="array" aca="1" ref="R47" ca="1">SUM(IF(TandE[[Start Week]:[Start Week]]&lt;=R33,IF(TandE[[End Week]:[End Week]]&gt;=R33,(TandE[[Role 14]:[Role 14]]/(TandE[[End Week]:[End Week]]-(TandE[[Start Week]:[Start Week]]-1)))),0))</f>
        <v>0</v>
      </c>
      <c r="S47" s="845" cm="1">
        <f t="array" aca="1" ref="S47" ca="1">SUM(IF(TandE[[Start Week]:[Start Week]]&lt;=S33,IF(TandE[[End Week]:[End Week]]&gt;=S33,(TandE[[Role 14]:[Role 14]]/(TandE[[End Week]:[End Week]]-(TandE[[Start Week]:[Start Week]]-1)))),0))</f>
        <v>0</v>
      </c>
      <c r="T47" s="845" cm="1">
        <f t="array" aca="1" ref="T47" ca="1">SUM(IF(TandE[[Start Week]:[Start Week]]&lt;=T33,IF(TandE[[End Week]:[End Week]]&gt;=T33,(TandE[[Role 14]:[Role 14]]/(TandE[[End Week]:[End Week]]-(TandE[[Start Week]:[Start Week]]-1)))),0))</f>
        <v>0</v>
      </c>
      <c r="U47" s="845" cm="1">
        <f t="array" aca="1" ref="U47" ca="1">SUM(IF(TandE[[Start Week]:[Start Week]]&lt;=U33,IF(TandE[[End Week]:[End Week]]&gt;=U33,(TandE[[Role 14]:[Role 14]]/(TandE[[End Week]:[End Week]]-(TandE[[Start Week]:[Start Week]]-1)))),0))</f>
        <v>0</v>
      </c>
      <c r="V47" s="845" cm="1">
        <f t="array" aca="1" ref="V47" ca="1">SUM(IF(TandE[[Start Week]:[Start Week]]&lt;=V33,IF(TandE[[End Week]:[End Week]]&gt;=V33,(TandE[[Role 14]:[Role 14]]/(TandE[[End Week]:[End Week]]-(TandE[[Start Week]:[Start Week]]-1)))),0))</f>
        <v>0</v>
      </c>
      <c r="W47" s="845" cm="1">
        <f t="array" aca="1" ref="W47" ca="1">SUM(IF(TandE[[Start Week]:[Start Week]]&lt;=W33,IF(TandE[[End Week]:[End Week]]&gt;=W33,(TandE[[Role 14]:[Role 14]]/(TandE[[End Week]:[End Week]]-(TandE[[Start Week]:[Start Week]]-1)))),0))</f>
        <v>0</v>
      </c>
      <c r="X47" s="845" cm="1">
        <f t="array" aca="1" ref="X47" ca="1">SUM(IF(TandE[[Start Week]:[Start Week]]&lt;=X33,IF(TandE[[End Week]:[End Week]]&gt;=X33,(TandE[[Role 14]:[Role 14]]/(TandE[[End Week]:[End Week]]-(TandE[[Start Week]:[Start Week]]-1)))),0))</f>
        <v>0</v>
      </c>
      <c r="Y47" s="845" cm="1">
        <f t="array" aca="1" ref="Y47" ca="1">SUM(IF(TandE[[Start Week]:[Start Week]]&lt;=Y33,IF(TandE[[End Week]:[End Week]]&gt;=Y33,(TandE[[Role 14]:[Role 14]]/(TandE[[End Week]:[End Week]]-(TandE[[Start Week]:[Start Week]]-1)))),0))</f>
        <v>0</v>
      </c>
      <c r="Z47" s="845" cm="1">
        <f t="array" aca="1" ref="Z47" ca="1">SUM(IF(TandE[[Start Week]:[Start Week]]&lt;=Z33,IF(TandE[[End Week]:[End Week]]&gt;=Z33,(TandE[[Role 14]:[Role 14]]/(TandE[[End Week]:[End Week]]-(TandE[[Start Week]:[Start Week]]-1)))),0))</f>
        <v>0</v>
      </c>
      <c r="AA47" s="845" cm="1">
        <f t="array" aca="1" ref="AA47" ca="1">SUM(IF(TandE[[Start Week]:[Start Week]]&lt;=AA33,IF(TandE[[End Week]:[End Week]]&gt;=AA33,(TandE[[Role 14]:[Role 14]]/(TandE[[End Week]:[End Week]]-(TandE[[Start Week]:[Start Week]]-1)))),0))</f>
        <v>0</v>
      </c>
      <c r="AB47" s="845" cm="1">
        <f t="array" aca="1" ref="AB47" ca="1">SUM(IF(TandE[[Start Week]:[Start Week]]&lt;=AB33,IF(TandE[[End Week]:[End Week]]&gt;=AB33,(TandE[[Role 14]:[Role 14]]/(TandE[[End Week]:[End Week]]-(TandE[[Start Week]:[Start Week]]-1)))),0))</f>
        <v>0</v>
      </c>
      <c r="AC47" s="845" cm="1">
        <f t="array" aca="1" ref="AC47" ca="1">SUM(IF(TandE[[Start Week]:[Start Week]]&lt;=AC33,IF(TandE[[End Week]:[End Week]]&gt;=AC33,(TandE[[Role 14]:[Role 14]]/(TandE[[End Week]:[End Week]]-(TandE[[Start Week]:[Start Week]]-1)))),0))</f>
        <v>0</v>
      </c>
      <c r="AD47" s="845" cm="1">
        <f t="array" aca="1" ref="AD47" ca="1">SUM(IF(TandE[[Start Week]:[Start Week]]&lt;=AD33,IF(TandE[[End Week]:[End Week]]&gt;=AD33,(TandE[[Role 14]:[Role 14]]/(TandE[[End Week]:[End Week]]-(TandE[[Start Week]:[Start Week]]-1)))),0))</f>
        <v>0</v>
      </c>
      <c r="AE47" s="845" cm="1">
        <f t="array" aca="1" ref="AE47" ca="1">SUM(IF(TandE[[Start Week]:[Start Week]]&lt;=AE33,IF(TandE[[End Week]:[End Week]]&gt;=AE33,(TandE[[Role 14]:[Role 14]]/(TandE[[End Week]:[End Week]]-(TandE[[Start Week]:[Start Week]]-1)))),0))</f>
        <v>0</v>
      </c>
      <c r="AF47" s="845" cm="1">
        <f t="array" aca="1" ref="AF47" ca="1">SUM(IF(TandE[[Start Week]:[Start Week]]&lt;=AF33,IF(TandE[[End Week]:[End Week]]&gt;=AF33,(TandE[[Role 14]:[Role 14]]/(TandE[[End Week]:[End Week]]-(TandE[[Start Week]:[Start Week]]-1)))),0))</f>
        <v>0</v>
      </c>
      <c r="AG47" s="845" cm="1">
        <f t="array" aca="1" ref="AG47" ca="1">SUM(IF(TandE[[Start Week]:[Start Week]]&lt;=AG33,IF(TandE[[End Week]:[End Week]]&gt;=AG33,(TandE[[Role 14]:[Role 14]]/(TandE[[End Week]:[End Week]]-(TandE[[Start Week]:[Start Week]]-1)))),0))</f>
        <v>0</v>
      </c>
      <c r="AH47" s="845" cm="1">
        <f t="array" aca="1" ref="AH47" ca="1">SUM(IF(TandE[[Start Week]:[Start Week]]&lt;=AH33,IF(TandE[[End Week]:[End Week]]&gt;=AH33,(TandE[[Role 14]:[Role 14]]/(TandE[[End Week]:[End Week]]-(TandE[[Start Week]:[Start Week]]-1)))),0))</f>
        <v>0</v>
      </c>
      <c r="AI47" s="845" cm="1">
        <f t="array" aca="1" ref="AI47" ca="1">SUM(IF(TandE[[Start Week]:[Start Week]]&lt;=AI33,IF(TandE[[End Week]:[End Week]]&gt;=AI33,(TandE[[Role 14]:[Role 14]]/(TandE[[End Week]:[End Week]]-(TandE[[Start Week]:[Start Week]]-1)))),0))</f>
        <v>0</v>
      </c>
      <c r="AJ47" s="845" cm="1">
        <f t="array" aca="1" ref="AJ47" ca="1">SUM(IF(TandE[[Start Week]:[Start Week]]&lt;=AJ33,IF(TandE[[End Week]:[End Week]]&gt;=AJ33,(TandE[[Role 14]:[Role 14]]/(TandE[[End Week]:[End Week]]-(TandE[[Start Week]:[Start Week]]-1)))),0))</f>
        <v>0</v>
      </c>
      <c r="AK47" s="845" cm="1">
        <f t="array" aca="1" ref="AK47" ca="1">SUM(IF(TandE[[Start Week]:[Start Week]]&lt;=AK33,IF(TandE[[End Week]:[End Week]]&gt;=AK33,(TandE[[Role 14]:[Role 14]]/(TandE[[End Week]:[End Week]]-(TandE[[Start Week]:[Start Week]]-1)))),0))</f>
        <v>0</v>
      </c>
      <c r="AL47" s="845" cm="1">
        <f t="array" aca="1" ref="AL47" ca="1">SUM(IF(TandE[[Start Week]:[Start Week]]&lt;=AL33,IF(TandE[[End Week]:[End Week]]&gt;=AL33,(TandE[[Role 14]:[Role 14]]/(TandE[[End Week]:[End Week]]-(TandE[[Start Week]:[Start Week]]-1)))),0))</f>
        <v>0</v>
      </c>
      <c r="AM47" s="845" cm="1">
        <f t="array" aca="1" ref="AM47" ca="1">SUM(IF(TandE[[Start Week]:[Start Week]]&lt;=AM33,IF(TandE[[End Week]:[End Week]]&gt;=AM33,(TandE[[Role 14]:[Role 14]]/(TandE[[End Week]:[End Week]]-(TandE[[Start Week]:[Start Week]]-1)))),0))</f>
        <v>0</v>
      </c>
      <c r="AN47" s="845" cm="1">
        <f t="array" aca="1" ref="AN47" ca="1">SUM(IF(TandE[[Start Week]:[Start Week]]&lt;=AN33,IF(TandE[[End Week]:[End Week]]&gt;=AN33,(TandE[[Role 14]:[Role 14]]/(TandE[[End Week]:[End Week]]-(TandE[[Start Week]:[Start Week]]-1)))),0))</f>
        <v>0</v>
      </c>
      <c r="AO47" s="845" cm="1">
        <f t="array" aca="1" ref="AO47" ca="1">SUM(IF(TandE[[Start Week]:[Start Week]]&lt;=AO33,IF(TandE[[End Week]:[End Week]]&gt;=AO33,(TandE[[Role 14]:[Role 14]]/(TandE[[End Week]:[End Week]]-(TandE[[Start Week]:[Start Week]]-1)))),0))</f>
        <v>0</v>
      </c>
      <c r="AP47" s="845" cm="1">
        <f t="array" aca="1" ref="AP47" ca="1">SUM(IF(TandE[[Start Week]:[Start Week]]&lt;=AP33,IF(TandE[[End Week]:[End Week]]&gt;=AP33,(TandE[[Role 14]:[Role 14]]/(TandE[[End Week]:[End Week]]-(TandE[[Start Week]:[Start Week]]-1)))),0))</f>
        <v>0</v>
      </c>
      <c r="AQ47" s="845" cm="1">
        <f t="array" aca="1" ref="AQ47" ca="1">SUM(IF(TandE[[Start Week]:[Start Week]]&lt;=AQ33,IF(TandE[[End Week]:[End Week]]&gt;=AQ33,(TandE[[Role 14]:[Role 14]]/(TandE[[End Week]:[End Week]]-(TandE[[Start Week]:[Start Week]]-1)))),0))</f>
        <v>0</v>
      </c>
      <c r="AR47" s="845" cm="1">
        <f t="array" aca="1" ref="AR47" ca="1">SUM(IF(TandE[[Start Week]:[Start Week]]&lt;=AR33,IF(TandE[[End Week]:[End Week]]&gt;=AR33,(TandE[[Role 14]:[Role 14]]/(TandE[[End Week]:[End Week]]-(TandE[[Start Week]:[Start Week]]-1)))),0))</f>
        <v>0</v>
      </c>
      <c r="AS47" s="845" cm="1">
        <f t="array" aca="1" ref="AS47" ca="1">SUM(IF(TandE[[Start Week]:[Start Week]]&lt;=AS33,IF(TandE[[End Week]:[End Week]]&gt;=AS33,(TandE[[Role 14]:[Role 14]]/(TandE[[End Week]:[End Week]]-(TandE[[Start Week]:[Start Week]]-1)))),0))</f>
        <v>0</v>
      </c>
      <c r="AT47" s="845" cm="1">
        <f t="array" aca="1" ref="AT47" ca="1">SUM(IF(TandE[[Start Week]:[Start Week]]&lt;=AT33,IF(TandE[[End Week]:[End Week]]&gt;=AT33,(TandE[[Role 14]:[Role 14]]/(TandE[[End Week]:[End Week]]-(TandE[[Start Week]:[Start Week]]-1)))),0))</f>
        <v>0</v>
      </c>
      <c r="AU47" s="845" cm="1">
        <f t="array" aca="1" ref="AU47" ca="1">SUM(IF(TandE[[Start Week]:[Start Week]]&lt;=AU33,IF(TandE[[End Week]:[End Week]]&gt;=AU33,(TandE[[Role 14]:[Role 14]]/(TandE[[End Week]:[End Week]]-(TandE[[Start Week]:[Start Week]]-1)))),0))</f>
        <v>0</v>
      </c>
      <c r="AV47" s="845" cm="1">
        <f t="array" aca="1" ref="AV47" ca="1">SUM(IF(TandE[[Start Week]:[Start Week]]&lt;=AV33,IF(TandE[[End Week]:[End Week]]&gt;=AV33,(TandE[[Role 14]:[Role 14]]/(TandE[[End Week]:[End Week]]-(TandE[[Start Week]:[Start Week]]-1)))),0))</f>
        <v>0</v>
      </c>
      <c r="AW47" s="845" cm="1">
        <f t="array" aca="1" ref="AW47" ca="1">SUM(IF(TandE[[Start Week]:[Start Week]]&lt;=AW33,IF(TandE[[End Week]:[End Week]]&gt;=AW33,(TandE[[Role 14]:[Role 14]]/(TandE[[End Week]:[End Week]]-(TandE[[Start Week]:[Start Week]]-1)))),0))</f>
        <v>0</v>
      </c>
      <c r="AX47" s="845" cm="1">
        <f t="array" aca="1" ref="AX47" ca="1">SUM(IF(TandE[[Start Week]:[Start Week]]&lt;=AX33,IF(TandE[[End Week]:[End Week]]&gt;=AX33,(TandE[[Role 14]:[Role 14]]/(TandE[[End Week]:[End Week]]-(TandE[[Start Week]:[Start Week]]-1)))),0))</f>
        <v>0</v>
      </c>
      <c r="AY47" s="845" cm="1">
        <f t="array" aca="1" ref="AY47" ca="1">SUM(IF(TandE[[Start Week]:[Start Week]]&lt;=AY33,IF(TandE[[End Week]:[End Week]]&gt;=AY33,(TandE[[Role 14]:[Role 14]]/(TandE[[End Week]:[End Week]]-(TandE[[Start Week]:[Start Week]]-1)))),0))</f>
        <v>0</v>
      </c>
      <c r="AZ47" s="845" cm="1">
        <f t="array" aca="1" ref="AZ47" ca="1">SUM(IF(TandE[[Start Week]:[Start Week]]&lt;=AZ33,IF(TandE[[End Week]:[End Week]]&gt;=AZ33,(TandE[[Role 14]:[Role 14]]/(TandE[[End Week]:[End Week]]-(TandE[[Start Week]:[Start Week]]-1)))),0))</f>
        <v>0</v>
      </c>
      <c r="BA47" s="845" cm="1">
        <f t="array" aca="1" ref="BA47" ca="1">SUM(IF(TandE[[Start Week]:[Start Week]]&lt;=BA33,IF(TandE[[End Week]:[End Week]]&gt;=BA33,(TandE[[Role 14]:[Role 14]]/(TandE[[End Week]:[End Week]]-(TandE[[Start Week]:[Start Week]]-1)))),0))</f>
        <v>0</v>
      </c>
      <c r="BB47" s="845" cm="1">
        <f t="array" aca="1" ref="BB47" ca="1">SUM(IF(TandE[[Start Week]:[Start Week]]&lt;=BB33,IF(TandE[[End Week]:[End Week]]&gt;=BB33,(TandE[[Role 14]:[Role 14]]/(TandE[[End Week]:[End Week]]-(TandE[[Start Week]:[Start Week]]-1)))),0))</f>
        <v>0</v>
      </c>
      <c r="BC47" s="845" cm="1">
        <f t="array" aca="1" ref="BC47" ca="1">SUM(IF(TandE[[Start Week]:[Start Week]]&lt;=BC33,IF(TandE[[End Week]:[End Week]]&gt;=BC33,(TandE[[Role 14]:[Role 14]]/(TandE[[End Week]:[End Week]]-(TandE[[Start Week]:[Start Week]]-1)))),0))</f>
        <v>0</v>
      </c>
      <c r="BD47" s="845" cm="1">
        <f t="array" aca="1" ref="BD47" ca="1">SUM(IF(TandE[[Start Week]:[Start Week]]&lt;=BD33,IF(TandE[[End Week]:[End Week]]&gt;=BD33,(TandE[[Role 14]:[Role 14]]/(TandE[[End Week]:[End Week]]-(TandE[[Start Week]:[Start Week]]-1)))),0))</f>
        <v>0</v>
      </c>
      <c r="BE47" s="845" cm="1">
        <f t="array" aca="1" ref="BE47" ca="1">SUM(IF(TandE[[Start Week]:[Start Week]]&lt;=BE33,IF(TandE[[End Week]:[End Week]]&gt;=BE33,(TandE[[Role 14]:[Role 14]]/(TandE[[End Week]:[End Week]]-(TandE[[Start Week]:[Start Week]]-1)))),0))</f>
        <v>0</v>
      </c>
      <c r="BF47" s="845" cm="1">
        <f t="array" aca="1" ref="BF47" ca="1">SUM(IF(TandE[[Start Week]:[Start Week]]&lt;=BF33,IF(TandE[[End Week]:[End Week]]&gt;=BF33,(TandE[[Role 14]:[Role 14]]/(TandE[[End Week]:[End Week]]-(TandE[[Start Week]:[Start Week]]-1)))),0))</f>
        <v>0</v>
      </c>
      <c r="BG47" s="845" cm="1">
        <f t="array" aca="1" ref="BG47" ca="1">SUM(IF(TandE[[Start Week]:[Start Week]]&lt;=BG33,IF(TandE[[End Week]:[End Week]]&gt;=BG33,(TandE[[Role 14]:[Role 14]]/(TandE[[End Week]:[End Week]]-(TandE[[Start Week]:[Start Week]]-1)))),0))</f>
        <v>0</v>
      </c>
      <c r="BH47" s="845" cm="1">
        <f t="array" aca="1" ref="BH47" ca="1">SUM(IF(TandE[[Start Week]:[Start Week]]&lt;=BH33,IF(TandE[[End Week]:[End Week]]&gt;=BH33,(TandE[[Role 14]:[Role 14]]/(TandE[[End Week]:[End Week]]-(TandE[[Start Week]:[Start Week]]-1)))),0))</f>
        <v>0</v>
      </c>
      <c r="BI47" s="845" cm="1">
        <f t="array" aca="1" ref="BI47" ca="1">SUM(IF(TandE[[Start Week]:[Start Week]]&lt;=BI33,IF(TandE[[End Week]:[End Week]]&gt;=BI33,(TandE[[Role 14]:[Role 14]]/(TandE[[End Week]:[End Week]]-(TandE[[Start Week]:[Start Week]]-1)))),0))</f>
        <v>0</v>
      </c>
      <c r="BJ47" s="845" cm="1">
        <f t="array" aca="1" ref="BJ47" ca="1">SUM(IF(TandE[[Start Week]:[Start Week]]&lt;=BJ33,IF(TandE[[End Week]:[End Week]]&gt;=BJ33,(TandE[[Role 14]:[Role 14]]/(TandE[[End Week]:[End Week]]-(TandE[[Start Week]:[Start Week]]-1)))),0))</f>
        <v>0</v>
      </c>
    </row>
    <row r="48" spans="2:62">
      <c r="B48" s="588" t="s">
        <v>484</v>
      </c>
      <c r="C48" s="589" t="str">
        <f ca="1">INDEX(RolesandSkills[Role + Practice],MATCH(Table2117[[#This Row],[Role '#]],RolesandSkills[Role '#],0),1)</f>
        <v>-</v>
      </c>
      <c r="D48" s="589" t="str">
        <f ca="1">INDEX(RolesandSkills[Resource Location],MATCH(Table2117[[#This Row],[Role '#]],RolesandSkills[Role '#],0),1)</f>
        <v/>
      </c>
      <c r="E48" s="589" t="str">
        <f ca="1">INDEX(RolesandSkills[Practice],MATCH(Table2117[[#This Row],[Role '#]],RolesandSkills[Role '#],0),1)</f>
        <v/>
      </c>
      <c r="F48" s="589" t="str">
        <f ca="1">INDEX(RolesandSkills[Skill '#1],MATCH(Table2117[[#This Row],[Role '#]],RolesandSkills[Role '#],0),1)</f>
        <v/>
      </c>
      <c r="G48" s="589" t="str">
        <f ca="1">INDEX(RolesandSkills[Skill '#2],MATCH(Table2117[[#This Row],[Role '#]],RolesandSkills[Role '#],0),1)</f>
        <v/>
      </c>
      <c r="H48" s="589" t="str">
        <f ca="1">INDEX(RolesandSkills[Skill '#3],MATCH(Table2117[[#This Row],[Role '#]],RolesandSkills[Role '#],0),1)</f>
        <v/>
      </c>
      <c r="I48" s="768">
        <f t="shared" ca="1" si="10"/>
        <v>0</v>
      </c>
      <c r="J48" s="589">
        <f ca="1">SUM(Table2117[[#This Row],[1]:[52]])</f>
        <v>0</v>
      </c>
      <c r="K48" s="845" cm="1">
        <f t="array" aca="1" ref="K48" ca="1">SUM(IF(TandE[Start Week]&lt;=K33,IF(TandE[End Week]&gt;=K33,(TandE[Role 15]/(TandE[End Week]-(TandE[Start Week]-1)))),0))</f>
        <v>0</v>
      </c>
      <c r="L48" s="845" cm="1">
        <f t="array" aca="1" ref="L48" ca="1">SUM(IF(TandE[[Start Week]:[Start Week]]&lt;=L33,IF(TandE[[End Week]:[End Week]]&gt;=L33,(TandE[[Role 15]:[Role 15]]/(TandE[[End Week]:[End Week]]-(TandE[[Start Week]:[Start Week]]-1)))),0))</f>
        <v>0</v>
      </c>
      <c r="M48" s="845" cm="1">
        <f t="array" aca="1" ref="M48" ca="1">SUM(IF(TandE[[Start Week]:[Start Week]]&lt;=M33,IF(TandE[[End Week]:[End Week]]&gt;=M33,(TandE[[Role 15]:[Role 15]]/(TandE[[End Week]:[End Week]]-(TandE[[Start Week]:[Start Week]]-1)))),0))</f>
        <v>0</v>
      </c>
      <c r="N48" s="845" cm="1">
        <f t="array" aca="1" ref="N48" ca="1">SUM(IF(TandE[[Start Week]:[Start Week]]&lt;=N33,IF(TandE[[End Week]:[End Week]]&gt;=N33,(TandE[[Role 15]:[Role 15]]/(TandE[[End Week]:[End Week]]-(TandE[[Start Week]:[Start Week]]-1)))),0))</f>
        <v>0</v>
      </c>
      <c r="O48" s="845" cm="1">
        <f t="array" aca="1" ref="O48" ca="1">SUM(IF(TandE[[Start Week]:[Start Week]]&lt;=O33,IF(TandE[[End Week]:[End Week]]&gt;=O33,(TandE[[Role 15]:[Role 15]]/(TandE[[End Week]:[End Week]]-(TandE[[Start Week]:[Start Week]]-1)))),0))</f>
        <v>0</v>
      </c>
      <c r="P48" s="845" cm="1">
        <f t="array" aca="1" ref="P48" ca="1">SUM(IF(TandE[[Start Week]:[Start Week]]&lt;=P33,IF(TandE[[End Week]:[End Week]]&gt;=P33,(TandE[[Role 15]:[Role 15]]/(TandE[[End Week]:[End Week]]-(TandE[[Start Week]:[Start Week]]-1)))),0))</f>
        <v>0</v>
      </c>
      <c r="Q48" s="845" cm="1">
        <f t="array" aca="1" ref="Q48" ca="1">SUM(IF(TandE[[Start Week]:[Start Week]]&lt;=Q33,IF(TandE[[End Week]:[End Week]]&gt;=Q33,(TandE[[Role 15]:[Role 15]]/(TandE[[End Week]:[End Week]]-(TandE[[Start Week]:[Start Week]]-1)))),0))</f>
        <v>0</v>
      </c>
      <c r="R48" s="845" cm="1">
        <f t="array" aca="1" ref="R48" ca="1">SUM(IF(TandE[[Start Week]:[Start Week]]&lt;=R33,IF(TandE[[End Week]:[End Week]]&gt;=R33,(TandE[[Role 15]:[Role 15]]/(TandE[[End Week]:[End Week]]-(TandE[[Start Week]:[Start Week]]-1)))),0))</f>
        <v>0</v>
      </c>
      <c r="S48" s="845" cm="1">
        <f t="array" aca="1" ref="S48" ca="1">SUM(IF(TandE[[Start Week]:[Start Week]]&lt;=S33,IF(TandE[[End Week]:[End Week]]&gt;=S33,(TandE[[Role 15]:[Role 15]]/(TandE[[End Week]:[End Week]]-(TandE[[Start Week]:[Start Week]]-1)))),0))</f>
        <v>0</v>
      </c>
      <c r="T48" s="845" cm="1">
        <f t="array" aca="1" ref="T48" ca="1">SUM(IF(TandE[[Start Week]:[Start Week]]&lt;=T33,IF(TandE[[End Week]:[End Week]]&gt;=T33,(TandE[[Role 15]:[Role 15]]/(TandE[[End Week]:[End Week]]-(TandE[[Start Week]:[Start Week]]-1)))),0))</f>
        <v>0</v>
      </c>
      <c r="U48" s="845" cm="1">
        <f t="array" aca="1" ref="U48" ca="1">SUM(IF(TandE[[Start Week]:[Start Week]]&lt;=U33,IF(TandE[[End Week]:[End Week]]&gt;=U33,(TandE[[Role 15]:[Role 15]]/(TandE[[End Week]:[End Week]]-(TandE[[Start Week]:[Start Week]]-1)))),0))</f>
        <v>0</v>
      </c>
      <c r="V48" s="845" cm="1">
        <f t="array" aca="1" ref="V48" ca="1">SUM(IF(TandE[[Start Week]:[Start Week]]&lt;=V33,IF(TandE[[End Week]:[End Week]]&gt;=V33,(TandE[[Role 15]:[Role 15]]/(TandE[[End Week]:[End Week]]-(TandE[[Start Week]:[Start Week]]-1)))),0))</f>
        <v>0</v>
      </c>
      <c r="W48" s="845" cm="1">
        <f t="array" aca="1" ref="W48" ca="1">SUM(IF(TandE[[Start Week]:[Start Week]]&lt;=W33,IF(TandE[[End Week]:[End Week]]&gt;=W33,(TandE[[Role 15]:[Role 15]]/(TandE[[End Week]:[End Week]]-(TandE[[Start Week]:[Start Week]]-1)))),0))</f>
        <v>0</v>
      </c>
      <c r="X48" s="845" cm="1">
        <f t="array" aca="1" ref="X48" ca="1">SUM(IF(TandE[[Start Week]:[Start Week]]&lt;=X33,IF(TandE[[End Week]:[End Week]]&gt;=X33,(TandE[[Role 15]:[Role 15]]/(TandE[[End Week]:[End Week]]-(TandE[[Start Week]:[Start Week]]-1)))),0))</f>
        <v>0</v>
      </c>
      <c r="Y48" s="845" cm="1">
        <f t="array" aca="1" ref="Y48" ca="1">SUM(IF(TandE[[Start Week]:[Start Week]]&lt;=Y33,IF(TandE[[End Week]:[End Week]]&gt;=Y33,(TandE[[Role 15]:[Role 15]]/(TandE[[End Week]:[End Week]]-(TandE[[Start Week]:[Start Week]]-1)))),0))</f>
        <v>0</v>
      </c>
      <c r="Z48" s="845" cm="1">
        <f t="array" aca="1" ref="Z48" ca="1">SUM(IF(TandE[[Start Week]:[Start Week]]&lt;=Z33,IF(TandE[[End Week]:[End Week]]&gt;=Z33,(TandE[[Role 15]:[Role 15]]/(TandE[[End Week]:[End Week]]-(TandE[[Start Week]:[Start Week]]-1)))),0))</f>
        <v>0</v>
      </c>
      <c r="AA48" s="845" cm="1">
        <f t="array" aca="1" ref="AA48" ca="1">SUM(IF(TandE[[Start Week]:[Start Week]]&lt;=AA33,IF(TandE[[End Week]:[End Week]]&gt;=AA33,(TandE[[Role 15]:[Role 15]]/(TandE[[End Week]:[End Week]]-(TandE[[Start Week]:[Start Week]]-1)))),0))</f>
        <v>0</v>
      </c>
      <c r="AB48" s="845" cm="1">
        <f t="array" aca="1" ref="AB48" ca="1">SUM(IF(TandE[[Start Week]:[Start Week]]&lt;=AB33,IF(TandE[[End Week]:[End Week]]&gt;=AB33,(TandE[[Role 15]:[Role 15]]/(TandE[[End Week]:[End Week]]-(TandE[[Start Week]:[Start Week]]-1)))),0))</f>
        <v>0</v>
      </c>
      <c r="AC48" s="845" cm="1">
        <f t="array" aca="1" ref="AC48" ca="1">SUM(IF(TandE[[Start Week]:[Start Week]]&lt;=AC33,IF(TandE[[End Week]:[End Week]]&gt;=AC33,(TandE[[Role 15]:[Role 15]]/(TandE[[End Week]:[End Week]]-(TandE[[Start Week]:[Start Week]]-1)))),0))</f>
        <v>0</v>
      </c>
      <c r="AD48" s="845" cm="1">
        <f t="array" aca="1" ref="AD48" ca="1">SUM(IF(TandE[[Start Week]:[Start Week]]&lt;=AD33,IF(TandE[[End Week]:[End Week]]&gt;=AD33,(TandE[[Role 15]:[Role 15]]/(TandE[[End Week]:[End Week]]-(TandE[[Start Week]:[Start Week]]-1)))),0))</f>
        <v>0</v>
      </c>
      <c r="AE48" s="845" cm="1">
        <f t="array" aca="1" ref="AE48" ca="1">SUM(IF(TandE[[Start Week]:[Start Week]]&lt;=AE33,IF(TandE[[End Week]:[End Week]]&gt;=AE33,(TandE[[Role 15]:[Role 15]]/(TandE[[End Week]:[End Week]]-(TandE[[Start Week]:[Start Week]]-1)))),0))</f>
        <v>0</v>
      </c>
      <c r="AF48" s="845" cm="1">
        <f t="array" aca="1" ref="AF48" ca="1">SUM(IF(TandE[[Start Week]:[Start Week]]&lt;=AF33,IF(TandE[[End Week]:[End Week]]&gt;=AF33,(TandE[[Role 15]:[Role 15]]/(TandE[[End Week]:[End Week]]-(TandE[[Start Week]:[Start Week]]-1)))),0))</f>
        <v>0</v>
      </c>
      <c r="AG48" s="845" cm="1">
        <f t="array" aca="1" ref="AG48" ca="1">SUM(IF(TandE[[Start Week]:[Start Week]]&lt;=AG33,IF(TandE[[End Week]:[End Week]]&gt;=AG33,(TandE[[Role 15]:[Role 15]]/(TandE[[End Week]:[End Week]]-(TandE[[Start Week]:[Start Week]]-1)))),0))</f>
        <v>0</v>
      </c>
      <c r="AH48" s="845" cm="1">
        <f t="array" aca="1" ref="AH48" ca="1">SUM(IF(TandE[[Start Week]:[Start Week]]&lt;=AH33,IF(TandE[[End Week]:[End Week]]&gt;=AH33,(TandE[[Role 15]:[Role 15]]/(TandE[[End Week]:[End Week]]-(TandE[[Start Week]:[Start Week]]-1)))),0))</f>
        <v>0</v>
      </c>
      <c r="AI48" s="845" cm="1">
        <f t="array" aca="1" ref="AI48" ca="1">SUM(IF(TandE[[Start Week]:[Start Week]]&lt;=AI33,IF(TandE[[End Week]:[End Week]]&gt;=AI33,(TandE[[Role 15]:[Role 15]]/(TandE[[End Week]:[End Week]]-(TandE[[Start Week]:[Start Week]]-1)))),0))</f>
        <v>0</v>
      </c>
      <c r="AJ48" s="845" cm="1">
        <f t="array" aca="1" ref="AJ48" ca="1">SUM(IF(TandE[[Start Week]:[Start Week]]&lt;=AJ33,IF(TandE[[End Week]:[End Week]]&gt;=AJ33,(TandE[[Role 15]:[Role 15]]/(TandE[[End Week]:[End Week]]-(TandE[[Start Week]:[Start Week]]-1)))),0))</f>
        <v>0</v>
      </c>
      <c r="AK48" s="845" cm="1">
        <f t="array" aca="1" ref="AK48" ca="1">SUM(IF(TandE[[Start Week]:[Start Week]]&lt;=AK33,IF(TandE[[End Week]:[End Week]]&gt;=AK33,(TandE[[Role 15]:[Role 15]]/(TandE[[End Week]:[End Week]]-(TandE[[Start Week]:[Start Week]]-1)))),0))</f>
        <v>0</v>
      </c>
      <c r="AL48" s="845" cm="1">
        <f t="array" aca="1" ref="AL48" ca="1">SUM(IF(TandE[[Start Week]:[Start Week]]&lt;=AL33,IF(TandE[[End Week]:[End Week]]&gt;=AL33,(TandE[[Role 15]:[Role 15]]/(TandE[[End Week]:[End Week]]-(TandE[[Start Week]:[Start Week]]-1)))),0))</f>
        <v>0</v>
      </c>
      <c r="AM48" s="845" cm="1">
        <f t="array" aca="1" ref="AM48" ca="1">SUM(IF(TandE[[Start Week]:[Start Week]]&lt;=AM33,IF(TandE[[End Week]:[End Week]]&gt;=AM33,(TandE[[Role 15]:[Role 15]]/(TandE[[End Week]:[End Week]]-(TandE[[Start Week]:[Start Week]]-1)))),0))</f>
        <v>0</v>
      </c>
      <c r="AN48" s="845" cm="1">
        <f t="array" aca="1" ref="AN48" ca="1">SUM(IF(TandE[[Start Week]:[Start Week]]&lt;=AN33,IF(TandE[[End Week]:[End Week]]&gt;=AN33,(TandE[[Role 15]:[Role 15]]/(TandE[[End Week]:[End Week]]-(TandE[[Start Week]:[Start Week]]-1)))),0))</f>
        <v>0</v>
      </c>
      <c r="AO48" s="845" cm="1">
        <f t="array" aca="1" ref="AO48" ca="1">SUM(IF(TandE[[Start Week]:[Start Week]]&lt;=AO33,IF(TandE[[End Week]:[End Week]]&gt;=AO33,(TandE[[Role 15]:[Role 15]]/(TandE[[End Week]:[End Week]]-(TandE[[Start Week]:[Start Week]]-1)))),0))</f>
        <v>0</v>
      </c>
      <c r="AP48" s="845" cm="1">
        <f t="array" aca="1" ref="AP48" ca="1">SUM(IF(TandE[[Start Week]:[Start Week]]&lt;=AP33,IF(TandE[[End Week]:[End Week]]&gt;=AP33,(TandE[[Role 15]:[Role 15]]/(TandE[[End Week]:[End Week]]-(TandE[[Start Week]:[Start Week]]-1)))),0))</f>
        <v>0</v>
      </c>
      <c r="AQ48" s="845" cm="1">
        <f t="array" aca="1" ref="AQ48" ca="1">SUM(IF(TandE[[Start Week]:[Start Week]]&lt;=AQ33,IF(TandE[[End Week]:[End Week]]&gt;=AQ33,(TandE[[Role 15]:[Role 15]]/(TandE[[End Week]:[End Week]]-(TandE[[Start Week]:[Start Week]]-1)))),0))</f>
        <v>0</v>
      </c>
      <c r="AR48" s="845" cm="1">
        <f t="array" aca="1" ref="AR48" ca="1">SUM(IF(TandE[[Start Week]:[Start Week]]&lt;=AR33,IF(TandE[[End Week]:[End Week]]&gt;=AR33,(TandE[[Role 15]:[Role 15]]/(TandE[[End Week]:[End Week]]-(TandE[[Start Week]:[Start Week]]-1)))),0))</f>
        <v>0</v>
      </c>
      <c r="AS48" s="845" cm="1">
        <f t="array" aca="1" ref="AS48" ca="1">SUM(IF(TandE[[Start Week]:[Start Week]]&lt;=AS33,IF(TandE[[End Week]:[End Week]]&gt;=AS33,(TandE[[Role 15]:[Role 15]]/(TandE[[End Week]:[End Week]]-(TandE[[Start Week]:[Start Week]]-1)))),0))</f>
        <v>0</v>
      </c>
      <c r="AT48" s="845" cm="1">
        <f t="array" aca="1" ref="AT48" ca="1">SUM(IF(TandE[[Start Week]:[Start Week]]&lt;=AT33,IF(TandE[[End Week]:[End Week]]&gt;=AT33,(TandE[[Role 15]:[Role 15]]/(TandE[[End Week]:[End Week]]-(TandE[[Start Week]:[Start Week]]-1)))),0))</f>
        <v>0</v>
      </c>
      <c r="AU48" s="845" cm="1">
        <f t="array" aca="1" ref="AU48" ca="1">SUM(IF(TandE[[Start Week]:[Start Week]]&lt;=AU33,IF(TandE[[End Week]:[End Week]]&gt;=AU33,(TandE[[Role 15]:[Role 15]]/(TandE[[End Week]:[End Week]]-(TandE[[Start Week]:[Start Week]]-1)))),0))</f>
        <v>0</v>
      </c>
      <c r="AV48" s="845" cm="1">
        <f t="array" aca="1" ref="AV48" ca="1">SUM(IF(TandE[[Start Week]:[Start Week]]&lt;=AV33,IF(TandE[[End Week]:[End Week]]&gt;=AV33,(TandE[[Role 15]:[Role 15]]/(TandE[[End Week]:[End Week]]-(TandE[[Start Week]:[Start Week]]-1)))),0))</f>
        <v>0</v>
      </c>
      <c r="AW48" s="845" cm="1">
        <f t="array" aca="1" ref="AW48" ca="1">SUM(IF(TandE[[Start Week]:[Start Week]]&lt;=AW33,IF(TandE[[End Week]:[End Week]]&gt;=AW33,(TandE[[Role 15]:[Role 15]]/(TandE[[End Week]:[End Week]]-(TandE[[Start Week]:[Start Week]]-1)))),0))</f>
        <v>0</v>
      </c>
      <c r="AX48" s="845" cm="1">
        <f t="array" aca="1" ref="AX48" ca="1">SUM(IF(TandE[[Start Week]:[Start Week]]&lt;=AX33,IF(TandE[[End Week]:[End Week]]&gt;=AX33,(TandE[[Role 15]:[Role 15]]/(TandE[[End Week]:[End Week]]-(TandE[[Start Week]:[Start Week]]-1)))),0))</f>
        <v>0</v>
      </c>
      <c r="AY48" s="845" cm="1">
        <f t="array" aca="1" ref="AY48" ca="1">SUM(IF(TandE[[Start Week]:[Start Week]]&lt;=AY33,IF(TandE[[End Week]:[End Week]]&gt;=AY33,(TandE[[Role 15]:[Role 15]]/(TandE[[End Week]:[End Week]]-(TandE[[Start Week]:[Start Week]]-1)))),0))</f>
        <v>0</v>
      </c>
      <c r="AZ48" s="845" cm="1">
        <f t="array" aca="1" ref="AZ48" ca="1">SUM(IF(TandE[[Start Week]:[Start Week]]&lt;=AZ33,IF(TandE[[End Week]:[End Week]]&gt;=AZ33,(TandE[[Role 15]:[Role 15]]/(TandE[[End Week]:[End Week]]-(TandE[[Start Week]:[Start Week]]-1)))),0))</f>
        <v>0</v>
      </c>
      <c r="BA48" s="845" cm="1">
        <f t="array" aca="1" ref="BA48" ca="1">SUM(IF(TandE[[Start Week]:[Start Week]]&lt;=BA33,IF(TandE[[End Week]:[End Week]]&gt;=BA33,(TandE[[Role 15]:[Role 15]]/(TandE[[End Week]:[End Week]]-(TandE[[Start Week]:[Start Week]]-1)))),0))</f>
        <v>0</v>
      </c>
      <c r="BB48" s="845" cm="1">
        <f t="array" aca="1" ref="BB48" ca="1">SUM(IF(TandE[[Start Week]:[Start Week]]&lt;=BB33,IF(TandE[[End Week]:[End Week]]&gt;=BB33,(TandE[[Role 15]:[Role 15]]/(TandE[[End Week]:[End Week]]-(TandE[[Start Week]:[Start Week]]-1)))),0))</f>
        <v>0</v>
      </c>
      <c r="BC48" s="845" cm="1">
        <f t="array" aca="1" ref="BC48" ca="1">SUM(IF(TandE[[Start Week]:[Start Week]]&lt;=BC33,IF(TandE[[End Week]:[End Week]]&gt;=BC33,(TandE[[Role 15]:[Role 15]]/(TandE[[End Week]:[End Week]]-(TandE[[Start Week]:[Start Week]]-1)))),0))</f>
        <v>0</v>
      </c>
      <c r="BD48" s="845" cm="1">
        <f t="array" aca="1" ref="BD48" ca="1">SUM(IF(TandE[[Start Week]:[Start Week]]&lt;=BD33,IF(TandE[[End Week]:[End Week]]&gt;=BD33,(TandE[[Role 15]:[Role 15]]/(TandE[[End Week]:[End Week]]-(TandE[[Start Week]:[Start Week]]-1)))),0))</f>
        <v>0</v>
      </c>
      <c r="BE48" s="845" cm="1">
        <f t="array" aca="1" ref="BE48" ca="1">SUM(IF(TandE[[Start Week]:[Start Week]]&lt;=BE33,IF(TandE[[End Week]:[End Week]]&gt;=BE33,(TandE[[Role 15]:[Role 15]]/(TandE[[End Week]:[End Week]]-(TandE[[Start Week]:[Start Week]]-1)))),0))</f>
        <v>0</v>
      </c>
      <c r="BF48" s="845" cm="1">
        <f t="array" aca="1" ref="BF48" ca="1">SUM(IF(TandE[[Start Week]:[Start Week]]&lt;=BF33,IF(TandE[[End Week]:[End Week]]&gt;=BF33,(TandE[[Role 15]:[Role 15]]/(TandE[[End Week]:[End Week]]-(TandE[[Start Week]:[Start Week]]-1)))),0))</f>
        <v>0</v>
      </c>
      <c r="BG48" s="845" cm="1">
        <f t="array" aca="1" ref="BG48" ca="1">SUM(IF(TandE[[Start Week]:[Start Week]]&lt;=BG33,IF(TandE[[End Week]:[End Week]]&gt;=BG33,(TandE[[Role 15]:[Role 15]]/(TandE[[End Week]:[End Week]]-(TandE[[Start Week]:[Start Week]]-1)))),0))</f>
        <v>0</v>
      </c>
      <c r="BH48" s="845" cm="1">
        <f t="array" aca="1" ref="BH48" ca="1">SUM(IF(TandE[[Start Week]:[Start Week]]&lt;=BH33,IF(TandE[[End Week]:[End Week]]&gt;=BH33,(TandE[[Role 15]:[Role 15]]/(TandE[[End Week]:[End Week]]-(TandE[[Start Week]:[Start Week]]-1)))),0))</f>
        <v>0</v>
      </c>
      <c r="BI48" s="845" cm="1">
        <f t="array" aca="1" ref="BI48" ca="1">SUM(IF(TandE[[Start Week]:[Start Week]]&lt;=BI33,IF(TandE[[End Week]:[End Week]]&gt;=BI33,(TandE[[Role 15]:[Role 15]]/(TandE[[End Week]:[End Week]]-(TandE[[Start Week]:[Start Week]]-1)))),0))</f>
        <v>0</v>
      </c>
      <c r="BJ48" s="845" cm="1">
        <f t="array" aca="1" ref="BJ48" ca="1">SUM(IF(TandE[[Start Week]:[Start Week]]&lt;=BJ33,IF(TandE[[End Week]:[End Week]]&gt;=BJ33,(TandE[[Role 15]:[Role 15]]/(TandE[[End Week]:[End Week]]-(TandE[[Start Week]:[Start Week]]-1)))),0))</f>
        <v>0</v>
      </c>
    </row>
    <row r="49" spans="2:62">
      <c r="B49" s="591" t="s">
        <v>225</v>
      </c>
      <c r="C49" s="592"/>
      <c r="D49" s="592"/>
      <c r="E49" s="592"/>
      <c r="F49" s="592"/>
      <c r="G49" s="592"/>
      <c r="H49" s="592"/>
      <c r="I49" s="592"/>
      <c r="J49" s="592"/>
      <c r="K49" s="593">
        <f ca="1">SUM(K34:K48)</f>
        <v>16</v>
      </c>
      <c r="L49" s="593">
        <f ca="1">SUM(L34:L48)</f>
        <v>119</v>
      </c>
      <c r="M49" s="593">
        <f t="shared" ref="M49:BJ49" ca="1" si="11">SUM(M34:M48)</f>
        <v>70</v>
      </c>
      <c r="N49" s="593">
        <f t="shared" ca="1" si="11"/>
        <v>70</v>
      </c>
      <c r="O49" s="593">
        <f t="shared" ca="1" si="11"/>
        <v>70</v>
      </c>
      <c r="P49" s="593">
        <f t="shared" ca="1" si="11"/>
        <v>70</v>
      </c>
      <c r="Q49" s="593">
        <f t="shared" ca="1" si="11"/>
        <v>44</v>
      </c>
      <c r="R49" s="593">
        <f t="shared" ca="1" si="11"/>
        <v>26</v>
      </c>
      <c r="S49" s="593">
        <f t="shared" ca="1" si="11"/>
        <v>0</v>
      </c>
      <c r="T49" s="593">
        <f t="shared" ca="1" si="11"/>
        <v>0</v>
      </c>
      <c r="U49" s="593">
        <f t="shared" ca="1" si="11"/>
        <v>0</v>
      </c>
      <c r="V49" s="593">
        <f t="shared" ca="1" si="11"/>
        <v>0</v>
      </c>
      <c r="W49" s="593">
        <f t="shared" ca="1" si="11"/>
        <v>0</v>
      </c>
      <c r="X49" s="593">
        <f t="shared" ca="1" si="11"/>
        <v>0</v>
      </c>
      <c r="Y49" s="593">
        <f t="shared" ca="1" si="11"/>
        <v>0</v>
      </c>
      <c r="Z49" s="593">
        <f t="shared" ca="1" si="11"/>
        <v>0</v>
      </c>
      <c r="AA49" s="593">
        <f t="shared" ca="1" si="11"/>
        <v>0</v>
      </c>
      <c r="AB49" s="593">
        <f t="shared" ca="1" si="11"/>
        <v>0</v>
      </c>
      <c r="AC49" s="593">
        <f t="shared" ca="1" si="11"/>
        <v>0</v>
      </c>
      <c r="AD49" s="593">
        <f t="shared" ca="1" si="11"/>
        <v>0</v>
      </c>
      <c r="AE49" s="593">
        <f t="shared" ca="1" si="11"/>
        <v>0</v>
      </c>
      <c r="AF49" s="593">
        <f t="shared" ca="1" si="11"/>
        <v>0</v>
      </c>
      <c r="AG49" s="593">
        <f t="shared" ca="1" si="11"/>
        <v>0</v>
      </c>
      <c r="AH49" s="593">
        <f t="shared" ca="1" si="11"/>
        <v>0</v>
      </c>
      <c r="AI49" s="593">
        <f t="shared" ca="1" si="11"/>
        <v>0</v>
      </c>
      <c r="AJ49" s="593">
        <f t="shared" ca="1" si="11"/>
        <v>0</v>
      </c>
      <c r="AK49" s="593">
        <f t="shared" ca="1" si="11"/>
        <v>0</v>
      </c>
      <c r="AL49" s="593">
        <f t="shared" ca="1" si="11"/>
        <v>0</v>
      </c>
      <c r="AM49" s="593">
        <f t="shared" ca="1" si="11"/>
        <v>0</v>
      </c>
      <c r="AN49" s="593">
        <f t="shared" ca="1" si="11"/>
        <v>0</v>
      </c>
      <c r="AO49" s="593">
        <f t="shared" ca="1" si="11"/>
        <v>0</v>
      </c>
      <c r="AP49" s="593">
        <f t="shared" ca="1" si="11"/>
        <v>0</v>
      </c>
      <c r="AQ49" s="593">
        <f t="shared" ca="1" si="11"/>
        <v>0</v>
      </c>
      <c r="AR49" s="593">
        <f t="shared" ca="1" si="11"/>
        <v>0</v>
      </c>
      <c r="AS49" s="593">
        <f t="shared" ca="1" si="11"/>
        <v>0</v>
      </c>
      <c r="AT49" s="593">
        <f t="shared" ca="1" si="11"/>
        <v>0</v>
      </c>
      <c r="AU49" s="593">
        <f t="shared" ca="1" si="11"/>
        <v>0</v>
      </c>
      <c r="AV49" s="593">
        <f t="shared" ca="1" si="11"/>
        <v>0</v>
      </c>
      <c r="AW49" s="593">
        <f t="shared" ca="1" si="11"/>
        <v>0</v>
      </c>
      <c r="AX49" s="593">
        <f t="shared" ca="1" si="11"/>
        <v>0</v>
      </c>
      <c r="AY49" s="593">
        <f t="shared" ca="1" si="11"/>
        <v>0</v>
      </c>
      <c r="AZ49" s="593">
        <f t="shared" ca="1" si="11"/>
        <v>0</v>
      </c>
      <c r="BA49" s="593">
        <f t="shared" ca="1" si="11"/>
        <v>0</v>
      </c>
      <c r="BB49" s="593">
        <f t="shared" ca="1" si="11"/>
        <v>0</v>
      </c>
      <c r="BC49" s="593">
        <f t="shared" ca="1" si="11"/>
        <v>0</v>
      </c>
      <c r="BD49" s="593">
        <f t="shared" ca="1" si="11"/>
        <v>0</v>
      </c>
      <c r="BE49" s="593">
        <f t="shared" ca="1" si="11"/>
        <v>0</v>
      </c>
      <c r="BF49" s="593">
        <f t="shared" ca="1" si="11"/>
        <v>0</v>
      </c>
      <c r="BG49" s="593">
        <f t="shared" ca="1" si="11"/>
        <v>0</v>
      </c>
      <c r="BH49" s="593">
        <f t="shared" ca="1" si="11"/>
        <v>0</v>
      </c>
      <c r="BI49" s="593">
        <f t="shared" ca="1" si="11"/>
        <v>0</v>
      </c>
      <c r="BJ49" s="593">
        <f t="shared" ca="1" si="11"/>
        <v>0</v>
      </c>
    </row>
    <row r="52" spans="2:62">
      <c r="C52" s="580"/>
    </row>
    <row r="53" spans="2:62">
      <c r="C53" s="580"/>
    </row>
    <row r="54" spans="2:62">
      <c r="C54" s="580"/>
    </row>
    <row r="55" spans="2:62">
      <c r="C55" s="580"/>
    </row>
    <row r="56" spans="2:62">
      <c r="C56" s="580"/>
    </row>
    <row r="57" spans="2:62">
      <c r="C57" s="580"/>
    </row>
    <row r="58" spans="2:62">
      <c r="C58" s="580"/>
    </row>
    <row r="59" spans="2:62">
      <c r="C59" s="580"/>
    </row>
    <row r="60" spans="2:62">
      <c r="C60" s="580"/>
    </row>
    <row r="61" spans="2:62">
      <c r="C61" s="580"/>
    </row>
    <row r="62" spans="2:62">
      <c r="C62" s="580"/>
    </row>
    <row r="63" spans="2:62">
      <c r="C63" s="580"/>
    </row>
    <row r="64" spans="2:62">
      <c r="C64" s="580"/>
    </row>
    <row r="65" spans="2:59">
      <c r="C65" s="580"/>
    </row>
    <row r="66" spans="2:59">
      <c r="C66" s="580"/>
    </row>
    <row r="67" spans="2:59">
      <c r="C67" s="580"/>
    </row>
    <row r="68" spans="2:59">
      <c r="C68" s="580"/>
    </row>
    <row r="69" spans="2:59">
      <c r="C69" s="580"/>
    </row>
    <row r="70" spans="2:59">
      <c r="C70" s="580"/>
    </row>
    <row r="71" spans="2:59">
      <c r="C71" s="580"/>
    </row>
    <row r="76" spans="2:59">
      <c r="B76" s="1201" t="s">
        <v>670</v>
      </c>
      <c r="C76" s="1201"/>
      <c r="D76" s="1201"/>
      <c r="E76" s="1201"/>
      <c r="F76" s="1201"/>
      <c r="G76" s="1201"/>
      <c r="H76" s="1201"/>
      <c r="I76" s="1201"/>
      <c r="J76" s="1201"/>
      <c r="K76" s="1201"/>
      <c r="L76" s="1201"/>
      <c r="M76" s="1201"/>
      <c r="N76" s="1201"/>
      <c r="O76" s="1201"/>
      <c r="P76" s="1201"/>
      <c r="Q76" s="1201"/>
      <c r="R76" s="1201"/>
      <c r="S76" s="1201"/>
      <c r="T76" s="1201"/>
      <c r="U76" s="1201"/>
      <c r="V76" s="1201"/>
      <c r="W76" s="1201"/>
      <c r="X76" s="1201"/>
      <c r="Y76" s="1201"/>
      <c r="Z76" s="1201"/>
      <c r="AA76" s="1201"/>
      <c r="AB76" s="1201"/>
      <c r="AC76" s="1201"/>
      <c r="AD76" s="1201"/>
      <c r="AE76" s="1201"/>
      <c r="AF76" s="1201"/>
      <c r="AG76" s="1201"/>
      <c r="AH76" s="1201"/>
      <c r="AI76" s="1201"/>
      <c r="AJ76" s="1201"/>
      <c r="AK76" s="1201"/>
      <c r="AL76" s="1201"/>
      <c r="AM76" s="1201"/>
      <c r="AN76" s="1201"/>
      <c r="AO76" s="1201"/>
      <c r="AP76" s="1201"/>
      <c r="AQ76" s="1201"/>
      <c r="AR76" s="1201"/>
      <c r="AS76" s="1201"/>
      <c r="AT76" s="1201"/>
      <c r="AU76" s="1201"/>
      <c r="AV76" s="1201"/>
      <c r="AW76" s="1201"/>
      <c r="AX76" s="1201"/>
      <c r="AY76" s="1201"/>
      <c r="AZ76" s="1201"/>
      <c r="BA76" s="1201"/>
      <c r="BB76" s="1201"/>
      <c r="BC76" s="1201"/>
      <c r="BD76" s="1201"/>
      <c r="BE76" s="1201"/>
      <c r="BF76" s="1201"/>
      <c r="BG76" s="1201"/>
    </row>
    <row r="77" spans="2:59" ht="56.25">
      <c r="B77" s="596" t="s">
        <v>548</v>
      </c>
      <c r="C77" s="597" t="s">
        <v>288</v>
      </c>
      <c r="D77" s="597" t="s">
        <v>347</v>
      </c>
      <c r="E77" s="597" t="s">
        <v>281</v>
      </c>
      <c r="F77" s="597" t="s">
        <v>282</v>
      </c>
      <c r="G77" s="597" t="s">
        <v>283</v>
      </c>
      <c r="H77" s="729" t="s">
        <v>673</v>
      </c>
      <c r="I77" s="729" t="s">
        <v>674</v>
      </c>
      <c r="J77" s="730" t="s">
        <v>675</v>
      </c>
      <c r="K77" s="730" t="s">
        <v>676</v>
      </c>
      <c r="L77" s="730" t="s">
        <v>677</v>
      </c>
      <c r="M77" s="721" t="s">
        <v>678</v>
      </c>
      <c r="N77" s="721" t="s">
        <v>679</v>
      </c>
      <c r="O77" s="721" t="s">
        <v>680</v>
      </c>
      <c r="P77" s="721" t="s">
        <v>681</v>
      </c>
      <c r="Q77" s="721" t="s">
        <v>682</v>
      </c>
      <c r="R77" s="721" t="s">
        <v>683</v>
      </c>
      <c r="S77" s="721" t="s">
        <v>684</v>
      </c>
      <c r="T77" s="721" t="s">
        <v>685</v>
      </c>
      <c r="U77" s="721" t="s">
        <v>686</v>
      </c>
      <c r="V77" s="721" t="s">
        <v>687</v>
      </c>
      <c r="W77" s="721" t="s">
        <v>688</v>
      </c>
      <c r="X77" s="721" t="s">
        <v>689</v>
      </c>
      <c r="Y77" s="721" t="s">
        <v>690</v>
      </c>
      <c r="Z77" s="721" t="s">
        <v>691</v>
      </c>
      <c r="AA77" s="721" t="s">
        <v>692</v>
      </c>
      <c r="AB77" s="721" t="s">
        <v>693</v>
      </c>
      <c r="AC77" s="721" t="s">
        <v>694</v>
      </c>
      <c r="AD77" s="721" t="s">
        <v>695</v>
      </c>
      <c r="AE77" s="721" t="s">
        <v>696</v>
      </c>
      <c r="AF77" s="721" t="s">
        <v>697</v>
      </c>
      <c r="AG77" s="721" t="s">
        <v>698</v>
      </c>
      <c r="AH77" s="721" t="s">
        <v>699</v>
      </c>
      <c r="AI77" s="721" t="s">
        <v>700</v>
      </c>
      <c r="AJ77" s="721" t="s">
        <v>701</v>
      </c>
      <c r="AK77" s="721" t="s">
        <v>702</v>
      </c>
      <c r="AL77" s="721" t="s">
        <v>703</v>
      </c>
      <c r="AM77" s="721" t="s">
        <v>704</v>
      </c>
      <c r="AN77" s="721" t="s">
        <v>705</v>
      </c>
      <c r="AO77" s="721" t="s">
        <v>706</v>
      </c>
      <c r="AP77" s="721" t="s">
        <v>707</v>
      </c>
      <c r="AQ77" s="721" t="s">
        <v>708</v>
      </c>
      <c r="AR77" s="721" t="s">
        <v>709</v>
      </c>
      <c r="AS77" s="721" t="s">
        <v>710</v>
      </c>
      <c r="AT77" s="721" t="s">
        <v>711</v>
      </c>
      <c r="AU77" s="721" t="s">
        <v>712</v>
      </c>
      <c r="AV77" s="721" t="s">
        <v>713</v>
      </c>
      <c r="AW77" s="721" t="s">
        <v>714</v>
      </c>
      <c r="AX77" s="721" t="s">
        <v>715</v>
      </c>
      <c r="AY77" s="721" t="s">
        <v>716</v>
      </c>
      <c r="AZ77" s="721" t="s">
        <v>717</v>
      </c>
      <c r="BA77" s="721" t="s">
        <v>718</v>
      </c>
      <c r="BB77" s="721" t="s">
        <v>719</v>
      </c>
      <c r="BC77" s="721" t="s">
        <v>720</v>
      </c>
      <c r="BD77" s="721" t="s">
        <v>721</v>
      </c>
      <c r="BE77" s="721" t="s">
        <v>722</v>
      </c>
      <c r="BF77" s="721" t="s">
        <v>723</v>
      </c>
      <c r="BG77" s="721" t="s">
        <v>724</v>
      </c>
    </row>
    <row r="78" spans="2:59">
      <c r="B78" s="588" t="s">
        <v>470</v>
      </c>
      <c r="C78" s="589" t="str">
        <f ca="1">INDEX(RolesandSkills[Role + Practice],MATCH(Table211725[[#This Row],[Role '#]],RolesandSkills[Role '#],0),1)</f>
        <v>Project Manager-PMO</v>
      </c>
      <c r="D78" s="589" t="str">
        <f ca="1">INDEX(RolesandSkills[Resource Location],MATCH(Table211725[[#This Row],[Role '#]],RolesandSkills[Role '#],0),1)</f>
        <v>USA</v>
      </c>
      <c r="E78" s="589" t="str">
        <f ca="1">INDEX(RolesandSkills[Skill '#1],MATCH(Table211725[[#This Row],[Role '#]],RolesandSkills[Role '#],0),1)</f>
        <v/>
      </c>
      <c r="F78" s="589" t="str">
        <f ca="1">INDEX(RolesandSkills[Skill '#2],MATCH(Table211725[[#This Row],[Role '#]],RolesandSkills[Role '#],0),1)</f>
        <v/>
      </c>
      <c r="G78" s="589" t="str">
        <f ca="1">INDEX(RolesandSkills[Skill '#3],MATCH(Table211725[[#This Row],[Role '#]],RolesandSkills[Role '#],0),1)</f>
        <v/>
      </c>
      <c r="H78" s="586">
        <f ca="1">SUMIF(TandE[Start Week],K$32,'Tasks and Estimates'!$L$2:$L$151)</f>
        <v>10</v>
      </c>
      <c r="I78" s="586">
        <f ca="1">SUMIF(TandE[Start Week],L$32,'Tasks and Estimates'!$L$2:$L$151)</f>
        <v>10</v>
      </c>
      <c r="J78" s="586">
        <f ca="1">SUMIF(TandE[Start Week],M$32,'Tasks and Estimates'!$L$2:$L$151)</f>
        <v>40</v>
      </c>
      <c r="K78" s="586">
        <f ca="1">SUMIF(TandE[Start Week],N$32,'Tasks and Estimates'!$L$2:$L$151)</f>
        <v>0</v>
      </c>
      <c r="L78" s="586">
        <f ca="1">SUMIF(TandE[Start Week],O$32,'Tasks and Estimates'!$L$2:$L$151)</f>
        <v>0</v>
      </c>
      <c r="M78" s="586">
        <f ca="1">SUMIF(TandE[Start Week],P$32,TandE[[#All],[Role 1]])</f>
        <v>0</v>
      </c>
      <c r="N78" s="719"/>
      <c r="O78" s="719"/>
      <c r="P78" s="719"/>
      <c r="Q78" s="719"/>
      <c r="R78" s="719"/>
      <c r="S78" s="719"/>
      <c r="T78" s="719"/>
      <c r="U78" s="719"/>
      <c r="V78" s="719"/>
      <c r="W78" s="719"/>
      <c r="X78" s="719"/>
      <c r="Y78" s="719"/>
      <c r="Z78" s="719"/>
      <c r="AA78" s="719"/>
      <c r="AB78" s="719"/>
      <c r="AC78" s="719"/>
      <c r="AD78" s="719"/>
      <c r="AE78" s="719"/>
      <c r="AF78" s="719"/>
      <c r="AG78" s="719"/>
      <c r="AH78" s="719"/>
      <c r="AI78" s="719"/>
      <c r="AJ78" s="719"/>
      <c r="AK78" s="719"/>
      <c r="AL78" s="719"/>
      <c r="AM78" s="719"/>
      <c r="AN78" s="719"/>
      <c r="AO78" s="719"/>
      <c r="AP78" s="719"/>
      <c r="AQ78" s="719"/>
      <c r="AR78" s="719"/>
      <c r="AS78" s="719"/>
      <c r="AT78" s="719"/>
      <c r="AU78" s="719"/>
      <c r="AV78" s="719"/>
      <c r="AW78" s="719"/>
      <c r="AX78" s="719"/>
      <c r="AY78" s="719"/>
      <c r="AZ78" s="719"/>
      <c r="BA78" s="719"/>
      <c r="BB78" s="719"/>
      <c r="BC78" s="719"/>
      <c r="BD78" s="719"/>
      <c r="BE78" s="719"/>
      <c r="BF78" s="719"/>
      <c r="BG78" s="719"/>
    </row>
    <row r="79" spans="2:59" ht="30">
      <c r="B79" s="590" t="s">
        <v>471</v>
      </c>
      <c r="C79" s="589" t="str">
        <f ca="1">INDEX(RolesandSkills[Role + Practice],MATCH(Table211725[[#This Row],[Role '#]],RolesandSkills[Role '#],0),1)</f>
        <v>Solution Architect-Technology</v>
      </c>
      <c r="D79" s="589" t="str">
        <f ca="1">INDEX(RolesandSkills[Resource Location],MATCH(Table211725[[#This Row],[Role '#]],RolesandSkills[Role '#],0),1)</f>
        <v>USA</v>
      </c>
      <c r="E79" s="589" t="str">
        <f ca="1">INDEX(RolesandSkills[Skill '#1],MATCH(Table211725[[#This Row],[Role '#]],RolesandSkills[Role '#],0),1)</f>
        <v>AI Now Assist ITSM</v>
      </c>
      <c r="F79" s="589" t="str">
        <f ca="1">INDEX(RolesandSkills[Skill '#2],MATCH(Table211725[[#This Row],[Role '#]],RolesandSkills[Role '#],0),1)</f>
        <v/>
      </c>
      <c r="G79" s="589" t="str">
        <f ca="1">INDEX(RolesandSkills[Skill '#3],MATCH(Table211725[[#This Row],[Role '#]],RolesandSkills[Role '#],0),1)</f>
        <v/>
      </c>
      <c r="H79" s="586">
        <f ca="1">SUMIF(TandE[Start Week],K$32,'Tasks and Estimates'!$M$2:$M$151)</f>
        <v>2</v>
      </c>
      <c r="I79" s="586">
        <f ca="1">SUMIF(TandE[Start Week],L$32,'Tasks and Estimates'!$M$2:$M$151)</f>
        <v>31</v>
      </c>
      <c r="J79" s="586">
        <f ca="1">SUMIF(TandE[Start Week],M$32,'Tasks and Estimates'!$M$2:$M$151)</f>
        <v>36</v>
      </c>
      <c r="K79" s="586">
        <f ca="1">SUMIF(TandE[Start Week],N$32,'Tasks and Estimates'!$M$2:$M$151)</f>
        <v>0</v>
      </c>
      <c r="L79" s="586">
        <f ca="1">SUMIF(TandE[Start Week],O$32,'Tasks and Estimates'!$M$2:$M$151)</f>
        <v>0</v>
      </c>
      <c r="M79" s="586">
        <f ca="1">SUMIF(TandE[Start Week],P$32,'Tasks and Estimates'!$M$2:$M$151)</f>
        <v>0</v>
      </c>
      <c r="N79" s="586"/>
      <c r="O79" s="586"/>
      <c r="P79" s="586"/>
      <c r="Q79" s="586"/>
      <c r="R79" s="586"/>
      <c r="S79" s="586"/>
      <c r="T79" s="586"/>
      <c r="U79" s="586"/>
      <c r="V79" s="586"/>
      <c r="W79" s="586"/>
      <c r="X79" s="586"/>
      <c r="Y79" s="586"/>
      <c r="Z79" s="586"/>
      <c r="AA79" s="586"/>
      <c r="AB79" s="586"/>
      <c r="AC79" s="586"/>
      <c r="AD79" s="586"/>
      <c r="AE79" s="586"/>
      <c r="AF79" s="586"/>
      <c r="AG79" s="586"/>
      <c r="AH79" s="586"/>
      <c r="AI79" s="586"/>
      <c r="AJ79" s="586"/>
      <c r="AK79" s="586"/>
      <c r="AL79" s="586"/>
      <c r="AM79" s="586"/>
      <c r="AN79" s="586"/>
      <c r="AO79" s="586"/>
      <c r="AP79" s="586"/>
      <c r="AQ79" s="586"/>
      <c r="AR79" s="586"/>
      <c r="AS79" s="586"/>
      <c r="AT79" s="586"/>
      <c r="AU79" s="586"/>
      <c r="AV79" s="586"/>
      <c r="AW79" s="586"/>
      <c r="AX79" s="586"/>
      <c r="AY79" s="586"/>
      <c r="AZ79" s="586"/>
      <c r="BA79" s="586"/>
      <c r="BB79" s="586"/>
      <c r="BC79" s="586"/>
      <c r="BD79" s="586"/>
      <c r="BE79" s="586"/>
      <c r="BF79" s="586"/>
      <c r="BG79" s="586"/>
    </row>
    <row r="80" spans="2:59" ht="30">
      <c r="B80" s="588" t="s">
        <v>472</v>
      </c>
      <c r="C80" s="589" t="str">
        <f ca="1">INDEX(RolesandSkills[Role + Practice],MATCH(Table211725[[#This Row],[Role '#]],RolesandSkills[Role '#],0),1)</f>
        <v>Business Process Consultant-Technology</v>
      </c>
      <c r="D80" s="589" t="str">
        <f ca="1">INDEX(RolesandSkills[Resource Location],MATCH(Table211725[[#This Row],[Role '#]],RolesandSkills[Role '#],0),1)</f>
        <v>USA</v>
      </c>
      <c r="E80" s="589" t="str">
        <f ca="1">INDEX(RolesandSkills[Skill '#1],MATCH(Table211725[[#This Row],[Role '#]],RolesandSkills[Role '#],0),1)</f>
        <v>AI Now Assist ITSM</v>
      </c>
      <c r="F80" s="589" t="str">
        <f ca="1">INDEX(RolesandSkills[Skill '#2],MATCH(Table211725[[#This Row],[Role '#]],RolesandSkills[Role '#],0),1)</f>
        <v/>
      </c>
      <c r="G80" s="589" t="str">
        <f ca="1">INDEX(RolesandSkills[Skill '#3],MATCH(Table211725[[#This Row],[Role '#]],RolesandSkills[Role '#],0),1)</f>
        <v/>
      </c>
      <c r="H80" s="586">
        <f ca="1">SUMIF(TandE[Start Week],K$32,'Tasks and Estimates'!$N$2:$N$151)</f>
        <v>2</v>
      </c>
      <c r="I80" s="586">
        <f ca="1">SUMIF(TandE[Start Week],L$32,'Tasks and Estimates'!$N$2:$N$151)</f>
        <v>40</v>
      </c>
      <c r="J80" s="586">
        <f ca="1">SUMIF(TandE[Start Week],M$32,'Tasks and Estimates'!$N$2:$N$151)</f>
        <v>72</v>
      </c>
      <c r="K80" s="586">
        <f ca="1">SUMIF(TandE[Start Week],N$32,'Tasks and Estimates'!$N$2:$N$151)</f>
        <v>0</v>
      </c>
      <c r="L80" s="586">
        <f ca="1">SUMIF(TandE[Start Week],O$32,'Tasks and Estimates'!$N$2:$N$151)</f>
        <v>0</v>
      </c>
      <c r="M80" s="586">
        <f ca="1">SUMIF(TandE[Start Week],P$32,'Tasks and Estimates'!$N$2:$N$151)</f>
        <v>0</v>
      </c>
      <c r="N80" s="586"/>
      <c r="O80" s="586"/>
      <c r="P80" s="586"/>
      <c r="Q80" s="586"/>
      <c r="R80" s="586"/>
      <c r="S80" s="586"/>
      <c r="T80" s="586"/>
      <c r="U80" s="586"/>
      <c r="V80" s="586"/>
      <c r="W80" s="586"/>
      <c r="X80" s="586"/>
      <c r="Y80" s="586"/>
      <c r="Z80" s="586"/>
      <c r="AA80" s="586"/>
      <c r="AB80" s="586"/>
      <c r="AC80" s="586"/>
      <c r="AD80" s="586"/>
      <c r="AE80" s="586"/>
      <c r="AF80" s="586"/>
      <c r="AG80" s="586"/>
      <c r="AH80" s="586"/>
      <c r="AI80" s="586"/>
      <c r="AJ80" s="586"/>
      <c r="AK80" s="586"/>
      <c r="AL80" s="586"/>
      <c r="AM80" s="586"/>
      <c r="AN80" s="586"/>
      <c r="AO80" s="586"/>
      <c r="AP80" s="586"/>
      <c r="AQ80" s="586"/>
      <c r="AR80" s="586"/>
      <c r="AS80" s="586"/>
      <c r="AT80" s="586"/>
      <c r="AU80" s="586"/>
      <c r="AV80" s="586"/>
      <c r="AW80" s="586"/>
      <c r="AX80" s="586"/>
      <c r="AY80" s="586"/>
      <c r="AZ80" s="586"/>
      <c r="BA80" s="586"/>
      <c r="BB80" s="586"/>
      <c r="BC80" s="586"/>
      <c r="BD80" s="586"/>
      <c r="BE80" s="586"/>
      <c r="BF80" s="586"/>
      <c r="BG80" s="586"/>
    </row>
    <row r="81" spans="2:59" ht="30">
      <c r="B81" s="590" t="s">
        <v>473</v>
      </c>
      <c r="C81" s="589" t="str">
        <f ca="1">INDEX(RolesandSkills[Role + Practice],MATCH(Table211725[[#This Row],[Role '#]],RolesandSkills[Role '#],0),1)</f>
        <v>Senior Technical Consultant-Technology</v>
      </c>
      <c r="D81" s="589" t="str">
        <f ca="1">INDEX(RolesandSkills[Resource Location],MATCH(Table211725[[#This Row],[Role '#]],RolesandSkills[Role '#],0),1)</f>
        <v>India</v>
      </c>
      <c r="E81" s="589" t="str">
        <f ca="1">INDEX(RolesandSkills[Skill '#1],MATCH(Table211725[[#This Row],[Role '#]],RolesandSkills[Role '#],0),1)</f>
        <v>AI Now Assist ITSM</v>
      </c>
      <c r="F81" s="589" t="str">
        <f ca="1">INDEX(RolesandSkills[Skill '#2],MATCH(Table211725[[#This Row],[Role '#]],RolesandSkills[Role '#],0),1)</f>
        <v/>
      </c>
      <c r="G81" s="589" t="str">
        <f ca="1">INDEX(RolesandSkills[Skill '#3],MATCH(Table211725[[#This Row],[Role '#]],RolesandSkills[Role '#],0),1)</f>
        <v/>
      </c>
      <c r="H81" s="586"/>
      <c r="I81" s="586"/>
      <c r="J81" s="586"/>
      <c r="K81" s="586"/>
      <c r="L81" s="586"/>
      <c r="M81" s="586"/>
      <c r="N81" s="586"/>
      <c r="O81" s="586"/>
      <c r="P81" s="586"/>
      <c r="Q81" s="586"/>
      <c r="R81" s="586"/>
      <c r="S81" s="586"/>
      <c r="T81" s="586"/>
      <c r="U81" s="586"/>
      <c r="V81" s="586"/>
      <c r="W81" s="586"/>
      <c r="X81" s="586"/>
      <c r="Y81" s="586"/>
      <c r="Z81" s="586"/>
      <c r="AA81" s="586"/>
      <c r="AB81" s="586"/>
      <c r="AC81" s="586"/>
      <c r="AD81" s="586"/>
      <c r="AE81" s="586"/>
      <c r="AF81" s="586"/>
      <c r="AG81" s="586"/>
      <c r="AH81" s="586"/>
      <c r="AI81" s="586"/>
      <c r="AJ81" s="586"/>
      <c r="AK81" s="586"/>
      <c r="AL81" s="586"/>
      <c r="AM81" s="586"/>
      <c r="AN81" s="586"/>
      <c r="AO81" s="586"/>
      <c r="AP81" s="586"/>
      <c r="AQ81" s="586"/>
      <c r="AR81" s="586"/>
      <c r="AS81" s="586"/>
      <c r="AT81" s="586"/>
      <c r="AU81" s="586"/>
      <c r="AV81" s="586"/>
      <c r="AW81" s="586"/>
      <c r="AX81" s="586"/>
      <c r="AY81" s="586"/>
      <c r="AZ81" s="586"/>
      <c r="BA81" s="586"/>
      <c r="BB81" s="586"/>
      <c r="BC81" s="586"/>
      <c r="BD81" s="586"/>
      <c r="BE81" s="586"/>
      <c r="BF81" s="586"/>
      <c r="BG81" s="586"/>
    </row>
    <row r="82" spans="2:59" ht="30">
      <c r="B82" s="588" t="s">
        <v>474</v>
      </c>
      <c r="C82" s="589" t="str">
        <f ca="1">INDEX(RolesandSkills[Role + Practice],MATCH(Table211725[[#This Row],[Role '#]],RolesandSkills[Role '#],0),1)</f>
        <v>Workflow/Practice Strategist-Technology</v>
      </c>
      <c r="D82" s="589" t="str">
        <f ca="1">INDEX(RolesandSkills[Resource Location],MATCH(Table211725[[#This Row],[Role '#]],RolesandSkills[Role '#],0),1)</f>
        <v>USA</v>
      </c>
      <c r="E82" s="589" t="str">
        <f ca="1">INDEX(RolesandSkills[Skill '#1],MATCH(Table211725[[#This Row],[Role '#]],RolesandSkills[Role '#],0),1)</f>
        <v>AI Now Assist ITSM</v>
      </c>
      <c r="F82" s="589" t="str">
        <f ca="1">INDEX(RolesandSkills[Skill '#2],MATCH(Table211725[[#This Row],[Role '#]],RolesandSkills[Role '#],0),1)</f>
        <v/>
      </c>
      <c r="G82" s="589" t="str">
        <f ca="1">INDEX(RolesandSkills[Skill '#3],MATCH(Table211725[[#This Row],[Role '#]],RolesandSkills[Role '#],0),1)</f>
        <v/>
      </c>
      <c r="H82" s="586"/>
      <c r="I82" s="586"/>
      <c r="J82" s="586"/>
      <c r="K82" s="586"/>
      <c r="L82" s="586"/>
      <c r="M82" s="586"/>
      <c r="N82" s="586"/>
      <c r="O82" s="586"/>
      <c r="P82" s="586"/>
      <c r="Q82" s="586"/>
      <c r="R82" s="586"/>
      <c r="S82" s="586"/>
      <c r="T82" s="586"/>
      <c r="U82" s="586"/>
      <c r="V82" s="586"/>
      <c r="W82" s="586"/>
      <c r="X82" s="586"/>
      <c r="Y82" s="586"/>
      <c r="Z82" s="586"/>
      <c r="AA82" s="586"/>
      <c r="AB82" s="586"/>
      <c r="AC82" s="586"/>
      <c r="AD82" s="586"/>
      <c r="AE82" s="586"/>
      <c r="AF82" s="586"/>
      <c r="AG82" s="586"/>
      <c r="AH82" s="586"/>
      <c r="AI82" s="586"/>
      <c r="AJ82" s="586"/>
      <c r="AK82" s="586"/>
      <c r="AL82" s="586"/>
      <c r="AM82" s="586"/>
      <c r="AN82" s="586"/>
      <c r="AO82" s="586"/>
      <c r="AP82" s="586"/>
      <c r="AQ82" s="586"/>
      <c r="AR82" s="586"/>
      <c r="AS82" s="586"/>
      <c r="AT82" s="586"/>
      <c r="AU82" s="586"/>
      <c r="AV82" s="586"/>
      <c r="AW82" s="586"/>
      <c r="AX82" s="586"/>
      <c r="AY82" s="586"/>
      <c r="AZ82" s="586"/>
      <c r="BA82" s="586"/>
      <c r="BB82" s="586"/>
      <c r="BC82" s="586"/>
      <c r="BD82" s="586"/>
      <c r="BE82" s="586"/>
      <c r="BF82" s="586"/>
      <c r="BG82" s="586"/>
    </row>
    <row r="83" spans="2:59">
      <c r="B83" s="590" t="s">
        <v>475</v>
      </c>
      <c r="C83" s="589" t="str">
        <f ca="1">INDEX(RolesandSkills[Role + Practice],MATCH(Table211725[[#This Row],[Role '#]],RolesandSkills[Role '#],0),1)</f>
        <v>-</v>
      </c>
      <c r="D83" s="589" t="str">
        <f ca="1">INDEX(RolesandSkills[Resource Location],MATCH(Table211725[[#This Row],[Role '#]],RolesandSkills[Role '#],0),1)</f>
        <v/>
      </c>
      <c r="E83" s="589" t="str">
        <f ca="1">INDEX(RolesandSkills[Skill '#1],MATCH(Table211725[[#This Row],[Role '#]],RolesandSkills[Role '#],0),1)</f>
        <v/>
      </c>
      <c r="F83" s="589" t="str">
        <f ca="1">INDEX(RolesandSkills[Skill '#2],MATCH(Table211725[[#This Row],[Role '#]],RolesandSkills[Role '#],0),1)</f>
        <v/>
      </c>
      <c r="G83" s="589" t="str">
        <f ca="1">INDEX(RolesandSkills[Skill '#3],MATCH(Table211725[[#This Row],[Role '#]],RolesandSkills[Role '#],0),1)</f>
        <v/>
      </c>
      <c r="H83" s="586"/>
      <c r="I83" s="586"/>
      <c r="J83" s="586"/>
      <c r="K83" s="586"/>
      <c r="L83" s="586"/>
      <c r="M83" s="586"/>
      <c r="N83" s="586"/>
      <c r="O83" s="586"/>
      <c r="P83" s="586"/>
      <c r="Q83" s="586"/>
      <c r="R83" s="586"/>
      <c r="S83" s="586"/>
      <c r="T83" s="586"/>
      <c r="U83" s="586"/>
      <c r="V83" s="586"/>
      <c r="W83" s="586"/>
      <c r="X83" s="586"/>
      <c r="Y83" s="586"/>
      <c r="Z83" s="586"/>
      <c r="AA83" s="586"/>
      <c r="AB83" s="586"/>
      <c r="AC83" s="586"/>
      <c r="AD83" s="586"/>
      <c r="AE83" s="586"/>
      <c r="AF83" s="586"/>
      <c r="AG83" s="586"/>
      <c r="AH83" s="586"/>
      <c r="AI83" s="586"/>
      <c r="AJ83" s="586"/>
      <c r="AK83" s="586"/>
      <c r="AL83" s="586"/>
      <c r="AM83" s="586"/>
      <c r="AN83" s="586"/>
      <c r="AO83" s="586"/>
      <c r="AP83" s="586"/>
      <c r="AQ83" s="586"/>
      <c r="AR83" s="586"/>
      <c r="AS83" s="586"/>
      <c r="AT83" s="586"/>
      <c r="AU83" s="586"/>
      <c r="AV83" s="586"/>
      <c r="AW83" s="586"/>
      <c r="AX83" s="586"/>
      <c r="AY83" s="586"/>
      <c r="AZ83" s="586"/>
      <c r="BA83" s="586"/>
      <c r="BB83" s="586"/>
      <c r="BC83" s="586"/>
      <c r="BD83" s="586"/>
      <c r="BE83" s="586"/>
      <c r="BF83" s="586"/>
      <c r="BG83" s="586"/>
    </row>
    <row r="84" spans="2:59">
      <c r="B84" s="588" t="s">
        <v>476</v>
      </c>
      <c r="C84" s="589" t="str">
        <f ca="1">INDEX(RolesandSkills[Role + Practice],MATCH(Table211725[[#This Row],[Role '#]],RolesandSkills[Role '#],0),1)</f>
        <v>-</v>
      </c>
      <c r="D84" s="589" t="str">
        <f ca="1">INDEX(RolesandSkills[Resource Location],MATCH(Table211725[[#This Row],[Role '#]],RolesandSkills[Role '#],0),1)</f>
        <v/>
      </c>
      <c r="E84" s="589" t="str">
        <f ca="1">INDEX(RolesandSkills[Skill '#1],MATCH(Table211725[[#This Row],[Role '#]],RolesandSkills[Role '#],0),1)</f>
        <v/>
      </c>
      <c r="F84" s="589" t="str">
        <f ca="1">INDEX(RolesandSkills[Skill '#2],MATCH(Table211725[[#This Row],[Role '#]],RolesandSkills[Role '#],0),1)</f>
        <v/>
      </c>
      <c r="G84" s="589" t="str">
        <f ca="1">INDEX(RolesandSkills[Skill '#3],MATCH(Table211725[[#This Row],[Role '#]],RolesandSkills[Role '#],0),1)</f>
        <v/>
      </c>
      <c r="H84" s="586"/>
      <c r="I84" s="586"/>
      <c r="J84" s="586"/>
      <c r="K84" s="586"/>
      <c r="L84" s="586"/>
      <c r="M84" s="586"/>
      <c r="N84" s="586"/>
      <c r="O84" s="586"/>
      <c r="P84" s="586"/>
      <c r="Q84" s="586"/>
      <c r="R84" s="586"/>
      <c r="S84" s="586"/>
      <c r="T84" s="586"/>
      <c r="U84" s="586"/>
      <c r="V84" s="586"/>
      <c r="W84" s="586"/>
      <c r="X84" s="586"/>
      <c r="Y84" s="586"/>
      <c r="Z84" s="586"/>
      <c r="AA84" s="586"/>
      <c r="AB84" s="586"/>
      <c r="AC84" s="586"/>
      <c r="AD84" s="586"/>
      <c r="AE84" s="586"/>
      <c r="AF84" s="586"/>
      <c r="AG84" s="586"/>
      <c r="AH84" s="586"/>
      <c r="AI84" s="586"/>
      <c r="AJ84" s="586"/>
      <c r="AK84" s="586"/>
      <c r="AL84" s="586"/>
      <c r="AM84" s="586"/>
      <c r="AN84" s="586"/>
      <c r="AO84" s="586"/>
      <c r="AP84" s="586"/>
      <c r="AQ84" s="586"/>
      <c r="AR84" s="586"/>
      <c r="AS84" s="586"/>
      <c r="AT84" s="586"/>
      <c r="AU84" s="586"/>
      <c r="AV84" s="586"/>
      <c r="AW84" s="586"/>
      <c r="AX84" s="586"/>
      <c r="AY84" s="586"/>
      <c r="AZ84" s="586"/>
      <c r="BA84" s="586"/>
      <c r="BB84" s="586"/>
      <c r="BC84" s="586"/>
      <c r="BD84" s="586"/>
      <c r="BE84" s="586"/>
      <c r="BF84" s="586"/>
      <c r="BG84" s="586"/>
    </row>
    <row r="85" spans="2:59">
      <c r="B85" s="590" t="s">
        <v>477</v>
      </c>
      <c r="C85" s="589" t="str">
        <f ca="1">INDEX(RolesandSkills[Role + Practice],MATCH(Table211725[[#This Row],[Role '#]],RolesandSkills[Role '#],0),1)</f>
        <v>-</v>
      </c>
      <c r="D85" s="589" t="str">
        <f ca="1">INDEX(RolesandSkills[Resource Location],MATCH(Table211725[[#This Row],[Role '#]],RolesandSkills[Role '#],0),1)</f>
        <v/>
      </c>
      <c r="E85" s="589" t="str">
        <f ca="1">INDEX(RolesandSkills[Skill '#1],MATCH(Table211725[[#This Row],[Role '#]],RolesandSkills[Role '#],0),1)</f>
        <v/>
      </c>
      <c r="F85" s="589" t="str">
        <f ca="1">INDEX(RolesandSkills[Skill '#2],MATCH(Table211725[[#This Row],[Role '#]],RolesandSkills[Role '#],0),1)</f>
        <v/>
      </c>
      <c r="G85" s="589" t="str">
        <f ca="1">INDEX(RolesandSkills[Skill '#3],MATCH(Table211725[[#This Row],[Role '#]],RolesandSkills[Role '#],0),1)</f>
        <v/>
      </c>
      <c r="H85" s="586"/>
      <c r="I85" s="586"/>
      <c r="J85" s="586"/>
      <c r="K85" s="586"/>
      <c r="L85" s="586"/>
      <c r="M85" s="586"/>
      <c r="N85" s="586"/>
      <c r="O85" s="586"/>
      <c r="P85" s="586"/>
      <c r="Q85" s="586"/>
      <c r="R85" s="586"/>
      <c r="S85" s="586"/>
      <c r="T85" s="586"/>
      <c r="U85" s="586"/>
      <c r="V85" s="586"/>
      <c r="W85" s="586"/>
      <c r="X85" s="586"/>
      <c r="Y85" s="586"/>
      <c r="Z85" s="586"/>
      <c r="AA85" s="586"/>
      <c r="AB85" s="586"/>
      <c r="AC85" s="586"/>
      <c r="AD85" s="586"/>
      <c r="AE85" s="586"/>
      <c r="AF85" s="586"/>
      <c r="AG85" s="586"/>
      <c r="AH85" s="586"/>
      <c r="AI85" s="586"/>
      <c r="AJ85" s="586"/>
      <c r="AK85" s="586"/>
      <c r="AL85" s="586"/>
      <c r="AM85" s="586"/>
      <c r="AN85" s="586"/>
      <c r="AO85" s="586"/>
      <c r="AP85" s="586"/>
      <c r="AQ85" s="586"/>
      <c r="AR85" s="586"/>
      <c r="AS85" s="586"/>
      <c r="AT85" s="586"/>
      <c r="AU85" s="586"/>
      <c r="AV85" s="586"/>
      <c r="AW85" s="586"/>
      <c r="AX85" s="586"/>
      <c r="AY85" s="586"/>
      <c r="AZ85" s="586"/>
      <c r="BA85" s="586"/>
      <c r="BB85" s="586"/>
      <c r="BC85" s="586"/>
      <c r="BD85" s="586"/>
      <c r="BE85" s="586"/>
      <c r="BF85" s="586"/>
      <c r="BG85" s="586"/>
    </row>
    <row r="86" spans="2:59">
      <c r="B86" s="588" t="s">
        <v>478</v>
      </c>
      <c r="C86" s="589" t="str">
        <f ca="1">INDEX(RolesandSkills[Role + Practice],MATCH(Table211725[[#This Row],[Role '#]],RolesandSkills[Role '#],0),1)</f>
        <v>-</v>
      </c>
      <c r="D86" s="589" t="str">
        <f ca="1">INDEX(RolesandSkills[Resource Location],MATCH(Table211725[[#This Row],[Role '#]],RolesandSkills[Role '#],0),1)</f>
        <v/>
      </c>
      <c r="E86" s="589" t="str">
        <f ca="1">INDEX(RolesandSkills[Skill '#1],MATCH(Table211725[[#This Row],[Role '#]],RolesandSkills[Role '#],0),1)</f>
        <v/>
      </c>
      <c r="F86" s="589" t="str">
        <f ca="1">INDEX(RolesandSkills[Skill '#2],MATCH(Table211725[[#This Row],[Role '#]],RolesandSkills[Role '#],0),1)</f>
        <v/>
      </c>
      <c r="G86" s="589" t="str">
        <f ca="1">INDEX(RolesandSkills[Skill '#3],MATCH(Table211725[[#This Row],[Role '#]],RolesandSkills[Role '#],0),1)</f>
        <v/>
      </c>
      <c r="H86" s="586"/>
      <c r="I86" s="586"/>
      <c r="J86" s="586"/>
      <c r="K86" s="586"/>
      <c r="L86" s="586"/>
      <c r="M86" s="586"/>
      <c r="N86" s="586"/>
      <c r="O86" s="586"/>
      <c r="P86" s="586"/>
      <c r="Q86" s="586"/>
      <c r="R86" s="586"/>
      <c r="S86" s="586"/>
      <c r="T86" s="586"/>
      <c r="U86" s="586"/>
      <c r="V86" s="586"/>
      <c r="W86" s="586"/>
      <c r="X86" s="586"/>
      <c r="Y86" s="586"/>
      <c r="Z86" s="586"/>
      <c r="AA86" s="586"/>
      <c r="AB86" s="586"/>
      <c r="AC86" s="586"/>
      <c r="AD86" s="586"/>
      <c r="AE86" s="586"/>
      <c r="AF86" s="586"/>
      <c r="AG86" s="586"/>
      <c r="AH86" s="586"/>
      <c r="AI86" s="586"/>
      <c r="AJ86" s="586"/>
      <c r="AK86" s="586"/>
      <c r="AL86" s="586"/>
      <c r="AM86" s="586"/>
      <c r="AN86" s="586"/>
      <c r="AO86" s="586"/>
      <c r="AP86" s="586"/>
      <c r="AQ86" s="586"/>
      <c r="AR86" s="586"/>
      <c r="AS86" s="586"/>
      <c r="AT86" s="586"/>
      <c r="AU86" s="586"/>
      <c r="AV86" s="586"/>
      <c r="AW86" s="586"/>
      <c r="AX86" s="586"/>
      <c r="AY86" s="586"/>
      <c r="AZ86" s="586"/>
      <c r="BA86" s="586"/>
      <c r="BB86" s="586"/>
      <c r="BC86" s="586"/>
      <c r="BD86" s="586"/>
      <c r="BE86" s="586"/>
      <c r="BF86" s="586"/>
      <c r="BG86" s="586"/>
    </row>
    <row r="87" spans="2:59">
      <c r="B87" s="590" t="s">
        <v>479</v>
      </c>
      <c r="C87" s="589" t="str">
        <f ca="1">INDEX(RolesandSkills[Role + Practice],MATCH(Table211725[[#This Row],[Role '#]],RolesandSkills[Role '#],0),1)</f>
        <v>-</v>
      </c>
      <c r="D87" s="589" t="str">
        <f ca="1">INDEX(RolesandSkills[Resource Location],MATCH(Table211725[[#This Row],[Role '#]],RolesandSkills[Role '#],0),1)</f>
        <v/>
      </c>
      <c r="E87" s="589" t="str">
        <f ca="1">INDEX(RolesandSkills[Skill '#1],MATCH(Table211725[[#This Row],[Role '#]],RolesandSkills[Role '#],0),1)</f>
        <v/>
      </c>
      <c r="F87" s="589" t="str">
        <f ca="1">INDEX(RolesandSkills[Skill '#2],MATCH(Table211725[[#This Row],[Role '#]],RolesandSkills[Role '#],0),1)</f>
        <v/>
      </c>
      <c r="G87" s="589" t="str">
        <f ca="1">INDEX(RolesandSkills[Skill '#3],MATCH(Table211725[[#This Row],[Role '#]],RolesandSkills[Role '#],0),1)</f>
        <v/>
      </c>
      <c r="H87" s="586"/>
      <c r="I87" s="586"/>
      <c r="J87" s="586"/>
      <c r="K87" s="586"/>
      <c r="L87" s="586"/>
      <c r="M87" s="586"/>
      <c r="N87" s="586"/>
      <c r="O87" s="586"/>
      <c r="P87" s="586"/>
      <c r="Q87" s="586"/>
      <c r="R87" s="586"/>
      <c r="S87" s="586"/>
      <c r="T87" s="586"/>
      <c r="U87" s="586"/>
      <c r="V87" s="586"/>
      <c r="W87" s="586"/>
      <c r="X87" s="586"/>
      <c r="Y87" s="586"/>
      <c r="Z87" s="586"/>
      <c r="AA87" s="586"/>
      <c r="AB87" s="586"/>
      <c r="AC87" s="586"/>
      <c r="AD87" s="586"/>
      <c r="AE87" s="586"/>
      <c r="AF87" s="586"/>
      <c r="AG87" s="586"/>
      <c r="AH87" s="586"/>
      <c r="AI87" s="586"/>
      <c r="AJ87" s="586"/>
      <c r="AK87" s="586"/>
      <c r="AL87" s="586"/>
      <c r="AM87" s="586"/>
      <c r="AN87" s="586"/>
      <c r="AO87" s="586"/>
      <c r="AP87" s="586"/>
      <c r="AQ87" s="586"/>
      <c r="AR87" s="586"/>
      <c r="AS87" s="586"/>
      <c r="AT87" s="586"/>
      <c r="AU87" s="586"/>
      <c r="AV87" s="586"/>
      <c r="AW87" s="586"/>
      <c r="AX87" s="586"/>
      <c r="AY87" s="586"/>
      <c r="AZ87" s="586"/>
      <c r="BA87" s="586"/>
      <c r="BB87" s="586"/>
      <c r="BC87" s="586"/>
      <c r="BD87" s="586"/>
      <c r="BE87" s="586"/>
      <c r="BF87" s="586"/>
      <c r="BG87" s="586"/>
    </row>
    <row r="88" spans="2:59">
      <c r="B88" s="588" t="s">
        <v>480</v>
      </c>
      <c r="C88" s="589" t="str">
        <f ca="1">INDEX(RolesandSkills[Role + Practice],MATCH(Table211725[[#This Row],[Role '#]],RolesandSkills[Role '#],0),1)</f>
        <v>-</v>
      </c>
      <c r="D88" s="589" t="str">
        <f ca="1">INDEX(RolesandSkills[Resource Location],MATCH(Table211725[[#This Row],[Role '#]],RolesandSkills[Role '#],0),1)</f>
        <v/>
      </c>
      <c r="E88" s="589" t="str">
        <f ca="1">INDEX(RolesandSkills[Skill '#1],MATCH(Table211725[[#This Row],[Role '#]],RolesandSkills[Role '#],0),1)</f>
        <v/>
      </c>
      <c r="F88" s="589" t="str">
        <f ca="1">INDEX(RolesandSkills[Skill '#2],MATCH(Table211725[[#This Row],[Role '#]],RolesandSkills[Role '#],0),1)</f>
        <v/>
      </c>
      <c r="G88" s="589" t="str">
        <f ca="1">INDEX(RolesandSkills[Skill '#3],MATCH(Table211725[[#This Row],[Role '#]],RolesandSkills[Role '#],0),1)</f>
        <v/>
      </c>
      <c r="H88" s="586"/>
      <c r="I88" s="586"/>
      <c r="J88" s="586"/>
      <c r="K88" s="586"/>
      <c r="L88" s="586"/>
      <c r="M88" s="586"/>
      <c r="N88" s="586"/>
      <c r="O88" s="586"/>
      <c r="P88" s="586"/>
      <c r="Q88" s="586"/>
      <c r="R88" s="586"/>
      <c r="S88" s="586"/>
      <c r="T88" s="586"/>
      <c r="U88" s="586"/>
      <c r="V88" s="586"/>
      <c r="W88" s="586"/>
      <c r="X88" s="586"/>
      <c r="Y88" s="586"/>
      <c r="Z88" s="586"/>
      <c r="AA88" s="586"/>
      <c r="AB88" s="586"/>
      <c r="AC88" s="586"/>
      <c r="AD88" s="586"/>
      <c r="AE88" s="586"/>
      <c r="AF88" s="586"/>
      <c r="AG88" s="586"/>
      <c r="AH88" s="586"/>
      <c r="AI88" s="586"/>
      <c r="AJ88" s="586"/>
      <c r="AK88" s="586"/>
      <c r="AL88" s="586"/>
      <c r="AM88" s="586"/>
      <c r="AN88" s="586"/>
      <c r="AO88" s="586"/>
      <c r="AP88" s="586"/>
      <c r="AQ88" s="586"/>
      <c r="AR88" s="586"/>
      <c r="AS88" s="586"/>
      <c r="AT88" s="586"/>
      <c r="AU88" s="586"/>
      <c r="AV88" s="586"/>
      <c r="AW88" s="586"/>
      <c r="AX88" s="586"/>
      <c r="AY88" s="586"/>
      <c r="AZ88" s="586"/>
      <c r="BA88" s="586"/>
      <c r="BB88" s="586"/>
      <c r="BC88" s="586"/>
      <c r="BD88" s="586"/>
      <c r="BE88" s="586"/>
      <c r="BF88" s="586"/>
      <c r="BG88" s="586"/>
    </row>
    <row r="89" spans="2:59">
      <c r="B89" s="590" t="s">
        <v>481</v>
      </c>
      <c r="C89" s="589" t="str">
        <f ca="1">INDEX(RolesandSkills[Role + Practice],MATCH(Table211725[[#This Row],[Role '#]],RolesandSkills[Role '#],0),1)</f>
        <v>-</v>
      </c>
      <c r="D89" s="589" t="str">
        <f ca="1">INDEX(RolesandSkills[Resource Location],MATCH(Table211725[[#This Row],[Role '#]],RolesandSkills[Role '#],0),1)</f>
        <v/>
      </c>
      <c r="E89" s="589" t="str">
        <f ca="1">INDEX(RolesandSkills[Skill '#1],MATCH(Table211725[[#This Row],[Role '#]],RolesandSkills[Role '#],0),1)</f>
        <v/>
      </c>
      <c r="F89" s="589" t="str">
        <f ca="1">INDEX(RolesandSkills[Skill '#2],MATCH(Table211725[[#This Row],[Role '#]],RolesandSkills[Role '#],0),1)</f>
        <v/>
      </c>
      <c r="G89" s="589" t="str">
        <f ca="1">INDEX(RolesandSkills[Skill '#3],MATCH(Table211725[[#This Row],[Role '#]],RolesandSkills[Role '#],0),1)</f>
        <v/>
      </c>
      <c r="H89" s="586"/>
      <c r="I89" s="586"/>
      <c r="J89" s="586"/>
      <c r="K89" s="586"/>
      <c r="L89" s="586"/>
      <c r="M89" s="586"/>
      <c r="N89" s="586"/>
      <c r="O89" s="586"/>
      <c r="P89" s="586"/>
      <c r="Q89" s="586"/>
      <c r="R89" s="586"/>
      <c r="S89" s="586"/>
      <c r="T89" s="586"/>
      <c r="U89" s="586"/>
      <c r="V89" s="586"/>
      <c r="W89" s="586"/>
      <c r="X89" s="586"/>
      <c r="Y89" s="586"/>
      <c r="Z89" s="586"/>
      <c r="AA89" s="586"/>
      <c r="AB89" s="586"/>
      <c r="AC89" s="586"/>
      <c r="AD89" s="586"/>
      <c r="AE89" s="586"/>
      <c r="AF89" s="586"/>
      <c r="AG89" s="586"/>
      <c r="AH89" s="586"/>
      <c r="AI89" s="586"/>
      <c r="AJ89" s="586"/>
      <c r="AK89" s="586"/>
      <c r="AL89" s="586"/>
      <c r="AM89" s="586"/>
      <c r="AN89" s="586"/>
      <c r="AO89" s="586"/>
      <c r="AP89" s="586"/>
      <c r="AQ89" s="586"/>
      <c r="AR89" s="586"/>
      <c r="AS89" s="586"/>
      <c r="AT89" s="586"/>
      <c r="AU89" s="586"/>
      <c r="AV89" s="586"/>
      <c r="AW89" s="586"/>
      <c r="AX89" s="586"/>
      <c r="AY89" s="586"/>
      <c r="AZ89" s="586"/>
      <c r="BA89" s="586"/>
      <c r="BB89" s="586"/>
      <c r="BC89" s="586"/>
      <c r="BD89" s="586"/>
      <c r="BE89" s="586"/>
      <c r="BF89" s="586"/>
      <c r="BG89" s="586"/>
    </row>
    <row r="90" spans="2:59">
      <c r="B90" s="588" t="s">
        <v>482</v>
      </c>
      <c r="C90" s="589" t="str">
        <f ca="1">INDEX(RolesandSkills[Role + Practice],MATCH(Table211725[[#This Row],[Role '#]],RolesandSkills[Role '#],0),1)</f>
        <v>-</v>
      </c>
      <c r="D90" s="589" t="str">
        <f ca="1">INDEX(RolesandSkills[Resource Location],MATCH(Table211725[[#This Row],[Role '#]],RolesandSkills[Role '#],0),1)</f>
        <v/>
      </c>
      <c r="E90" s="589" t="str">
        <f ca="1">INDEX(RolesandSkills[Skill '#1],MATCH(Table211725[[#This Row],[Role '#]],RolesandSkills[Role '#],0),1)</f>
        <v/>
      </c>
      <c r="F90" s="589" t="str">
        <f ca="1">INDEX(RolesandSkills[Skill '#2],MATCH(Table211725[[#This Row],[Role '#]],RolesandSkills[Role '#],0),1)</f>
        <v/>
      </c>
      <c r="G90" s="589" t="str">
        <f ca="1">INDEX(RolesandSkills[Skill '#3],MATCH(Table211725[[#This Row],[Role '#]],RolesandSkills[Role '#],0),1)</f>
        <v/>
      </c>
      <c r="H90" s="586"/>
      <c r="I90" s="586"/>
      <c r="J90" s="586"/>
      <c r="K90" s="586"/>
      <c r="L90" s="586"/>
      <c r="M90" s="586"/>
      <c r="N90" s="586"/>
      <c r="O90" s="586"/>
      <c r="P90" s="586"/>
      <c r="Q90" s="586"/>
      <c r="R90" s="586"/>
      <c r="S90" s="586"/>
      <c r="T90" s="586"/>
      <c r="U90" s="586"/>
      <c r="V90" s="586"/>
      <c r="W90" s="586"/>
      <c r="X90" s="586"/>
      <c r="Y90" s="586"/>
      <c r="Z90" s="586"/>
      <c r="AA90" s="586"/>
      <c r="AB90" s="586"/>
      <c r="AC90" s="586"/>
      <c r="AD90" s="586"/>
      <c r="AE90" s="586"/>
      <c r="AF90" s="586"/>
      <c r="AG90" s="586"/>
      <c r="AH90" s="586"/>
      <c r="AI90" s="586"/>
      <c r="AJ90" s="586"/>
      <c r="AK90" s="586"/>
      <c r="AL90" s="586"/>
      <c r="AM90" s="586"/>
      <c r="AN90" s="586"/>
      <c r="AO90" s="586"/>
      <c r="AP90" s="586"/>
      <c r="AQ90" s="586"/>
      <c r="AR90" s="586"/>
      <c r="AS90" s="586"/>
      <c r="AT90" s="586"/>
      <c r="AU90" s="586"/>
      <c r="AV90" s="586"/>
      <c r="AW90" s="586"/>
      <c r="AX90" s="586"/>
      <c r="AY90" s="586"/>
      <c r="AZ90" s="586"/>
      <c r="BA90" s="586"/>
      <c r="BB90" s="586"/>
      <c r="BC90" s="586"/>
      <c r="BD90" s="586"/>
      <c r="BE90" s="586"/>
      <c r="BF90" s="586"/>
      <c r="BG90" s="586"/>
    </row>
    <row r="91" spans="2:59">
      <c r="B91" s="590" t="s">
        <v>483</v>
      </c>
      <c r="C91" s="589" t="str">
        <f ca="1">INDEX(RolesandSkills[Role + Practice],MATCH(Table211725[[#This Row],[Role '#]],RolesandSkills[Role '#],0),1)</f>
        <v>-</v>
      </c>
      <c r="D91" s="589" t="str">
        <f ca="1">INDEX(RolesandSkills[Resource Location],MATCH(Table211725[[#This Row],[Role '#]],RolesandSkills[Role '#],0),1)</f>
        <v/>
      </c>
      <c r="E91" s="589" t="str">
        <f ca="1">INDEX(RolesandSkills[Skill '#1],MATCH(Table211725[[#This Row],[Role '#]],RolesandSkills[Role '#],0),1)</f>
        <v/>
      </c>
      <c r="F91" s="589" t="str">
        <f ca="1">INDEX(RolesandSkills[Skill '#2],MATCH(Table211725[[#This Row],[Role '#]],RolesandSkills[Role '#],0),1)</f>
        <v/>
      </c>
      <c r="G91" s="589" t="str">
        <f ca="1">INDEX(RolesandSkills[Skill '#3],MATCH(Table211725[[#This Row],[Role '#]],RolesandSkills[Role '#],0),1)</f>
        <v/>
      </c>
      <c r="H91" s="586"/>
      <c r="I91" s="586"/>
      <c r="J91" s="586"/>
      <c r="K91" s="586"/>
      <c r="L91" s="586"/>
      <c r="M91" s="586"/>
      <c r="N91" s="586"/>
      <c r="O91" s="586"/>
      <c r="P91" s="586"/>
      <c r="Q91" s="586"/>
      <c r="R91" s="586"/>
      <c r="S91" s="586"/>
      <c r="T91" s="586"/>
      <c r="U91" s="586"/>
      <c r="V91" s="586"/>
      <c r="W91" s="586"/>
      <c r="X91" s="586"/>
      <c r="Y91" s="586"/>
      <c r="Z91" s="586"/>
      <c r="AA91" s="586"/>
      <c r="AB91" s="586"/>
      <c r="AC91" s="586"/>
      <c r="AD91" s="586"/>
      <c r="AE91" s="586"/>
      <c r="AF91" s="586"/>
      <c r="AG91" s="586"/>
      <c r="AH91" s="586"/>
      <c r="AI91" s="586"/>
      <c r="AJ91" s="586"/>
      <c r="AK91" s="586"/>
      <c r="AL91" s="586"/>
      <c r="AM91" s="586"/>
      <c r="AN91" s="586"/>
      <c r="AO91" s="586"/>
      <c r="AP91" s="586"/>
      <c r="AQ91" s="586"/>
      <c r="AR91" s="586"/>
      <c r="AS91" s="586"/>
      <c r="AT91" s="586"/>
      <c r="AU91" s="586"/>
      <c r="AV91" s="586"/>
      <c r="AW91" s="586"/>
      <c r="AX91" s="586"/>
      <c r="AY91" s="586"/>
      <c r="AZ91" s="586"/>
      <c r="BA91" s="586"/>
      <c r="BB91" s="586"/>
      <c r="BC91" s="586"/>
      <c r="BD91" s="586"/>
      <c r="BE91" s="586"/>
      <c r="BF91" s="586"/>
      <c r="BG91" s="586"/>
    </row>
    <row r="92" spans="2:59">
      <c r="B92" s="588" t="s">
        <v>484</v>
      </c>
      <c r="C92" s="589" t="str">
        <f ca="1">INDEX(RolesandSkills[Role + Practice],MATCH(Table211725[[#This Row],[Role '#]],RolesandSkills[Role '#],0),1)</f>
        <v>-</v>
      </c>
      <c r="D92" s="589" t="str">
        <f ca="1">INDEX(RolesandSkills[Resource Location],MATCH(Table211725[[#This Row],[Role '#]],RolesandSkills[Role '#],0),1)</f>
        <v/>
      </c>
      <c r="E92" s="589" t="str">
        <f ca="1">INDEX(RolesandSkills[Skill '#1],MATCH(Table211725[[#This Row],[Role '#]],RolesandSkills[Role '#],0),1)</f>
        <v/>
      </c>
      <c r="F92" s="589" t="str">
        <f ca="1">INDEX(RolesandSkills[Skill '#2],MATCH(Table211725[[#This Row],[Role '#]],RolesandSkills[Role '#],0),1)</f>
        <v/>
      </c>
      <c r="G92" s="589" t="str">
        <f ca="1">INDEX(RolesandSkills[Skill '#3],MATCH(Table211725[[#This Row],[Role '#]],RolesandSkills[Role '#],0),1)</f>
        <v/>
      </c>
      <c r="H92" s="586"/>
      <c r="I92" s="586"/>
      <c r="J92" s="586"/>
      <c r="K92" s="586"/>
      <c r="L92" s="586"/>
      <c r="M92" s="720"/>
      <c r="N92" s="720"/>
      <c r="O92" s="720"/>
      <c r="P92" s="720"/>
      <c r="Q92" s="720"/>
      <c r="R92" s="720"/>
      <c r="S92" s="720"/>
      <c r="T92" s="720"/>
      <c r="U92" s="720"/>
      <c r="V92" s="720"/>
      <c r="W92" s="720"/>
      <c r="X92" s="720"/>
      <c r="Y92" s="720"/>
      <c r="Z92" s="720"/>
      <c r="AA92" s="720"/>
      <c r="AB92" s="720"/>
      <c r="AC92" s="720"/>
      <c r="AD92" s="720"/>
      <c r="AE92" s="720"/>
      <c r="AF92" s="720"/>
      <c r="AG92" s="720"/>
      <c r="AH92" s="720"/>
      <c r="AI92" s="720"/>
      <c r="AJ92" s="720"/>
      <c r="AK92" s="720"/>
      <c r="AL92" s="720"/>
      <c r="AM92" s="720"/>
      <c r="AN92" s="720"/>
      <c r="AO92" s="720"/>
      <c r="AP92" s="720"/>
      <c r="AQ92" s="720"/>
      <c r="AR92" s="720"/>
      <c r="AS92" s="720"/>
      <c r="AT92" s="720"/>
      <c r="AU92" s="720"/>
      <c r="AV92" s="720"/>
      <c r="AW92" s="720"/>
      <c r="AX92" s="720"/>
      <c r="AY92" s="720"/>
      <c r="AZ92" s="720"/>
      <c r="BA92" s="720"/>
      <c r="BB92" s="720"/>
      <c r="BC92" s="720"/>
      <c r="BD92" s="720"/>
      <c r="BE92" s="720"/>
      <c r="BF92" s="720"/>
      <c r="BG92" s="720"/>
    </row>
    <row r="93" spans="2:59">
      <c r="B93" s="591" t="s">
        <v>225</v>
      </c>
      <c r="C93" s="592"/>
      <c r="D93" s="592"/>
      <c r="E93" s="592"/>
      <c r="F93" s="592"/>
      <c r="G93" s="592"/>
      <c r="H93" s="593">
        <f ca="1">SUBTOTAL(109,Table211725[1])</f>
        <v>14</v>
      </c>
      <c r="I93" s="593">
        <f ca="1">SUBTOTAL(109,Table211725[2])</f>
        <v>81</v>
      </c>
      <c r="J93" s="593">
        <f ca="1">SUBTOTAL(109,Table211725[3])</f>
        <v>148</v>
      </c>
      <c r="K93" s="593">
        <f ca="1">SUBTOTAL(109,Table211725[4])</f>
        <v>0</v>
      </c>
      <c r="L93" s="593">
        <f ca="1">SUBTOTAL(109,Table211725[5])</f>
        <v>0</v>
      </c>
      <c r="M93" s="718"/>
      <c r="N93" s="718"/>
      <c r="O93" s="718"/>
      <c r="P93" s="718"/>
      <c r="Q93" s="718"/>
      <c r="R93" s="718"/>
      <c r="S93" s="718"/>
      <c r="T93" s="718"/>
      <c r="U93" s="718"/>
      <c r="V93" s="718"/>
      <c r="W93" s="718"/>
      <c r="X93" s="718"/>
      <c r="Y93" s="718"/>
      <c r="Z93" s="718"/>
      <c r="AA93" s="718"/>
      <c r="AB93" s="718"/>
      <c r="AC93" s="718"/>
      <c r="AD93" s="718"/>
      <c r="AE93" s="718"/>
      <c r="AF93" s="718"/>
      <c r="AG93" s="718"/>
      <c r="AH93" s="718"/>
      <c r="AI93" s="718"/>
      <c r="AJ93" s="718"/>
      <c r="AK93" s="718"/>
      <c r="AL93" s="718"/>
      <c r="AM93" s="718"/>
      <c r="AN93" s="718"/>
      <c r="AO93" s="718"/>
      <c r="AP93" s="718"/>
      <c r="AQ93" s="718"/>
      <c r="AR93" s="718"/>
      <c r="AS93" s="718"/>
      <c r="AT93" s="718"/>
      <c r="AU93" s="718"/>
      <c r="AV93" s="718"/>
      <c r="AW93" s="718"/>
      <c r="AX93" s="718"/>
      <c r="AY93" s="718"/>
      <c r="AZ93" s="718"/>
      <c r="BA93" s="718"/>
      <c r="BB93" s="718"/>
      <c r="BC93" s="718"/>
      <c r="BD93" s="718"/>
      <c r="BE93" s="718"/>
      <c r="BF93" s="718"/>
      <c r="BG93" s="718"/>
    </row>
  </sheetData>
  <sheetProtection algorithmName="SHA-512" hashValue="CYmSFR0FRIY68hPAEeXihGDAJGKdSMnENsrhEFFf2CBFfVCpVPJQtdwxe9+kl+FyQpRv2TiZOgktlBpwWFwuUg==" saltValue="NILn3IcUkndKsAsoR0hyeA==" spinCount="100000" sheet="1" objects="1" scenarios="1"/>
  <mergeCells count="10">
    <mergeCell ref="B76:BG76"/>
    <mergeCell ref="B9:J9"/>
    <mergeCell ref="L9:R9"/>
    <mergeCell ref="B1:C1"/>
    <mergeCell ref="E1:G1"/>
    <mergeCell ref="U9:AA9"/>
    <mergeCell ref="L1:M1"/>
    <mergeCell ref="L2:R2"/>
    <mergeCell ref="L3:R7"/>
    <mergeCell ref="B31:BJ31"/>
  </mergeCells>
  <phoneticPr fontId="18" type="noConversion"/>
  <conditionalFormatting sqref="D11:I25">
    <cfRule type="expression" priority="17">
      <formula>$C$11:$C$26="-"</formula>
    </cfRule>
  </conditionalFormatting>
  <conditionalFormatting sqref="J34:J48">
    <cfRule type="expression" dxfId="675" priority="1">
      <formula>J34&gt;I34</formula>
    </cfRule>
    <cfRule type="expression" dxfId="674" priority="2">
      <formula>J34&lt;I34</formula>
    </cfRule>
  </conditionalFormatting>
  <conditionalFormatting sqref="K34:BJ48">
    <cfRule type="cellIs" dxfId="673" priority="6" operator="greaterThan">
      <formula>40</formula>
    </cfRule>
    <cfRule type="expression" dxfId="672" priority="7">
      <formula>AND($AE$6&lt;&gt;"""",K$33&gt;=$AE$6,K$33&lt;=$AF$6)</formula>
    </cfRule>
    <cfRule type="expression" dxfId="671" priority="8">
      <formula>AND($AE$5&lt;&gt;"""",K$33&gt;=$AE$5,K$33&lt;=$AF$5)</formula>
    </cfRule>
    <cfRule type="expression" dxfId="670" priority="9">
      <formula>AND($AE$4&lt;&gt;"""",K$33&gt;=$AE$4,K$33&lt;=$AF$4)</formula>
    </cfRule>
    <cfRule type="expression" dxfId="669" priority="15">
      <formula>AND($AE$3&lt;&gt;"""",K$33&gt;=$AE$3,K$33&lt;=$AF$3)</formula>
    </cfRule>
    <cfRule type="expression" dxfId="668" priority="42">
      <formula>AND($AE$7&lt;&gt;"""",K$33&gt;=$AE$7,K$33&lt;=$AF$7)</formula>
    </cfRule>
  </conditionalFormatting>
  <conditionalFormatting sqref="N11:N25 P11:R25">
    <cfRule type="cellIs" dxfId="667" priority="5" operator="greaterThan">
      <formula>40</formula>
    </cfRule>
  </conditionalFormatting>
  <conditionalFormatting sqref="O11:O25">
    <cfRule type="cellIs" dxfId="666" priority="4" operator="greaterThan">
      <formula>20</formula>
    </cfRule>
  </conditionalFormatting>
  <pageMargins left="0.7" right="0.7" top="0.75" bottom="0.75" header="0.3" footer="0.3"/>
  <pageSetup orientation="portrait" r:id="rId1"/>
  <tableParts count="7">
    <tablePart r:id="rId2"/>
    <tablePart r:id="rId3"/>
    <tablePart r:id="rId4"/>
    <tablePart r:id="rId5"/>
    <tablePart r:id="rId6"/>
    <tablePart r:id="rId7"/>
    <tablePart r:id="rId8"/>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BC1FD-0E45-4FB3-9289-FF29E84D6656}">
  <dimension ref="A1:R501"/>
  <sheetViews>
    <sheetView topLeftCell="J1" zoomScaleNormal="100" workbookViewId="0">
      <pane ySplit="1" topLeftCell="A331" activePane="bottomLeft" state="frozen"/>
      <selection pane="bottomLeft" activeCell="O331" sqref="O331"/>
      <selection activeCell="B6" sqref="B6"/>
    </sheetView>
  </sheetViews>
  <sheetFormatPr defaultColWidth="8.85546875" defaultRowHeight="15"/>
  <cols>
    <col min="1" max="1" width="8.85546875" style="580"/>
    <col min="2" max="2" width="18.85546875" style="580" customWidth="1"/>
    <col min="3" max="3" width="17.140625" style="580" customWidth="1"/>
    <col min="4" max="4" width="0.140625" style="580" customWidth="1"/>
    <col min="5" max="5" width="0.42578125" style="580" customWidth="1"/>
    <col min="6" max="6" width="0.140625" style="580" customWidth="1"/>
    <col min="7" max="8" width="43.85546875" style="580" customWidth="1"/>
    <col min="9" max="9" width="43.85546875" style="779" bestFit="1" customWidth="1"/>
    <col min="10" max="10" width="43.85546875" style="661" bestFit="1" customWidth="1"/>
    <col min="11" max="11" width="14.140625" style="580" customWidth="1"/>
    <col min="12" max="12" width="33.42578125" style="580" customWidth="1"/>
    <col min="13" max="14" width="14.140625" style="580" customWidth="1"/>
    <col min="15" max="15" width="17.140625" style="580" bestFit="1" customWidth="1"/>
    <col min="16" max="16384" width="8.85546875" style="580"/>
  </cols>
  <sheetData>
    <row r="1" spans="1:18" s="660" customFormat="1" ht="135">
      <c r="A1" s="656" t="s">
        <v>246</v>
      </c>
      <c r="B1" s="656" t="s">
        <v>725</v>
      </c>
      <c r="C1" s="656" t="s">
        <v>726</v>
      </c>
      <c r="D1" s="656" t="s">
        <v>230</v>
      </c>
      <c r="E1" s="656" t="s">
        <v>348</v>
      </c>
      <c r="F1" s="656" t="s">
        <v>349</v>
      </c>
      <c r="G1" s="656" t="s">
        <v>276</v>
      </c>
      <c r="H1" s="656" t="s">
        <v>727</v>
      </c>
      <c r="I1" s="656" t="s">
        <v>728</v>
      </c>
      <c r="J1" s="656" t="s">
        <v>729</v>
      </c>
      <c r="K1" s="780" t="s">
        <v>730</v>
      </c>
      <c r="L1" s="659" t="s">
        <v>731</v>
      </c>
      <c r="M1" s="491" t="s">
        <v>732</v>
      </c>
      <c r="N1" s="490" t="s">
        <v>733</v>
      </c>
      <c r="O1" s="491" t="s">
        <v>734</v>
      </c>
      <c r="P1" s="656" t="s">
        <v>735</v>
      </c>
    </row>
    <row r="2" spans="1:18">
      <c r="A2" s="773" t="s">
        <v>308</v>
      </c>
      <c r="B2" s="773"/>
      <c r="C2" s="773" t="s">
        <v>308</v>
      </c>
      <c r="D2" s="773"/>
      <c r="E2" s="773"/>
      <c r="F2" s="773"/>
      <c r="G2" s="967" t="s">
        <v>374</v>
      </c>
      <c r="H2" s="967" t="str">
        <f t="shared" ref="H2:H65" si="0">B2&amp;G2</f>
        <v>Advisory Consultant</v>
      </c>
      <c r="I2" t="str">
        <f t="shared" ref="I2:I65" si="1">A2&amp;B2&amp;D2&amp;E2&amp;F2&amp;G2</f>
        <v>USAAdvisory Consultant</v>
      </c>
      <c r="J2" t="str">
        <f t="shared" ref="J2:J65" si="2">A2&amp;C2&amp;D2&amp;E2&amp;F2&amp;G2</f>
        <v>USAUSAAdvisory Consultant</v>
      </c>
      <c r="K2" cm="1">
        <f t="array" ref="K2">_xlfn.IFS(A2="Canada",4,A2="India",5,A2="UK",6,A2="USA",7,A2="EU",8)</f>
        <v>7</v>
      </c>
      <c r="L2" s="662">
        <f>VLOOKUP(H2,'StdCosts and StdRates'!$A$41:$H$86,K2,FALSE)</f>
        <v>339</v>
      </c>
      <c r="M2" s="662" cm="1">
        <f t="array" ref="M2">_xlfn.XLOOKUP(C2&amp;A2,FX!$A$2:$A$26&amp;FX!$B$2:$B$26,FX!$C$2:$C$26)</f>
        <v>1</v>
      </c>
      <c r="N2" cm="1">
        <f t="array" ref="N2">_xlfn.IFS(C2="Canada",2,C2="India",3,C2="UK",4,C2="USA",5,C2="EU",6)</f>
        <v>5</v>
      </c>
      <c r="O2" s="662">
        <f>VLOOKUP(G2,'StdCosts and StdRates'!$A$17:$E$36,N2,FALSE)*M2</f>
        <v>200</v>
      </c>
      <c r="P2"/>
      <c r="R2" s="967"/>
    </row>
    <row r="3" spans="1:18">
      <c r="A3" s="773" t="s">
        <v>308</v>
      </c>
      <c r="B3" s="773"/>
      <c r="C3" s="773" t="s">
        <v>405</v>
      </c>
      <c r="D3" s="773"/>
      <c r="E3" s="773"/>
      <c r="F3" s="773"/>
      <c r="G3" s="967" t="s">
        <v>374</v>
      </c>
      <c r="H3" s="967" t="str">
        <f t="shared" si="0"/>
        <v>Advisory Consultant</v>
      </c>
      <c r="I3" t="str">
        <f t="shared" si="1"/>
        <v>USAAdvisory Consultant</v>
      </c>
      <c r="J3" t="str">
        <f t="shared" si="2"/>
        <v>USACanadaAdvisory Consultant</v>
      </c>
      <c r="K3" cm="1">
        <f t="array" ref="K3">_xlfn.IFS(A3="Canada",4,A3="India",5,A3="UK",6,A3="USA",7,A3="EU",8)</f>
        <v>7</v>
      </c>
      <c r="L3" s="662">
        <f>VLOOKUP(H3,'StdCosts and StdRates'!$A$41:$H$86,K3,FALSE)</f>
        <v>339</v>
      </c>
      <c r="M3" s="662" cm="1">
        <f t="array" ref="M3">_xlfn.XLOOKUP(C3&amp;A3,FX!$A$2:$A$26&amp;FX!$B$2:$B$26,FX!$C$2:$C$26)</f>
        <v>0.73351999999999995</v>
      </c>
      <c r="N3" cm="1">
        <f t="array" ref="N3">_xlfn.IFS(C3="Canada",2,C3="India",3,C3="UK",4,C3="USA",5,C3="EU",6)</f>
        <v>2</v>
      </c>
      <c r="O3" s="662">
        <f>VLOOKUP(G3,'StdCosts and StdRates'!$A$17:$E$36,N3,FALSE)*M3</f>
        <v>159.17383999999998</v>
      </c>
      <c r="P3"/>
      <c r="R3" s="967"/>
    </row>
    <row r="4" spans="1:18">
      <c r="A4" s="773" t="s">
        <v>308</v>
      </c>
      <c r="B4" s="773"/>
      <c r="C4" s="773" t="s">
        <v>247</v>
      </c>
      <c r="D4" s="773"/>
      <c r="E4" s="773"/>
      <c r="F4" s="773"/>
      <c r="G4" s="967" t="s">
        <v>374</v>
      </c>
      <c r="H4" s="967" t="str">
        <f t="shared" si="0"/>
        <v>Advisory Consultant</v>
      </c>
      <c r="I4" t="str">
        <f t="shared" si="1"/>
        <v>USAAdvisory Consultant</v>
      </c>
      <c r="J4" t="str">
        <f t="shared" si="2"/>
        <v>USAUKAdvisory Consultant</v>
      </c>
      <c r="K4" cm="1">
        <f t="array" ref="K4">_xlfn.IFS(A4="Canada",4,A4="India",5,A4="UK",6,A4="USA",7,A4="EU",8)</f>
        <v>7</v>
      </c>
      <c r="L4" s="662">
        <f>VLOOKUP(H4,'StdCosts and StdRates'!$A$41:$H$86,K4,FALSE)</f>
        <v>339</v>
      </c>
      <c r="M4" s="662" cm="1">
        <f t="array" ref="M4">_xlfn.XLOOKUP(C4&amp;A4,FX!$A$2:$A$26&amp;FX!$B$2:$B$26,FX!$C$2:$C$26)</f>
        <v>1.2772699999999999</v>
      </c>
      <c r="N4" cm="1">
        <f t="array" ref="N4">_xlfn.IFS(C4="Canada",2,C4="India",3,C4="UK",4,C4="USA",5,C4="EU",6)</f>
        <v>4</v>
      </c>
      <c r="O4" s="662">
        <f>VLOOKUP(G4,'StdCosts and StdRates'!$A$17:$E$36,N4,FALSE)*M4</f>
        <v>190.31322999999998</v>
      </c>
      <c r="P4"/>
      <c r="R4" s="967"/>
    </row>
    <row r="5" spans="1:18">
      <c r="A5" s="773" t="s">
        <v>308</v>
      </c>
      <c r="B5" s="773"/>
      <c r="C5" s="773" t="s">
        <v>736</v>
      </c>
      <c r="D5" s="773"/>
      <c r="E5" s="773"/>
      <c r="F5" s="773"/>
      <c r="G5" s="967" t="s">
        <v>374</v>
      </c>
      <c r="H5" s="967" t="str">
        <f t="shared" si="0"/>
        <v>Advisory Consultant</v>
      </c>
      <c r="I5" t="str">
        <f t="shared" si="1"/>
        <v>USAAdvisory Consultant</v>
      </c>
      <c r="J5" t="str">
        <f t="shared" si="2"/>
        <v>USAEUAdvisory Consultant</v>
      </c>
      <c r="K5" cm="1">
        <f t="array" ref="K5">_xlfn.IFS(A5="Canada",4,A5="India",5,A5="UK",6,A5="USA",7,A5="EU",8)</f>
        <v>7</v>
      </c>
      <c r="L5" s="662">
        <f>VLOOKUP(H5,'StdCosts and StdRates'!$A$41:$H$86,K5,FALSE)</f>
        <v>339</v>
      </c>
      <c r="M5" s="662" cm="1">
        <f t="array" ref="M5">_xlfn.XLOOKUP(C5&amp;A5,FX!$A$2:$A$26&amp;FX!$B$2:$B$26,FX!$C$2:$C$26)</f>
        <v>1.0869599999999999</v>
      </c>
      <c r="N5" cm="1">
        <f t="array" ref="N5">_xlfn.IFS(C5="Canada",2,C5="India",3,C5="UK",4,C5="USA",5,C5="EU",6)</f>
        <v>6</v>
      </c>
      <c r="O5" s="662" t="e">
        <f>VLOOKUP(G5,'StdCosts and StdRates'!$A$17:$E$36,N5,FALSE)*M5</f>
        <v>#REF!</v>
      </c>
      <c r="P5"/>
      <c r="R5" s="967"/>
    </row>
    <row r="6" spans="1:18">
      <c r="A6" s="773" t="s">
        <v>308</v>
      </c>
      <c r="B6" s="773" t="s">
        <v>227</v>
      </c>
      <c r="C6" s="773" t="s">
        <v>227</v>
      </c>
      <c r="D6" s="773"/>
      <c r="E6" s="773"/>
      <c r="F6" s="773"/>
      <c r="G6" s="967" t="s">
        <v>374</v>
      </c>
      <c r="H6" s="967" t="str">
        <f t="shared" si="0"/>
        <v>IndiaAdvisory Consultant</v>
      </c>
      <c r="I6" t="str">
        <f t="shared" si="1"/>
        <v>USAIndiaAdvisory Consultant</v>
      </c>
      <c r="J6" t="str">
        <f t="shared" si="2"/>
        <v>USAIndiaAdvisory Consultant</v>
      </c>
      <c r="K6" cm="1">
        <f t="array" ref="K6">_xlfn.IFS(A6="Canada",4,A6="India",5,A6="UK",6,A6="USA",7,A6="EU",8)</f>
        <v>7</v>
      </c>
      <c r="L6" s="662">
        <f>VLOOKUP(H6,'StdCosts and StdRates'!$A$41:$H$86,K6,FALSE)</f>
        <v>129</v>
      </c>
      <c r="M6" s="662" cm="1">
        <f t="array" ref="M6">_xlfn.XLOOKUP(C6&amp;A6,FX!$A$2:$A$26&amp;FX!$B$2:$B$26,FX!$C$2:$C$26)</f>
        <v>1.2019999999999999E-2</v>
      </c>
      <c r="N6" cm="1">
        <f t="array" ref="N6">_xlfn.IFS(C6="Canada",2,C6="India",3,C6="UK",4,C6="USA",5,C6="EU",6)</f>
        <v>3</v>
      </c>
      <c r="O6" s="662">
        <f>VLOOKUP(G6,'StdCosts and StdRates'!$A$17:$E$36,N6,FALSE)*M6</f>
        <v>69.018839999999997</v>
      </c>
      <c r="P6"/>
      <c r="R6" s="967"/>
    </row>
    <row r="7" spans="1:18">
      <c r="A7" s="773" t="s">
        <v>405</v>
      </c>
      <c r="B7" s="773"/>
      <c r="C7" s="773" t="s">
        <v>308</v>
      </c>
      <c r="D7" s="773"/>
      <c r="E7" s="773"/>
      <c r="F7" s="773"/>
      <c r="G7" s="967" t="s">
        <v>374</v>
      </c>
      <c r="H7" s="967" t="str">
        <f t="shared" si="0"/>
        <v>Advisory Consultant</v>
      </c>
      <c r="I7" t="str">
        <f t="shared" si="1"/>
        <v>CanadaAdvisory Consultant</v>
      </c>
      <c r="J7" t="str">
        <f t="shared" si="2"/>
        <v>CanadaUSAAdvisory Consultant</v>
      </c>
      <c r="K7" cm="1">
        <f t="array" ref="K7">_xlfn.IFS(A7="Canada",4,A7="India",5,A7="UK",6,A7="USA",7,A7="EU",8)</f>
        <v>4</v>
      </c>
      <c r="L7" s="662">
        <f>VLOOKUP(H7,'StdCosts and StdRates'!$A$41:$H$86,K7,FALSE)</f>
        <v>359</v>
      </c>
      <c r="M7" s="662" cm="1">
        <f t="array" ref="M7">_xlfn.XLOOKUP(C7&amp;A7,FX!$A$2:$A$26&amp;FX!$B$2:$B$26,FX!$C$2:$C$26)</f>
        <v>1.36311</v>
      </c>
      <c r="N7" cm="1">
        <f t="array" ref="N7">_xlfn.IFS(C7="Canada",2,C7="India",3,C7="UK",4,C7="USA",5,C7="EU",6)</f>
        <v>5</v>
      </c>
      <c r="O7" s="662">
        <f>VLOOKUP(G7,'StdCosts and StdRates'!$A$17:$E$36,N7,FALSE)*M7</f>
        <v>272.62200000000001</v>
      </c>
      <c r="P7"/>
      <c r="R7" s="967"/>
    </row>
    <row r="8" spans="1:18">
      <c r="A8" s="773" t="s">
        <v>405</v>
      </c>
      <c r="B8" s="773"/>
      <c r="C8" s="773" t="s">
        <v>405</v>
      </c>
      <c r="D8" s="773"/>
      <c r="E8" s="773"/>
      <c r="F8" s="773"/>
      <c r="G8" s="967" t="s">
        <v>374</v>
      </c>
      <c r="H8" s="967" t="str">
        <f t="shared" si="0"/>
        <v>Advisory Consultant</v>
      </c>
      <c r="I8" t="str">
        <f t="shared" si="1"/>
        <v>CanadaAdvisory Consultant</v>
      </c>
      <c r="J8" t="str">
        <f t="shared" si="2"/>
        <v>CanadaCanadaAdvisory Consultant</v>
      </c>
      <c r="K8" cm="1">
        <f t="array" ref="K8">_xlfn.IFS(A8="Canada",4,A8="India",5,A8="UK",6,A8="USA",7,A8="EU",8)</f>
        <v>4</v>
      </c>
      <c r="L8" s="662">
        <f>VLOOKUP(H8,'StdCosts and StdRates'!$A$41:$H$86,K8,FALSE)</f>
        <v>359</v>
      </c>
      <c r="M8" s="662" cm="1">
        <f t="array" ref="M8">_xlfn.XLOOKUP(C8&amp;A8,FX!$A$2:$A$26&amp;FX!$B$2:$B$26,FX!$C$2:$C$26)</f>
        <v>1</v>
      </c>
      <c r="N8" cm="1">
        <f t="array" ref="N8">_xlfn.IFS(C8="Canada",2,C8="India",3,C8="UK",4,C8="USA",5,C8="EU",6)</f>
        <v>2</v>
      </c>
      <c r="O8" s="662">
        <f>VLOOKUP(G8,'StdCosts and StdRates'!$A$17:$E$36,N8,FALSE)*M8</f>
        <v>217</v>
      </c>
      <c r="P8"/>
      <c r="R8" s="967"/>
    </row>
    <row r="9" spans="1:18">
      <c r="A9" s="773" t="s">
        <v>405</v>
      </c>
      <c r="B9" s="773"/>
      <c r="C9" s="773" t="s">
        <v>247</v>
      </c>
      <c r="D9" s="773"/>
      <c r="E9" s="773"/>
      <c r="F9" s="773"/>
      <c r="G9" s="967" t="s">
        <v>374</v>
      </c>
      <c r="H9" s="967" t="str">
        <f t="shared" si="0"/>
        <v>Advisory Consultant</v>
      </c>
      <c r="I9" t="str">
        <f t="shared" si="1"/>
        <v>CanadaAdvisory Consultant</v>
      </c>
      <c r="J9" t="str">
        <f t="shared" si="2"/>
        <v>CanadaUKAdvisory Consultant</v>
      </c>
      <c r="K9" cm="1">
        <f t="array" ref="K9">_xlfn.IFS(A9="Canada",4,A9="India",5,A9="UK",6,A9="USA",7,A9="EU",8)</f>
        <v>4</v>
      </c>
      <c r="L9" s="662">
        <f>VLOOKUP(H9,'StdCosts and StdRates'!$A$41:$H$86,K9,FALSE)</f>
        <v>359</v>
      </c>
      <c r="M9" s="662" cm="1">
        <f t="array" ref="M9">_xlfn.XLOOKUP(C9&amp;A9,FX!$A$2:$A$26&amp;FX!$B$2:$B$26,FX!$C$2:$C$26)</f>
        <v>1.7410699999999999</v>
      </c>
      <c r="N9" cm="1">
        <f t="array" ref="N9">_xlfn.IFS(C9="Canada",2,C9="India",3,C9="UK",4,C9="USA",5,C9="EU",6)</f>
        <v>4</v>
      </c>
      <c r="O9" s="662">
        <f>VLOOKUP(G9,'StdCosts and StdRates'!$A$17:$E$36,N9,FALSE)*M9</f>
        <v>259.41942999999998</v>
      </c>
      <c r="P9"/>
      <c r="R9" s="967"/>
    </row>
    <row r="10" spans="1:18">
      <c r="A10" s="773" t="s">
        <v>405</v>
      </c>
      <c r="B10" s="773"/>
      <c r="C10" s="773" t="s">
        <v>736</v>
      </c>
      <c r="D10" s="773"/>
      <c r="E10" s="773"/>
      <c r="F10" s="773"/>
      <c r="G10" s="967" t="s">
        <v>374</v>
      </c>
      <c r="H10" s="967" t="str">
        <f t="shared" si="0"/>
        <v>Advisory Consultant</v>
      </c>
      <c r="I10" t="str">
        <f t="shared" si="1"/>
        <v>CanadaAdvisory Consultant</v>
      </c>
      <c r="J10" t="str">
        <f t="shared" si="2"/>
        <v>CanadaEUAdvisory Consultant</v>
      </c>
      <c r="K10" cm="1">
        <f t="array" ref="K10">_xlfn.IFS(A10="Canada",4,A10="India",5,A10="UK",6,A10="USA",7,A10="EU",8)</f>
        <v>4</v>
      </c>
      <c r="L10" s="662">
        <f>VLOOKUP(H10,'StdCosts and StdRates'!$A$41:$H$86,K10,FALSE)</f>
        <v>359</v>
      </c>
      <c r="M10" s="662" cm="1">
        <f t="array" ref="M10">_xlfn.XLOOKUP(C10&amp;A10,FX!$A$2:$A$26&amp;FX!$B$2:$B$26,FX!$C$2:$C$26)</f>
        <v>1.4816499999999999</v>
      </c>
      <c r="N10" cm="1">
        <f t="array" ref="N10">_xlfn.IFS(C10="Canada",2,C10="India",3,C10="UK",4,C10="USA",5,C10="EU",6)</f>
        <v>6</v>
      </c>
      <c r="O10" s="662" t="e">
        <f>VLOOKUP(G10,'StdCosts and StdRates'!$A$17:$E$36,N10,FALSE)*M10</f>
        <v>#REF!</v>
      </c>
      <c r="P10"/>
      <c r="R10" s="967"/>
    </row>
    <row r="11" spans="1:18">
      <c r="A11" s="773" t="s">
        <v>405</v>
      </c>
      <c r="B11" s="773" t="s">
        <v>227</v>
      </c>
      <c r="C11" s="773" t="s">
        <v>227</v>
      </c>
      <c r="D11" s="773"/>
      <c r="E11" s="773"/>
      <c r="F11" s="773"/>
      <c r="G11" s="967" t="s">
        <v>374</v>
      </c>
      <c r="H11" s="967" t="str">
        <f t="shared" si="0"/>
        <v>IndiaAdvisory Consultant</v>
      </c>
      <c r="I11" t="str">
        <f t="shared" si="1"/>
        <v>CanadaIndiaAdvisory Consultant</v>
      </c>
      <c r="J11" t="str">
        <f t="shared" si="2"/>
        <v>CanadaIndiaAdvisory Consultant</v>
      </c>
      <c r="K11" cm="1">
        <f t="array" ref="K11">_xlfn.IFS(A11="Canada",4,A11="India",5,A11="UK",6,A11="USA",7,A11="EU",8)</f>
        <v>4</v>
      </c>
      <c r="L11" s="662">
        <f>VLOOKUP(H11,'StdCosts and StdRates'!$A$41:$H$86,K11,FALSE)</f>
        <v>165</v>
      </c>
      <c r="M11" s="662" cm="1">
        <f t="array" ref="M11">_xlfn.XLOOKUP(C11&amp;A11,FX!$A$2:$A$26&amp;FX!$B$2:$B$26,FX!$C$2:$C$26)</f>
        <v>1.6389999999999998E-2</v>
      </c>
      <c r="N11" cm="1">
        <f t="array" ref="N11">_xlfn.IFS(C11="Canada",2,C11="India",3,C11="UK",4,C11="USA",5,C11="EU",6)</f>
        <v>3</v>
      </c>
      <c r="O11" s="662">
        <f>VLOOKUP(G11,'StdCosts and StdRates'!$A$17:$E$36,N11,FALSE)*M11</f>
        <v>94.111379999999997</v>
      </c>
      <c r="P11"/>
      <c r="R11" s="967"/>
    </row>
    <row r="12" spans="1:18">
      <c r="A12" s="773" t="s">
        <v>247</v>
      </c>
      <c r="B12" s="773"/>
      <c r="C12" s="773" t="s">
        <v>308</v>
      </c>
      <c r="D12" s="773"/>
      <c r="E12" s="773"/>
      <c r="F12" s="773"/>
      <c r="G12" s="967" t="s">
        <v>374</v>
      </c>
      <c r="H12" s="967" t="str">
        <f t="shared" si="0"/>
        <v>Advisory Consultant</v>
      </c>
      <c r="I12" t="str">
        <f t="shared" si="1"/>
        <v>UKAdvisory Consultant</v>
      </c>
      <c r="J12" t="str">
        <f t="shared" si="2"/>
        <v>UKUSAAdvisory Consultant</v>
      </c>
      <c r="K12" cm="1">
        <f t="array" ref="K12">_xlfn.IFS(A12="Canada",4,A12="India",5,A12="UK",6,A12="USA",7,A12="EU",8)</f>
        <v>6</v>
      </c>
      <c r="L12" s="662">
        <f>VLOOKUP(H12,'StdCosts and StdRates'!$A$41:$H$86,K12,FALSE)</f>
        <v>219</v>
      </c>
      <c r="M12" s="662" cm="1">
        <f t="array" ref="M12">_xlfn.XLOOKUP(C12&amp;A12,FX!$A$2:$A$26&amp;FX!$B$2:$B$26,FX!$C$2:$C$26)</f>
        <v>0.78280000000000005</v>
      </c>
      <c r="N12" cm="1">
        <f t="array" ref="N12">_xlfn.IFS(C12="Canada",2,C12="India",3,C12="UK",4,C12="USA",5,C12="EU",6)</f>
        <v>5</v>
      </c>
      <c r="O12" s="662">
        <f>VLOOKUP(G12,'StdCosts and StdRates'!$A$17:$E$36,N12,FALSE)*M12</f>
        <v>156.56</v>
      </c>
      <c r="P12"/>
      <c r="R12" s="967"/>
    </row>
    <row r="13" spans="1:18">
      <c r="A13" s="773" t="s">
        <v>247</v>
      </c>
      <c r="B13" s="773"/>
      <c r="C13" s="773" t="s">
        <v>405</v>
      </c>
      <c r="D13" s="773"/>
      <c r="E13" s="773"/>
      <c r="F13" s="773"/>
      <c r="G13" s="967" t="s">
        <v>374</v>
      </c>
      <c r="H13" s="967" t="str">
        <f t="shared" si="0"/>
        <v>Advisory Consultant</v>
      </c>
      <c r="I13" t="str">
        <f t="shared" si="1"/>
        <v>UKAdvisory Consultant</v>
      </c>
      <c r="J13" t="str">
        <f t="shared" si="2"/>
        <v>UKCanadaAdvisory Consultant</v>
      </c>
      <c r="K13" cm="1">
        <f t="array" ref="K13">_xlfn.IFS(A13="Canada",4,A13="India",5,A13="UK",6,A13="USA",7,A13="EU",8)</f>
        <v>6</v>
      </c>
      <c r="L13" s="662">
        <f>VLOOKUP(H13,'StdCosts and StdRates'!$A$41:$H$86,K13,FALSE)</f>
        <v>219</v>
      </c>
      <c r="M13" s="662" cm="1">
        <f t="array" ref="M13">_xlfn.XLOOKUP(C13&amp;A13,FX!$A$2:$A$26&amp;FX!$B$2:$B$26,FX!$C$2:$C$26)</f>
        <v>0.57420000000000004</v>
      </c>
      <c r="N13" cm="1">
        <f t="array" ref="N13">_xlfn.IFS(C13="Canada",2,C13="India",3,C13="UK",4,C13="USA",5,C13="EU",6)</f>
        <v>2</v>
      </c>
      <c r="O13" s="662">
        <f>VLOOKUP(G13,'StdCosts and StdRates'!$A$17:$E$36,N13,FALSE)*M13</f>
        <v>124.60140000000001</v>
      </c>
      <c r="P13"/>
      <c r="R13" s="967"/>
    </row>
    <row r="14" spans="1:18">
      <c r="A14" s="773" t="s">
        <v>247</v>
      </c>
      <c r="B14" s="773"/>
      <c r="C14" s="773" t="s">
        <v>247</v>
      </c>
      <c r="D14" s="773"/>
      <c r="E14" s="773"/>
      <c r="F14" s="773"/>
      <c r="G14" s="967" t="s">
        <v>374</v>
      </c>
      <c r="H14" s="967" t="str">
        <f t="shared" si="0"/>
        <v>Advisory Consultant</v>
      </c>
      <c r="I14" t="str">
        <f t="shared" si="1"/>
        <v>UKAdvisory Consultant</v>
      </c>
      <c r="J14" t="str">
        <f t="shared" si="2"/>
        <v>UKUKAdvisory Consultant</v>
      </c>
      <c r="K14" cm="1">
        <f t="array" ref="K14">_xlfn.IFS(A14="Canada",4,A14="India",5,A14="UK",6,A14="USA",7,A14="EU",8)</f>
        <v>6</v>
      </c>
      <c r="L14" s="662">
        <f>VLOOKUP(H14,'StdCosts and StdRates'!$A$41:$H$86,K14,FALSE)</f>
        <v>219</v>
      </c>
      <c r="M14" s="662" cm="1">
        <f t="array" ref="M14">_xlfn.XLOOKUP(C14&amp;A14,FX!$A$2:$A$26&amp;FX!$B$2:$B$26,FX!$C$2:$C$26)</f>
        <v>1</v>
      </c>
      <c r="N14" cm="1">
        <f t="array" ref="N14">_xlfn.IFS(C14="Canada",2,C14="India",3,C14="UK",4,C14="USA",5,C14="EU",6)</f>
        <v>4</v>
      </c>
      <c r="O14" s="662">
        <f>VLOOKUP(G14,'StdCosts and StdRates'!$A$17:$E$36,N14,FALSE)*M14</f>
        <v>149</v>
      </c>
      <c r="P14"/>
      <c r="R14" s="967"/>
    </row>
    <row r="15" spans="1:18">
      <c r="A15" s="773" t="s">
        <v>247</v>
      </c>
      <c r="B15" s="773"/>
      <c r="C15" s="773" t="s">
        <v>736</v>
      </c>
      <c r="D15" s="773"/>
      <c r="E15" s="773"/>
      <c r="F15" s="773"/>
      <c r="G15" s="967" t="s">
        <v>374</v>
      </c>
      <c r="H15" s="967" t="str">
        <f t="shared" si="0"/>
        <v>Advisory Consultant</v>
      </c>
      <c r="I15" t="str">
        <f t="shared" si="1"/>
        <v>UKAdvisory Consultant</v>
      </c>
      <c r="J15" t="str">
        <f t="shared" si="2"/>
        <v>UKEUAdvisory Consultant</v>
      </c>
      <c r="K15" cm="1">
        <f t="array" ref="K15">_xlfn.IFS(A15="Canada",4,A15="India",5,A15="UK",6,A15="USA",7,A15="EU",8)</f>
        <v>6</v>
      </c>
      <c r="L15" s="662">
        <f>VLOOKUP(H15,'StdCosts and StdRates'!$A$41:$H$86,K15,FALSE)</f>
        <v>219</v>
      </c>
      <c r="M15" s="662" cm="1">
        <f t="array" ref="M15">_xlfn.XLOOKUP(C15&amp;A15,FX!$A$2:$A$26&amp;FX!$B$2:$B$26,FX!$C$2:$C$26)</f>
        <v>0.85092999999999996</v>
      </c>
      <c r="N15" cm="1">
        <f t="array" ref="N15">_xlfn.IFS(C15="Canada",2,C15="India",3,C15="UK",4,C15="USA",5,C15="EU",6)</f>
        <v>6</v>
      </c>
      <c r="O15" s="662" t="e">
        <f>VLOOKUP(G15,'StdCosts and StdRates'!$A$17:$E$36,N15,FALSE)*M15</f>
        <v>#REF!</v>
      </c>
      <c r="P15"/>
      <c r="R15" s="967"/>
    </row>
    <row r="16" spans="1:18">
      <c r="A16" s="773" t="s">
        <v>247</v>
      </c>
      <c r="B16" s="773" t="s">
        <v>227</v>
      </c>
      <c r="C16" s="773" t="s">
        <v>227</v>
      </c>
      <c r="D16" s="773"/>
      <c r="E16" s="773"/>
      <c r="F16" s="773"/>
      <c r="G16" s="967" t="s">
        <v>374</v>
      </c>
      <c r="H16" s="967" t="str">
        <f t="shared" si="0"/>
        <v>IndiaAdvisory Consultant</v>
      </c>
      <c r="I16" t="str">
        <f t="shared" si="1"/>
        <v>UKIndiaAdvisory Consultant</v>
      </c>
      <c r="J16" t="str">
        <f t="shared" si="2"/>
        <v>UKIndiaAdvisory Consultant</v>
      </c>
      <c r="K16" cm="1">
        <f t="array" ref="K16">_xlfn.IFS(A16="Canada",4,A16="India",5,A16="UK",6,A16="USA",7,A16="EU",8)</f>
        <v>6</v>
      </c>
      <c r="L16" s="662">
        <f>VLOOKUP(H16,'StdCosts and StdRates'!$A$41:$H$86,K16,FALSE)</f>
        <v>95</v>
      </c>
      <c r="M16" s="662" cm="1">
        <f t="array" ref="M16">_xlfn.XLOOKUP(C16&amp;A16,FX!$A$2:$A$26&amp;FX!$B$2:$B$26,FX!$C$2:$C$26)</f>
        <v>9.41E-3</v>
      </c>
      <c r="N16" cm="1">
        <f t="array" ref="N16">_xlfn.IFS(C16="Canada",2,C16="India",3,C16="UK",4,C16="USA",5,C16="EU",6)</f>
        <v>3</v>
      </c>
      <c r="O16" s="662">
        <f>VLOOKUP(G16,'StdCosts and StdRates'!$A$17:$E$36,N16,FALSE)*M16</f>
        <v>54.032220000000002</v>
      </c>
      <c r="P16"/>
      <c r="R16" s="967"/>
    </row>
    <row r="17" spans="1:18">
      <c r="A17" s="773" t="s">
        <v>227</v>
      </c>
      <c r="B17" s="773"/>
      <c r="C17" s="773" t="s">
        <v>308</v>
      </c>
      <c r="D17" s="773"/>
      <c r="E17" s="773"/>
      <c r="F17" s="773"/>
      <c r="G17" s="967" t="s">
        <v>374</v>
      </c>
      <c r="H17" s="967" t="str">
        <f t="shared" si="0"/>
        <v>Advisory Consultant</v>
      </c>
      <c r="I17" t="str">
        <f t="shared" si="1"/>
        <v>IndiaAdvisory Consultant</v>
      </c>
      <c r="J17" t="str">
        <f t="shared" si="2"/>
        <v>IndiaUSAAdvisory Consultant</v>
      </c>
      <c r="K17" cm="1">
        <f t="array" ref="K17">_xlfn.IFS(A17="Canada",4,A17="India",5,A17="UK",6,A17="USA",7,A17="EU",8)</f>
        <v>5</v>
      </c>
      <c r="L17" s="662">
        <f>VLOOKUP(H17,'StdCosts and StdRates'!$A$41:$H$86,K17,FALSE)</f>
        <v>9800</v>
      </c>
      <c r="M17" s="662" cm="1">
        <f t="array" ref="M17">_xlfn.XLOOKUP(C17&amp;A17,FX!$A$2:$A$26&amp;FX!$B$2:$B$26,FX!$C$2:$C$26)</f>
        <v>83.1721</v>
      </c>
      <c r="N17" cm="1">
        <f t="array" ref="N17">_xlfn.IFS(C17="Canada",2,C17="India",3,C17="UK",4,C17="USA",5,C17="EU",6)</f>
        <v>5</v>
      </c>
      <c r="O17" s="662">
        <f>VLOOKUP(G17,'StdCosts and StdRates'!$A$17:$E$36,N17,FALSE)*M17</f>
        <v>16634.419999999998</v>
      </c>
      <c r="P17"/>
      <c r="R17" s="967"/>
    </row>
    <row r="18" spans="1:18">
      <c r="A18" s="773" t="s">
        <v>227</v>
      </c>
      <c r="B18" s="773"/>
      <c r="C18" s="773" t="s">
        <v>405</v>
      </c>
      <c r="D18" s="773"/>
      <c r="E18" s="773"/>
      <c r="F18" s="773"/>
      <c r="G18" s="967" t="s">
        <v>374</v>
      </c>
      <c r="H18" s="967" t="str">
        <f t="shared" si="0"/>
        <v>Advisory Consultant</v>
      </c>
      <c r="I18" t="str">
        <f t="shared" si="1"/>
        <v>IndiaAdvisory Consultant</v>
      </c>
      <c r="J18" t="str">
        <f t="shared" si="2"/>
        <v>IndiaCanadaAdvisory Consultant</v>
      </c>
      <c r="K18" cm="1">
        <f t="array" ref="K18">_xlfn.IFS(A18="Canada",4,A18="India",5,A18="UK",6,A18="USA",7,A18="EU",8)</f>
        <v>5</v>
      </c>
      <c r="L18" s="662">
        <f>VLOOKUP(H18,'StdCosts and StdRates'!$A$41:$H$86,K18,FALSE)</f>
        <v>9800</v>
      </c>
      <c r="M18" s="662" cm="1">
        <f t="array" ref="M18">_xlfn.XLOOKUP(C18&amp;A18,FX!$A$2:$A$26&amp;FX!$B$2:$B$26,FX!$C$2:$C$26)</f>
        <v>61.008200000000002</v>
      </c>
      <c r="N18" cm="1">
        <f t="array" ref="N18">_xlfn.IFS(C18="Canada",2,C18="India",3,C18="UK",4,C18="USA",5,C18="EU",6)</f>
        <v>2</v>
      </c>
      <c r="O18" s="662">
        <f>VLOOKUP(G18,'StdCosts and StdRates'!$A$17:$E$36,N18,FALSE)*M18</f>
        <v>13238.779400000001</v>
      </c>
      <c r="P18"/>
      <c r="R18" s="967"/>
    </row>
    <row r="19" spans="1:18">
      <c r="A19" s="773" t="s">
        <v>227</v>
      </c>
      <c r="B19" s="773"/>
      <c r="C19" s="773" t="s">
        <v>247</v>
      </c>
      <c r="D19" s="773"/>
      <c r="E19" s="773"/>
      <c r="F19" s="773"/>
      <c r="G19" s="967" t="s">
        <v>374</v>
      </c>
      <c r="H19" s="967" t="str">
        <f t="shared" si="0"/>
        <v>Advisory Consultant</v>
      </c>
      <c r="I19" t="str">
        <f t="shared" si="1"/>
        <v>IndiaAdvisory Consultant</v>
      </c>
      <c r="J19" t="str">
        <f t="shared" si="2"/>
        <v>IndiaUKAdvisory Consultant</v>
      </c>
      <c r="K19" cm="1">
        <f t="array" ref="K19">_xlfn.IFS(A19="Canada",4,A19="India",5,A19="UK",6,A19="USA",7,A19="EU",8)</f>
        <v>5</v>
      </c>
      <c r="L19" s="662">
        <f>VLOOKUP(H19,'StdCosts and StdRates'!$A$41:$H$86,K19,FALSE)</f>
        <v>9800</v>
      </c>
      <c r="M19" s="662" cm="1">
        <f t="array" ref="M19">_xlfn.XLOOKUP(C19&amp;A19,FX!$A$2:$A$26&amp;FX!$B$2:$B$26,FX!$C$2:$C$26)</f>
        <v>106.23399999999999</v>
      </c>
      <c r="N19" cm="1">
        <f t="array" ref="N19">_xlfn.IFS(C19="Canada",2,C19="India",3,C19="UK",4,C19="USA",5,C19="EU",6)</f>
        <v>4</v>
      </c>
      <c r="O19" s="662">
        <f>VLOOKUP(G19,'StdCosts and StdRates'!$A$17:$E$36,N19,FALSE)*M19</f>
        <v>15828.866</v>
      </c>
      <c r="P19"/>
      <c r="R19" s="967"/>
    </row>
    <row r="20" spans="1:18">
      <c r="A20" s="773" t="s">
        <v>227</v>
      </c>
      <c r="B20" s="773"/>
      <c r="C20" s="773" t="s">
        <v>736</v>
      </c>
      <c r="D20" s="773"/>
      <c r="E20" s="773"/>
      <c r="F20" s="773"/>
      <c r="G20" s="967" t="s">
        <v>374</v>
      </c>
      <c r="H20" s="967" t="str">
        <f t="shared" si="0"/>
        <v>Advisory Consultant</v>
      </c>
      <c r="I20" t="str">
        <f t="shared" si="1"/>
        <v>IndiaAdvisory Consultant</v>
      </c>
      <c r="J20" t="str">
        <f t="shared" si="2"/>
        <v>IndiaEUAdvisory Consultant</v>
      </c>
      <c r="K20" cm="1">
        <f t="array" ref="K20">_xlfn.IFS(A20="Canada",4,A20="India",5,A20="UK",6,A20="USA",7,A20="EU",8)</f>
        <v>5</v>
      </c>
      <c r="L20" s="662">
        <f>VLOOKUP(H20,'StdCosts and StdRates'!$A$41:$H$86,K20,FALSE)</f>
        <v>9800</v>
      </c>
      <c r="M20" s="662" cm="1">
        <f t="array" ref="M20">_xlfn.XLOOKUP(C20&amp;A20,FX!$A$2:$A$26&amp;FX!$B$2:$B$26,FX!$C$2:$C$26)</f>
        <v>90.405100000000004</v>
      </c>
      <c r="N20" cm="1">
        <f t="array" ref="N20">_xlfn.IFS(C20="Canada",2,C20="India",3,C20="UK",4,C20="USA",5,C20="EU",6)</f>
        <v>6</v>
      </c>
      <c r="O20" s="662" t="e">
        <f>VLOOKUP(G20,'StdCosts and StdRates'!$A$17:$E$36,N20,FALSE)*M20</f>
        <v>#REF!</v>
      </c>
      <c r="P20"/>
      <c r="R20" s="967"/>
    </row>
    <row r="21" spans="1:18">
      <c r="A21" s="773" t="s">
        <v>227</v>
      </c>
      <c r="B21" s="773" t="s">
        <v>227</v>
      </c>
      <c r="C21" s="773" t="s">
        <v>227</v>
      </c>
      <c r="D21" s="773"/>
      <c r="E21" s="773"/>
      <c r="F21" s="773"/>
      <c r="G21" s="967" t="s">
        <v>374</v>
      </c>
      <c r="H21" s="967" t="str">
        <f t="shared" si="0"/>
        <v>IndiaAdvisory Consultant</v>
      </c>
      <c r="I21" t="str">
        <f t="shared" si="1"/>
        <v>IndiaIndiaAdvisory Consultant</v>
      </c>
      <c r="J21" t="str">
        <f t="shared" si="2"/>
        <v>IndiaIndiaAdvisory Consultant</v>
      </c>
      <c r="K21" cm="1">
        <f t="array" ref="K21">_xlfn.IFS(A21="Canada",4,A21="India",5,A21="UK",6,A21="USA",7,A21="EU",8)</f>
        <v>5</v>
      </c>
      <c r="L21" s="662">
        <f>VLOOKUP(H21,'StdCosts and StdRates'!$A$41:$H$86,K21,FALSE)</f>
        <v>9800</v>
      </c>
      <c r="M21" s="662" cm="1">
        <f t="array" ref="M21">_xlfn.XLOOKUP(C21&amp;A21,FX!$A$2:$A$26&amp;FX!$B$2:$B$26,FX!$C$2:$C$26)</f>
        <v>1</v>
      </c>
      <c r="N21" cm="1">
        <f t="array" ref="N21">_xlfn.IFS(C21="Canada",2,C21="India",3,C21="UK",4,C21="USA",5,C21="EU",6)</f>
        <v>3</v>
      </c>
      <c r="O21" s="662">
        <f>VLOOKUP(G21,'StdCosts and StdRates'!$A$17:$E$36,N21,FALSE)*M21</f>
        <v>5742</v>
      </c>
      <c r="P21"/>
      <c r="R21" s="967"/>
    </row>
    <row r="22" spans="1:18">
      <c r="A22" s="773" t="s">
        <v>736</v>
      </c>
      <c r="B22" s="773"/>
      <c r="C22" s="773" t="s">
        <v>308</v>
      </c>
      <c r="D22" s="773"/>
      <c r="E22" s="773"/>
      <c r="F22" s="773"/>
      <c r="G22" s="967" t="s">
        <v>374</v>
      </c>
      <c r="H22" s="967" t="str">
        <f t="shared" si="0"/>
        <v>Advisory Consultant</v>
      </c>
      <c r="I22" t="str">
        <f t="shared" si="1"/>
        <v>EUAdvisory Consultant</v>
      </c>
      <c r="J22" t="str">
        <f t="shared" si="2"/>
        <v>EUUSAAdvisory Consultant</v>
      </c>
      <c r="K22" cm="1">
        <f t="array" ref="K22">_xlfn.IFS(A22="Canada",4,A22="India",5,A22="UK",6,A22="USA",7,A22="EU",8)</f>
        <v>8</v>
      </c>
      <c r="L22" s="662">
        <f>VLOOKUP(H22,'StdCosts and StdRates'!$A$41:$H$86,K22,FALSE)</f>
        <v>255</v>
      </c>
      <c r="M22" s="662" cm="1">
        <f t="array" ref="M22">_xlfn.XLOOKUP(C22&amp;A22,FX!$A$2:$A$26&amp;FX!$B$2:$B$26,FX!$C$2:$C$26)</f>
        <v>0.91986999999999997</v>
      </c>
      <c r="N22" cm="1">
        <f t="array" ref="N22">_xlfn.IFS(C22="Canada",2,C22="India",3,C22="UK",4,C22="USA",5,C22="EU",6)</f>
        <v>5</v>
      </c>
      <c r="O22" s="662">
        <f>VLOOKUP(G22,'StdCosts and StdRates'!$A$17:$E$36,N22,FALSE)*M22</f>
        <v>183.97399999999999</v>
      </c>
      <c r="P22"/>
      <c r="R22" s="967"/>
    </row>
    <row r="23" spans="1:18">
      <c r="A23" s="773" t="s">
        <v>736</v>
      </c>
      <c r="B23" s="773"/>
      <c r="C23" s="773" t="s">
        <v>405</v>
      </c>
      <c r="D23" s="773"/>
      <c r="E23" s="773"/>
      <c r="F23" s="773"/>
      <c r="G23" s="967" t="s">
        <v>374</v>
      </c>
      <c r="H23" s="967" t="str">
        <f t="shared" si="0"/>
        <v>Advisory Consultant</v>
      </c>
      <c r="I23" t="str">
        <f t="shared" si="1"/>
        <v>EUAdvisory Consultant</v>
      </c>
      <c r="J23" t="str">
        <f t="shared" si="2"/>
        <v>EUCanadaAdvisory Consultant</v>
      </c>
      <c r="K23" cm="1">
        <f t="array" ref="K23">_xlfn.IFS(A23="Canada",4,A23="India",5,A23="UK",6,A23="USA",7,A23="EU",8)</f>
        <v>8</v>
      </c>
      <c r="L23" s="662">
        <f>VLOOKUP(H23,'StdCosts and StdRates'!$A$41:$H$86,K23,FALSE)</f>
        <v>255</v>
      </c>
      <c r="M23" s="662" cm="1">
        <f t="array" ref="M23">_xlfn.XLOOKUP(C23&amp;A23,FX!$A$2:$A$26&amp;FX!$B$2:$B$26,FX!$C$2:$C$26)</f>
        <v>0.67474000000000001</v>
      </c>
      <c r="N23" cm="1">
        <f t="array" ref="N23">_xlfn.IFS(C23="Canada",2,C23="India",3,C23="UK",4,C23="USA",5,C23="EU",6)</f>
        <v>2</v>
      </c>
      <c r="O23" s="662">
        <f>VLOOKUP(G23,'StdCosts and StdRates'!$A$17:$E$36,N23,FALSE)*M23</f>
        <v>146.41857999999999</v>
      </c>
      <c r="P23"/>
      <c r="R23" s="967"/>
    </row>
    <row r="24" spans="1:18">
      <c r="A24" s="773" t="s">
        <v>736</v>
      </c>
      <c r="B24" s="773"/>
      <c r="C24" s="773" t="s">
        <v>247</v>
      </c>
      <c r="D24" s="773"/>
      <c r="E24" s="773"/>
      <c r="F24" s="773"/>
      <c r="G24" s="967" t="s">
        <v>374</v>
      </c>
      <c r="H24" s="967" t="str">
        <f t="shared" si="0"/>
        <v>Advisory Consultant</v>
      </c>
      <c r="I24" t="str">
        <f t="shared" si="1"/>
        <v>EUAdvisory Consultant</v>
      </c>
      <c r="J24" t="str">
        <f t="shared" si="2"/>
        <v>EUUKAdvisory Consultant</v>
      </c>
      <c r="K24" cm="1">
        <f t="array" ref="K24">_xlfn.IFS(A24="Canada",4,A24="India",5,A24="UK",6,A24="USA",7,A24="EU",8)</f>
        <v>8</v>
      </c>
      <c r="L24" s="662">
        <f>VLOOKUP(H24,'StdCosts and StdRates'!$A$41:$H$86,K24,FALSE)</f>
        <v>255</v>
      </c>
      <c r="M24" s="662" cm="1">
        <f t="array" ref="M24">_xlfn.XLOOKUP(C24&amp;A24,FX!$A$2:$A$26&amp;FX!$B$2:$B$26,FX!$C$2:$C$26)</f>
        <v>1.1749799999999999</v>
      </c>
      <c r="N24" cm="1">
        <f t="array" ref="N24">_xlfn.IFS(C24="Canada",2,C24="India",3,C24="UK",4,C24="USA",5,C24="EU",6)</f>
        <v>4</v>
      </c>
      <c r="O24" s="662">
        <f>VLOOKUP(G24,'StdCosts and StdRates'!$A$17:$E$36,N24,FALSE)*M24</f>
        <v>175.07201999999998</v>
      </c>
      <c r="P24"/>
      <c r="R24" s="967"/>
    </row>
    <row r="25" spans="1:18">
      <c r="A25" s="773" t="s">
        <v>736</v>
      </c>
      <c r="B25" s="773"/>
      <c r="C25" s="773" t="s">
        <v>736</v>
      </c>
      <c r="D25" s="773"/>
      <c r="E25" s="773"/>
      <c r="F25" s="773"/>
      <c r="G25" s="967" t="s">
        <v>374</v>
      </c>
      <c r="H25" s="967" t="str">
        <f t="shared" si="0"/>
        <v>Advisory Consultant</v>
      </c>
      <c r="I25" t="str">
        <f t="shared" si="1"/>
        <v>EUAdvisory Consultant</v>
      </c>
      <c r="J25" t="str">
        <f t="shared" si="2"/>
        <v>EUEUAdvisory Consultant</v>
      </c>
      <c r="K25" cm="1">
        <f t="array" ref="K25">_xlfn.IFS(A25="Canada",4,A25="India",5,A25="UK",6,A25="USA",7,A25="EU",8)</f>
        <v>8</v>
      </c>
      <c r="L25" s="662">
        <f>VLOOKUP(H25,'StdCosts and StdRates'!$A$41:$H$86,K25,FALSE)</f>
        <v>255</v>
      </c>
      <c r="M25" s="662" cm="1">
        <f t="array" ref="M25">_xlfn.XLOOKUP(C25&amp;A25,FX!$A$2:$A$26&amp;FX!$B$2:$B$26,FX!$C$2:$C$26)</f>
        <v>1</v>
      </c>
      <c r="N25" cm="1">
        <f t="array" ref="N25">_xlfn.IFS(C25="Canada",2,C25="India",3,C25="UK",4,C25="USA",5,C25="EU",6)</f>
        <v>6</v>
      </c>
      <c r="O25" s="662" t="e">
        <f>VLOOKUP(G25,'StdCosts and StdRates'!$A$17:$E$36,N25,FALSE)*M25</f>
        <v>#REF!</v>
      </c>
      <c r="P25"/>
      <c r="R25" s="967"/>
    </row>
    <row r="26" spans="1:18">
      <c r="A26" s="773" t="s">
        <v>736</v>
      </c>
      <c r="B26" s="773" t="s">
        <v>227</v>
      </c>
      <c r="C26" s="773" t="s">
        <v>227</v>
      </c>
      <c r="D26" s="773"/>
      <c r="E26" s="773"/>
      <c r="F26" s="773"/>
      <c r="G26" s="967" t="s">
        <v>374</v>
      </c>
      <c r="H26" s="967" t="str">
        <f t="shared" si="0"/>
        <v>IndiaAdvisory Consultant</v>
      </c>
      <c r="I26" t="str">
        <f t="shared" si="1"/>
        <v>EUIndiaAdvisory Consultant</v>
      </c>
      <c r="J26" t="str">
        <f t="shared" si="2"/>
        <v>EUIndiaAdvisory Consultant</v>
      </c>
      <c r="K26" cm="1">
        <f t="array" ref="K26">_xlfn.IFS(A26="Canada",4,A26="India",5,A26="UK",6,A26="USA",7,A26="EU",8)</f>
        <v>8</v>
      </c>
      <c r="L26" s="662">
        <f>VLOOKUP(H26,'StdCosts and StdRates'!$A$41:$H$86,K26,FALSE)</f>
        <v>109</v>
      </c>
      <c r="M26" s="662" cm="1">
        <f t="array" ref="M26">_xlfn.XLOOKUP(C26&amp;A26,FX!$A$2:$A$26&amp;FX!$B$2:$B$26,FX!$C$2:$C$26)</f>
        <v>1.106E-2</v>
      </c>
      <c r="N26" cm="1">
        <f t="array" ref="N26">_xlfn.IFS(C26="Canada",2,C26="India",3,C26="UK",4,C26="USA",5,C26="EU",6)</f>
        <v>3</v>
      </c>
      <c r="O26" s="662">
        <f>VLOOKUP(G26,'StdCosts and StdRates'!$A$17:$E$36,N26,FALSE)*M26</f>
        <v>63.506520000000002</v>
      </c>
      <c r="P26"/>
      <c r="R26" s="967"/>
    </row>
    <row r="27" spans="1:18">
      <c r="A27" s="773" t="s">
        <v>308</v>
      </c>
      <c r="B27" s="773"/>
      <c r="C27" s="773" t="s">
        <v>308</v>
      </c>
      <c r="D27" s="773"/>
      <c r="E27" s="773"/>
      <c r="F27" s="773"/>
      <c r="G27" s="967" t="s">
        <v>377</v>
      </c>
      <c r="H27" s="967" t="str">
        <f t="shared" si="0"/>
        <v>Technical Consultant</v>
      </c>
      <c r="I27" t="str">
        <f t="shared" si="1"/>
        <v>USATechnical Consultant</v>
      </c>
      <c r="J27" t="str">
        <f t="shared" si="2"/>
        <v>USAUSATechnical Consultant</v>
      </c>
      <c r="K27" cm="1">
        <f t="array" ref="K27">_xlfn.IFS(A27="Canada",4,A27="India",5,A27="UK",6,A27="USA",7,A27="EU",8)</f>
        <v>7</v>
      </c>
      <c r="L27" s="662">
        <f>VLOOKUP(H27,'StdCosts and StdRates'!$A$41:$H$86,K27,FALSE)</f>
        <v>209</v>
      </c>
      <c r="M27" s="662" cm="1">
        <f t="array" ref="M27">_xlfn.XLOOKUP(C27&amp;A27,FX!$A$2:$A$26&amp;FX!$B$2:$B$26,FX!$C$2:$C$26)</f>
        <v>1</v>
      </c>
      <c r="N27" cm="1">
        <f t="array" ref="N27">_xlfn.IFS(C27="Canada",2,C27="India",3,C27="UK",4,C27="USA",5,C27="EU",6)</f>
        <v>5</v>
      </c>
      <c r="O27" s="662">
        <f>VLOOKUP(G27,'StdCosts and StdRates'!$A$17:$E$36,N27,FALSE)*M27</f>
        <v>109</v>
      </c>
      <c r="P27"/>
      <c r="R27" s="967"/>
    </row>
    <row r="28" spans="1:18">
      <c r="A28" s="773" t="s">
        <v>308</v>
      </c>
      <c r="B28" s="773"/>
      <c r="C28" s="773" t="s">
        <v>405</v>
      </c>
      <c r="D28" s="773"/>
      <c r="E28" s="773"/>
      <c r="F28" s="773"/>
      <c r="G28" s="967" t="s">
        <v>377</v>
      </c>
      <c r="H28" s="967" t="str">
        <f t="shared" si="0"/>
        <v>Technical Consultant</v>
      </c>
      <c r="I28" t="str">
        <f t="shared" si="1"/>
        <v>USATechnical Consultant</v>
      </c>
      <c r="J28" t="str">
        <f t="shared" si="2"/>
        <v>USACanadaTechnical Consultant</v>
      </c>
      <c r="K28" cm="1">
        <f t="array" ref="K28">_xlfn.IFS(A28="Canada",4,A28="India",5,A28="UK",6,A28="USA",7,A28="EU",8)</f>
        <v>7</v>
      </c>
      <c r="L28" s="662">
        <f>VLOOKUP(H28,'StdCosts and StdRates'!$A$41:$H$86,K28,FALSE)</f>
        <v>209</v>
      </c>
      <c r="M28" s="662" cm="1">
        <f t="array" ref="M28">_xlfn.XLOOKUP(C28&amp;A28,FX!$A$2:$A$26&amp;FX!$B$2:$B$26,FX!$C$2:$C$26)</f>
        <v>0.73351999999999995</v>
      </c>
      <c r="N28" cm="1">
        <f t="array" ref="N28">_xlfn.IFS(C28="Canada",2,C28="India",3,C28="UK",4,C28="USA",5,C28="EU",6)</f>
        <v>2</v>
      </c>
      <c r="O28" s="662">
        <f>VLOOKUP(G28,'StdCosts and StdRates'!$A$17:$E$36,N28,FALSE)*M28</f>
        <v>64.549759999999992</v>
      </c>
      <c r="P28"/>
      <c r="R28" s="967"/>
    </row>
    <row r="29" spans="1:18">
      <c r="A29" s="773" t="s">
        <v>308</v>
      </c>
      <c r="B29" s="773"/>
      <c r="C29" s="773" t="s">
        <v>247</v>
      </c>
      <c r="D29" s="773"/>
      <c r="E29" s="773"/>
      <c r="F29" s="773"/>
      <c r="G29" s="967" t="s">
        <v>377</v>
      </c>
      <c r="H29" s="967" t="str">
        <f t="shared" si="0"/>
        <v>Technical Consultant</v>
      </c>
      <c r="I29" t="str">
        <f t="shared" si="1"/>
        <v>USATechnical Consultant</v>
      </c>
      <c r="J29" t="str">
        <f t="shared" si="2"/>
        <v>USAUKTechnical Consultant</v>
      </c>
      <c r="K29" cm="1">
        <f t="array" ref="K29">_xlfn.IFS(A29="Canada",4,A29="India",5,A29="UK",6,A29="USA",7,A29="EU",8)</f>
        <v>7</v>
      </c>
      <c r="L29" s="662">
        <f>VLOOKUP(H29,'StdCosts and StdRates'!$A$41:$H$86,K29,FALSE)</f>
        <v>209</v>
      </c>
      <c r="M29" s="662" cm="1">
        <f t="array" ref="M29">_xlfn.XLOOKUP(C29&amp;A29,FX!$A$2:$A$26&amp;FX!$B$2:$B$26,FX!$C$2:$C$26)</f>
        <v>1.2772699999999999</v>
      </c>
      <c r="N29" cm="1">
        <f t="array" ref="N29">_xlfn.IFS(C29="Canada",2,C29="India",3,C29="UK",4,C29="USA",5,C29="EU",6)</f>
        <v>4</v>
      </c>
      <c r="O29" s="662">
        <f>VLOOKUP(G29,'StdCosts and StdRates'!$A$17:$E$36,N29,FALSE)*M29</f>
        <v>53.645339999999997</v>
      </c>
      <c r="P29"/>
      <c r="R29" s="967"/>
    </row>
    <row r="30" spans="1:18">
      <c r="A30" s="773" t="s">
        <v>308</v>
      </c>
      <c r="B30" s="773"/>
      <c r="C30" s="773" t="s">
        <v>736</v>
      </c>
      <c r="D30" s="773"/>
      <c r="E30" s="773"/>
      <c r="F30" s="773"/>
      <c r="G30" s="967" t="s">
        <v>377</v>
      </c>
      <c r="H30" s="967" t="str">
        <f t="shared" si="0"/>
        <v>Technical Consultant</v>
      </c>
      <c r="I30" t="str">
        <f t="shared" si="1"/>
        <v>USATechnical Consultant</v>
      </c>
      <c r="J30" t="str">
        <f t="shared" si="2"/>
        <v>USAEUTechnical Consultant</v>
      </c>
      <c r="K30" cm="1">
        <f t="array" ref="K30">_xlfn.IFS(A30="Canada",4,A30="India",5,A30="UK",6,A30="USA",7,A30="EU",8)</f>
        <v>7</v>
      </c>
      <c r="L30" s="662">
        <f>VLOOKUP(H30,'StdCosts and StdRates'!$A$41:$H$86,K30,FALSE)</f>
        <v>209</v>
      </c>
      <c r="M30" s="662" cm="1">
        <f t="array" ref="M30">_xlfn.XLOOKUP(C30&amp;A30,FX!$A$2:$A$26&amp;FX!$B$2:$B$26,FX!$C$2:$C$26)</f>
        <v>1.0869599999999999</v>
      </c>
      <c r="N30" cm="1">
        <f t="array" ref="N30">_xlfn.IFS(C30="Canada",2,C30="India",3,C30="UK",4,C30="USA",5,C30="EU",6)</f>
        <v>6</v>
      </c>
      <c r="O30" s="662" t="e">
        <f>VLOOKUP(G30,'StdCosts and StdRates'!$A$17:$E$36,N30,FALSE)*M30</f>
        <v>#REF!</v>
      </c>
      <c r="P30"/>
      <c r="R30" s="967"/>
    </row>
    <row r="31" spans="1:18">
      <c r="A31" s="773" t="s">
        <v>308</v>
      </c>
      <c r="B31" s="773" t="s">
        <v>227</v>
      </c>
      <c r="C31" s="773" t="s">
        <v>227</v>
      </c>
      <c r="D31" s="773"/>
      <c r="E31" s="773"/>
      <c r="F31" s="773"/>
      <c r="G31" s="967" t="s">
        <v>377</v>
      </c>
      <c r="H31" s="967" t="str">
        <f t="shared" si="0"/>
        <v>IndiaTechnical Consultant</v>
      </c>
      <c r="I31" t="str">
        <f t="shared" si="1"/>
        <v>USAIndiaTechnical Consultant</v>
      </c>
      <c r="J31" t="str">
        <f t="shared" si="2"/>
        <v>USAIndiaTechnical Consultant</v>
      </c>
      <c r="K31" cm="1">
        <f t="array" ref="K31">_xlfn.IFS(A31="Canada",4,A31="India",5,A31="UK",6,A31="USA",7,A31="EU",8)</f>
        <v>7</v>
      </c>
      <c r="L31" s="662">
        <f>VLOOKUP(H31,'StdCosts and StdRates'!$A$41:$H$86,K31,FALSE)</f>
        <v>85</v>
      </c>
      <c r="M31" s="662" cm="1">
        <f t="array" ref="M31">_xlfn.XLOOKUP(C31&amp;A31,FX!$A$2:$A$26&amp;FX!$B$2:$B$26,FX!$C$2:$C$26)</f>
        <v>1.2019999999999999E-2</v>
      </c>
      <c r="N31" cm="1">
        <f t="array" ref="N31">_xlfn.IFS(C31="Canada",2,C31="India",3,C31="UK",4,C31="USA",5,C31="EU",6)</f>
        <v>3</v>
      </c>
      <c r="O31" s="662">
        <f>VLOOKUP(G31,'StdCosts and StdRates'!$A$17:$E$36,N31,FALSE)*M31</f>
        <v>15.577919999999999</v>
      </c>
      <c r="P31"/>
      <c r="R31" s="967"/>
    </row>
    <row r="32" spans="1:18">
      <c r="A32" s="773" t="s">
        <v>405</v>
      </c>
      <c r="B32" s="773"/>
      <c r="C32" s="773" t="s">
        <v>308</v>
      </c>
      <c r="D32" s="773"/>
      <c r="E32" s="773"/>
      <c r="F32" s="773"/>
      <c r="G32" s="967" t="s">
        <v>377</v>
      </c>
      <c r="H32" s="967" t="str">
        <f t="shared" si="0"/>
        <v>Technical Consultant</v>
      </c>
      <c r="I32" t="str">
        <f t="shared" si="1"/>
        <v>CanadaTechnical Consultant</v>
      </c>
      <c r="J32" t="str">
        <f t="shared" si="2"/>
        <v>CanadaUSATechnical Consultant</v>
      </c>
      <c r="K32" cm="1">
        <f t="array" ref="K32">_xlfn.IFS(A32="Canada",4,A32="India",5,A32="UK",6,A32="USA",7,A32="EU",8)</f>
        <v>4</v>
      </c>
      <c r="L32" s="662">
        <f>VLOOKUP(H32,'StdCosts and StdRates'!$A$41:$H$86,K32,FALSE)</f>
        <v>229</v>
      </c>
      <c r="M32" s="662" cm="1">
        <f t="array" ref="M32">_xlfn.XLOOKUP(C32&amp;A32,FX!$A$2:$A$26&amp;FX!$B$2:$B$26,FX!$C$2:$C$26)</f>
        <v>1.36311</v>
      </c>
      <c r="N32" cm="1">
        <f t="array" ref="N32">_xlfn.IFS(C32="Canada",2,C32="India",3,C32="UK",4,C32="USA",5,C32="EU",6)</f>
        <v>5</v>
      </c>
      <c r="O32" s="662">
        <f>VLOOKUP(G32,'StdCosts and StdRates'!$A$17:$E$36,N32,FALSE)*M32</f>
        <v>148.57899</v>
      </c>
      <c r="P32"/>
      <c r="R32" s="967"/>
    </row>
    <row r="33" spans="1:18">
      <c r="A33" s="773" t="s">
        <v>405</v>
      </c>
      <c r="B33" s="773"/>
      <c r="C33" s="773" t="s">
        <v>405</v>
      </c>
      <c r="D33" s="773"/>
      <c r="E33" s="773"/>
      <c r="F33" s="773"/>
      <c r="G33" s="967" t="s">
        <v>377</v>
      </c>
      <c r="H33" s="967" t="str">
        <f t="shared" si="0"/>
        <v>Technical Consultant</v>
      </c>
      <c r="I33" t="str">
        <f t="shared" si="1"/>
        <v>CanadaTechnical Consultant</v>
      </c>
      <c r="J33" t="str">
        <f t="shared" si="2"/>
        <v>CanadaCanadaTechnical Consultant</v>
      </c>
      <c r="K33" cm="1">
        <f t="array" ref="K33">_xlfn.IFS(A33="Canada",4,A33="India",5,A33="UK",6,A33="USA",7,A33="EU",8)</f>
        <v>4</v>
      </c>
      <c r="L33" s="662">
        <f>VLOOKUP(H33,'StdCosts and StdRates'!$A$41:$H$86,K33,FALSE)</f>
        <v>229</v>
      </c>
      <c r="M33" s="662" cm="1">
        <f t="array" ref="M33">_xlfn.XLOOKUP(C33&amp;A33,FX!$A$2:$A$26&amp;FX!$B$2:$B$26,FX!$C$2:$C$26)</f>
        <v>1</v>
      </c>
      <c r="N33" cm="1">
        <f t="array" ref="N33">_xlfn.IFS(C33="Canada",2,C33="India",3,C33="UK",4,C33="USA",5,C33="EU",6)</f>
        <v>2</v>
      </c>
      <c r="O33" s="662">
        <f>VLOOKUP(G33,'StdCosts and StdRates'!$A$17:$E$36,N33,FALSE)*M33</f>
        <v>88</v>
      </c>
      <c r="P33"/>
      <c r="R33" s="967"/>
    </row>
    <row r="34" spans="1:18">
      <c r="A34" s="773" t="s">
        <v>405</v>
      </c>
      <c r="B34" s="773"/>
      <c r="C34" s="773" t="s">
        <v>247</v>
      </c>
      <c r="D34" s="773"/>
      <c r="E34" s="773"/>
      <c r="F34" s="773"/>
      <c r="G34" s="967" t="s">
        <v>377</v>
      </c>
      <c r="H34" s="967" t="str">
        <f t="shared" si="0"/>
        <v>Technical Consultant</v>
      </c>
      <c r="I34" t="str">
        <f t="shared" si="1"/>
        <v>CanadaTechnical Consultant</v>
      </c>
      <c r="J34" t="str">
        <f t="shared" si="2"/>
        <v>CanadaUKTechnical Consultant</v>
      </c>
      <c r="K34" cm="1">
        <f t="array" ref="K34">_xlfn.IFS(A34="Canada",4,A34="India",5,A34="UK",6,A34="USA",7,A34="EU",8)</f>
        <v>4</v>
      </c>
      <c r="L34" s="662">
        <f>VLOOKUP(H34,'StdCosts and StdRates'!$A$41:$H$86,K34,FALSE)</f>
        <v>229</v>
      </c>
      <c r="M34" s="662" cm="1">
        <f t="array" ref="M34">_xlfn.XLOOKUP(C34&amp;A34,FX!$A$2:$A$26&amp;FX!$B$2:$B$26,FX!$C$2:$C$26)</f>
        <v>1.7410699999999999</v>
      </c>
      <c r="N34" cm="1">
        <f t="array" ref="N34">_xlfn.IFS(C34="Canada",2,C34="India",3,C34="UK",4,C34="USA",5,C34="EU",6)</f>
        <v>4</v>
      </c>
      <c r="O34" s="662">
        <f>VLOOKUP(G34,'StdCosts and StdRates'!$A$17:$E$36,N34,FALSE)*M34</f>
        <v>73.124939999999995</v>
      </c>
      <c r="P34"/>
      <c r="R34" s="967"/>
    </row>
    <row r="35" spans="1:18">
      <c r="A35" s="773" t="s">
        <v>405</v>
      </c>
      <c r="B35" s="773"/>
      <c r="C35" s="773" t="s">
        <v>736</v>
      </c>
      <c r="D35" s="773"/>
      <c r="E35" s="773"/>
      <c r="F35" s="773"/>
      <c r="G35" s="967" t="s">
        <v>377</v>
      </c>
      <c r="H35" s="967" t="str">
        <f t="shared" si="0"/>
        <v>Technical Consultant</v>
      </c>
      <c r="I35" t="str">
        <f t="shared" si="1"/>
        <v>CanadaTechnical Consultant</v>
      </c>
      <c r="J35" t="str">
        <f t="shared" si="2"/>
        <v>CanadaEUTechnical Consultant</v>
      </c>
      <c r="K35" cm="1">
        <f t="array" ref="K35">_xlfn.IFS(A35="Canada",4,A35="India",5,A35="UK",6,A35="USA",7,A35="EU",8)</f>
        <v>4</v>
      </c>
      <c r="L35" s="662">
        <f>VLOOKUP(H35,'StdCosts and StdRates'!$A$41:$H$86,K35,FALSE)</f>
        <v>229</v>
      </c>
      <c r="M35" s="662" cm="1">
        <f t="array" ref="M35">_xlfn.XLOOKUP(C35&amp;A35,FX!$A$2:$A$26&amp;FX!$B$2:$B$26,FX!$C$2:$C$26)</f>
        <v>1.4816499999999999</v>
      </c>
      <c r="N35" cm="1">
        <f t="array" ref="N35">_xlfn.IFS(C35="Canada",2,C35="India",3,C35="UK",4,C35="USA",5,C35="EU",6)</f>
        <v>6</v>
      </c>
      <c r="O35" s="662" t="e">
        <f>VLOOKUP(G35,'StdCosts and StdRates'!$A$17:$E$36,N35,FALSE)*M35</f>
        <v>#REF!</v>
      </c>
      <c r="P35"/>
      <c r="R35" s="967"/>
    </row>
    <row r="36" spans="1:18">
      <c r="A36" s="773" t="s">
        <v>405</v>
      </c>
      <c r="B36" s="773" t="s">
        <v>227</v>
      </c>
      <c r="C36" s="773" t="s">
        <v>227</v>
      </c>
      <c r="D36" s="773"/>
      <c r="E36" s="773"/>
      <c r="F36" s="773"/>
      <c r="G36" s="967" t="s">
        <v>377</v>
      </c>
      <c r="H36" s="967" t="str">
        <f t="shared" si="0"/>
        <v>IndiaTechnical Consultant</v>
      </c>
      <c r="I36" t="str">
        <f t="shared" si="1"/>
        <v>CanadaIndiaTechnical Consultant</v>
      </c>
      <c r="J36" t="str">
        <f t="shared" si="2"/>
        <v>CanadaIndiaTechnical Consultant</v>
      </c>
      <c r="K36" cm="1">
        <f t="array" ref="K36">_xlfn.IFS(A36="Canada",4,A36="India",5,A36="UK",6,A36="USA",7,A36="EU",8)</f>
        <v>4</v>
      </c>
      <c r="L36" s="662">
        <f>VLOOKUP(H36,'StdCosts and StdRates'!$A$41:$H$86,K36,FALSE)</f>
        <v>109</v>
      </c>
      <c r="M36" s="662" cm="1">
        <f t="array" ref="M36">_xlfn.XLOOKUP(C36&amp;A36,FX!$A$2:$A$26&amp;FX!$B$2:$B$26,FX!$C$2:$C$26)</f>
        <v>1.6389999999999998E-2</v>
      </c>
      <c r="N36" cm="1">
        <f t="array" ref="N36">_xlfn.IFS(C36="Canada",2,C36="India",3,C36="UK",4,C36="USA",5,C36="EU",6)</f>
        <v>3</v>
      </c>
      <c r="O36" s="662">
        <f>VLOOKUP(G36,'StdCosts and StdRates'!$A$17:$E$36,N36,FALSE)*M36</f>
        <v>21.241439999999997</v>
      </c>
      <c r="P36"/>
      <c r="R36" s="967"/>
    </row>
    <row r="37" spans="1:18">
      <c r="A37" s="773" t="s">
        <v>247</v>
      </c>
      <c r="B37" s="773"/>
      <c r="C37" s="773" t="s">
        <v>308</v>
      </c>
      <c r="D37" s="773"/>
      <c r="E37" s="773"/>
      <c r="F37" s="773"/>
      <c r="G37" s="967" t="s">
        <v>377</v>
      </c>
      <c r="H37" s="967" t="str">
        <f t="shared" si="0"/>
        <v>Technical Consultant</v>
      </c>
      <c r="I37" t="str">
        <f t="shared" si="1"/>
        <v>UKTechnical Consultant</v>
      </c>
      <c r="J37" t="str">
        <f t="shared" si="2"/>
        <v>UKUSATechnical Consultant</v>
      </c>
      <c r="K37" cm="1">
        <f t="array" ref="K37">_xlfn.IFS(A37="Canada",4,A37="India",5,A37="UK",6,A37="USA",7,A37="EU",8)</f>
        <v>6</v>
      </c>
      <c r="L37" s="662">
        <f>VLOOKUP(H37,'StdCosts and StdRates'!$A$41:$H$86,K37,FALSE)</f>
        <v>135</v>
      </c>
      <c r="M37" s="662" cm="1">
        <f t="array" ref="M37">_xlfn.XLOOKUP(C37&amp;A37,FX!$A$2:$A$26&amp;FX!$B$2:$B$26,FX!$C$2:$C$26)</f>
        <v>0.78280000000000005</v>
      </c>
      <c r="N37" cm="1">
        <f t="array" ref="N37">_xlfn.IFS(C37="Canada",2,C37="India",3,C37="UK",4,C37="USA",5,C37="EU",6)</f>
        <v>5</v>
      </c>
      <c r="O37" s="662">
        <f>VLOOKUP(G37,'StdCosts and StdRates'!$A$17:$E$36,N37,FALSE)*M37</f>
        <v>85.325200000000009</v>
      </c>
      <c r="P37"/>
      <c r="R37" s="967"/>
    </row>
    <row r="38" spans="1:18">
      <c r="A38" s="773" t="s">
        <v>247</v>
      </c>
      <c r="B38" s="773"/>
      <c r="C38" s="773" t="s">
        <v>405</v>
      </c>
      <c r="D38" s="773"/>
      <c r="E38" s="773"/>
      <c r="F38" s="773"/>
      <c r="G38" s="967" t="s">
        <v>377</v>
      </c>
      <c r="H38" s="967" t="str">
        <f t="shared" si="0"/>
        <v>Technical Consultant</v>
      </c>
      <c r="I38" t="str">
        <f t="shared" si="1"/>
        <v>UKTechnical Consultant</v>
      </c>
      <c r="J38" t="str">
        <f t="shared" si="2"/>
        <v>UKCanadaTechnical Consultant</v>
      </c>
      <c r="K38" cm="1">
        <f t="array" ref="K38">_xlfn.IFS(A38="Canada",4,A38="India",5,A38="UK",6,A38="USA",7,A38="EU",8)</f>
        <v>6</v>
      </c>
      <c r="L38" s="662">
        <f>VLOOKUP(H38,'StdCosts and StdRates'!$A$41:$H$86,K38,FALSE)</f>
        <v>135</v>
      </c>
      <c r="M38" s="662" cm="1">
        <f t="array" ref="M38">_xlfn.XLOOKUP(C38&amp;A38,FX!$A$2:$A$26&amp;FX!$B$2:$B$26,FX!$C$2:$C$26)</f>
        <v>0.57420000000000004</v>
      </c>
      <c r="N38" cm="1">
        <f t="array" ref="N38">_xlfn.IFS(C38="Canada",2,C38="India",3,C38="UK",4,C38="USA",5,C38="EU",6)</f>
        <v>2</v>
      </c>
      <c r="O38" s="662">
        <f>VLOOKUP(G38,'StdCosts and StdRates'!$A$17:$E$36,N38,FALSE)*M38</f>
        <v>50.529600000000002</v>
      </c>
      <c r="P38"/>
      <c r="R38" s="967"/>
    </row>
    <row r="39" spans="1:18">
      <c r="A39" s="773" t="s">
        <v>247</v>
      </c>
      <c r="B39" s="773"/>
      <c r="C39" s="773" t="s">
        <v>247</v>
      </c>
      <c r="D39" s="773"/>
      <c r="E39" s="773"/>
      <c r="F39" s="773"/>
      <c r="G39" s="967" t="s">
        <v>377</v>
      </c>
      <c r="H39" s="967" t="str">
        <f t="shared" si="0"/>
        <v>Technical Consultant</v>
      </c>
      <c r="I39" t="str">
        <f t="shared" si="1"/>
        <v>UKTechnical Consultant</v>
      </c>
      <c r="J39" t="str">
        <f t="shared" si="2"/>
        <v>UKUKTechnical Consultant</v>
      </c>
      <c r="K39" cm="1">
        <f t="array" ref="K39">_xlfn.IFS(A39="Canada",4,A39="India",5,A39="UK",6,A39="USA",7,A39="EU",8)</f>
        <v>6</v>
      </c>
      <c r="L39" s="662">
        <f>VLOOKUP(H39,'StdCosts and StdRates'!$A$41:$H$86,K39,FALSE)</f>
        <v>135</v>
      </c>
      <c r="M39" s="662" cm="1">
        <f t="array" ref="M39">_xlfn.XLOOKUP(C39&amp;A39,FX!$A$2:$A$26&amp;FX!$B$2:$B$26,FX!$C$2:$C$26)</f>
        <v>1</v>
      </c>
      <c r="N39" cm="1">
        <f t="array" ref="N39">_xlfn.IFS(C39="Canada",2,C39="India",3,C39="UK",4,C39="USA",5,C39="EU",6)</f>
        <v>4</v>
      </c>
      <c r="O39" s="662">
        <f>VLOOKUP(G39,'StdCosts and StdRates'!$A$17:$E$36,N39,FALSE)*M39</f>
        <v>42</v>
      </c>
      <c r="P39"/>
      <c r="R39" s="967"/>
    </row>
    <row r="40" spans="1:18">
      <c r="A40" s="773" t="s">
        <v>247</v>
      </c>
      <c r="B40" s="773"/>
      <c r="C40" s="773" t="s">
        <v>736</v>
      </c>
      <c r="D40" s="773"/>
      <c r="E40" s="773"/>
      <c r="F40" s="773"/>
      <c r="G40" s="967" t="s">
        <v>377</v>
      </c>
      <c r="H40" s="967" t="str">
        <f t="shared" si="0"/>
        <v>Technical Consultant</v>
      </c>
      <c r="I40" t="str">
        <f t="shared" si="1"/>
        <v>UKTechnical Consultant</v>
      </c>
      <c r="J40" t="str">
        <f t="shared" si="2"/>
        <v>UKEUTechnical Consultant</v>
      </c>
      <c r="K40" cm="1">
        <f t="array" ref="K40">_xlfn.IFS(A40="Canada",4,A40="India",5,A40="UK",6,A40="USA",7,A40="EU",8)</f>
        <v>6</v>
      </c>
      <c r="L40" s="662">
        <f>VLOOKUP(H40,'StdCosts and StdRates'!$A$41:$H$86,K40,FALSE)</f>
        <v>135</v>
      </c>
      <c r="M40" s="662" cm="1">
        <f t="array" ref="M40">_xlfn.XLOOKUP(C40&amp;A40,FX!$A$2:$A$26&amp;FX!$B$2:$B$26,FX!$C$2:$C$26)</f>
        <v>0.85092999999999996</v>
      </c>
      <c r="N40" cm="1">
        <f t="array" ref="N40">_xlfn.IFS(C40="Canada",2,C40="India",3,C40="UK",4,C40="USA",5,C40="EU",6)</f>
        <v>6</v>
      </c>
      <c r="O40" s="662" t="e">
        <f>VLOOKUP(G40,'StdCosts and StdRates'!$A$17:$E$36,N40,FALSE)*M40</f>
        <v>#REF!</v>
      </c>
      <c r="P40"/>
      <c r="R40" s="967"/>
    </row>
    <row r="41" spans="1:18">
      <c r="A41" s="773" t="s">
        <v>247</v>
      </c>
      <c r="B41" s="773" t="s">
        <v>227</v>
      </c>
      <c r="C41" s="773" t="s">
        <v>227</v>
      </c>
      <c r="D41" s="773"/>
      <c r="E41" s="773"/>
      <c r="F41" s="773"/>
      <c r="G41" s="967" t="s">
        <v>377</v>
      </c>
      <c r="H41" s="967" t="str">
        <f t="shared" si="0"/>
        <v>IndiaTechnical Consultant</v>
      </c>
      <c r="I41" t="str">
        <f t="shared" si="1"/>
        <v>UKIndiaTechnical Consultant</v>
      </c>
      <c r="J41" t="str">
        <f t="shared" si="2"/>
        <v>UKIndiaTechnical Consultant</v>
      </c>
      <c r="K41" cm="1">
        <f t="array" ref="K41">_xlfn.IFS(A41="Canada",4,A41="India",5,A41="UK",6,A41="USA",7,A41="EU",8)</f>
        <v>6</v>
      </c>
      <c r="L41" s="662">
        <f>VLOOKUP(H41,'StdCosts and StdRates'!$A$41:$H$86,K41,FALSE)</f>
        <v>65</v>
      </c>
      <c r="M41" s="662" cm="1">
        <f t="array" ref="M41">_xlfn.XLOOKUP(C41&amp;A41,FX!$A$2:$A$26&amp;FX!$B$2:$B$26,FX!$C$2:$C$26)</f>
        <v>9.41E-3</v>
      </c>
      <c r="N41" cm="1">
        <f t="array" ref="N41">_xlfn.IFS(C41="Canada",2,C41="India",3,C41="UK",4,C41="USA",5,C41="EU",6)</f>
        <v>3</v>
      </c>
      <c r="O41" s="662">
        <f>VLOOKUP(G41,'StdCosts and StdRates'!$A$17:$E$36,N41,FALSE)*M41</f>
        <v>12.195359999999999</v>
      </c>
      <c r="P41"/>
      <c r="R41" s="967"/>
    </row>
    <row r="42" spans="1:18">
      <c r="A42" s="773" t="s">
        <v>227</v>
      </c>
      <c r="B42" s="773"/>
      <c r="C42" s="773" t="s">
        <v>308</v>
      </c>
      <c r="D42" s="773"/>
      <c r="E42" s="773"/>
      <c r="F42" s="773"/>
      <c r="G42" s="967" t="s">
        <v>377</v>
      </c>
      <c r="H42" s="967" t="str">
        <f t="shared" si="0"/>
        <v>Technical Consultant</v>
      </c>
      <c r="I42" t="str">
        <f t="shared" si="1"/>
        <v>IndiaTechnical Consultant</v>
      </c>
      <c r="J42" t="str">
        <f t="shared" si="2"/>
        <v>IndiaUSATechnical Consultant</v>
      </c>
      <c r="K42" cm="1">
        <f t="array" ref="K42">_xlfn.IFS(A42="Canada",4,A42="India",5,A42="UK",6,A42="USA",7,A42="EU",8)</f>
        <v>5</v>
      </c>
      <c r="L42" s="662">
        <f>VLOOKUP(H42,'StdCosts and StdRates'!$A$41:$H$86,K42,FALSE)</f>
        <v>6500</v>
      </c>
      <c r="M42" s="662" cm="1">
        <f t="array" ref="M42">_xlfn.XLOOKUP(C42&amp;A42,FX!$A$2:$A$26&amp;FX!$B$2:$B$26,FX!$C$2:$C$26)</f>
        <v>83.1721</v>
      </c>
      <c r="N42" cm="1">
        <f t="array" ref="N42">_xlfn.IFS(C42="Canada",2,C42="India",3,C42="UK",4,C42="USA",5,C42="EU",6)</f>
        <v>5</v>
      </c>
      <c r="O42" s="662">
        <f>VLOOKUP(G42,'StdCosts and StdRates'!$A$17:$E$36,N42,FALSE)*M42</f>
        <v>9065.7589000000007</v>
      </c>
      <c r="P42"/>
      <c r="R42" s="967"/>
    </row>
    <row r="43" spans="1:18">
      <c r="A43" s="773" t="s">
        <v>227</v>
      </c>
      <c r="B43" s="773"/>
      <c r="C43" s="773" t="s">
        <v>405</v>
      </c>
      <c r="D43" s="773"/>
      <c r="E43" s="773"/>
      <c r="F43" s="773"/>
      <c r="G43" s="967" t="s">
        <v>377</v>
      </c>
      <c r="H43" s="967" t="str">
        <f t="shared" si="0"/>
        <v>Technical Consultant</v>
      </c>
      <c r="I43" t="str">
        <f t="shared" si="1"/>
        <v>IndiaTechnical Consultant</v>
      </c>
      <c r="J43" t="str">
        <f t="shared" si="2"/>
        <v>IndiaCanadaTechnical Consultant</v>
      </c>
      <c r="K43" cm="1">
        <f t="array" ref="K43">_xlfn.IFS(A43="Canada",4,A43="India",5,A43="UK",6,A43="USA",7,A43="EU",8)</f>
        <v>5</v>
      </c>
      <c r="L43" s="662">
        <f>VLOOKUP(H43,'StdCosts and StdRates'!$A$41:$H$86,K43,FALSE)</f>
        <v>6500</v>
      </c>
      <c r="M43" s="662" cm="1">
        <f t="array" ref="M43">_xlfn.XLOOKUP(C43&amp;A43,FX!$A$2:$A$26&amp;FX!$B$2:$B$26,FX!$C$2:$C$26)</f>
        <v>61.008200000000002</v>
      </c>
      <c r="N43" cm="1">
        <f t="array" ref="N43">_xlfn.IFS(C43="Canada",2,C43="India",3,C43="UK",4,C43="USA",5,C43="EU",6)</f>
        <v>2</v>
      </c>
      <c r="O43" s="662">
        <f>VLOOKUP(G43,'StdCosts and StdRates'!$A$17:$E$36,N43,FALSE)*M43</f>
        <v>5368.7215999999999</v>
      </c>
      <c r="P43"/>
      <c r="R43" s="967"/>
    </row>
    <row r="44" spans="1:18">
      <c r="A44" s="773" t="s">
        <v>227</v>
      </c>
      <c r="B44" s="773"/>
      <c r="C44" s="773" t="s">
        <v>247</v>
      </c>
      <c r="D44" s="773"/>
      <c r="E44" s="773"/>
      <c r="F44" s="773"/>
      <c r="G44" s="967" t="s">
        <v>377</v>
      </c>
      <c r="H44" s="967" t="str">
        <f t="shared" si="0"/>
        <v>Technical Consultant</v>
      </c>
      <c r="I44" t="str">
        <f t="shared" si="1"/>
        <v>IndiaTechnical Consultant</v>
      </c>
      <c r="J44" t="str">
        <f t="shared" si="2"/>
        <v>IndiaUKTechnical Consultant</v>
      </c>
      <c r="K44" cm="1">
        <f t="array" ref="K44">_xlfn.IFS(A44="Canada",4,A44="India",5,A44="UK",6,A44="USA",7,A44="EU",8)</f>
        <v>5</v>
      </c>
      <c r="L44" s="662">
        <f>VLOOKUP(H44,'StdCosts and StdRates'!$A$41:$H$86,K44,FALSE)</f>
        <v>6500</v>
      </c>
      <c r="M44" s="662" cm="1">
        <f t="array" ref="M44">_xlfn.XLOOKUP(C44&amp;A44,FX!$A$2:$A$26&amp;FX!$B$2:$B$26,FX!$C$2:$C$26)</f>
        <v>106.23399999999999</v>
      </c>
      <c r="N44" cm="1">
        <f t="array" ref="N44">_xlfn.IFS(C44="Canada",2,C44="India",3,C44="UK",4,C44="USA",5,C44="EU",6)</f>
        <v>4</v>
      </c>
      <c r="O44" s="662">
        <f>VLOOKUP(G44,'StdCosts and StdRates'!$A$17:$E$36,N44,FALSE)*M44</f>
        <v>4461.8279999999995</v>
      </c>
      <c r="P44"/>
      <c r="R44" s="967"/>
    </row>
    <row r="45" spans="1:18">
      <c r="A45" s="773" t="s">
        <v>227</v>
      </c>
      <c r="B45" s="773"/>
      <c r="C45" s="773" t="s">
        <v>736</v>
      </c>
      <c r="D45" s="773"/>
      <c r="E45" s="773"/>
      <c r="F45" s="773"/>
      <c r="G45" s="967" t="s">
        <v>377</v>
      </c>
      <c r="H45" s="967" t="str">
        <f t="shared" si="0"/>
        <v>Technical Consultant</v>
      </c>
      <c r="I45" t="str">
        <f t="shared" si="1"/>
        <v>IndiaTechnical Consultant</v>
      </c>
      <c r="J45" t="str">
        <f t="shared" si="2"/>
        <v>IndiaEUTechnical Consultant</v>
      </c>
      <c r="K45" cm="1">
        <f t="array" ref="K45">_xlfn.IFS(A45="Canada",4,A45="India",5,A45="UK",6,A45="USA",7,A45="EU",8)</f>
        <v>5</v>
      </c>
      <c r="L45" s="662">
        <f>VLOOKUP(H45,'StdCosts and StdRates'!$A$41:$H$86,K45,FALSE)</f>
        <v>6500</v>
      </c>
      <c r="M45" s="662" cm="1">
        <f t="array" ref="M45">_xlfn.XLOOKUP(C45&amp;A45,FX!$A$2:$A$26&amp;FX!$B$2:$B$26,FX!$C$2:$C$26)</f>
        <v>90.405100000000004</v>
      </c>
      <c r="N45" cm="1">
        <f t="array" ref="N45">_xlfn.IFS(C45="Canada",2,C45="India",3,C45="UK",4,C45="USA",5,C45="EU",6)</f>
        <v>6</v>
      </c>
      <c r="O45" s="662" t="e">
        <f>VLOOKUP(G45,'StdCosts and StdRates'!$A$17:$E$36,N45,FALSE)*M45</f>
        <v>#REF!</v>
      </c>
      <c r="P45"/>
      <c r="R45" s="967"/>
    </row>
    <row r="46" spans="1:18">
      <c r="A46" s="773" t="s">
        <v>227</v>
      </c>
      <c r="B46" s="773" t="s">
        <v>227</v>
      </c>
      <c r="C46" s="773" t="s">
        <v>227</v>
      </c>
      <c r="D46" s="773"/>
      <c r="E46" s="773"/>
      <c r="F46" s="773"/>
      <c r="G46" s="967" t="s">
        <v>377</v>
      </c>
      <c r="H46" s="967" t="str">
        <f t="shared" si="0"/>
        <v>IndiaTechnical Consultant</v>
      </c>
      <c r="I46" t="str">
        <f t="shared" si="1"/>
        <v>IndiaIndiaTechnical Consultant</v>
      </c>
      <c r="J46" t="str">
        <f t="shared" si="2"/>
        <v>IndiaIndiaTechnical Consultant</v>
      </c>
      <c r="K46" cm="1">
        <f t="array" ref="K46">_xlfn.IFS(A46="Canada",4,A46="India",5,A46="UK",6,A46="USA",7,A46="EU",8)</f>
        <v>5</v>
      </c>
      <c r="L46" s="662">
        <f>VLOOKUP(H46,'StdCosts and StdRates'!$A$41:$H$86,K46,FALSE)</f>
        <v>6500</v>
      </c>
      <c r="M46" s="662" cm="1">
        <f t="array" ref="M46">_xlfn.XLOOKUP(C46&amp;A46,FX!$A$2:$A$26&amp;FX!$B$2:$B$26,FX!$C$2:$C$26)</f>
        <v>1</v>
      </c>
      <c r="N46" cm="1">
        <f t="array" ref="N46">_xlfn.IFS(C46="Canada",2,C46="India",3,C46="UK",4,C46="USA",5,C46="EU",6)</f>
        <v>3</v>
      </c>
      <c r="O46" s="662">
        <f>VLOOKUP(G46,'StdCosts and StdRates'!$A$17:$E$36,N46,FALSE)*M46</f>
        <v>1296</v>
      </c>
      <c r="P46"/>
      <c r="R46" s="967"/>
    </row>
    <row r="47" spans="1:18">
      <c r="A47" s="773" t="s">
        <v>736</v>
      </c>
      <c r="B47" s="773"/>
      <c r="C47" s="773" t="s">
        <v>308</v>
      </c>
      <c r="D47" s="773"/>
      <c r="E47" s="773"/>
      <c r="F47" s="773"/>
      <c r="G47" s="967" t="s">
        <v>377</v>
      </c>
      <c r="H47" s="967" t="str">
        <f t="shared" si="0"/>
        <v>Technical Consultant</v>
      </c>
      <c r="I47" t="str">
        <f t="shared" si="1"/>
        <v>EUTechnical Consultant</v>
      </c>
      <c r="J47" t="str">
        <f t="shared" si="2"/>
        <v>EUUSATechnical Consultant</v>
      </c>
      <c r="K47" cm="1">
        <f t="array" ref="K47">_xlfn.IFS(A47="Canada",4,A47="India",5,A47="UK",6,A47="USA",7,A47="EU",8)</f>
        <v>8</v>
      </c>
      <c r="L47" s="662">
        <f>VLOOKUP(H47,'StdCosts and StdRates'!$A$41:$H$86,K47,FALSE)</f>
        <v>159</v>
      </c>
      <c r="M47" s="662" cm="1">
        <f t="array" ref="M47">_xlfn.XLOOKUP(C47&amp;A47,FX!$A$2:$A$26&amp;FX!$B$2:$B$26,FX!$C$2:$C$26)</f>
        <v>0.91986999999999997</v>
      </c>
      <c r="N47" cm="1">
        <f t="array" ref="N47">_xlfn.IFS(C47="Canada",2,C47="India",3,C47="UK",4,C47="USA",5,C47="EU",6)</f>
        <v>5</v>
      </c>
      <c r="O47" s="662">
        <f>VLOOKUP(G47,'StdCosts and StdRates'!$A$17:$E$36,N47,FALSE)*M47</f>
        <v>100.26582999999999</v>
      </c>
      <c r="P47"/>
      <c r="R47" s="967"/>
    </row>
    <row r="48" spans="1:18">
      <c r="A48" s="773" t="s">
        <v>736</v>
      </c>
      <c r="B48" s="773"/>
      <c r="C48" s="773" t="s">
        <v>405</v>
      </c>
      <c r="D48" s="773"/>
      <c r="E48" s="773"/>
      <c r="F48" s="773"/>
      <c r="G48" s="967" t="s">
        <v>377</v>
      </c>
      <c r="H48" s="967" t="str">
        <f t="shared" si="0"/>
        <v>Technical Consultant</v>
      </c>
      <c r="I48" t="str">
        <f t="shared" si="1"/>
        <v>EUTechnical Consultant</v>
      </c>
      <c r="J48" t="str">
        <f t="shared" si="2"/>
        <v>EUCanadaTechnical Consultant</v>
      </c>
      <c r="K48" cm="1">
        <f t="array" ref="K48">_xlfn.IFS(A48="Canada",4,A48="India",5,A48="UK",6,A48="USA",7,A48="EU",8)</f>
        <v>8</v>
      </c>
      <c r="L48" s="662">
        <f>VLOOKUP(H48,'StdCosts and StdRates'!$A$41:$H$86,K48,FALSE)</f>
        <v>159</v>
      </c>
      <c r="M48" s="662" cm="1">
        <f t="array" ref="M48">_xlfn.XLOOKUP(C48&amp;A48,FX!$A$2:$A$26&amp;FX!$B$2:$B$26,FX!$C$2:$C$26)</f>
        <v>0.67474000000000001</v>
      </c>
      <c r="N48" cm="1">
        <f t="array" ref="N48">_xlfn.IFS(C48="Canada",2,C48="India",3,C48="UK",4,C48="USA",5,C48="EU",6)</f>
        <v>2</v>
      </c>
      <c r="O48" s="662">
        <f>VLOOKUP(G48,'StdCosts and StdRates'!$A$17:$E$36,N48,FALSE)*M48</f>
        <v>59.377119999999998</v>
      </c>
      <c r="P48"/>
      <c r="R48" s="967"/>
    </row>
    <row r="49" spans="1:18">
      <c r="A49" s="773" t="s">
        <v>736</v>
      </c>
      <c r="B49" s="773"/>
      <c r="C49" s="773" t="s">
        <v>247</v>
      </c>
      <c r="D49" s="773"/>
      <c r="E49" s="773"/>
      <c r="F49" s="773"/>
      <c r="G49" s="967" t="s">
        <v>377</v>
      </c>
      <c r="H49" s="967" t="str">
        <f t="shared" si="0"/>
        <v>Technical Consultant</v>
      </c>
      <c r="I49" t="str">
        <f t="shared" si="1"/>
        <v>EUTechnical Consultant</v>
      </c>
      <c r="J49" t="str">
        <f t="shared" si="2"/>
        <v>EUUKTechnical Consultant</v>
      </c>
      <c r="K49" cm="1">
        <f t="array" ref="K49">_xlfn.IFS(A49="Canada",4,A49="India",5,A49="UK",6,A49="USA",7,A49="EU",8)</f>
        <v>8</v>
      </c>
      <c r="L49" s="662">
        <f>VLOOKUP(H49,'StdCosts and StdRates'!$A$41:$H$86,K49,FALSE)</f>
        <v>159</v>
      </c>
      <c r="M49" s="662" cm="1">
        <f t="array" ref="M49">_xlfn.XLOOKUP(C49&amp;A49,FX!$A$2:$A$26&amp;FX!$B$2:$B$26,FX!$C$2:$C$26)</f>
        <v>1.1749799999999999</v>
      </c>
      <c r="N49" cm="1">
        <f t="array" ref="N49">_xlfn.IFS(C49="Canada",2,C49="India",3,C49="UK",4,C49="USA",5,C49="EU",6)</f>
        <v>4</v>
      </c>
      <c r="O49" s="662">
        <f>VLOOKUP(G49,'StdCosts and StdRates'!$A$17:$E$36,N49,FALSE)*M49</f>
        <v>49.349159999999998</v>
      </c>
      <c r="P49"/>
      <c r="R49" s="967"/>
    </row>
    <row r="50" spans="1:18">
      <c r="A50" s="773" t="s">
        <v>736</v>
      </c>
      <c r="B50" s="773"/>
      <c r="C50" s="773" t="s">
        <v>736</v>
      </c>
      <c r="D50" s="773"/>
      <c r="E50" s="773"/>
      <c r="F50" s="773"/>
      <c r="G50" s="967" t="s">
        <v>377</v>
      </c>
      <c r="H50" s="967" t="str">
        <f t="shared" si="0"/>
        <v>Technical Consultant</v>
      </c>
      <c r="I50" t="str">
        <f t="shared" si="1"/>
        <v>EUTechnical Consultant</v>
      </c>
      <c r="J50" t="str">
        <f t="shared" si="2"/>
        <v>EUEUTechnical Consultant</v>
      </c>
      <c r="K50" cm="1">
        <f t="array" ref="K50">_xlfn.IFS(A50="Canada",4,A50="India",5,A50="UK",6,A50="USA",7,A50="EU",8)</f>
        <v>8</v>
      </c>
      <c r="L50" s="662">
        <f>VLOOKUP(H50,'StdCosts and StdRates'!$A$41:$H$86,K50,FALSE)</f>
        <v>159</v>
      </c>
      <c r="M50" s="662" cm="1">
        <f t="array" ref="M50">_xlfn.XLOOKUP(C50&amp;A50,FX!$A$2:$A$26&amp;FX!$B$2:$B$26,FX!$C$2:$C$26)</f>
        <v>1</v>
      </c>
      <c r="N50" cm="1">
        <f t="array" ref="N50">_xlfn.IFS(C50="Canada",2,C50="India",3,C50="UK",4,C50="USA",5,C50="EU",6)</f>
        <v>6</v>
      </c>
      <c r="O50" s="662" t="e">
        <f>VLOOKUP(G50,'StdCosts and StdRates'!$A$17:$E$36,N50,FALSE)*M50</f>
        <v>#REF!</v>
      </c>
      <c r="P50"/>
      <c r="R50" s="967"/>
    </row>
    <row r="51" spans="1:18">
      <c r="A51" s="773" t="s">
        <v>736</v>
      </c>
      <c r="B51" s="773" t="s">
        <v>227</v>
      </c>
      <c r="C51" s="773" t="s">
        <v>227</v>
      </c>
      <c r="D51" s="773"/>
      <c r="E51" s="773"/>
      <c r="F51" s="773"/>
      <c r="G51" s="967" t="s">
        <v>377</v>
      </c>
      <c r="H51" s="967" t="str">
        <f t="shared" si="0"/>
        <v>IndiaTechnical Consultant</v>
      </c>
      <c r="I51" t="str">
        <f t="shared" si="1"/>
        <v>EUIndiaTechnical Consultant</v>
      </c>
      <c r="J51" t="str">
        <f t="shared" si="2"/>
        <v>EUIndiaTechnical Consultant</v>
      </c>
      <c r="K51" cm="1">
        <f t="array" ref="K51">_xlfn.IFS(A51="Canada",4,A51="India",5,A51="UK",6,A51="USA",7,A51="EU",8)</f>
        <v>8</v>
      </c>
      <c r="L51" s="662">
        <f>VLOOKUP(H51,'StdCosts and StdRates'!$A$41:$H$86,K51,FALSE)</f>
        <v>75</v>
      </c>
      <c r="M51" s="662" cm="1">
        <f t="array" ref="M51">_xlfn.XLOOKUP(C51&amp;A51,FX!$A$2:$A$26&amp;FX!$B$2:$B$26,FX!$C$2:$C$26)</f>
        <v>1.106E-2</v>
      </c>
      <c r="N51" cm="1">
        <f t="array" ref="N51">_xlfn.IFS(C51="Canada",2,C51="India",3,C51="UK",4,C51="USA",5,C51="EU",6)</f>
        <v>3</v>
      </c>
      <c r="O51" s="662">
        <f>VLOOKUP(G51,'StdCosts and StdRates'!$A$17:$E$36,N51,FALSE)*M51</f>
        <v>14.33376</v>
      </c>
      <c r="P51"/>
      <c r="R51" s="967"/>
    </row>
    <row r="52" spans="1:18">
      <c r="A52" s="773" t="s">
        <v>308</v>
      </c>
      <c r="B52" s="773"/>
      <c r="C52" s="773" t="s">
        <v>308</v>
      </c>
      <c r="D52" s="773"/>
      <c r="E52" s="773"/>
      <c r="F52" s="773"/>
      <c r="G52" s="967" t="s">
        <v>167</v>
      </c>
      <c r="H52" s="967" t="str">
        <f t="shared" si="0"/>
        <v>Solution Architect</v>
      </c>
      <c r="I52" t="str">
        <f t="shared" si="1"/>
        <v>USASolution Architect</v>
      </c>
      <c r="J52" t="str">
        <f t="shared" si="2"/>
        <v>USAUSASolution Architect</v>
      </c>
      <c r="K52" cm="1">
        <f t="array" ref="K52">_xlfn.IFS(A52="Canada",4,A52="India",5,A52="UK",6,A52="USA",7,A52="EU",8)</f>
        <v>7</v>
      </c>
      <c r="L52" s="662">
        <f>VLOOKUP(H52,'StdCosts and StdRates'!$A$41:$H$86,K52,FALSE)</f>
        <v>289</v>
      </c>
      <c r="M52" s="662" cm="1">
        <f t="array" ref="M52">_xlfn.XLOOKUP(C52&amp;A52,FX!$A$2:$A$26&amp;FX!$B$2:$B$26,FX!$C$2:$C$26)</f>
        <v>1</v>
      </c>
      <c r="N52" cm="1">
        <f t="array" ref="N52">_xlfn.IFS(C52="Canada",2,C52="India",3,C52="UK",4,C52="USA",5,C52="EU",6)</f>
        <v>5</v>
      </c>
      <c r="O52" s="662">
        <f>VLOOKUP(G52,'StdCosts and StdRates'!$A$17:$E$36,N52,FALSE)*M52</f>
        <v>178</v>
      </c>
      <c r="P52"/>
      <c r="R52" s="967"/>
    </row>
    <row r="53" spans="1:18">
      <c r="A53" s="773" t="s">
        <v>308</v>
      </c>
      <c r="B53" s="773"/>
      <c r="C53" s="773" t="s">
        <v>405</v>
      </c>
      <c r="D53" s="773"/>
      <c r="E53" s="773"/>
      <c r="F53" s="773"/>
      <c r="G53" s="967" t="s">
        <v>167</v>
      </c>
      <c r="H53" s="967" t="str">
        <f t="shared" si="0"/>
        <v>Solution Architect</v>
      </c>
      <c r="I53" t="str">
        <f t="shared" si="1"/>
        <v>USASolution Architect</v>
      </c>
      <c r="J53" t="str">
        <f t="shared" si="2"/>
        <v>USACanadaSolution Architect</v>
      </c>
      <c r="K53" cm="1">
        <f t="array" ref="K53">_xlfn.IFS(A53="Canada",4,A53="India",5,A53="UK",6,A53="USA",7,A53="EU",8)</f>
        <v>7</v>
      </c>
      <c r="L53" s="662">
        <f>VLOOKUP(H53,'StdCosts and StdRates'!$A$41:$H$86,K53,FALSE)</f>
        <v>289</v>
      </c>
      <c r="M53" s="662" cm="1">
        <f t="array" ref="M53">_xlfn.XLOOKUP(C53&amp;A53,FX!$A$2:$A$26&amp;FX!$B$2:$B$26,FX!$C$2:$C$26)</f>
        <v>0.73351999999999995</v>
      </c>
      <c r="N53" cm="1">
        <f t="array" ref="N53">_xlfn.IFS(C53="Canada",2,C53="India",3,C53="UK",4,C53="USA",5,C53="EU",6)</f>
        <v>2</v>
      </c>
      <c r="O53" s="662">
        <f>VLOOKUP(G53,'StdCosts and StdRates'!$A$17:$E$36,N53,FALSE)*M53</f>
        <v>125.43191999999999</v>
      </c>
      <c r="P53"/>
      <c r="R53" s="967"/>
    </row>
    <row r="54" spans="1:18">
      <c r="A54" s="773" t="s">
        <v>308</v>
      </c>
      <c r="B54" s="773"/>
      <c r="C54" s="773" t="s">
        <v>247</v>
      </c>
      <c r="D54" s="773"/>
      <c r="E54" s="773"/>
      <c r="F54" s="773"/>
      <c r="G54" s="967" t="s">
        <v>167</v>
      </c>
      <c r="H54" s="967" t="str">
        <f t="shared" si="0"/>
        <v>Solution Architect</v>
      </c>
      <c r="I54" t="str">
        <f t="shared" si="1"/>
        <v>USASolution Architect</v>
      </c>
      <c r="J54" t="str">
        <f t="shared" si="2"/>
        <v>USAUKSolution Architect</v>
      </c>
      <c r="K54" cm="1">
        <f t="array" ref="K54">_xlfn.IFS(A54="Canada",4,A54="India",5,A54="UK",6,A54="USA",7,A54="EU",8)</f>
        <v>7</v>
      </c>
      <c r="L54" s="662">
        <f>VLOOKUP(H54,'StdCosts and StdRates'!$A$41:$H$86,K54,FALSE)</f>
        <v>289</v>
      </c>
      <c r="M54" s="662" cm="1">
        <f t="array" ref="M54">_xlfn.XLOOKUP(C54&amp;A54,FX!$A$2:$A$26&amp;FX!$B$2:$B$26,FX!$C$2:$C$26)</f>
        <v>1.2772699999999999</v>
      </c>
      <c r="N54" cm="1">
        <f t="array" ref="N54">_xlfn.IFS(C54="Canada",2,C54="India",3,C54="UK",4,C54="USA",5,C54="EU",6)</f>
        <v>4</v>
      </c>
      <c r="O54" s="662">
        <f>VLOOKUP(G54,'StdCosts and StdRates'!$A$17:$E$36,N54,FALSE)*M54</f>
        <v>141.77696999999998</v>
      </c>
      <c r="P54"/>
      <c r="R54" s="967"/>
    </row>
    <row r="55" spans="1:18">
      <c r="A55" s="773" t="s">
        <v>308</v>
      </c>
      <c r="B55" s="773"/>
      <c r="C55" s="773" t="s">
        <v>736</v>
      </c>
      <c r="D55" s="773"/>
      <c r="E55" s="773"/>
      <c r="F55" s="773"/>
      <c r="G55" s="967" t="s">
        <v>167</v>
      </c>
      <c r="H55" s="967" t="str">
        <f t="shared" si="0"/>
        <v>Solution Architect</v>
      </c>
      <c r="I55" t="str">
        <f t="shared" si="1"/>
        <v>USASolution Architect</v>
      </c>
      <c r="J55" t="str">
        <f t="shared" si="2"/>
        <v>USAEUSolution Architect</v>
      </c>
      <c r="K55" cm="1">
        <f t="array" ref="K55">_xlfn.IFS(A55="Canada",4,A55="India",5,A55="UK",6,A55="USA",7,A55="EU",8)</f>
        <v>7</v>
      </c>
      <c r="L55" s="662">
        <f>VLOOKUP(H55,'StdCosts and StdRates'!$A$41:$H$86,K55,FALSE)</f>
        <v>289</v>
      </c>
      <c r="M55" s="662" cm="1">
        <f t="array" ref="M55">_xlfn.XLOOKUP(C55&amp;A55,FX!$A$2:$A$26&amp;FX!$B$2:$B$26,FX!$C$2:$C$26)</f>
        <v>1.0869599999999999</v>
      </c>
      <c r="N55" cm="1">
        <f t="array" ref="N55">_xlfn.IFS(C55="Canada",2,C55="India",3,C55="UK",4,C55="USA",5,C55="EU",6)</f>
        <v>6</v>
      </c>
      <c r="O55" s="662" t="e">
        <f>VLOOKUP(G55,'StdCosts and StdRates'!$A$17:$E$36,N55,FALSE)*M55</f>
        <v>#REF!</v>
      </c>
      <c r="P55"/>
      <c r="R55" s="967"/>
    </row>
    <row r="56" spans="1:18">
      <c r="A56" s="773" t="s">
        <v>308</v>
      </c>
      <c r="B56" s="773" t="s">
        <v>227</v>
      </c>
      <c r="C56" s="773" t="s">
        <v>227</v>
      </c>
      <c r="D56" s="773"/>
      <c r="E56" s="773"/>
      <c r="F56" s="773"/>
      <c r="G56" s="967" t="s">
        <v>167</v>
      </c>
      <c r="H56" s="967" t="str">
        <f t="shared" si="0"/>
        <v>IndiaSolution Architect</v>
      </c>
      <c r="I56" t="str">
        <f t="shared" si="1"/>
        <v>USAIndiaSolution Architect</v>
      </c>
      <c r="J56" t="str">
        <f t="shared" si="2"/>
        <v>USAIndiaSolution Architect</v>
      </c>
      <c r="K56" cm="1">
        <f t="array" ref="K56">_xlfn.IFS(A56="Canada",4,A56="India",5,A56="UK",6,A56="USA",7,A56="EU",8)</f>
        <v>7</v>
      </c>
      <c r="L56" s="662">
        <f>VLOOKUP(H56,'StdCosts and StdRates'!$A$41:$H$86,K56,FALSE)</f>
        <v>109</v>
      </c>
      <c r="M56" s="662" cm="1">
        <f t="array" ref="M56">_xlfn.XLOOKUP(C56&amp;A56,FX!$A$2:$A$26&amp;FX!$B$2:$B$26,FX!$C$2:$C$26)</f>
        <v>1.2019999999999999E-2</v>
      </c>
      <c r="N56" cm="1">
        <f t="array" ref="N56">_xlfn.IFS(C56="Canada",2,C56="India",3,C56="UK",4,C56="USA",5,C56="EU",6)</f>
        <v>3</v>
      </c>
      <c r="O56" s="662">
        <f>VLOOKUP(G56,'StdCosts and StdRates'!$A$17:$E$36,N56,FALSE)*M56</f>
        <v>41.084359999999997</v>
      </c>
      <c r="P56"/>
      <c r="R56" s="967"/>
    </row>
    <row r="57" spans="1:18">
      <c r="A57" s="773" t="s">
        <v>405</v>
      </c>
      <c r="B57" s="773"/>
      <c r="C57" s="773" t="s">
        <v>308</v>
      </c>
      <c r="D57" s="773"/>
      <c r="E57" s="773"/>
      <c r="F57" s="773"/>
      <c r="G57" s="967" t="s">
        <v>167</v>
      </c>
      <c r="H57" s="967" t="str">
        <f t="shared" si="0"/>
        <v>Solution Architect</v>
      </c>
      <c r="I57" t="str">
        <f t="shared" si="1"/>
        <v>CanadaSolution Architect</v>
      </c>
      <c r="J57" t="str">
        <f t="shared" si="2"/>
        <v>CanadaUSASolution Architect</v>
      </c>
      <c r="K57" cm="1">
        <f t="array" ref="K57">_xlfn.IFS(A57="Canada",4,A57="India",5,A57="UK",6,A57="USA",7,A57="EU",8)</f>
        <v>4</v>
      </c>
      <c r="L57" s="662">
        <f>VLOOKUP(H57,'StdCosts and StdRates'!$A$41:$H$86,K57,FALSE)</f>
        <v>299</v>
      </c>
      <c r="M57" s="662" cm="1">
        <f t="array" ref="M57">_xlfn.XLOOKUP(C57&amp;A57,FX!$A$2:$A$26&amp;FX!$B$2:$B$26,FX!$C$2:$C$26)</f>
        <v>1.36311</v>
      </c>
      <c r="N57" cm="1">
        <f t="array" ref="N57">_xlfn.IFS(C57="Canada",2,C57="India",3,C57="UK",4,C57="USA",5,C57="EU",6)</f>
        <v>5</v>
      </c>
      <c r="O57" s="662">
        <f>VLOOKUP(G57,'StdCosts and StdRates'!$A$17:$E$36,N57,FALSE)*M57</f>
        <v>242.63357999999999</v>
      </c>
      <c r="P57"/>
      <c r="R57" s="967"/>
    </row>
    <row r="58" spans="1:18">
      <c r="A58" s="773" t="s">
        <v>405</v>
      </c>
      <c r="B58" s="773"/>
      <c r="C58" s="773" t="s">
        <v>405</v>
      </c>
      <c r="D58" s="773"/>
      <c r="E58" s="773"/>
      <c r="F58" s="773"/>
      <c r="G58" s="967" t="s">
        <v>167</v>
      </c>
      <c r="H58" s="967" t="str">
        <f t="shared" si="0"/>
        <v>Solution Architect</v>
      </c>
      <c r="I58" t="str">
        <f t="shared" si="1"/>
        <v>CanadaSolution Architect</v>
      </c>
      <c r="J58" t="str">
        <f t="shared" si="2"/>
        <v>CanadaCanadaSolution Architect</v>
      </c>
      <c r="K58" cm="1">
        <f t="array" ref="K58">_xlfn.IFS(A58="Canada",4,A58="India",5,A58="UK",6,A58="USA",7,A58="EU",8)</f>
        <v>4</v>
      </c>
      <c r="L58" s="662">
        <f>VLOOKUP(H58,'StdCosts and StdRates'!$A$41:$H$86,K58,FALSE)</f>
        <v>299</v>
      </c>
      <c r="M58" s="662" cm="1">
        <f t="array" ref="M58">_xlfn.XLOOKUP(C58&amp;A58,FX!$A$2:$A$26&amp;FX!$B$2:$B$26,FX!$C$2:$C$26)</f>
        <v>1</v>
      </c>
      <c r="N58" cm="1">
        <f t="array" ref="N58">_xlfn.IFS(C58="Canada",2,C58="India",3,C58="UK",4,C58="USA",5,C58="EU",6)</f>
        <v>2</v>
      </c>
      <c r="O58" s="662">
        <f>VLOOKUP(G58,'StdCosts and StdRates'!$A$17:$E$36,N58,FALSE)*M58</f>
        <v>171</v>
      </c>
      <c r="P58"/>
      <c r="R58" s="967"/>
    </row>
    <row r="59" spans="1:18">
      <c r="A59" s="773" t="s">
        <v>405</v>
      </c>
      <c r="B59" s="773"/>
      <c r="C59" s="773" t="s">
        <v>247</v>
      </c>
      <c r="D59" s="773"/>
      <c r="E59" s="773"/>
      <c r="F59" s="773"/>
      <c r="G59" s="967" t="s">
        <v>167</v>
      </c>
      <c r="H59" s="967" t="str">
        <f t="shared" si="0"/>
        <v>Solution Architect</v>
      </c>
      <c r="I59" t="str">
        <f t="shared" si="1"/>
        <v>CanadaSolution Architect</v>
      </c>
      <c r="J59" t="str">
        <f t="shared" si="2"/>
        <v>CanadaUKSolution Architect</v>
      </c>
      <c r="K59" cm="1">
        <f t="array" ref="K59">_xlfn.IFS(A59="Canada",4,A59="India",5,A59="UK",6,A59="USA",7,A59="EU",8)</f>
        <v>4</v>
      </c>
      <c r="L59" s="662">
        <f>VLOOKUP(H59,'StdCosts and StdRates'!$A$41:$H$86,K59,FALSE)</f>
        <v>299</v>
      </c>
      <c r="M59" s="662" cm="1">
        <f t="array" ref="M59">_xlfn.XLOOKUP(C59&amp;A59,FX!$A$2:$A$26&amp;FX!$B$2:$B$26,FX!$C$2:$C$26)</f>
        <v>1.7410699999999999</v>
      </c>
      <c r="N59" cm="1">
        <f t="array" ref="N59">_xlfn.IFS(C59="Canada",2,C59="India",3,C59="UK",4,C59="USA",5,C59="EU",6)</f>
        <v>4</v>
      </c>
      <c r="O59" s="662">
        <f>VLOOKUP(G59,'StdCosts and StdRates'!$A$17:$E$36,N59,FALSE)*M59</f>
        <v>193.25877</v>
      </c>
      <c r="P59"/>
      <c r="R59" s="967"/>
    </row>
    <row r="60" spans="1:18">
      <c r="A60" s="773" t="s">
        <v>405</v>
      </c>
      <c r="B60" s="773"/>
      <c r="C60" s="773" t="s">
        <v>736</v>
      </c>
      <c r="D60" s="773"/>
      <c r="E60" s="773"/>
      <c r="F60" s="773"/>
      <c r="G60" s="967" t="s">
        <v>167</v>
      </c>
      <c r="H60" s="967" t="str">
        <f t="shared" si="0"/>
        <v>Solution Architect</v>
      </c>
      <c r="I60" t="str">
        <f t="shared" si="1"/>
        <v>CanadaSolution Architect</v>
      </c>
      <c r="J60" t="str">
        <f t="shared" si="2"/>
        <v>CanadaEUSolution Architect</v>
      </c>
      <c r="K60" cm="1">
        <f t="array" ref="K60">_xlfn.IFS(A60="Canada",4,A60="India",5,A60="UK",6,A60="USA",7,A60="EU",8)</f>
        <v>4</v>
      </c>
      <c r="L60" s="662">
        <f>VLOOKUP(H60,'StdCosts and StdRates'!$A$41:$H$86,K60,FALSE)</f>
        <v>299</v>
      </c>
      <c r="M60" s="662" cm="1">
        <f t="array" ref="M60">_xlfn.XLOOKUP(C60&amp;A60,FX!$A$2:$A$26&amp;FX!$B$2:$B$26,FX!$C$2:$C$26)</f>
        <v>1.4816499999999999</v>
      </c>
      <c r="N60" cm="1">
        <f t="array" ref="N60">_xlfn.IFS(C60="Canada",2,C60="India",3,C60="UK",4,C60="USA",5,C60="EU",6)</f>
        <v>6</v>
      </c>
      <c r="O60" s="662" t="e">
        <f>VLOOKUP(G60,'StdCosts and StdRates'!$A$17:$E$36,N60,FALSE)*M60</f>
        <v>#REF!</v>
      </c>
      <c r="P60"/>
      <c r="R60" s="967"/>
    </row>
    <row r="61" spans="1:18">
      <c r="A61" s="773" t="s">
        <v>405</v>
      </c>
      <c r="B61" s="773" t="s">
        <v>227</v>
      </c>
      <c r="C61" s="773" t="s">
        <v>227</v>
      </c>
      <c r="D61" s="773"/>
      <c r="E61" s="773"/>
      <c r="F61" s="773"/>
      <c r="G61" s="967" t="s">
        <v>167</v>
      </c>
      <c r="H61" s="967" t="str">
        <f t="shared" si="0"/>
        <v>IndiaSolution Architect</v>
      </c>
      <c r="I61" t="str">
        <f t="shared" si="1"/>
        <v>CanadaIndiaSolution Architect</v>
      </c>
      <c r="J61" t="str">
        <f t="shared" si="2"/>
        <v>CanadaIndiaSolution Architect</v>
      </c>
      <c r="K61" cm="1">
        <f t="array" ref="K61">_xlfn.IFS(A61="Canada",4,A61="India",5,A61="UK",6,A61="USA",7,A61="EU",8)</f>
        <v>4</v>
      </c>
      <c r="L61" s="662">
        <f>VLOOKUP(H61,'StdCosts and StdRates'!$A$41:$H$86,K61,FALSE)</f>
        <v>139</v>
      </c>
      <c r="M61" s="662" cm="1">
        <f t="array" ref="M61">_xlfn.XLOOKUP(C61&amp;A61,FX!$A$2:$A$26&amp;FX!$B$2:$B$26,FX!$C$2:$C$26)</f>
        <v>1.6389999999999998E-2</v>
      </c>
      <c r="N61" cm="1">
        <f t="array" ref="N61">_xlfn.IFS(C61="Canada",2,C61="India",3,C61="UK",4,C61="USA",5,C61="EU",6)</f>
        <v>3</v>
      </c>
      <c r="O61" s="662">
        <f>VLOOKUP(G61,'StdCosts and StdRates'!$A$17:$E$36,N61,FALSE)*M61</f>
        <v>56.021019999999993</v>
      </c>
      <c r="P61"/>
      <c r="R61" s="967"/>
    </row>
    <row r="62" spans="1:18">
      <c r="A62" s="773" t="s">
        <v>247</v>
      </c>
      <c r="B62" s="773"/>
      <c r="C62" s="773" t="s">
        <v>308</v>
      </c>
      <c r="D62" s="773"/>
      <c r="E62" s="773"/>
      <c r="F62" s="773"/>
      <c r="G62" s="967" t="s">
        <v>167</v>
      </c>
      <c r="H62" s="967" t="str">
        <f t="shared" si="0"/>
        <v>Solution Architect</v>
      </c>
      <c r="I62" t="str">
        <f t="shared" si="1"/>
        <v>UKSolution Architect</v>
      </c>
      <c r="J62" t="str">
        <f t="shared" si="2"/>
        <v>UKUSASolution Architect</v>
      </c>
      <c r="K62" cm="1">
        <f t="array" ref="K62">_xlfn.IFS(A62="Canada",4,A62="India",5,A62="UK",6,A62="USA",7,A62="EU",8)</f>
        <v>6</v>
      </c>
      <c r="L62" s="662">
        <f>VLOOKUP(H62,'StdCosts and StdRates'!$A$41:$H$86,K62,FALSE)</f>
        <v>185</v>
      </c>
      <c r="M62" s="662" cm="1">
        <f t="array" ref="M62">_xlfn.XLOOKUP(C62&amp;A62,FX!$A$2:$A$26&amp;FX!$B$2:$B$26,FX!$C$2:$C$26)</f>
        <v>0.78280000000000005</v>
      </c>
      <c r="N62" cm="1">
        <f t="array" ref="N62">_xlfn.IFS(C62="Canada",2,C62="India",3,C62="UK",4,C62="USA",5,C62="EU",6)</f>
        <v>5</v>
      </c>
      <c r="O62" s="662">
        <f>VLOOKUP(G62,'StdCosts and StdRates'!$A$17:$E$36,N62,FALSE)*M62</f>
        <v>139.33840000000001</v>
      </c>
      <c r="P62"/>
      <c r="R62" s="967"/>
    </row>
    <row r="63" spans="1:18">
      <c r="A63" s="773" t="s">
        <v>247</v>
      </c>
      <c r="B63" s="773"/>
      <c r="C63" s="773" t="s">
        <v>405</v>
      </c>
      <c r="D63" s="773"/>
      <c r="E63" s="773"/>
      <c r="F63" s="773"/>
      <c r="G63" s="967" t="s">
        <v>167</v>
      </c>
      <c r="H63" s="967" t="str">
        <f t="shared" si="0"/>
        <v>Solution Architect</v>
      </c>
      <c r="I63" t="str">
        <f t="shared" si="1"/>
        <v>UKSolution Architect</v>
      </c>
      <c r="J63" t="str">
        <f t="shared" si="2"/>
        <v>UKCanadaSolution Architect</v>
      </c>
      <c r="K63" cm="1">
        <f t="array" ref="K63">_xlfn.IFS(A63="Canada",4,A63="India",5,A63="UK",6,A63="USA",7,A63="EU",8)</f>
        <v>6</v>
      </c>
      <c r="L63" s="662">
        <f>VLOOKUP(H63,'StdCosts and StdRates'!$A$41:$H$86,K63,FALSE)</f>
        <v>185</v>
      </c>
      <c r="M63" s="662" cm="1">
        <f t="array" ref="M63">_xlfn.XLOOKUP(C63&amp;A63,FX!$A$2:$A$26&amp;FX!$B$2:$B$26,FX!$C$2:$C$26)</f>
        <v>0.57420000000000004</v>
      </c>
      <c r="N63" cm="1">
        <f t="array" ref="N63">_xlfn.IFS(C63="Canada",2,C63="India",3,C63="UK",4,C63="USA",5,C63="EU",6)</f>
        <v>2</v>
      </c>
      <c r="O63" s="662">
        <f>VLOOKUP(G63,'StdCosts and StdRates'!$A$17:$E$36,N63,FALSE)*M63</f>
        <v>98.188200000000009</v>
      </c>
      <c r="P63"/>
      <c r="R63" s="967"/>
    </row>
    <row r="64" spans="1:18">
      <c r="A64" s="773" t="s">
        <v>247</v>
      </c>
      <c r="B64" s="773"/>
      <c r="C64" s="773" t="s">
        <v>247</v>
      </c>
      <c r="D64" s="773"/>
      <c r="E64" s="773"/>
      <c r="F64" s="773"/>
      <c r="G64" s="967" t="s">
        <v>167</v>
      </c>
      <c r="H64" s="967" t="str">
        <f t="shared" si="0"/>
        <v>Solution Architect</v>
      </c>
      <c r="I64" t="str">
        <f t="shared" si="1"/>
        <v>UKSolution Architect</v>
      </c>
      <c r="J64" t="str">
        <f t="shared" si="2"/>
        <v>UKUKSolution Architect</v>
      </c>
      <c r="K64" cm="1">
        <f t="array" ref="K64">_xlfn.IFS(A64="Canada",4,A64="India",5,A64="UK",6,A64="USA",7,A64="EU",8)</f>
        <v>6</v>
      </c>
      <c r="L64" s="662">
        <f>VLOOKUP(H64,'StdCosts and StdRates'!$A$41:$H$86,K64,FALSE)</f>
        <v>185</v>
      </c>
      <c r="M64" s="662" cm="1">
        <f t="array" ref="M64">_xlfn.XLOOKUP(C64&amp;A64,FX!$A$2:$A$26&amp;FX!$B$2:$B$26,FX!$C$2:$C$26)</f>
        <v>1</v>
      </c>
      <c r="N64" cm="1">
        <f t="array" ref="N64">_xlfn.IFS(C64="Canada",2,C64="India",3,C64="UK",4,C64="USA",5,C64="EU",6)</f>
        <v>4</v>
      </c>
      <c r="O64" s="662">
        <f>VLOOKUP(G64,'StdCosts and StdRates'!$A$17:$E$36,N64,FALSE)*M64</f>
        <v>111</v>
      </c>
      <c r="P64"/>
      <c r="R64" s="967"/>
    </row>
    <row r="65" spans="1:18">
      <c r="A65" s="773" t="s">
        <v>247</v>
      </c>
      <c r="B65" s="773"/>
      <c r="C65" s="773" t="s">
        <v>736</v>
      </c>
      <c r="D65" s="773"/>
      <c r="E65" s="773"/>
      <c r="F65" s="773"/>
      <c r="G65" s="967" t="s">
        <v>167</v>
      </c>
      <c r="H65" s="967" t="str">
        <f t="shared" si="0"/>
        <v>Solution Architect</v>
      </c>
      <c r="I65" t="str">
        <f t="shared" si="1"/>
        <v>UKSolution Architect</v>
      </c>
      <c r="J65" t="str">
        <f t="shared" si="2"/>
        <v>UKEUSolution Architect</v>
      </c>
      <c r="K65" cm="1">
        <f t="array" ref="K65">_xlfn.IFS(A65="Canada",4,A65="India",5,A65="UK",6,A65="USA",7,A65="EU",8)</f>
        <v>6</v>
      </c>
      <c r="L65" s="662">
        <f>VLOOKUP(H65,'StdCosts and StdRates'!$A$41:$H$86,K65,FALSE)</f>
        <v>185</v>
      </c>
      <c r="M65" s="662" cm="1">
        <f t="array" ref="M65">_xlfn.XLOOKUP(C65&amp;A65,FX!$A$2:$A$26&amp;FX!$B$2:$B$26,FX!$C$2:$C$26)</f>
        <v>0.85092999999999996</v>
      </c>
      <c r="N65" cm="1">
        <f t="array" ref="N65">_xlfn.IFS(C65="Canada",2,C65="India",3,C65="UK",4,C65="USA",5,C65="EU",6)</f>
        <v>6</v>
      </c>
      <c r="O65" s="662" t="e">
        <f>VLOOKUP(G65,'StdCosts and StdRates'!$A$17:$E$36,N65,FALSE)*M65</f>
        <v>#REF!</v>
      </c>
      <c r="P65"/>
      <c r="R65" s="967"/>
    </row>
    <row r="66" spans="1:18">
      <c r="A66" s="773" t="s">
        <v>247</v>
      </c>
      <c r="B66" s="773" t="s">
        <v>227</v>
      </c>
      <c r="C66" s="773" t="s">
        <v>227</v>
      </c>
      <c r="D66" s="773"/>
      <c r="E66" s="773"/>
      <c r="F66" s="773"/>
      <c r="G66" s="967" t="s">
        <v>167</v>
      </c>
      <c r="H66" s="967" t="str">
        <f t="shared" ref="H66:H154" si="3">B66&amp;G66</f>
        <v>IndiaSolution Architect</v>
      </c>
      <c r="I66" t="str">
        <f t="shared" ref="I66:I154" si="4">A66&amp;B66&amp;D66&amp;E66&amp;F66&amp;G66</f>
        <v>UKIndiaSolution Architect</v>
      </c>
      <c r="J66" t="str">
        <f t="shared" ref="J66:J154" si="5">A66&amp;C66&amp;D66&amp;E66&amp;F66&amp;G66</f>
        <v>UKIndiaSolution Architect</v>
      </c>
      <c r="K66" cm="1">
        <f t="array" ref="K66">_xlfn.IFS(A66="Canada",4,A66="India",5,A66="UK",6,A66="USA",7,A66="EU",8)</f>
        <v>6</v>
      </c>
      <c r="L66" s="662">
        <f>VLOOKUP(H66,'StdCosts and StdRates'!$A$41:$H$86,K66,FALSE)</f>
        <v>79</v>
      </c>
      <c r="M66" s="662" cm="1">
        <f t="array" ref="M66">_xlfn.XLOOKUP(C66&amp;A66,FX!$A$2:$A$26&amp;FX!$B$2:$B$26,FX!$C$2:$C$26)</f>
        <v>9.41E-3</v>
      </c>
      <c r="N66" cm="1">
        <f t="array" ref="N66">_xlfn.IFS(C66="Canada",2,C66="India",3,C66="UK",4,C66="USA",5,C66="EU",6)</f>
        <v>3</v>
      </c>
      <c r="O66" s="662">
        <f>VLOOKUP(G66,'StdCosts and StdRates'!$A$17:$E$36,N66,FALSE)*M66</f>
        <v>32.163379999999997</v>
      </c>
      <c r="P66"/>
      <c r="R66" s="967"/>
    </row>
    <row r="67" spans="1:18">
      <c r="A67" s="773" t="s">
        <v>227</v>
      </c>
      <c r="B67" s="773"/>
      <c r="C67" s="773" t="s">
        <v>308</v>
      </c>
      <c r="D67" s="773"/>
      <c r="E67" s="773"/>
      <c r="F67" s="773"/>
      <c r="G67" s="967" t="s">
        <v>167</v>
      </c>
      <c r="H67" s="967" t="str">
        <f t="shared" si="3"/>
        <v>Solution Architect</v>
      </c>
      <c r="I67" t="str">
        <f t="shared" si="4"/>
        <v>IndiaSolution Architect</v>
      </c>
      <c r="J67" t="str">
        <f t="shared" si="5"/>
        <v>IndiaUSASolution Architect</v>
      </c>
      <c r="K67" cm="1">
        <f t="array" ref="K67">_xlfn.IFS(A67="Canada",4,A67="India",5,A67="UK",6,A67="USA",7,A67="EU",8)</f>
        <v>5</v>
      </c>
      <c r="L67" s="662">
        <f>VLOOKUP(H67,'StdCosts and StdRates'!$A$41:$H$86,K67,FALSE)</f>
        <v>8300</v>
      </c>
      <c r="M67" s="662" cm="1">
        <f t="array" ref="M67">_xlfn.XLOOKUP(C67&amp;A67,FX!$A$2:$A$26&amp;FX!$B$2:$B$26,FX!$C$2:$C$26)</f>
        <v>83.1721</v>
      </c>
      <c r="N67" cm="1">
        <f t="array" ref="N67">_xlfn.IFS(C67="Canada",2,C67="India",3,C67="UK",4,C67="USA",5,C67="EU",6)</f>
        <v>5</v>
      </c>
      <c r="O67" s="662">
        <f>VLOOKUP(G67,'StdCosts and StdRates'!$A$17:$E$36,N67,FALSE)*M67</f>
        <v>14804.6338</v>
      </c>
      <c r="P67"/>
      <c r="R67" s="967"/>
    </row>
    <row r="68" spans="1:18">
      <c r="A68" s="773" t="s">
        <v>227</v>
      </c>
      <c r="B68" s="773"/>
      <c r="C68" s="773" t="s">
        <v>405</v>
      </c>
      <c r="D68" s="773"/>
      <c r="E68" s="773"/>
      <c r="F68" s="773"/>
      <c r="G68" s="967" t="s">
        <v>167</v>
      </c>
      <c r="H68" s="967" t="str">
        <f t="shared" si="3"/>
        <v>Solution Architect</v>
      </c>
      <c r="I68" t="str">
        <f t="shared" si="4"/>
        <v>IndiaSolution Architect</v>
      </c>
      <c r="J68" t="str">
        <f t="shared" si="5"/>
        <v>IndiaCanadaSolution Architect</v>
      </c>
      <c r="K68" cm="1">
        <f t="array" ref="K68">_xlfn.IFS(A68="Canada",4,A68="India",5,A68="UK",6,A68="USA",7,A68="EU",8)</f>
        <v>5</v>
      </c>
      <c r="L68" s="662">
        <f>VLOOKUP(H68,'StdCosts and StdRates'!$A$41:$H$86,K68,FALSE)</f>
        <v>8300</v>
      </c>
      <c r="M68" s="662" cm="1">
        <f t="array" ref="M68">_xlfn.XLOOKUP(C68&amp;A68,FX!$A$2:$A$26&amp;FX!$B$2:$B$26,FX!$C$2:$C$26)</f>
        <v>61.008200000000002</v>
      </c>
      <c r="N68" cm="1">
        <f t="array" ref="N68">_xlfn.IFS(C68="Canada",2,C68="India",3,C68="UK",4,C68="USA",5,C68="EU",6)</f>
        <v>2</v>
      </c>
      <c r="O68" s="662">
        <f>VLOOKUP(G68,'StdCosts and StdRates'!$A$17:$E$36,N68,FALSE)*M68</f>
        <v>10432.4022</v>
      </c>
      <c r="P68"/>
      <c r="R68" s="967"/>
    </row>
    <row r="69" spans="1:18">
      <c r="A69" s="773" t="s">
        <v>227</v>
      </c>
      <c r="B69" s="773"/>
      <c r="C69" s="773" t="s">
        <v>247</v>
      </c>
      <c r="D69" s="773"/>
      <c r="E69" s="773"/>
      <c r="F69" s="773"/>
      <c r="G69" s="967" t="s">
        <v>167</v>
      </c>
      <c r="H69" s="967" t="str">
        <f t="shared" si="3"/>
        <v>Solution Architect</v>
      </c>
      <c r="I69" t="str">
        <f t="shared" si="4"/>
        <v>IndiaSolution Architect</v>
      </c>
      <c r="J69" t="str">
        <f t="shared" si="5"/>
        <v>IndiaUKSolution Architect</v>
      </c>
      <c r="K69" cm="1">
        <f t="array" ref="K69">_xlfn.IFS(A69="Canada",4,A69="India",5,A69="UK",6,A69="USA",7,A69="EU",8)</f>
        <v>5</v>
      </c>
      <c r="L69" s="662">
        <f>VLOOKUP(H69,'StdCosts and StdRates'!$A$41:$H$86,K69,FALSE)</f>
        <v>8300</v>
      </c>
      <c r="M69" s="662" cm="1">
        <f t="array" ref="M69">_xlfn.XLOOKUP(C69&amp;A69,FX!$A$2:$A$26&amp;FX!$B$2:$B$26,FX!$C$2:$C$26)</f>
        <v>106.23399999999999</v>
      </c>
      <c r="N69" cm="1">
        <f t="array" ref="N69">_xlfn.IFS(C69="Canada",2,C69="India",3,C69="UK",4,C69="USA",5,C69="EU",6)</f>
        <v>4</v>
      </c>
      <c r="O69" s="662">
        <f>VLOOKUP(G69,'StdCosts and StdRates'!$A$17:$E$36,N69,FALSE)*M69</f>
        <v>11791.974</v>
      </c>
      <c r="P69"/>
      <c r="R69" s="967"/>
    </row>
    <row r="70" spans="1:18">
      <c r="A70" s="773" t="s">
        <v>227</v>
      </c>
      <c r="B70" s="773"/>
      <c r="C70" s="773" t="s">
        <v>736</v>
      </c>
      <c r="D70" s="773"/>
      <c r="E70" s="773"/>
      <c r="F70" s="773"/>
      <c r="G70" s="967" t="s">
        <v>167</v>
      </c>
      <c r="H70" s="967" t="str">
        <f t="shared" si="3"/>
        <v>Solution Architect</v>
      </c>
      <c r="I70" t="str">
        <f t="shared" si="4"/>
        <v>IndiaSolution Architect</v>
      </c>
      <c r="J70" t="str">
        <f t="shared" si="5"/>
        <v>IndiaEUSolution Architect</v>
      </c>
      <c r="K70" cm="1">
        <f t="array" ref="K70">_xlfn.IFS(A70="Canada",4,A70="India",5,A70="UK",6,A70="USA",7,A70="EU",8)</f>
        <v>5</v>
      </c>
      <c r="L70" s="662">
        <f>VLOOKUP(H70,'StdCosts and StdRates'!$A$41:$H$86,K70,FALSE)</f>
        <v>8300</v>
      </c>
      <c r="M70" s="662" cm="1">
        <f t="array" ref="M70">_xlfn.XLOOKUP(C70&amp;A70,FX!$A$2:$A$26&amp;FX!$B$2:$B$26,FX!$C$2:$C$26)</f>
        <v>90.405100000000004</v>
      </c>
      <c r="N70" cm="1">
        <f t="array" ref="N70">_xlfn.IFS(C70="Canada",2,C70="India",3,C70="UK",4,C70="USA",5,C70="EU",6)</f>
        <v>6</v>
      </c>
      <c r="O70" s="662" t="e">
        <f>VLOOKUP(G70,'StdCosts and StdRates'!$A$17:$E$36,N70,FALSE)*M70</f>
        <v>#REF!</v>
      </c>
      <c r="P70"/>
    </row>
    <row r="71" spans="1:18">
      <c r="A71" s="773" t="s">
        <v>227</v>
      </c>
      <c r="B71" s="773" t="s">
        <v>227</v>
      </c>
      <c r="C71" s="773" t="s">
        <v>227</v>
      </c>
      <c r="D71" s="773"/>
      <c r="E71" s="773"/>
      <c r="F71" s="773"/>
      <c r="G71" s="967" t="s">
        <v>167</v>
      </c>
      <c r="H71" s="967" t="str">
        <f t="shared" si="3"/>
        <v>IndiaSolution Architect</v>
      </c>
      <c r="I71" t="str">
        <f t="shared" si="4"/>
        <v>IndiaIndiaSolution Architect</v>
      </c>
      <c r="J71" t="str">
        <f t="shared" si="5"/>
        <v>IndiaIndiaSolution Architect</v>
      </c>
      <c r="K71" cm="1">
        <f t="array" ref="K71">_xlfn.IFS(A71="Canada",4,A71="India",5,A71="UK",6,A71="USA",7,A71="EU",8)</f>
        <v>5</v>
      </c>
      <c r="L71" s="662">
        <f>VLOOKUP(H71,'StdCosts and StdRates'!$A$41:$H$86,K71,FALSE)</f>
        <v>8300</v>
      </c>
      <c r="M71" s="662" cm="1">
        <f t="array" ref="M71">_xlfn.XLOOKUP(C71&amp;A71,FX!$A$2:$A$26&amp;FX!$B$2:$B$26,FX!$C$2:$C$26)</f>
        <v>1</v>
      </c>
      <c r="N71" cm="1">
        <f t="array" ref="N71">_xlfn.IFS(C71="Canada",2,C71="India",3,C71="UK",4,C71="USA",5,C71="EU",6)</f>
        <v>3</v>
      </c>
      <c r="O71" s="662">
        <f>VLOOKUP(G71,'StdCosts and StdRates'!$A$17:$E$36,N71,FALSE)*M71</f>
        <v>3418</v>
      </c>
      <c r="P71"/>
    </row>
    <row r="72" spans="1:18">
      <c r="A72" s="773" t="s">
        <v>736</v>
      </c>
      <c r="B72" s="773"/>
      <c r="C72" s="773" t="s">
        <v>308</v>
      </c>
      <c r="D72" s="773"/>
      <c r="E72" s="773"/>
      <c r="F72" s="773"/>
      <c r="G72" s="967" t="s">
        <v>167</v>
      </c>
      <c r="H72" s="967" t="str">
        <f t="shared" si="3"/>
        <v>Solution Architect</v>
      </c>
      <c r="I72" t="str">
        <f t="shared" si="4"/>
        <v>EUSolution Architect</v>
      </c>
      <c r="J72" t="str">
        <f t="shared" si="5"/>
        <v>EUUSASolution Architect</v>
      </c>
      <c r="K72" cm="1">
        <f t="array" ref="K72">_xlfn.IFS(A72="Canada",4,A72="India",5,A72="UK",6,A72="USA",7,A72="EU",8)</f>
        <v>8</v>
      </c>
      <c r="L72" s="662">
        <f>VLOOKUP(H72,'StdCosts and StdRates'!$A$41:$H$86,K72,FALSE)</f>
        <v>215</v>
      </c>
      <c r="M72" s="662" cm="1">
        <f t="array" ref="M72">_xlfn.XLOOKUP(C72&amp;A72,FX!$A$2:$A$26&amp;FX!$B$2:$B$26,FX!$C$2:$C$26)</f>
        <v>0.91986999999999997</v>
      </c>
      <c r="N72" cm="1">
        <f t="array" ref="N72">_xlfn.IFS(C72="Canada",2,C72="India",3,C72="UK",4,C72="USA",5,C72="EU",6)</f>
        <v>5</v>
      </c>
      <c r="O72" s="662">
        <f>VLOOKUP(G72,'StdCosts and StdRates'!$A$17:$E$36,N72,FALSE)*M72</f>
        <v>163.73686000000001</v>
      </c>
      <c r="P72"/>
    </row>
    <row r="73" spans="1:18">
      <c r="A73" s="773" t="s">
        <v>736</v>
      </c>
      <c r="B73" s="773"/>
      <c r="C73" s="773" t="s">
        <v>405</v>
      </c>
      <c r="D73" s="773"/>
      <c r="E73" s="773"/>
      <c r="F73" s="773"/>
      <c r="G73" s="967" t="s">
        <v>167</v>
      </c>
      <c r="H73" s="967" t="str">
        <f t="shared" si="3"/>
        <v>Solution Architect</v>
      </c>
      <c r="I73" t="str">
        <f t="shared" si="4"/>
        <v>EUSolution Architect</v>
      </c>
      <c r="J73" t="str">
        <f t="shared" si="5"/>
        <v>EUCanadaSolution Architect</v>
      </c>
      <c r="K73" cm="1">
        <f t="array" ref="K73">_xlfn.IFS(A73="Canada",4,A73="India",5,A73="UK",6,A73="USA",7,A73="EU",8)</f>
        <v>8</v>
      </c>
      <c r="L73" s="662">
        <f>VLOOKUP(H73,'StdCosts and StdRates'!$A$41:$H$86,K73,FALSE)</f>
        <v>215</v>
      </c>
      <c r="M73" s="662" cm="1">
        <f t="array" ref="M73">_xlfn.XLOOKUP(C73&amp;A73,FX!$A$2:$A$26&amp;FX!$B$2:$B$26,FX!$C$2:$C$26)</f>
        <v>0.67474000000000001</v>
      </c>
      <c r="N73" cm="1">
        <f t="array" ref="N73">_xlfn.IFS(C73="Canada",2,C73="India",3,C73="UK",4,C73="USA",5,C73="EU",6)</f>
        <v>2</v>
      </c>
      <c r="O73" s="662">
        <f>VLOOKUP(G73,'StdCosts and StdRates'!$A$17:$E$36,N73,FALSE)*M73</f>
        <v>115.38054</v>
      </c>
      <c r="P73"/>
    </row>
    <row r="74" spans="1:18">
      <c r="A74" s="773" t="s">
        <v>736</v>
      </c>
      <c r="B74" s="773"/>
      <c r="C74" s="773" t="s">
        <v>247</v>
      </c>
      <c r="D74" s="773"/>
      <c r="E74" s="773"/>
      <c r="F74" s="773"/>
      <c r="G74" s="967" t="s">
        <v>167</v>
      </c>
      <c r="H74" s="967" t="str">
        <f t="shared" si="3"/>
        <v>Solution Architect</v>
      </c>
      <c r="I74" t="str">
        <f t="shared" si="4"/>
        <v>EUSolution Architect</v>
      </c>
      <c r="J74" t="str">
        <f t="shared" si="5"/>
        <v>EUUKSolution Architect</v>
      </c>
      <c r="K74" cm="1">
        <f t="array" ref="K74">_xlfn.IFS(A74="Canada",4,A74="India",5,A74="UK",6,A74="USA",7,A74="EU",8)</f>
        <v>8</v>
      </c>
      <c r="L74" s="662">
        <f>VLOOKUP(H74,'StdCosts and StdRates'!$A$41:$H$86,K74,FALSE)</f>
        <v>215</v>
      </c>
      <c r="M74" s="662" cm="1">
        <f t="array" ref="M74">_xlfn.XLOOKUP(C74&amp;A74,FX!$A$2:$A$26&amp;FX!$B$2:$B$26,FX!$C$2:$C$26)</f>
        <v>1.1749799999999999</v>
      </c>
      <c r="N74" cm="1">
        <f t="array" ref="N74">_xlfn.IFS(C74="Canada",2,C74="India",3,C74="UK",4,C74="USA",5,C74="EU",6)</f>
        <v>4</v>
      </c>
      <c r="O74" s="662">
        <f>VLOOKUP(G74,'StdCosts and StdRates'!$A$17:$E$36,N74,FALSE)*M74</f>
        <v>130.42277999999999</v>
      </c>
      <c r="P74"/>
    </row>
    <row r="75" spans="1:18">
      <c r="A75" s="773" t="s">
        <v>736</v>
      </c>
      <c r="B75" s="773"/>
      <c r="C75" s="773" t="s">
        <v>736</v>
      </c>
      <c r="D75" s="773"/>
      <c r="E75" s="773"/>
      <c r="F75" s="773"/>
      <c r="G75" s="967" t="s">
        <v>167</v>
      </c>
      <c r="H75" s="967" t="str">
        <f t="shared" si="3"/>
        <v>Solution Architect</v>
      </c>
      <c r="I75" t="str">
        <f t="shared" si="4"/>
        <v>EUSolution Architect</v>
      </c>
      <c r="J75" t="str">
        <f t="shared" si="5"/>
        <v>EUEUSolution Architect</v>
      </c>
      <c r="K75" cm="1">
        <f t="array" ref="K75">_xlfn.IFS(A75="Canada",4,A75="India",5,A75="UK",6,A75="USA",7,A75="EU",8)</f>
        <v>8</v>
      </c>
      <c r="L75" s="662">
        <f>VLOOKUP(H75,'StdCosts and StdRates'!$A$41:$H$86,K75,FALSE)</f>
        <v>215</v>
      </c>
      <c r="M75" s="662" cm="1">
        <f t="array" ref="M75">_xlfn.XLOOKUP(C75&amp;A75,FX!$A$2:$A$26&amp;FX!$B$2:$B$26,FX!$C$2:$C$26)</f>
        <v>1</v>
      </c>
      <c r="N75" cm="1">
        <f t="array" ref="N75">_xlfn.IFS(C75="Canada",2,C75="India",3,C75="UK",4,C75="USA",5,C75="EU",6)</f>
        <v>6</v>
      </c>
      <c r="O75" s="662" t="e">
        <f>VLOOKUP(G75,'StdCosts and StdRates'!$A$17:$E$36,N75,FALSE)*M75</f>
        <v>#REF!</v>
      </c>
      <c r="P75"/>
    </row>
    <row r="76" spans="1:18">
      <c r="A76" s="773" t="s">
        <v>736</v>
      </c>
      <c r="B76" s="773" t="s">
        <v>227</v>
      </c>
      <c r="C76" s="773" t="s">
        <v>227</v>
      </c>
      <c r="D76" s="773"/>
      <c r="E76" s="773"/>
      <c r="F76" s="773"/>
      <c r="G76" s="967" t="s">
        <v>167</v>
      </c>
      <c r="H76" s="967" t="str">
        <f t="shared" si="3"/>
        <v>IndiaSolution Architect</v>
      </c>
      <c r="I76" t="str">
        <f t="shared" si="4"/>
        <v>EUIndiaSolution Architect</v>
      </c>
      <c r="J76" t="str">
        <f t="shared" si="5"/>
        <v>EUIndiaSolution Architect</v>
      </c>
      <c r="K76" cm="1">
        <f t="array" ref="K76">_xlfn.IFS(A76="Canada",4,A76="India",5,A76="UK",6,A76="USA",7,A76="EU",8)</f>
        <v>8</v>
      </c>
      <c r="L76" s="662">
        <f>VLOOKUP(H76,'StdCosts and StdRates'!$A$41:$H$86,K76,FALSE)</f>
        <v>95</v>
      </c>
      <c r="M76" s="662" cm="1">
        <f t="array" ref="M76">_xlfn.XLOOKUP(C76&amp;A76,FX!$A$2:$A$26&amp;FX!$B$2:$B$26,FX!$C$2:$C$26)</f>
        <v>1.106E-2</v>
      </c>
      <c r="N76" cm="1">
        <f t="array" ref="N76">_xlfn.IFS(C76="Canada",2,C76="India",3,C76="UK",4,C76="USA",5,C76="EU",6)</f>
        <v>3</v>
      </c>
      <c r="O76" s="662">
        <f>VLOOKUP(G76,'StdCosts and StdRates'!$A$17:$E$36,N76,FALSE)*M76</f>
        <v>37.803080000000001</v>
      </c>
      <c r="P76"/>
    </row>
    <row r="77" spans="1:18">
      <c r="A77" s="773" t="s">
        <v>308</v>
      </c>
      <c r="B77" s="773"/>
      <c r="C77" s="773" t="s">
        <v>308</v>
      </c>
      <c r="D77" s="773"/>
      <c r="E77" s="773"/>
      <c r="F77" s="773"/>
      <c r="G77" s="967" t="s">
        <v>370</v>
      </c>
      <c r="H77" s="967" t="str">
        <f t="shared" si="3"/>
        <v>Business Process Consultant</v>
      </c>
      <c r="I77" t="str">
        <f t="shared" si="4"/>
        <v>USABusiness Process Consultant</v>
      </c>
      <c r="J77" t="str">
        <f t="shared" si="5"/>
        <v>USAUSABusiness Process Consultant</v>
      </c>
      <c r="K77" cm="1">
        <f t="array" ref="K77">_xlfn.IFS(A77="Canada",4,A77="India",5,A77="UK",6,A77="USA",7,A77="EU",8)</f>
        <v>7</v>
      </c>
      <c r="L77" s="662">
        <f>VLOOKUP(H77,'StdCosts and StdRates'!$A$41:$H$86,K77,FALSE)</f>
        <v>289</v>
      </c>
      <c r="M77" s="662" cm="1">
        <f t="array" ref="M77">_xlfn.XLOOKUP(C77&amp;A77,FX!$A$2:$A$26&amp;FX!$B$2:$B$26,FX!$C$2:$C$26)</f>
        <v>1</v>
      </c>
      <c r="N77" cm="1">
        <f t="array" ref="N77">_xlfn.IFS(C77="Canada",2,C77="India",3,C77="UK",4,C77="USA",5,C77="EU",6)</f>
        <v>5</v>
      </c>
      <c r="O77" s="662">
        <f>VLOOKUP(G77,'StdCosts and StdRates'!$A$17:$E$36,N77,FALSE)*M77</f>
        <v>137</v>
      </c>
      <c r="P77"/>
    </row>
    <row r="78" spans="1:18">
      <c r="A78" s="773" t="s">
        <v>308</v>
      </c>
      <c r="B78" s="773"/>
      <c r="C78" s="773" t="s">
        <v>405</v>
      </c>
      <c r="D78" s="773"/>
      <c r="E78" s="773"/>
      <c r="F78" s="773"/>
      <c r="G78" s="967" t="s">
        <v>370</v>
      </c>
      <c r="H78" s="967" t="str">
        <f t="shared" si="3"/>
        <v>Business Process Consultant</v>
      </c>
      <c r="I78" t="str">
        <f t="shared" si="4"/>
        <v>USABusiness Process Consultant</v>
      </c>
      <c r="J78" t="str">
        <f t="shared" si="5"/>
        <v>USACanadaBusiness Process Consultant</v>
      </c>
      <c r="K78" cm="1">
        <f t="array" ref="K78">_xlfn.IFS(A78="Canada",4,A78="India",5,A78="UK",6,A78="USA",7,A78="EU",8)</f>
        <v>7</v>
      </c>
      <c r="L78" s="662">
        <f>VLOOKUP(H78,'StdCosts and StdRates'!$A$41:$H$86,K78,FALSE)</f>
        <v>289</v>
      </c>
      <c r="M78" s="662" cm="1">
        <f t="array" ref="M78">_xlfn.XLOOKUP(C78&amp;A78,FX!$A$2:$A$26&amp;FX!$B$2:$B$26,FX!$C$2:$C$26)</f>
        <v>0.73351999999999995</v>
      </c>
      <c r="N78" cm="1">
        <f t="array" ref="N78">_xlfn.IFS(C78="Canada",2,C78="India",3,C78="UK",4,C78="USA",5,C78="EU",6)</f>
        <v>2</v>
      </c>
      <c r="O78" s="662">
        <f>VLOOKUP(G78,'StdCosts and StdRates'!$A$17:$E$36,N78,FALSE)*M78</f>
        <v>95.357599999999991</v>
      </c>
      <c r="P78"/>
    </row>
    <row r="79" spans="1:18">
      <c r="A79" s="773" t="s">
        <v>308</v>
      </c>
      <c r="B79" s="773"/>
      <c r="C79" s="773" t="s">
        <v>247</v>
      </c>
      <c r="D79" s="773"/>
      <c r="E79" s="773"/>
      <c r="F79" s="773"/>
      <c r="G79" s="967" t="s">
        <v>370</v>
      </c>
      <c r="H79" s="967" t="str">
        <f t="shared" si="3"/>
        <v>Business Process Consultant</v>
      </c>
      <c r="I79" t="str">
        <f t="shared" si="4"/>
        <v>USABusiness Process Consultant</v>
      </c>
      <c r="J79" t="str">
        <f t="shared" si="5"/>
        <v>USAUKBusiness Process Consultant</v>
      </c>
      <c r="K79" cm="1">
        <f t="array" ref="K79">_xlfn.IFS(A79="Canada",4,A79="India",5,A79="UK",6,A79="USA",7,A79="EU",8)</f>
        <v>7</v>
      </c>
      <c r="L79" s="662">
        <f>VLOOKUP(H79,'StdCosts and StdRates'!$A$41:$H$86,K79,FALSE)</f>
        <v>289</v>
      </c>
      <c r="M79" s="662" cm="1">
        <f t="array" ref="M79">_xlfn.XLOOKUP(C79&amp;A79,FX!$A$2:$A$26&amp;FX!$B$2:$B$26,FX!$C$2:$C$26)</f>
        <v>1.2772699999999999</v>
      </c>
      <c r="N79" cm="1">
        <f t="array" ref="N79">_xlfn.IFS(C79="Canada",2,C79="India",3,C79="UK",4,C79="USA",5,C79="EU",6)</f>
        <v>4</v>
      </c>
      <c r="O79" s="662">
        <f>VLOOKUP(G79,'StdCosts and StdRates'!$A$17:$E$36,N79,FALSE)*M79</f>
        <v>129.00426999999999</v>
      </c>
      <c r="P79"/>
    </row>
    <row r="80" spans="1:18">
      <c r="A80" s="773" t="s">
        <v>308</v>
      </c>
      <c r="B80" s="773"/>
      <c r="C80" s="773" t="s">
        <v>736</v>
      </c>
      <c r="D80" s="773"/>
      <c r="E80" s="773"/>
      <c r="F80" s="773"/>
      <c r="G80" s="967" t="s">
        <v>370</v>
      </c>
      <c r="H80" s="967" t="str">
        <f t="shared" si="3"/>
        <v>Business Process Consultant</v>
      </c>
      <c r="I80" t="str">
        <f t="shared" si="4"/>
        <v>USABusiness Process Consultant</v>
      </c>
      <c r="J80" t="str">
        <f t="shared" si="5"/>
        <v>USAEUBusiness Process Consultant</v>
      </c>
      <c r="K80" cm="1">
        <f t="array" ref="K80">_xlfn.IFS(A80="Canada",4,A80="India",5,A80="UK",6,A80="USA",7,A80="EU",8)</f>
        <v>7</v>
      </c>
      <c r="L80" s="662">
        <f>VLOOKUP(H80,'StdCosts and StdRates'!$A$41:$H$86,K80,FALSE)</f>
        <v>289</v>
      </c>
      <c r="M80" s="662" cm="1">
        <f t="array" ref="M80">_xlfn.XLOOKUP(C80&amp;A80,FX!$A$2:$A$26&amp;FX!$B$2:$B$26,FX!$C$2:$C$26)</f>
        <v>1.0869599999999999</v>
      </c>
      <c r="N80" cm="1">
        <f t="array" ref="N80">_xlfn.IFS(C80="Canada",2,C80="India",3,C80="UK",4,C80="USA",5,C80="EU",6)</f>
        <v>6</v>
      </c>
      <c r="O80" s="662" t="e">
        <f>VLOOKUP(G80,'StdCosts and StdRates'!$A$17:$E$36,N80,FALSE)*M80</f>
        <v>#REF!</v>
      </c>
      <c r="P80"/>
    </row>
    <row r="81" spans="1:18">
      <c r="A81" s="773" t="s">
        <v>308</v>
      </c>
      <c r="B81" s="773" t="s">
        <v>227</v>
      </c>
      <c r="C81" s="773" t="s">
        <v>227</v>
      </c>
      <c r="D81" s="773"/>
      <c r="E81" s="773"/>
      <c r="F81" s="773"/>
      <c r="G81" s="967" t="s">
        <v>370</v>
      </c>
      <c r="H81" s="967" t="str">
        <f t="shared" si="3"/>
        <v>IndiaBusiness Process Consultant</v>
      </c>
      <c r="I81" t="str">
        <f t="shared" si="4"/>
        <v>USAIndiaBusiness Process Consultant</v>
      </c>
      <c r="J81" t="str">
        <f t="shared" si="5"/>
        <v>USAIndiaBusiness Process Consultant</v>
      </c>
      <c r="K81" cm="1">
        <f t="array" ref="K81">_xlfn.IFS(A81="Canada",4,A81="India",5,A81="UK",6,A81="USA",7,A81="EU",8)</f>
        <v>7</v>
      </c>
      <c r="L81" s="662">
        <f>VLOOKUP(H81,'StdCosts and StdRates'!$A$41:$H$86,K81,FALSE)</f>
        <v>109</v>
      </c>
      <c r="M81" s="662" cm="1">
        <f t="array" ref="M81">_xlfn.XLOOKUP(C81&amp;A81,FX!$A$2:$A$26&amp;FX!$B$2:$B$26,FX!$C$2:$C$26)</f>
        <v>1.2019999999999999E-2</v>
      </c>
      <c r="N81" cm="1">
        <f t="array" ref="N81">_xlfn.IFS(C81="Canada",2,C81="India",3,C81="UK",4,C81="USA",5,C81="EU",6)</f>
        <v>3</v>
      </c>
      <c r="O81" s="662">
        <f>VLOOKUP(G81,'StdCosts and StdRates'!$A$17:$E$36,N81,FALSE)*M81</f>
        <v>29.36486</v>
      </c>
      <c r="P81"/>
    </row>
    <row r="82" spans="1:18">
      <c r="A82" s="773" t="s">
        <v>405</v>
      </c>
      <c r="B82" s="773"/>
      <c r="C82" s="773" t="s">
        <v>308</v>
      </c>
      <c r="D82" s="773"/>
      <c r="E82" s="773"/>
      <c r="F82" s="773"/>
      <c r="G82" s="967" t="s">
        <v>370</v>
      </c>
      <c r="H82" s="967" t="str">
        <f t="shared" si="3"/>
        <v>Business Process Consultant</v>
      </c>
      <c r="I82" t="str">
        <f t="shared" si="4"/>
        <v>CanadaBusiness Process Consultant</v>
      </c>
      <c r="J82" t="str">
        <f t="shared" si="5"/>
        <v>CanadaUSABusiness Process Consultant</v>
      </c>
      <c r="K82" cm="1">
        <f t="array" ref="K82">_xlfn.IFS(A82="Canada",4,A82="India",5,A82="UK",6,A82="USA",7,A82="EU",8)</f>
        <v>4</v>
      </c>
      <c r="L82" s="662">
        <f>VLOOKUP(H82,'StdCosts and StdRates'!$A$41:$H$86,K82,FALSE)</f>
        <v>299</v>
      </c>
      <c r="M82" s="662" cm="1">
        <f t="array" ref="M82">_xlfn.XLOOKUP(C82&amp;A82,FX!$A$2:$A$26&amp;FX!$B$2:$B$26,FX!$C$2:$C$26)</f>
        <v>1.36311</v>
      </c>
      <c r="N82" cm="1">
        <f t="array" ref="N82">_xlfn.IFS(C82="Canada",2,C82="India",3,C82="UK",4,C82="USA",5,C82="EU",6)</f>
        <v>5</v>
      </c>
      <c r="O82" s="662">
        <f>VLOOKUP(G82,'StdCosts and StdRates'!$A$17:$E$36,N82,FALSE)*M82</f>
        <v>186.74607</v>
      </c>
      <c r="P82"/>
    </row>
    <row r="83" spans="1:18">
      <c r="A83" s="773" t="s">
        <v>405</v>
      </c>
      <c r="B83" s="773"/>
      <c r="C83" s="773" t="s">
        <v>405</v>
      </c>
      <c r="D83" s="773"/>
      <c r="E83" s="773"/>
      <c r="F83" s="773"/>
      <c r="G83" s="967" t="s">
        <v>370</v>
      </c>
      <c r="H83" s="967" t="str">
        <f t="shared" si="3"/>
        <v>Business Process Consultant</v>
      </c>
      <c r="I83" t="str">
        <f t="shared" si="4"/>
        <v>CanadaBusiness Process Consultant</v>
      </c>
      <c r="J83" t="str">
        <f t="shared" si="5"/>
        <v>CanadaCanadaBusiness Process Consultant</v>
      </c>
      <c r="K83" cm="1">
        <f t="array" ref="K83">_xlfn.IFS(A83="Canada",4,A83="India",5,A83="UK",6,A83="USA",7,A83="EU",8)</f>
        <v>4</v>
      </c>
      <c r="L83" s="662">
        <f>VLOOKUP(H83,'StdCosts and StdRates'!$A$41:$H$86,K83,FALSE)</f>
        <v>299</v>
      </c>
      <c r="M83" s="662" cm="1">
        <f t="array" ref="M83">_xlfn.XLOOKUP(C83&amp;A83,FX!$A$2:$A$26&amp;FX!$B$2:$B$26,FX!$C$2:$C$26)</f>
        <v>1</v>
      </c>
      <c r="N83" cm="1">
        <f t="array" ref="N83">_xlfn.IFS(C83="Canada",2,C83="India",3,C83="UK",4,C83="USA",5,C83="EU",6)</f>
        <v>2</v>
      </c>
      <c r="O83" s="662">
        <f>VLOOKUP(G83,'StdCosts and StdRates'!$A$17:$E$36,N83,FALSE)*M83</f>
        <v>130</v>
      </c>
      <c r="P83"/>
    </row>
    <row r="84" spans="1:18">
      <c r="A84" s="773" t="s">
        <v>405</v>
      </c>
      <c r="B84" s="773"/>
      <c r="C84" s="773" t="s">
        <v>247</v>
      </c>
      <c r="D84" s="773"/>
      <c r="E84" s="773"/>
      <c r="F84" s="773"/>
      <c r="G84" s="967" t="s">
        <v>370</v>
      </c>
      <c r="H84" s="967" t="str">
        <f t="shared" si="3"/>
        <v>Business Process Consultant</v>
      </c>
      <c r="I84" t="str">
        <f t="shared" si="4"/>
        <v>CanadaBusiness Process Consultant</v>
      </c>
      <c r="J84" t="str">
        <f t="shared" si="5"/>
        <v>CanadaUKBusiness Process Consultant</v>
      </c>
      <c r="K84" cm="1">
        <f t="array" ref="K84">_xlfn.IFS(A84="Canada",4,A84="India",5,A84="UK",6,A84="USA",7,A84="EU",8)</f>
        <v>4</v>
      </c>
      <c r="L84" s="662">
        <f>VLOOKUP(H84,'StdCosts and StdRates'!$A$41:$H$86,K84,FALSE)</f>
        <v>299</v>
      </c>
      <c r="M84" s="662" cm="1">
        <f t="array" ref="M84">_xlfn.XLOOKUP(C84&amp;A84,FX!$A$2:$A$26&amp;FX!$B$2:$B$26,FX!$C$2:$C$26)</f>
        <v>1.7410699999999999</v>
      </c>
      <c r="N84" cm="1">
        <f t="array" ref="N84">_xlfn.IFS(C84="Canada",2,C84="India",3,C84="UK",4,C84="USA",5,C84="EU",6)</f>
        <v>4</v>
      </c>
      <c r="O84" s="662">
        <f>VLOOKUP(G84,'StdCosts and StdRates'!$A$17:$E$36,N84,FALSE)*M84</f>
        <v>175.84806999999998</v>
      </c>
      <c r="P84"/>
    </row>
    <row r="85" spans="1:18">
      <c r="A85" s="773" t="s">
        <v>405</v>
      </c>
      <c r="B85" s="773"/>
      <c r="C85" s="773" t="s">
        <v>736</v>
      </c>
      <c r="D85" s="773"/>
      <c r="E85" s="773"/>
      <c r="F85" s="773"/>
      <c r="G85" s="967" t="s">
        <v>370</v>
      </c>
      <c r="H85" s="967" t="str">
        <f t="shared" si="3"/>
        <v>Business Process Consultant</v>
      </c>
      <c r="I85" t="str">
        <f t="shared" si="4"/>
        <v>CanadaBusiness Process Consultant</v>
      </c>
      <c r="J85" t="str">
        <f t="shared" si="5"/>
        <v>CanadaEUBusiness Process Consultant</v>
      </c>
      <c r="K85" cm="1">
        <f t="array" ref="K85">_xlfn.IFS(A85="Canada",4,A85="India",5,A85="UK",6,A85="USA",7,A85="EU",8)</f>
        <v>4</v>
      </c>
      <c r="L85" s="662">
        <f>VLOOKUP(H85,'StdCosts and StdRates'!$A$41:$H$86,K85,FALSE)</f>
        <v>299</v>
      </c>
      <c r="M85" s="662" cm="1">
        <f t="array" ref="M85">_xlfn.XLOOKUP(C85&amp;A85,FX!$A$2:$A$26&amp;FX!$B$2:$B$26,FX!$C$2:$C$26)</f>
        <v>1.4816499999999999</v>
      </c>
      <c r="N85" cm="1">
        <f t="array" ref="N85">_xlfn.IFS(C85="Canada",2,C85="India",3,C85="UK",4,C85="USA",5,C85="EU",6)</f>
        <v>6</v>
      </c>
      <c r="O85" s="662" t="e">
        <f>VLOOKUP(G85,'StdCosts and StdRates'!$A$17:$E$36,N85,FALSE)*M85</f>
        <v>#REF!</v>
      </c>
      <c r="P85"/>
    </row>
    <row r="86" spans="1:18">
      <c r="A86" s="773" t="s">
        <v>405</v>
      </c>
      <c r="B86" s="773" t="s">
        <v>227</v>
      </c>
      <c r="C86" s="773" t="s">
        <v>227</v>
      </c>
      <c r="D86" s="773"/>
      <c r="E86" s="773"/>
      <c r="F86" s="773"/>
      <c r="G86" s="967" t="s">
        <v>370</v>
      </c>
      <c r="H86" s="967" t="str">
        <f t="shared" si="3"/>
        <v>IndiaBusiness Process Consultant</v>
      </c>
      <c r="I86" t="str">
        <f t="shared" si="4"/>
        <v>CanadaIndiaBusiness Process Consultant</v>
      </c>
      <c r="J86" t="str">
        <f t="shared" si="5"/>
        <v>CanadaIndiaBusiness Process Consultant</v>
      </c>
      <c r="K86" cm="1">
        <f t="array" ref="K86">_xlfn.IFS(A86="Canada",4,A86="India",5,A86="UK",6,A86="USA",7,A86="EU",8)</f>
        <v>4</v>
      </c>
      <c r="L86" s="662">
        <f>VLOOKUP(H86,'StdCosts and StdRates'!$A$41:$H$86,K86,FALSE)</f>
        <v>139</v>
      </c>
      <c r="M86" s="662" cm="1">
        <f t="array" ref="M86">_xlfn.XLOOKUP(C86&amp;A86,FX!$A$2:$A$26&amp;FX!$B$2:$B$26,FX!$C$2:$C$26)</f>
        <v>1.6389999999999998E-2</v>
      </c>
      <c r="N86" cm="1">
        <f t="array" ref="N86">_xlfn.IFS(C86="Canada",2,C86="India",3,C86="UK",4,C86="USA",5,C86="EU",6)</f>
        <v>3</v>
      </c>
      <c r="O86" s="662">
        <f>VLOOKUP(G86,'StdCosts and StdRates'!$A$17:$E$36,N86,FALSE)*M86</f>
        <v>40.040769999999995</v>
      </c>
      <c r="P86"/>
    </row>
    <row r="87" spans="1:18">
      <c r="A87" s="773" t="s">
        <v>247</v>
      </c>
      <c r="B87" s="773"/>
      <c r="C87" s="773" t="s">
        <v>308</v>
      </c>
      <c r="D87" s="773"/>
      <c r="E87" s="773"/>
      <c r="F87" s="773"/>
      <c r="G87" s="967" t="s">
        <v>370</v>
      </c>
      <c r="H87" s="967" t="str">
        <f t="shared" si="3"/>
        <v>Business Process Consultant</v>
      </c>
      <c r="I87" t="str">
        <f t="shared" si="4"/>
        <v>UKBusiness Process Consultant</v>
      </c>
      <c r="J87" t="str">
        <f t="shared" si="5"/>
        <v>UKUSABusiness Process Consultant</v>
      </c>
      <c r="K87" cm="1">
        <f t="array" ref="K87">_xlfn.IFS(A87="Canada",4,A87="India",5,A87="UK",6,A87="USA",7,A87="EU",8)</f>
        <v>6</v>
      </c>
      <c r="L87" s="662">
        <f>VLOOKUP(H87,'StdCosts and StdRates'!$A$41:$H$86,K87,FALSE)</f>
        <v>185</v>
      </c>
      <c r="M87" s="662" cm="1">
        <f t="array" ref="M87">_xlfn.XLOOKUP(C87&amp;A87,FX!$A$2:$A$26&amp;FX!$B$2:$B$26,FX!$C$2:$C$26)</f>
        <v>0.78280000000000005</v>
      </c>
      <c r="N87" cm="1">
        <f t="array" ref="N87">_xlfn.IFS(C87="Canada",2,C87="India",3,C87="UK",4,C87="USA",5,C87="EU",6)</f>
        <v>5</v>
      </c>
      <c r="O87" s="662">
        <f>VLOOKUP(G87,'StdCosts and StdRates'!$A$17:$E$36,N87,FALSE)*M87</f>
        <v>107.2436</v>
      </c>
      <c r="P87"/>
      <c r="R87" s="967"/>
    </row>
    <row r="88" spans="1:18">
      <c r="A88" s="773" t="s">
        <v>247</v>
      </c>
      <c r="B88" s="773"/>
      <c r="C88" s="773" t="s">
        <v>405</v>
      </c>
      <c r="D88" s="773"/>
      <c r="E88" s="773"/>
      <c r="F88" s="773"/>
      <c r="G88" s="967" t="s">
        <v>370</v>
      </c>
      <c r="H88" s="967" t="str">
        <f t="shared" si="3"/>
        <v>Business Process Consultant</v>
      </c>
      <c r="I88" t="str">
        <f t="shared" si="4"/>
        <v>UKBusiness Process Consultant</v>
      </c>
      <c r="J88" t="str">
        <f t="shared" si="5"/>
        <v>UKCanadaBusiness Process Consultant</v>
      </c>
      <c r="K88" cm="1">
        <f t="array" ref="K88">_xlfn.IFS(A88="Canada",4,A88="India",5,A88="UK",6,A88="USA",7,A88="EU",8)</f>
        <v>6</v>
      </c>
      <c r="L88" s="662">
        <f>VLOOKUP(H88,'StdCosts and StdRates'!$A$41:$H$86,K88,FALSE)</f>
        <v>185</v>
      </c>
      <c r="M88" s="662" cm="1">
        <f t="array" ref="M88">_xlfn.XLOOKUP(C88&amp;A88,FX!$A$2:$A$26&amp;FX!$B$2:$B$26,FX!$C$2:$C$26)</f>
        <v>0.57420000000000004</v>
      </c>
      <c r="N88" cm="1">
        <f t="array" ref="N88">_xlfn.IFS(C88="Canada",2,C88="India",3,C88="UK",4,C88="USA",5,C88="EU",6)</f>
        <v>2</v>
      </c>
      <c r="O88" s="662">
        <f>VLOOKUP(G88,'StdCosts and StdRates'!$A$17:$E$36,N88,FALSE)*M88</f>
        <v>74.646000000000001</v>
      </c>
      <c r="P88"/>
      <c r="R88" s="967"/>
    </row>
    <row r="89" spans="1:18">
      <c r="A89" s="773" t="s">
        <v>247</v>
      </c>
      <c r="B89" s="773"/>
      <c r="C89" s="773" t="s">
        <v>247</v>
      </c>
      <c r="D89" s="773"/>
      <c r="E89" s="773"/>
      <c r="F89" s="773"/>
      <c r="G89" s="967" t="s">
        <v>370</v>
      </c>
      <c r="H89" s="967" t="str">
        <f t="shared" si="3"/>
        <v>Business Process Consultant</v>
      </c>
      <c r="I89" t="str">
        <f t="shared" si="4"/>
        <v>UKBusiness Process Consultant</v>
      </c>
      <c r="J89" t="str">
        <f t="shared" si="5"/>
        <v>UKUKBusiness Process Consultant</v>
      </c>
      <c r="K89" cm="1">
        <f t="array" ref="K89">_xlfn.IFS(A89="Canada",4,A89="India",5,A89="UK",6,A89="USA",7,A89="EU",8)</f>
        <v>6</v>
      </c>
      <c r="L89" s="662">
        <f>VLOOKUP(H89,'StdCosts and StdRates'!$A$41:$H$86,K89,FALSE)</f>
        <v>185</v>
      </c>
      <c r="M89" s="662" cm="1">
        <f t="array" ref="M89">_xlfn.XLOOKUP(C89&amp;A89,FX!$A$2:$A$26&amp;FX!$B$2:$B$26,FX!$C$2:$C$26)</f>
        <v>1</v>
      </c>
      <c r="N89" cm="1">
        <f t="array" ref="N89">_xlfn.IFS(C89="Canada",2,C89="India",3,C89="UK",4,C89="USA",5,C89="EU",6)</f>
        <v>4</v>
      </c>
      <c r="O89" s="662">
        <f>VLOOKUP(G89,'StdCosts and StdRates'!$A$17:$E$36,N89,FALSE)*M89</f>
        <v>101</v>
      </c>
      <c r="P89"/>
      <c r="R89" s="967"/>
    </row>
    <row r="90" spans="1:18">
      <c r="A90" s="773" t="s">
        <v>247</v>
      </c>
      <c r="B90" s="773"/>
      <c r="C90" s="773" t="s">
        <v>736</v>
      </c>
      <c r="D90" s="773"/>
      <c r="E90" s="773"/>
      <c r="F90" s="773"/>
      <c r="G90" s="967" t="s">
        <v>370</v>
      </c>
      <c r="H90" s="967" t="str">
        <f t="shared" si="3"/>
        <v>Business Process Consultant</v>
      </c>
      <c r="I90" t="str">
        <f t="shared" si="4"/>
        <v>UKBusiness Process Consultant</v>
      </c>
      <c r="J90" t="str">
        <f t="shared" si="5"/>
        <v>UKEUBusiness Process Consultant</v>
      </c>
      <c r="K90" cm="1">
        <f t="array" ref="K90">_xlfn.IFS(A90="Canada",4,A90="India",5,A90="UK",6,A90="USA",7,A90="EU",8)</f>
        <v>6</v>
      </c>
      <c r="L90" s="662">
        <f>VLOOKUP(H90,'StdCosts and StdRates'!$A$41:$H$86,K90,FALSE)</f>
        <v>185</v>
      </c>
      <c r="M90" s="662" cm="1">
        <f t="array" ref="M90">_xlfn.XLOOKUP(C90&amp;A90,FX!$A$2:$A$26&amp;FX!$B$2:$B$26,FX!$C$2:$C$26)</f>
        <v>0.85092999999999996</v>
      </c>
      <c r="N90" cm="1">
        <f t="array" ref="N90">_xlfn.IFS(C90="Canada",2,C90="India",3,C90="UK",4,C90="USA",5,C90="EU",6)</f>
        <v>6</v>
      </c>
      <c r="O90" s="662" t="e">
        <f>VLOOKUP(G90,'StdCosts and StdRates'!$A$17:$E$36,N90,FALSE)*M90</f>
        <v>#REF!</v>
      </c>
      <c r="P90"/>
      <c r="R90" s="967"/>
    </row>
    <row r="91" spans="1:18">
      <c r="A91" s="773" t="s">
        <v>247</v>
      </c>
      <c r="B91" s="773" t="s">
        <v>227</v>
      </c>
      <c r="C91" s="773" t="s">
        <v>227</v>
      </c>
      <c r="D91" s="773"/>
      <c r="E91" s="773"/>
      <c r="F91" s="773"/>
      <c r="G91" s="967" t="s">
        <v>370</v>
      </c>
      <c r="H91" s="967" t="str">
        <f t="shared" si="3"/>
        <v>IndiaBusiness Process Consultant</v>
      </c>
      <c r="I91" t="str">
        <f t="shared" si="4"/>
        <v>UKIndiaBusiness Process Consultant</v>
      </c>
      <c r="J91" t="str">
        <f t="shared" si="5"/>
        <v>UKIndiaBusiness Process Consultant</v>
      </c>
      <c r="K91" cm="1">
        <f t="array" ref="K91">_xlfn.IFS(A91="Canada",4,A91="India",5,A91="UK",6,A91="USA",7,A91="EU",8)</f>
        <v>6</v>
      </c>
      <c r="L91" s="662">
        <f>VLOOKUP(H91,'StdCosts and StdRates'!$A$41:$H$86,K91,FALSE)</f>
        <v>79</v>
      </c>
      <c r="M91" s="662" cm="1">
        <f t="array" ref="M91">_xlfn.XLOOKUP(C91&amp;A91,FX!$A$2:$A$26&amp;FX!$B$2:$B$26,FX!$C$2:$C$26)</f>
        <v>9.41E-3</v>
      </c>
      <c r="N91" cm="1">
        <f t="array" ref="N91">_xlfn.IFS(C91="Canada",2,C91="India",3,C91="UK",4,C91="USA",5,C91="EU",6)</f>
        <v>3</v>
      </c>
      <c r="O91" s="662">
        <f>VLOOKUP(G91,'StdCosts and StdRates'!$A$17:$E$36,N91,FALSE)*M91</f>
        <v>22.988630000000001</v>
      </c>
      <c r="P91"/>
      <c r="R91" s="967"/>
    </row>
    <row r="92" spans="1:18">
      <c r="A92" s="773" t="s">
        <v>227</v>
      </c>
      <c r="B92" s="773"/>
      <c r="C92" s="773" t="s">
        <v>308</v>
      </c>
      <c r="D92" s="773"/>
      <c r="E92" s="773"/>
      <c r="F92" s="773"/>
      <c r="G92" s="967" t="s">
        <v>370</v>
      </c>
      <c r="H92" s="967" t="str">
        <f t="shared" si="3"/>
        <v>Business Process Consultant</v>
      </c>
      <c r="I92" t="str">
        <f t="shared" si="4"/>
        <v>IndiaBusiness Process Consultant</v>
      </c>
      <c r="J92" t="str">
        <f t="shared" si="5"/>
        <v>IndiaUSABusiness Process Consultant</v>
      </c>
      <c r="K92" cm="1">
        <f t="array" ref="K92">_xlfn.IFS(A92="Canada",4,A92="India",5,A92="UK",6,A92="USA",7,A92="EU",8)</f>
        <v>5</v>
      </c>
      <c r="L92" s="662">
        <f>VLOOKUP(H92,'StdCosts and StdRates'!$A$41:$H$86,K92,FALSE)</f>
        <v>8300</v>
      </c>
      <c r="M92" s="662" cm="1">
        <f t="array" ref="M92">_xlfn.XLOOKUP(C92&amp;A92,FX!$A$2:$A$26&amp;FX!$B$2:$B$26,FX!$C$2:$C$26)</f>
        <v>83.1721</v>
      </c>
      <c r="N92" cm="1">
        <f t="array" ref="N92">_xlfn.IFS(C92="Canada",2,C92="India",3,C92="UK",4,C92="USA",5,C92="EU",6)</f>
        <v>5</v>
      </c>
      <c r="O92" s="662">
        <f>VLOOKUP(G92,'StdCosts and StdRates'!$A$17:$E$36,N92,FALSE)*M92</f>
        <v>11394.5777</v>
      </c>
      <c r="P92"/>
      <c r="R92" s="967"/>
    </row>
    <row r="93" spans="1:18">
      <c r="A93" s="773" t="s">
        <v>227</v>
      </c>
      <c r="B93" s="773"/>
      <c r="C93" s="773" t="s">
        <v>405</v>
      </c>
      <c r="D93" s="773"/>
      <c r="E93" s="773"/>
      <c r="F93" s="773"/>
      <c r="G93" s="967" t="s">
        <v>370</v>
      </c>
      <c r="H93" s="967" t="str">
        <f t="shared" si="3"/>
        <v>Business Process Consultant</v>
      </c>
      <c r="I93" t="str">
        <f t="shared" si="4"/>
        <v>IndiaBusiness Process Consultant</v>
      </c>
      <c r="J93" t="str">
        <f t="shared" si="5"/>
        <v>IndiaCanadaBusiness Process Consultant</v>
      </c>
      <c r="K93" cm="1">
        <f t="array" ref="K93">_xlfn.IFS(A93="Canada",4,A93="India",5,A93="UK",6,A93="USA",7,A93="EU",8)</f>
        <v>5</v>
      </c>
      <c r="L93" s="662">
        <f>VLOOKUP(H93,'StdCosts and StdRates'!$A$41:$H$86,K93,FALSE)</f>
        <v>8300</v>
      </c>
      <c r="M93" s="662" cm="1">
        <f t="array" ref="M93">_xlfn.XLOOKUP(C93&amp;A93,FX!$A$2:$A$26&amp;FX!$B$2:$B$26,FX!$C$2:$C$26)</f>
        <v>61.008200000000002</v>
      </c>
      <c r="N93" cm="1">
        <f t="array" ref="N93">_xlfn.IFS(C93="Canada",2,C93="India",3,C93="UK",4,C93="USA",5,C93="EU",6)</f>
        <v>2</v>
      </c>
      <c r="O93" s="662">
        <f>VLOOKUP(G93,'StdCosts and StdRates'!$A$17:$E$36,N93,FALSE)*M93</f>
        <v>7931.0660000000007</v>
      </c>
      <c r="P93"/>
      <c r="R93" s="967"/>
    </row>
    <row r="94" spans="1:18">
      <c r="A94" s="773" t="s">
        <v>227</v>
      </c>
      <c r="B94" s="773"/>
      <c r="C94" s="773" t="s">
        <v>247</v>
      </c>
      <c r="D94" s="773"/>
      <c r="E94" s="773"/>
      <c r="F94" s="773"/>
      <c r="G94" s="967" t="s">
        <v>370</v>
      </c>
      <c r="H94" s="967" t="str">
        <f t="shared" si="3"/>
        <v>Business Process Consultant</v>
      </c>
      <c r="I94" t="str">
        <f t="shared" si="4"/>
        <v>IndiaBusiness Process Consultant</v>
      </c>
      <c r="J94" t="str">
        <f t="shared" si="5"/>
        <v>IndiaUKBusiness Process Consultant</v>
      </c>
      <c r="K94" cm="1">
        <f t="array" ref="K94">_xlfn.IFS(A94="Canada",4,A94="India",5,A94="UK",6,A94="USA",7,A94="EU",8)</f>
        <v>5</v>
      </c>
      <c r="L94" s="662">
        <f>VLOOKUP(H94,'StdCosts and StdRates'!$A$41:$H$86,K94,FALSE)</f>
        <v>8300</v>
      </c>
      <c r="M94" s="662" cm="1">
        <f t="array" ref="M94">_xlfn.XLOOKUP(C94&amp;A94,FX!$A$2:$A$26&amp;FX!$B$2:$B$26,FX!$C$2:$C$26)</f>
        <v>106.23399999999999</v>
      </c>
      <c r="N94" cm="1">
        <f t="array" ref="N94">_xlfn.IFS(C94="Canada",2,C94="India",3,C94="UK",4,C94="USA",5,C94="EU",6)</f>
        <v>4</v>
      </c>
      <c r="O94" s="662">
        <f>VLOOKUP(G94,'StdCosts and StdRates'!$A$17:$E$36,N94,FALSE)*M94</f>
        <v>10729.634</v>
      </c>
      <c r="P94"/>
      <c r="R94" s="967"/>
    </row>
    <row r="95" spans="1:18">
      <c r="A95" s="773" t="s">
        <v>227</v>
      </c>
      <c r="B95" s="773"/>
      <c r="C95" s="773" t="s">
        <v>736</v>
      </c>
      <c r="D95" s="773"/>
      <c r="E95" s="773"/>
      <c r="F95" s="773"/>
      <c r="G95" s="967" t="s">
        <v>370</v>
      </c>
      <c r="H95" s="967" t="str">
        <f t="shared" si="3"/>
        <v>Business Process Consultant</v>
      </c>
      <c r="I95" t="str">
        <f t="shared" si="4"/>
        <v>IndiaBusiness Process Consultant</v>
      </c>
      <c r="J95" t="str">
        <f t="shared" si="5"/>
        <v>IndiaEUBusiness Process Consultant</v>
      </c>
      <c r="K95" cm="1">
        <f t="array" ref="K95">_xlfn.IFS(A95="Canada",4,A95="India",5,A95="UK",6,A95="USA",7,A95="EU",8)</f>
        <v>5</v>
      </c>
      <c r="L95" s="662">
        <f>VLOOKUP(H95,'StdCosts and StdRates'!$A$41:$H$86,K95,FALSE)</f>
        <v>8300</v>
      </c>
      <c r="M95" s="662" cm="1">
        <f t="array" ref="M95">_xlfn.XLOOKUP(C95&amp;A95,FX!$A$2:$A$26&amp;FX!$B$2:$B$26,FX!$C$2:$C$26)</f>
        <v>90.405100000000004</v>
      </c>
      <c r="N95" cm="1">
        <f t="array" ref="N95">_xlfn.IFS(C95="Canada",2,C95="India",3,C95="UK",4,C95="USA",5,C95="EU",6)</f>
        <v>6</v>
      </c>
      <c r="O95" s="662" t="e">
        <f>VLOOKUP(G95,'StdCosts and StdRates'!$A$17:$E$36,N95,FALSE)*M95</f>
        <v>#REF!</v>
      </c>
      <c r="P95"/>
      <c r="R95" s="967"/>
    </row>
    <row r="96" spans="1:18">
      <c r="A96" s="773" t="s">
        <v>227</v>
      </c>
      <c r="B96" s="773" t="s">
        <v>227</v>
      </c>
      <c r="C96" s="773" t="s">
        <v>227</v>
      </c>
      <c r="D96" s="773"/>
      <c r="E96" s="773"/>
      <c r="F96" s="773"/>
      <c r="G96" s="967" t="s">
        <v>370</v>
      </c>
      <c r="H96" s="967" t="str">
        <f t="shared" si="3"/>
        <v>IndiaBusiness Process Consultant</v>
      </c>
      <c r="I96" t="str">
        <f t="shared" si="4"/>
        <v>IndiaIndiaBusiness Process Consultant</v>
      </c>
      <c r="J96" t="str">
        <f t="shared" si="5"/>
        <v>IndiaIndiaBusiness Process Consultant</v>
      </c>
      <c r="K96" cm="1">
        <f t="array" ref="K96">_xlfn.IFS(A96="Canada",4,A96="India",5,A96="UK",6,A96="USA",7,A96="EU",8)</f>
        <v>5</v>
      </c>
      <c r="L96" s="662">
        <f>VLOOKUP(H96,'StdCosts and StdRates'!$A$41:$H$86,K96,FALSE)</f>
        <v>8300</v>
      </c>
      <c r="M96" s="662" cm="1">
        <f t="array" ref="M96">_xlfn.XLOOKUP(C96&amp;A96,FX!$A$2:$A$26&amp;FX!$B$2:$B$26,FX!$C$2:$C$26)</f>
        <v>1</v>
      </c>
      <c r="N96" cm="1">
        <f t="array" ref="N96">_xlfn.IFS(C96="Canada",2,C96="India",3,C96="UK",4,C96="USA",5,C96="EU",6)</f>
        <v>3</v>
      </c>
      <c r="O96" s="662">
        <f>VLOOKUP(G96,'StdCosts and StdRates'!$A$17:$E$36,N96,FALSE)*M96</f>
        <v>2443</v>
      </c>
      <c r="P96"/>
      <c r="R96" s="967"/>
    </row>
    <row r="97" spans="1:18">
      <c r="A97" s="773" t="s">
        <v>736</v>
      </c>
      <c r="B97" s="773"/>
      <c r="C97" s="773" t="s">
        <v>308</v>
      </c>
      <c r="D97" s="773"/>
      <c r="E97" s="773"/>
      <c r="F97" s="773"/>
      <c r="G97" s="967" t="s">
        <v>370</v>
      </c>
      <c r="H97" s="967" t="str">
        <f t="shared" si="3"/>
        <v>Business Process Consultant</v>
      </c>
      <c r="I97" t="str">
        <f t="shared" si="4"/>
        <v>EUBusiness Process Consultant</v>
      </c>
      <c r="J97" t="str">
        <f t="shared" si="5"/>
        <v>EUUSABusiness Process Consultant</v>
      </c>
      <c r="K97" cm="1">
        <f t="array" ref="K97">_xlfn.IFS(A97="Canada",4,A97="India",5,A97="UK",6,A97="USA",7,A97="EU",8)</f>
        <v>8</v>
      </c>
      <c r="L97" s="662">
        <f>VLOOKUP(H97,'StdCosts and StdRates'!$A$41:$H$86,K97,FALSE)</f>
        <v>215</v>
      </c>
      <c r="M97" s="662" cm="1">
        <f t="array" ref="M97">_xlfn.XLOOKUP(C97&amp;A97,FX!$A$2:$A$26&amp;FX!$B$2:$B$26,FX!$C$2:$C$26)</f>
        <v>0.91986999999999997</v>
      </c>
      <c r="N97" cm="1">
        <f t="array" ref="N97">_xlfn.IFS(C97="Canada",2,C97="India",3,C97="UK",4,C97="USA",5,C97="EU",6)</f>
        <v>5</v>
      </c>
      <c r="O97" s="662">
        <f>VLOOKUP(G97,'StdCosts and StdRates'!$A$17:$E$36,N97,FALSE)*M97</f>
        <v>126.02218999999999</v>
      </c>
      <c r="P97"/>
      <c r="R97" s="967"/>
    </row>
    <row r="98" spans="1:18">
      <c r="A98" s="773" t="s">
        <v>736</v>
      </c>
      <c r="B98" s="773"/>
      <c r="C98" s="773" t="s">
        <v>405</v>
      </c>
      <c r="D98" s="773"/>
      <c r="E98" s="773"/>
      <c r="F98" s="773"/>
      <c r="G98" s="967" t="s">
        <v>370</v>
      </c>
      <c r="H98" s="967" t="str">
        <f t="shared" si="3"/>
        <v>Business Process Consultant</v>
      </c>
      <c r="I98" t="str">
        <f t="shared" si="4"/>
        <v>EUBusiness Process Consultant</v>
      </c>
      <c r="J98" t="str">
        <f t="shared" si="5"/>
        <v>EUCanadaBusiness Process Consultant</v>
      </c>
      <c r="K98" cm="1">
        <f t="array" ref="K98">_xlfn.IFS(A98="Canada",4,A98="India",5,A98="UK",6,A98="USA",7,A98="EU",8)</f>
        <v>8</v>
      </c>
      <c r="L98" s="662">
        <f>VLOOKUP(H98,'StdCosts and StdRates'!$A$41:$H$86,K98,FALSE)</f>
        <v>215</v>
      </c>
      <c r="M98" s="662" cm="1">
        <f t="array" ref="M98">_xlfn.XLOOKUP(C98&amp;A98,FX!$A$2:$A$26&amp;FX!$B$2:$B$26,FX!$C$2:$C$26)</f>
        <v>0.67474000000000001</v>
      </c>
      <c r="N98" cm="1">
        <f t="array" ref="N98">_xlfn.IFS(C98="Canada",2,C98="India",3,C98="UK",4,C98="USA",5,C98="EU",6)</f>
        <v>2</v>
      </c>
      <c r="O98" s="662">
        <f>VLOOKUP(G98,'StdCosts and StdRates'!$A$17:$E$36,N98,FALSE)*M98</f>
        <v>87.716200000000001</v>
      </c>
      <c r="P98"/>
      <c r="R98" s="967"/>
    </row>
    <row r="99" spans="1:18">
      <c r="A99" s="773" t="s">
        <v>736</v>
      </c>
      <c r="B99" s="773"/>
      <c r="C99" s="773" t="s">
        <v>247</v>
      </c>
      <c r="D99" s="773"/>
      <c r="E99" s="773"/>
      <c r="F99" s="773"/>
      <c r="G99" s="967" t="s">
        <v>370</v>
      </c>
      <c r="H99" s="967" t="str">
        <f t="shared" si="3"/>
        <v>Business Process Consultant</v>
      </c>
      <c r="I99" t="str">
        <f t="shared" si="4"/>
        <v>EUBusiness Process Consultant</v>
      </c>
      <c r="J99" t="str">
        <f t="shared" si="5"/>
        <v>EUUKBusiness Process Consultant</v>
      </c>
      <c r="K99" cm="1">
        <f t="array" ref="K99">_xlfn.IFS(A99="Canada",4,A99="India",5,A99="UK",6,A99="USA",7,A99="EU",8)</f>
        <v>8</v>
      </c>
      <c r="L99" s="662">
        <f>VLOOKUP(H99,'StdCosts and StdRates'!$A$41:$H$86,K99,FALSE)</f>
        <v>215</v>
      </c>
      <c r="M99" s="662" cm="1">
        <f t="array" ref="M99">_xlfn.XLOOKUP(C99&amp;A99,FX!$A$2:$A$26&amp;FX!$B$2:$B$26,FX!$C$2:$C$26)</f>
        <v>1.1749799999999999</v>
      </c>
      <c r="N99" cm="1">
        <f t="array" ref="N99">_xlfn.IFS(C99="Canada",2,C99="India",3,C99="UK",4,C99="USA",5,C99="EU",6)</f>
        <v>4</v>
      </c>
      <c r="O99" s="662">
        <f>VLOOKUP(G99,'StdCosts and StdRates'!$A$17:$E$36,N99,FALSE)*M99</f>
        <v>118.67298</v>
      </c>
      <c r="P99"/>
      <c r="R99" s="967"/>
    </row>
    <row r="100" spans="1:18">
      <c r="A100" s="773" t="s">
        <v>736</v>
      </c>
      <c r="B100" s="773"/>
      <c r="C100" s="773" t="s">
        <v>736</v>
      </c>
      <c r="D100" s="773"/>
      <c r="E100" s="773"/>
      <c r="F100" s="773"/>
      <c r="G100" s="967" t="s">
        <v>370</v>
      </c>
      <c r="H100" s="967" t="str">
        <f t="shared" si="3"/>
        <v>Business Process Consultant</v>
      </c>
      <c r="I100" t="str">
        <f t="shared" si="4"/>
        <v>EUBusiness Process Consultant</v>
      </c>
      <c r="J100" t="str">
        <f t="shared" si="5"/>
        <v>EUEUBusiness Process Consultant</v>
      </c>
      <c r="K100" cm="1">
        <f t="array" ref="K100">_xlfn.IFS(A100="Canada",4,A100="India",5,A100="UK",6,A100="USA",7,A100="EU",8)</f>
        <v>8</v>
      </c>
      <c r="L100" s="662">
        <f>VLOOKUP(H100,'StdCosts and StdRates'!$A$41:$H$86,K100,FALSE)</f>
        <v>215</v>
      </c>
      <c r="M100" s="662" cm="1">
        <f t="array" ref="M100">_xlfn.XLOOKUP(C100&amp;A100,FX!$A$2:$A$26&amp;FX!$B$2:$B$26,FX!$C$2:$C$26)</f>
        <v>1</v>
      </c>
      <c r="N100" cm="1">
        <f t="array" ref="N100">_xlfn.IFS(C100="Canada",2,C100="India",3,C100="UK",4,C100="USA",5,C100="EU",6)</f>
        <v>6</v>
      </c>
      <c r="O100" s="662" t="e">
        <f>VLOOKUP(G100,'StdCosts and StdRates'!$A$17:$E$36,N100,FALSE)*M100</f>
        <v>#REF!</v>
      </c>
      <c r="P100"/>
      <c r="R100" s="967"/>
    </row>
    <row r="101" spans="1:18">
      <c r="A101" s="773" t="s">
        <v>736</v>
      </c>
      <c r="B101" s="773" t="s">
        <v>227</v>
      </c>
      <c r="C101" s="773" t="s">
        <v>227</v>
      </c>
      <c r="D101" s="773"/>
      <c r="E101" s="773"/>
      <c r="F101" s="773"/>
      <c r="G101" s="967" t="s">
        <v>370</v>
      </c>
      <c r="H101" s="967" t="str">
        <f t="shared" si="3"/>
        <v>IndiaBusiness Process Consultant</v>
      </c>
      <c r="I101" t="str">
        <f t="shared" si="4"/>
        <v>EUIndiaBusiness Process Consultant</v>
      </c>
      <c r="J101" t="str">
        <f t="shared" si="5"/>
        <v>EUIndiaBusiness Process Consultant</v>
      </c>
      <c r="K101" cm="1">
        <f t="array" ref="K101">_xlfn.IFS(A101="Canada",4,A101="India",5,A101="UK",6,A101="USA",7,A101="EU",8)</f>
        <v>8</v>
      </c>
      <c r="L101" s="662">
        <f>VLOOKUP(H101,'StdCosts and StdRates'!$A$41:$H$86,K101,FALSE)</f>
        <v>95</v>
      </c>
      <c r="M101" s="662" cm="1">
        <f t="array" ref="M101">_xlfn.XLOOKUP(C101&amp;A101,FX!$A$2:$A$26&amp;FX!$B$2:$B$26,FX!$C$2:$C$26)</f>
        <v>1.106E-2</v>
      </c>
      <c r="N101" cm="1">
        <f t="array" ref="N101">_xlfn.IFS(C101="Canada",2,C101="India",3,C101="UK",4,C101="USA",5,C101="EU",6)</f>
        <v>3</v>
      </c>
      <c r="O101" s="662">
        <f>VLOOKUP(G101,'StdCosts and StdRates'!$A$17:$E$36,N101,FALSE)*M101</f>
        <v>27.019580000000001</v>
      </c>
      <c r="P101"/>
      <c r="R101" s="967"/>
    </row>
    <row r="102" spans="1:18">
      <c r="A102" s="773" t="s">
        <v>308</v>
      </c>
      <c r="B102" s="773"/>
      <c r="C102" s="773" t="s">
        <v>308</v>
      </c>
      <c r="D102" s="773"/>
      <c r="E102" s="773"/>
      <c r="F102" s="773"/>
      <c r="G102" s="967" t="s">
        <v>389</v>
      </c>
      <c r="H102" s="967" t="str">
        <f t="shared" ref="H102:H126" si="6">B102&amp;G102</f>
        <v>Solution Consultant</v>
      </c>
      <c r="I102" t="str">
        <f t="shared" ref="I102:I126" si="7">A102&amp;B102&amp;D102&amp;E102&amp;F102&amp;G102</f>
        <v>USASolution Consultant</v>
      </c>
      <c r="J102" t="str">
        <f t="shared" ref="J102:J126" si="8">A102&amp;C102&amp;D102&amp;E102&amp;F102&amp;G102</f>
        <v>USAUSASolution Consultant</v>
      </c>
      <c r="K102" cm="1">
        <f t="array" ref="K102">_xlfn.IFS(A102="Canada",4,A102="India",5,A102="UK",6,A102="USA",7,A102="EU",8)</f>
        <v>7</v>
      </c>
      <c r="L102" s="662">
        <f>VLOOKUP(H102,'StdCosts and StdRates'!$A$41:$H$86,K102,FALSE)</f>
        <v>289</v>
      </c>
      <c r="M102" s="662" cm="1">
        <f t="array" ref="M102">_xlfn.XLOOKUP(C102&amp;A102,FX!$A$2:$A$26&amp;FX!$B$2:$B$26,FX!$C$2:$C$26)</f>
        <v>1</v>
      </c>
      <c r="N102" cm="1">
        <f t="array" ref="N102">_xlfn.IFS(C102="Canada",2,C102="India",3,C102="UK",4,C102="USA",5,C102="EU",6)</f>
        <v>5</v>
      </c>
      <c r="O102" s="662">
        <f>VLOOKUP(G102,'StdCosts and StdRates'!$A$17:$E$36,N102,FALSE)*M102</f>
        <v>155</v>
      </c>
      <c r="P102"/>
      <c r="R102" s="967"/>
    </row>
    <row r="103" spans="1:18">
      <c r="A103" s="773" t="s">
        <v>308</v>
      </c>
      <c r="B103" s="773"/>
      <c r="C103" s="773" t="s">
        <v>405</v>
      </c>
      <c r="D103" s="773"/>
      <c r="E103" s="773"/>
      <c r="F103" s="773"/>
      <c r="G103" s="967" t="s">
        <v>389</v>
      </c>
      <c r="H103" s="967" t="str">
        <f t="shared" si="6"/>
        <v>Solution Consultant</v>
      </c>
      <c r="I103" t="str">
        <f t="shared" si="7"/>
        <v>USASolution Consultant</v>
      </c>
      <c r="J103" t="str">
        <f t="shared" si="8"/>
        <v>USACanadaSolution Consultant</v>
      </c>
      <c r="K103" cm="1">
        <f t="array" ref="K103">_xlfn.IFS(A103="Canada",4,A103="India",5,A103="UK",6,A103="USA",7,A103="EU",8)</f>
        <v>7</v>
      </c>
      <c r="L103" s="662">
        <f>VLOOKUP(H103,'StdCosts and StdRates'!$A$41:$H$86,K103,FALSE)</f>
        <v>289</v>
      </c>
      <c r="M103" s="662" cm="1">
        <f t="array" ref="M103">_xlfn.XLOOKUP(C103&amp;A103,FX!$A$2:$A$26&amp;FX!$B$2:$B$26,FX!$C$2:$C$26)</f>
        <v>0.73351999999999995</v>
      </c>
      <c r="N103" cm="1">
        <f t="array" ref="N103">_xlfn.IFS(C103="Canada",2,C103="India",3,C103="UK",4,C103="USA",5,C103="EU",6)</f>
        <v>2</v>
      </c>
      <c r="O103" s="662">
        <f>VLOOKUP(G103,'StdCosts and StdRates'!$A$17:$E$36,N103,FALSE)*M103</f>
        <v>132.03359999999998</v>
      </c>
      <c r="P103"/>
      <c r="R103" s="967"/>
    </row>
    <row r="104" spans="1:18">
      <c r="A104" s="773" t="s">
        <v>308</v>
      </c>
      <c r="B104" s="773"/>
      <c r="C104" s="773" t="s">
        <v>247</v>
      </c>
      <c r="D104" s="773"/>
      <c r="E104" s="773"/>
      <c r="F104" s="773"/>
      <c r="G104" s="967" t="s">
        <v>389</v>
      </c>
      <c r="H104" s="967" t="str">
        <f t="shared" si="6"/>
        <v>Solution Consultant</v>
      </c>
      <c r="I104" t="str">
        <f t="shared" si="7"/>
        <v>USASolution Consultant</v>
      </c>
      <c r="J104" t="str">
        <f t="shared" si="8"/>
        <v>USAUKSolution Consultant</v>
      </c>
      <c r="K104" cm="1">
        <f t="array" ref="K104">_xlfn.IFS(A104="Canada",4,A104="India",5,A104="UK",6,A104="USA",7,A104="EU",8)</f>
        <v>7</v>
      </c>
      <c r="L104" s="662">
        <f>VLOOKUP(H104,'StdCosts and StdRates'!$A$41:$H$86,K104,FALSE)</f>
        <v>289</v>
      </c>
      <c r="M104" s="662" cm="1">
        <f t="array" ref="M104">_xlfn.XLOOKUP(C104&amp;A104,FX!$A$2:$A$26&amp;FX!$B$2:$B$26,FX!$C$2:$C$26)</f>
        <v>1.2772699999999999</v>
      </c>
      <c r="N104" cm="1">
        <f t="array" ref="N104">_xlfn.IFS(C104="Canada",2,C104="India",3,C104="UK",4,C104="USA",5,C104="EU",6)</f>
        <v>4</v>
      </c>
      <c r="O104" s="662">
        <f>VLOOKUP(G104,'StdCosts and StdRates'!$A$17:$E$36,N104,FALSE)*M104</f>
        <v>116.23156999999999</v>
      </c>
      <c r="P104"/>
      <c r="R104" s="967"/>
    </row>
    <row r="105" spans="1:18">
      <c r="A105" s="773" t="s">
        <v>308</v>
      </c>
      <c r="B105" s="773"/>
      <c r="C105" s="773" t="s">
        <v>736</v>
      </c>
      <c r="D105" s="773"/>
      <c r="E105" s="773"/>
      <c r="F105" s="773"/>
      <c r="G105" s="967" t="s">
        <v>389</v>
      </c>
      <c r="H105" s="967" t="str">
        <f t="shared" si="6"/>
        <v>Solution Consultant</v>
      </c>
      <c r="I105" t="str">
        <f t="shared" si="7"/>
        <v>USASolution Consultant</v>
      </c>
      <c r="J105" t="str">
        <f t="shared" si="8"/>
        <v>USAEUSolution Consultant</v>
      </c>
      <c r="K105" cm="1">
        <f t="array" ref="K105">_xlfn.IFS(A105="Canada",4,A105="India",5,A105="UK",6,A105="USA",7,A105="EU",8)</f>
        <v>7</v>
      </c>
      <c r="L105" s="662">
        <f>VLOOKUP(H105,'StdCosts and StdRates'!$A$41:$H$86,K105,FALSE)</f>
        <v>289</v>
      </c>
      <c r="M105" s="662" cm="1">
        <f t="array" ref="M105">_xlfn.XLOOKUP(C105&amp;A105,FX!$A$2:$A$26&amp;FX!$B$2:$B$26,FX!$C$2:$C$26)</f>
        <v>1.0869599999999999</v>
      </c>
      <c r="N105" cm="1">
        <f t="array" ref="N105">_xlfn.IFS(C105="Canada",2,C105="India",3,C105="UK",4,C105="USA",5,C105="EU",6)</f>
        <v>6</v>
      </c>
      <c r="O105" s="662" t="e">
        <f>VLOOKUP(G105,'StdCosts and StdRates'!$A$17:$E$36,N105,FALSE)*M105</f>
        <v>#REF!</v>
      </c>
      <c r="P105"/>
      <c r="R105" s="967"/>
    </row>
    <row r="106" spans="1:18">
      <c r="A106" s="773" t="s">
        <v>308</v>
      </c>
      <c r="B106" s="773" t="s">
        <v>227</v>
      </c>
      <c r="C106" s="773" t="s">
        <v>227</v>
      </c>
      <c r="D106" s="773"/>
      <c r="E106" s="773"/>
      <c r="F106" s="773"/>
      <c r="G106" s="967" t="s">
        <v>389</v>
      </c>
      <c r="H106" s="967" t="str">
        <f t="shared" si="6"/>
        <v>IndiaSolution Consultant</v>
      </c>
      <c r="I106" t="str">
        <f t="shared" si="7"/>
        <v>USAIndiaSolution Consultant</v>
      </c>
      <c r="J106" t="str">
        <f t="shared" si="8"/>
        <v>USAIndiaSolution Consultant</v>
      </c>
      <c r="K106" cm="1">
        <f t="array" ref="K106">_xlfn.IFS(A106="Canada",4,A106="India",5,A106="UK",6,A106="USA",7,A106="EU",8)</f>
        <v>7</v>
      </c>
      <c r="L106" s="662">
        <f>VLOOKUP(H106,'StdCosts and StdRates'!$A$41:$H$86,K106,FALSE)</f>
        <v>109</v>
      </c>
      <c r="M106" s="662" cm="1">
        <f t="array" ref="M106">_xlfn.XLOOKUP(C106&amp;A106,FX!$A$2:$A$26&amp;FX!$B$2:$B$26,FX!$C$2:$C$26)</f>
        <v>1.2019999999999999E-2</v>
      </c>
      <c r="N106" cm="1">
        <f t="array" ref="N106">_xlfn.IFS(C106="Canada",2,C106="India",3,C106="UK",4,C106="USA",5,C106="EU",6)</f>
        <v>3</v>
      </c>
      <c r="O106" s="662">
        <f>VLOOKUP(G106,'StdCosts and StdRates'!$A$17:$E$36,N106,FALSE)*M106</f>
        <v>27.718119999999999</v>
      </c>
      <c r="P106"/>
      <c r="R106" s="967"/>
    </row>
    <row r="107" spans="1:18">
      <c r="A107" s="773" t="s">
        <v>405</v>
      </c>
      <c r="B107" s="773"/>
      <c r="C107" s="773" t="s">
        <v>308</v>
      </c>
      <c r="D107" s="773"/>
      <c r="E107" s="773"/>
      <c r="F107" s="773"/>
      <c r="G107" s="967" t="s">
        <v>389</v>
      </c>
      <c r="H107" s="967" t="str">
        <f t="shared" si="6"/>
        <v>Solution Consultant</v>
      </c>
      <c r="I107" t="str">
        <f t="shared" si="7"/>
        <v>CanadaSolution Consultant</v>
      </c>
      <c r="J107" t="str">
        <f t="shared" si="8"/>
        <v>CanadaUSASolution Consultant</v>
      </c>
      <c r="K107" cm="1">
        <f t="array" ref="K107">_xlfn.IFS(A107="Canada",4,A107="India",5,A107="UK",6,A107="USA",7,A107="EU",8)</f>
        <v>4</v>
      </c>
      <c r="L107" s="662">
        <f>VLOOKUP(H107,'StdCosts and StdRates'!$A$41:$H$86,K107,FALSE)</f>
        <v>299</v>
      </c>
      <c r="M107" s="662" cm="1">
        <f t="array" ref="M107">_xlfn.XLOOKUP(C107&amp;A107,FX!$A$2:$A$26&amp;FX!$B$2:$B$26,FX!$C$2:$C$26)</f>
        <v>1.36311</v>
      </c>
      <c r="N107" cm="1">
        <f t="array" ref="N107">_xlfn.IFS(C107="Canada",2,C107="India",3,C107="UK",4,C107="USA",5,C107="EU",6)</f>
        <v>5</v>
      </c>
      <c r="O107" s="662">
        <f>VLOOKUP(G107,'StdCosts and StdRates'!$A$17:$E$36,N107,FALSE)*M107</f>
        <v>211.28205</v>
      </c>
      <c r="P107"/>
      <c r="R107" s="967"/>
    </row>
    <row r="108" spans="1:18">
      <c r="A108" s="773" t="s">
        <v>405</v>
      </c>
      <c r="B108" s="773"/>
      <c r="C108" s="773" t="s">
        <v>405</v>
      </c>
      <c r="D108" s="773"/>
      <c r="E108" s="773"/>
      <c r="F108" s="773"/>
      <c r="G108" s="967" t="s">
        <v>389</v>
      </c>
      <c r="H108" s="967" t="str">
        <f t="shared" si="6"/>
        <v>Solution Consultant</v>
      </c>
      <c r="I108" t="str">
        <f t="shared" si="7"/>
        <v>CanadaSolution Consultant</v>
      </c>
      <c r="J108" t="str">
        <f t="shared" si="8"/>
        <v>CanadaCanadaSolution Consultant</v>
      </c>
      <c r="K108" cm="1">
        <f t="array" ref="K108">_xlfn.IFS(A108="Canada",4,A108="India",5,A108="UK",6,A108="USA",7,A108="EU",8)</f>
        <v>4</v>
      </c>
      <c r="L108" s="662">
        <f>VLOOKUP(H108,'StdCosts and StdRates'!$A$41:$H$86,K108,FALSE)</f>
        <v>299</v>
      </c>
      <c r="M108" s="662" cm="1">
        <f t="array" ref="M108">_xlfn.XLOOKUP(C108&amp;A108,FX!$A$2:$A$26&amp;FX!$B$2:$B$26,FX!$C$2:$C$26)</f>
        <v>1</v>
      </c>
      <c r="N108" cm="1">
        <f t="array" ref="N108">_xlfn.IFS(C108="Canada",2,C108="India",3,C108="UK",4,C108="USA",5,C108="EU",6)</f>
        <v>2</v>
      </c>
      <c r="O108" s="662">
        <f>VLOOKUP(G108,'StdCosts and StdRates'!$A$17:$E$36,N108,FALSE)*M108</f>
        <v>180</v>
      </c>
      <c r="P108"/>
      <c r="R108" s="967"/>
    </row>
    <row r="109" spans="1:18">
      <c r="A109" s="773" t="s">
        <v>405</v>
      </c>
      <c r="B109" s="773"/>
      <c r="C109" s="773" t="s">
        <v>247</v>
      </c>
      <c r="D109" s="773"/>
      <c r="E109" s="773"/>
      <c r="F109" s="773"/>
      <c r="G109" s="967" t="s">
        <v>389</v>
      </c>
      <c r="H109" s="967" t="str">
        <f t="shared" si="6"/>
        <v>Solution Consultant</v>
      </c>
      <c r="I109" t="str">
        <f t="shared" si="7"/>
        <v>CanadaSolution Consultant</v>
      </c>
      <c r="J109" t="str">
        <f t="shared" si="8"/>
        <v>CanadaUKSolution Consultant</v>
      </c>
      <c r="K109" cm="1">
        <f t="array" ref="K109">_xlfn.IFS(A109="Canada",4,A109="India",5,A109="UK",6,A109="USA",7,A109="EU",8)</f>
        <v>4</v>
      </c>
      <c r="L109" s="662">
        <f>VLOOKUP(H109,'StdCosts and StdRates'!$A$41:$H$86,K109,FALSE)</f>
        <v>299</v>
      </c>
      <c r="M109" s="662" cm="1">
        <f t="array" ref="M109">_xlfn.XLOOKUP(C109&amp;A109,FX!$A$2:$A$26&amp;FX!$B$2:$B$26,FX!$C$2:$C$26)</f>
        <v>1.7410699999999999</v>
      </c>
      <c r="N109" cm="1">
        <f t="array" ref="N109">_xlfn.IFS(C109="Canada",2,C109="India",3,C109="UK",4,C109="USA",5,C109="EU",6)</f>
        <v>4</v>
      </c>
      <c r="O109" s="662">
        <f>VLOOKUP(G109,'StdCosts and StdRates'!$A$17:$E$36,N109,FALSE)*M109</f>
        <v>158.43736999999999</v>
      </c>
      <c r="P109"/>
      <c r="R109" s="967"/>
    </row>
    <row r="110" spans="1:18">
      <c r="A110" s="773" t="s">
        <v>405</v>
      </c>
      <c r="B110" s="773"/>
      <c r="C110" s="773" t="s">
        <v>736</v>
      </c>
      <c r="D110" s="773"/>
      <c r="E110" s="773"/>
      <c r="F110" s="773"/>
      <c r="G110" s="967" t="s">
        <v>389</v>
      </c>
      <c r="H110" s="967" t="str">
        <f t="shared" si="6"/>
        <v>Solution Consultant</v>
      </c>
      <c r="I110" t="str">
        <f t="shared" si="7"/>
        <v>CanadaSolution Consultant</v>
      </c>
      <c r="J110" t="str">
        <f t="shared" si="8"/>
        <v>CanadaEUSolution Consultant</v>
      </c>
      <c r="K110" cm="1">
        <f t="array" ref="K110">_xlfn.IFS(A110="Canada",4,A110="India",5,A110="UK",6,A110="USA",7,A110="EU",8)</f>
        <v>4</v>
      </c>
      <c r="L110" s="662">
        <f>VLOOKUP(H110,'StdCosts and StdRates'!$A$41:$H$86,K110,FALSE)</f>
        <v>299</v>
      </c>
      <c r="M110" s="662" cm="1">
        <f t="array" ref="M110">_xlfn.XLOOKUP(C110&amp;A110,FX!$A$2:$A$26&amp;FX!$B$2:$B$26,FX!$C$2:$C$26)</f>
        <v>1.4816499999999999</v>
      </c>
      <c r="N110" cm="1">
        <f t="array" ref="N110">_xlfn.IFS(C110="Canada",2,C110="India",3,C110="UK",4,C110="USA",5,C110="EU",6)</f>
        <v>6</v>
      </c>
      <c r="O110" s="662" t="e">
        <f>VLOOKUP(G110,'StdCosts and StdRates'!$A$17:$E$36,N110,FALSE)*M110</f>
        <v>#REF!</v>
      </c>
      <c r="P110"/>
      <c r="R110" s="967"/>
    </row>
    <row r="111" spans="1:18">
      <c r="A111" s="773" t="s">
        <v>405</v>
      </c>
      <c r="B111" s="773" t="s">
        <v>227</v>
      </c>
      <c r="C111" s="773" t="s">
        <v>227</v>
      </c>
      <c r="D111" s="773"/>
      <c r="E111" s="773"/>
      <c r="F111" s="773"/>
      <c r="G111" s="967" t="s">
        <v>389</v>
      </c>
      <c r="H111" s="967" t="str">
        <f t="shared" si="6"/>
        <v>IndiaSolution Consultant</v>
      </c>
      <c r="I111" t="str">
        <f t="shared" si="7"/>
        <v>CanadaIndiaSolution Consultant</v>
      </c>
      <c r="J111" t="str">
        <f t="shared" si="8"/>
        <v>CanadaIndiaSolution Consultant</v>
      </c>
      <c r="K111" cm="1">
        <f t="array" ref="K111">_xlfn.IFS(A111="Canada",4,A111="India",5,A111="UK",6,A111="USA",7,A111="EU",8)</f>
        <v>4</v>
      </c>
      <c r="L111" s="662">
        <f>VLOOKUP(H111,'StdCosts and StdRates'!$A$41:$H$86,K111,FALSE)</f>
        <v>139</v>
      </c>
      <c r="M111" s="662" cm="1">
        <f t="array" ref="M111">_xlfn.XLOOKUP(C111&amp;A111,FX!$A$2:$A$26&amp;FX!$B$2:$B$26,FX!$C$2:$C$26)</f>
        <v>1.6389999999999998E-2</v>
      </c>
      <c r="N111" cm="1">
        <f t="array" ref="N111">_xlfn.IFS(C111="Canada",2,C111="India",3,C111="UK",4,C111="USA",5,C111="EU",6)</f>
        <v>3</v>
      </c>
      <c r="O111" s="662">
        <f>VLOOKUP(G111,'StdCosts and StdRates'!$A$17:$E$36,N111,FALSE)*M111</f>
        <v>37.795339999999996</v>
      </c>
      <c r="P111"/>
      <c r="R111" s="967"/>
    </row>
    <row r="112" spans="1:18">
      <c r="A112" s="773" t="s">
        <v>247</v>
      </c>
      <c r="B112" s="773"/>
      <c r="C112" s="773" t="s">
        <v>308</v>
      </c>
      <c r="D112" s="773"/>
      <c r="E112" s="773"/>
      <c r="F112" s="773"/>
      <c r="G112" s="967" t="s">
        <v>389</v>
      </c>
      <c r="H112" s="967" t="str">
        <f t="shared" si="6"/>
        <v>Solution Consultant</v>
      </c>
      <c r="I112" t="str">
        <f t="shared" si="7"/>
        <v>UKSolution Consultant</v>
      </c>
      <c r="J112" t="str">
        <f t="shared" si="8"/>
        <v>UKUSASolution Consultant</v>
      </c>
      <c r="K112" cm="1">
        <f t="array" ref="K112">_xlfn.IFS(A112="Canada",4,A112="India",5,A112="UK",6,A112="USA",7,A112="EU",8)</f>
        <v>6</v>
      </c>
      <c r="L112" s="662">
        <f>VLOOKUP(H112,'StdCosts and StdRates'!$A$41:$H$86,K112,FALSE)</f>
        <v>185</v>
      </c>
      <c r="M112" s="662" cm="1">
        <f t="array" ref="M112">_xlfn.XLOOKUP(C112&amp;A112,FX!$A$2:$A$26&amp;FX!$B$2:$B$26,FX!$C$2:$C$26)</f>
        <v>0.78280000000000005</v>
      </c>
      <c r="N112" cm="1">
        <f t="array" ref="N112">_xlfn.IFS(C112="Canada",2,C112="India",3,C112="UK",4,C112="USA",5,C112="EU",6)</f>
        <v>5</v>
      </c>
      <c r="O112" s="662">
        <f>VLOOKUP(G112,'StdCosts and StdRates'!$A$17:$E$36,N112,FALSE)*M112</f>
        <v>121.334</v>
      </c>
      <c r="P112"/>
      <c r="R112" s="967"/>
    </row>
    <row r="113" spans="1:18">
      <c r="A113" s="773" t="s">
        <v>247</v>
      </c>
      <c r="B113" s="773"/>
      <c r="C113" s="773" t="s">
        <v>405</v>
      </c>
      <c r="D113" s="773"/>
      <c r="E113" s="773"/>
      <c r="F113" s="773"/>
      <c r="G113" s="967" t="s">
        <v>389</v>
      </c>
      <c r="H113" s="967" t="str">
        <f t="shared" si="6"/>
        <v>Solution Consultant</v>
      </c>
      <c r="I113" t="str">
        <f t="shared" si="7"/>
        <v>UKSolution Consultant</v>
      </c>
      <c r="J113" t="str">
        <f t="shared" si="8"/>
        <v>UKCanadaSolution Consultant</v>
      </c>
      <c r="K113" cm="1">
        <f t="array" ref="K113">_xlfn.IFS(A113="Canada",4,A113="India",5,A113="UK",6,A113="USA",7,A113="EU",8)</f>
        <v>6</v>
      </c>
      <c r="L113" s="662">
        <f>VLOOKUP(H113,'StdCosts and StdRates'!$A$41:$H$86,K113,FALSE)</f>
        <v>185</v>
      </c>
      <c r="M113" s="662" cm="1">
        <f t="array" ref="M113">_xlfn.XLOOKUP(C113&amp;A113,FX!$A$2:$A$26&amp;FX!$B$2:$B$26,FX!$C$2:$C$26)</f>
        <v>0.57420000000000004</v>
      </c>
      <c r="N113" cm="1">
        <f t="array" ref="N113">_xlfn.IFS(C113="Canada",2,C113="India",3,C113="UK",4,C113="USA",5,C113="EU",6)</f>
        <v>2</v>
      </c>
      <c r="O113" s="662">
        <f>VLOOKUP(G113,'StdCosts and StdRates'!$A$17:$E$36,N113,FALSE)*M113</f>
        <v>103.35600000000001</v>
      </c>
      <c r="P113"/>
      <c r="R113" s="967"/>
    </row>
    <row r="114" spans="1:18">
      <c r="A114" s="773" t="s">
        <v>247</v>
      </c>
      <c r="B114" s="773"/>
      <c r="C114" s="773" t="s">
        <v>247</v>
      </c>
      <c r="D114" s="773"/>
      <c r="E114" s="773"/>
      <c r="F114" s="773"/>
      <c r="G114" s="967" t="s">
        <v>389</v>
      </c>
      <c r="H114" s="967" t="str">
        <f t="shared" si="6"/>
        <v>Solution Consultant</v>
      </c>
      <c r="I114" t="str">
        <f t="shared" si="7"/>
        <v>UKSolution Consultant</v>
      </c>
      <c r="J114" t="str">
        <f t="shared" si="8"/>
        <v>UKUKSolution Consultant</v>
      </c>
      <c r="K114" cm="1">
        <f t="array" ref="K114">_xlfn.IFS(A114="Canada",4,A114="India",5,A114="UK",6,A114="USA",7,A114="EU",8)</f>
        <v>6</v>
      </c>
      <c r="L114" s="662">
        <f>VLOOKUP(H114,'StdCosts and StdRates'!$A$41:$H$86,K114,FALSE)</f>
        <v>185</v>
      </c>
      <c r="M114" s="662" cm="1">
        <f t="array" ref="M114">_xlfn.XLOOKUP(C114&amp;A114,FX!$A$2:$A$26&amp;FX!$B$2:$B$26,FX!$C$2:$C$26)</f>
        <v>1</v>
      </c>
      <c r="N114" cm="1">
        <f t="array" ref="N114">_xlfn.IFS(C114="Canada",2,C114="India",3,C114="UK",4,C114="USA",5,C114="EU",6)</f>
        <v>4</v>
      </c>
      <c r="O114" s="662">
        <f>VLOOKUP(G114,'StdCosts and StdRates'!$A$17:$E$36,N114,FALSE)*M114</f>
        <v>91</v>
      </c>
      <c r="P114"/>
      <c r="R114" s="967"/>
    </row>
    <row r="115" spans="1:18">
      <c r="A115" s="773" t="s">
        <v>247</v>
      </c>
      <c r="B115" s="773"/>
      <c r="C115" s="773" t="s">
        <v>736</v>
      </c>
      <c r="D115" s="773"/>
      <c r="E115" s="773"/>
      <c r="F115" s="773"/>
      <c r="G115" s="967" t="s">
        <v>389</v>
      </c>
      <c r="H115" s="967" t="str">
        <f t="shared" si="6"/>
        <v>Solution Consultant</v>
      </c>
      <c r="I115" t="str">
        <f t="shared" si="7"/>
        <v>UKSolution Consultant</v>
      </c>
      <c r="J115" t="str">
        <f t="shared" si="8"/>
        <v>UKEUSolution Consultant</v>
      </c>
      <c r="K115" cm="1">
        <f t="array" ref="K115">_xlfn.IFS(A115="Canada",4,A115="India",5,A115="UK",6,A115="USA",7,A115="EU",8)</f>
        <v>6</v>
      </c>
      <c r="L115" s="662">
        <f>VLOOKUP(H115,'StdCosts and StdRates'!$A$41:$H$86,K115,FALSE)</f>
        <v>185</v>
      </c>
      <c r="M115" s="662" cm="1">
        <f t="array" ref="M115">_xlfn.XLOOKUP(C115&amp;A115,FX!$A$2:$A$26&amp;FX!$B$2:$B$26,FX!$C$2:$C$26)</f>
        <v>0.85092999999999996</v>
      </c>
      <c r="N115" cm="1">
        <f t="array" ref="N115">_xlfn.IFS(C115="Canada",2,C115="India",3,C115="UK",4,C115="USA",5,C115="EU",6)</f>
        <v>6</v>
      </c>
      <c r="O115" s="662" t="e">
        <f>VLOOKUP(G115,'StdCosts and StdRates'!$A$17:$E$36,N115,FALSE)*M115</f>
        <v>#REF!</v>
      </c>
      <c r="P115"/>
      <c r="R115" s="967"/>
    </row>
    <row r="116" spans="1:18">
      <c r="A116" s="773" t="s">
        <v>247</v>
      </c>
      <c r="B116" s="773" t="s">
        <v>227</v>
      </c>
      <c r="C116" s="773" t="s">
        <v>227</v>
      </c>
      <c r="D116" s="773"/>
      <c r="E116" s="773"/>
      <c r="F116" s="773"/>
      <c r="G116" s="967" t="s">
        <v>389</v>
      </c>
      <c r="H116" s="967" t="str">
        <f t="shared" si="6"/>
        <v>IndiaSolution Consultant</v>
      </c>
      <c r="I116" t="str">
        <f t="shared" si="7"/>
        <v>UKIndiaSolution Consultant</v>
      </c>
      <c r="J116" t="str">
        <f t="shared" si="8"/>
        <v>UKIndiaSolution Consultant</v>
      </c>
      <c r="K116" cm="1">
        <f t="array" ref="K116">_xlfn.IFS(A116="Canada",4,A116="India",5,A116="UK",6,A116="USA",7,A116="EU",8)</f>
        <v>6</v>
      </c>
      <c r="L116" s="662">
        <f>VLOOKUP(H116,'StdCosts and StdRates'!$A$41:$H$86,K116,FALSE)</f>
        <v>79</v>
      </c>
      <c r="M116" s="662" cm="1">
        <f t="array" ref="M116">_xlfn.XLOOKUP(C116&amp;A116,FX!$A$2:$A$26&amp;FX!$B$2:$B$26,FX!$C$2:$C$26)</f>
        <v>9.41E-3</v>
      </c>
      <c r="N116" cm="1">
        <f t="array" ref="N116">_xlfn.IFS(C116="Canada",2,C116="India",3,C116="UK",4,C116="USA",5,C116="EU",6)</f>
        <v>3</v>
      </c>
      <c r="O116" s="662">
        <f>VLOOKUP(G116,'StdCosts and StdRates'!$A$17:$E$36,N116,FALSE)*M116</f>
        <v>21.699459999999998</v>
      </c>
      <c r="P116"/>
      <c r="R116" s="967"/>
    </row>
    <row r="117" spans="1:18">
      <c r="A117" s="773" t="s">
        <v>227</v>
      </c>
      <c r="B117" s="773"/>
      <c r="C117" s="773" t="s">
        <v>308</v>
      </c>
      <c r="D117" s="773"/>
      <c r="E117" s="773"/>
      <c r="F117" s="773"/>
      <c r="G117" s="967" t="s">
        <v>389</v>
      </c>
      <c r="H117" s="967" t="str">
        <f t="shared" si="6"/>
        <v>Solution Consultant</v>
      </c>
      <c r="I117" t="str">
        <f t="shared" si="7"/>
        <v>IndiaSolution Consultant</v>
      </c>
      <c r="J117" t="str">
        <f t="shared" si="8"/>
        <v>IndiaUSASolution Consultant</v>
      </c>
      <c r="K117" cm="1">
        <f t="array" ref="K117">_xlfn.IFS(A117="Canada",4,A117="India",5,A117="UK",6,A117="USA",7,A117="EU",8)</f>
        <v>5</v>
      </c>
      <c r="L117" s="662">
        <f>VLOOKUP(H117,'StdCosts and StdRates'!$A$41:$H$86,K117,FALSE)</f>
        <v>8300</v>
      </c>
      <c r="M117" s="662" cm="1">
        <f t="array" ref="M117">_xlfn.XLOOKUP(C117&amp;A117,FX!$A$2:$A$26&amp;FX!$B$2:$B$26,FX!$C$2:$C$26)</f>
        <v>83.1721</v>
      </c>
      <c r="N117" cm="1">
        <f t="array" ref="N117">_xlfn.IFS(C117="Canada",2,C117="India",3,C117="UK",4,C117="USA",5,C117="EU",6)</f>
        <v>5</v>
      </c>
      <c r="O117" s="662">
        <f>VLOOKUP(G117,'StdCosts and StdRates'!$A$17:$E$36,N117,FALSE)*M117</f>
        <v>12891.675499999999</v>
      </c>
      <c r="P117"/>
      <c r="R117" s="967"/>
    </row>
    <row r="118" spans="1:18">
      <c r="A118" s="773" t="s">
        <v>227</v>
      </c>
      <c r="B118" s="773"/>
      <c r="C118" s="773" t="s">
        <v>405</v>
      </c>
      <c r="D118" s="773"/>
      <c r="E118" s="773"/>
      <c r="F118" s="773"/>
      <c r="G118" s="967" t="s">
        <v>389</v>
      </c>
      <c r="H118" s="967" t="str">
        <f t="shared" si="6"/>
        <v>Solution Consultant</v>
      </c>
      <c r="I118" t="str">
        <f t="shared" si="7"/>
        <v>IndiaSolution Consultant</v>
      </c>
      <c r="J118" t="str">
        <f t="shared" si="8"/>
        <v>IndiaCanadaSolution Consultant</v>
      </c>
      <c r="K118" cm="1">
        <f t="array" ref="K118">_xlfn.IFS(A118="Canada",4,A118="India",5,A118="UK",6,A118="USA",7,A118="EU",8)</f>
        <v>5</v>
      </c>
      <c r="L118" s="662">
        <f>VLOOKUP(H118,'StdCosts and StdRates'!$A$41:$H$86,K118,FALSE)</f>
        <v>8300</v>
      </c>
      <c r="M118" s="662" cm="1">
        <f t="array" ref="M118">_xlfn.XLOOKUP(C118&amp;A118,FX!$A$2:$A$26&amp;FX!$B$2:$B$26,FX!$C$2:$C$26)</f>
        <v>61.008200000000002</v>
      </c>
      <c r="N118" cm="1">
        <f t="array" ref="N118">_xlfn.IFS(C118="Canada",2,C118="India",3,C118="UK",4,C118="USA",5,C118="EU",6)</f>
        <v>2</v>
      </c>
      <c r="O118" s="662">
        <f>VLOOKUP(G118,'StdCosts and StdRates'!$A$17:$E$36,N118,FALSE)*M118</f>
        <v>10981.476000000001</v>
      </c>
      <c r="P118"/>
      <c r="R118" s="967"/>
    </row>
    <row r="119" spans="1:18">
      <c r="A119" s="773" t="s">
        <v>227</v>
      </c>
      <c r="B119" s="773"/>
      <c r="C119" s="773" t="s">
        <v>247</v>
      </c>
      <c r="D119" s="773"/>
      <c r="E119" s="773"/>
      <c r="F119" s="773"/>
      <c r="G119" s="967" t="s">
        <v>389</v>
      </c>
      <c r="H119" s="967" t="str">
        <f t="shared" si="6"/>
        <v>Solution Consultant</v>
      </c>
      <c r="I119" t="str">
        <f t="shared" si="7"/>
        <v>IndiaSolution Consultant</v>
      </c>
      <c r="J119" t="str">
        <f t="shared" si="8"/>
        <v>IndiaUKSolution Consultant</v>
      </c>
      <c r="K119" cm="1">
        <f t="array" ref="K119">_xlfn.IFS(A119="Canada",4,A119="India",5,A119="UK",6,A119="USA",7,A119="EU",8)</f>
        <v>5</v>
      </c>
      <c r="L119" s="662">
        <f>VLOOKUP(H119,'StdCosts and StdRates'!$A$41:$H$86,K119,FALSE)</f>
        <v>8300</v>
      </c>
      <c r="M119" s="662" cm="1">
        <f t="array" ref="M119">_xlfn.XLOOKUP(C119&amp;A119,FX!$A$2:$A$26&amp;FX!$B$2:$B$26,FX!$C$2:$C$26)</f>
        <v>106.23399999999999</v>
      </c>
      <c r="N119" cm="1">
        <f t="array" ref="N119">_xlfn.IFS(C119="Canada",2,C119="India",3,C119="UK",4,C119="USA",5,C119="EU",6)</f>
        <v>4</v>
      </c>
      <c r="O119" s="662">
        <f>VLOOKUP(G119,'StdCosts and StdRates'!$A$17:$E$36,N119,FALSE)*M119</f>
        <v>9667.2939999999999</v>
      </c>
      <c r="P119"/>
      <c r="R119" s="967"/>
    </row>
    <row r="120" spans="1:18">
      <c r="A120" s="773" t="s">
        <v>227</v>
      </c>
      <c r="B120" s="773"/>
      <c r="C120" s="773" t="s">
        <v>736</v>
      </c>
      <c r="D120" s="773"/>
      <c r="E120" s="773"/>
      <c r="F120" s="773"/>
      <c r="G120" s="967" t="s">
        <v>389</v>
      </c>
      <c r="H120" s="967" t="str">
        <f t="shared" si="6"/>
        <v>Solution Consultant</v>
      </c>
      <c r="I120" t="str">
        <f t="shared" si="7"/>
        <v>IndiaSolution Consultant</v>
      </c>
      <c r="J120" t="str">
        <f t="shared" si="8"/>
        <v>IndiaEUSolution Consultant</v>
      </c>
      <c r="K120" cm="1">
        <f t="array" ref="K120">_xlfn.IFS(A120="Canada",4,A120="India",5,A120="UK",6,A120="USA",7,A120="EU",8)</f>
        <v>5</v>
      </c>
      <c r="L120" s="662">
        <f>VLOOKUP(H120,'StdCosts and StdRates'!$A$41:$H$86,K120,FALSE)</f>
        <v>8300</v>
      </c>
      <c r="M120" s="662" cm="1">
        <f t="array" ref="M120">_xlfn.XLOOKUP(C120&amp;A120,FX!$A$2:$A$26&amp;FX!$B$2:$B$26,FX!$C$2:$C$26)</f>
        <v>90.405100000000004</v>
      </c>
      <c r="N120" cm="1">
        <f t="array" ref="N120">_xlfn.IFS(C120="Canada",2,C120="India",3,C120="UK",4,C120="USA",5,C120="EU",6)</f>
        <v>6</v>
      </c>
      <c r="O120" s="662" t="e">
        <f>VLOOKUP(G120,'StdCosts and StdRates'!$A$17:$E$36,N120,FALSE)*M120</f>
        <v>#REF!</v>
      </c>
      <c r="P120"/>
      <c r="R120" s="967"/>
    </row>
    <row r="121" spans="1:18">
      <c r="A121" s="773" t="s">
        <v>227</v>
      </c>
      <c r="B121" s="773" t="s">
        <v>227</v>
      </c>
      <c r="C121" s="773" t="s">
        <v>227</v>
      </c>
      <c r="D121" s="773"/>
      <c r="E121" s="773"/>
      <c r="F121" s="773"/>
      <c r="G121" s="967" t="s">
        <v>389</v>
      </c>
      <c r="H121" s="967" t="str">
        <f t="shared" si="6"/>
        <v>IndiaSolution Consultant</v>
      </c>
      <c r="I121" t="str">
        <f t="shared" si="7"/>
        <v>IndiaIndiaSolution Consultant</v>
      </c>
      <c r="J121" t="str">
        <f t="shared" si="8"/>
        <v>IndiaIndiaSolution Consultant</v>
      </c>
      <c r="K121" cm="1">
        <f t="array" ref="K121">_xlfn.IFS(A121="Canada",4,A121="India",5,A121="UK",6,A121="USA",7,A121="EU",8)</f>
        <v>5</v>
      </c>
      <c r="L121" s="662">
        <f>VLOOKUP(H121,'StdCosts and StdRates'!$A$41:$H$86,K121,FALSE)</f>
        <v>8300</v>
      </c>
      <c r="M121" s="662" cm="1">
        <f t="array" ref="M121">_xlfn.XLOOKUP(C121&amp;A121,FX!$A$2:$A$26&amp;FX!$B$2:$B$26,FX!$C$2:$C$26)</f>
        <v>1</v>
      </c>
      <c r="N121" cm="1">
        <f t="array" ref="N121">_xlfn.IFS(C121="Canada",2,C121="India",3,C121="UK",4,C121="USA",5,C121="EU",6)</f>
        <v>3</v>
      </c>
      <c r="O121" s="662">
        <f>VLOOKUP(G121,'StdCosts and StdRates'!$A$17:$E$36,N121,FALSE)*M121</f>
        <v>2306</v>
      </c>
      <c r="P121"/>
      <c r="R121" s="967"/>
    </row>
    <row r="122" spans="1:18">
      <c r="A122" s="773" t="s">
        <v>736</v>
      </c>
      <c r="B122" s="773"/>
      <c r="C122" s="773" t="s">
        <v>308</v>
      </c>
      <c r="D122" s="773"/>
      <c r="E122" s="773"/>
      <c r="F122" s="773"/>
      <c r="G122" s="967" t="s">
        <v>389</v>
      </c>
      <c r="H122" s="967" t="str">
        <f t="shared" si="6"/>
        <v>Solution Consultant</v>
      </c>
      <c r="I122" t="str">
        <f t="shared" si="7"/>
        <v>EUSolution Consultant</v>
      </c>
      <c r="J122" t="str">
        <f t="shared" si="8"/>
        <v>EUUSASolution Consultant</v>
      </c>
      <c r="K122" cm="1">
        <f t="array" ref="K122">_xlfn.IFS(A122="Canada",4,A122="India",5,A122="UK",6,A122="USA",7,A122="EU",8)</f>
        <v>8</v>
      </c>
      <c r="L122" s="662">
        <f>VLOOKUP(H122,'StdCosts and StdRates'!$A$41:$H$86,K122,FALSE)</f>
        <v>215</v>
      </c>
      <c r="M122" s="662" cm="1">
        <f t="array" ref="M122">_xlfn.XLOOKUP(C122&amp;A122,FX!$A$2:$A$26&amp;FX!$B$2:$B$26,FX!$C$2:$C$26)</f>
        <v>0.91986999999999997</v>
      </c>
      <c r="N122" cm="1">
        <f t="array" ref="N122">_xlfn.IFS(C122="Canada",2,C122="India",3,C122="UK",4,C122="USA",5,C122="EU",6)</f>
        <v>5</v>
      </c>
      <c r="O122" s="662">
        <f>VLOOKUP(G122,'StdCosts and StdRates'!$A$17:$E$36,N122,FALSE)*M122</f>
        <v>142.57984999999999</v>
      </c>
      <c r="P122"/>
      <c r="R122" s="967"/>
    </row>
    <row r="123" spans="1:18">
      <c r="A123" s="773" t="s">
        <v>736</v>
      </c>
      <c r="B123" s="773"/>
      <c r="C123" s="773" t="s">
        <v>405</v>
      </c>
      <c r="D123" s="773"/>
      <c r="E123" s="773"/>
      <c r="F123" s="773"/>
      <c r="G123" s="967" t="s">
        <v>389</v>
      </c>
      <c r="H123" s="967" t="str">
        <f t="shared" si="6"/>
        <v>Solution Consultant</v>
      </c>
      <c r="I123" t="str">
        <f t="shared" si="7"/>
        <v>EUSolution Consultant</v>
      </c>
      <c r="J123" t="str">
        <f t="shared" si="8"/>
        <v>EUCanadaSolution Consultant</v>
      </c>
      <c r="K123" cm="1">
        <f t="array" ref="K123">_xlfn.IFS(A123="Canada",4,A123="India",5,A123="UK",6,A123="USA",7,A123="EU",8)</f>
        <v>8</v>
      </c>
      <c r="L123" s="662">
        <f>VLOOKUP(H123,'StdCosts and StdRates'!$A$41:$H$86,K123,FALSE)</f>
        <v>215</v>
      </c>
      <c r="M123" s="662" cm="1">
        <f t="array" ref="M123">_xlfn.XLOOKUP(C123&amp;A123,FX!$A$2:$A$26&amp;FX!$B$2:$B$26,FX!$C$2:$C$26)</f>
        <v>0.67474000000000001</v>
      </c>
      <c r="N123" cm="1">
        <f t="array" ref="N123">_xlfn.IFS(C123="Canada",2,C123="India",3,C123="UK",4,C123="USA",5,C123="EU",6)</f>
        <v>2</v>
      </c>
      <c r="O123" s="662">
        <f>VLOOKUP(G123,'StdCosts and StdRates'!$A$17:$E$36,N123,FALSE)*M123</f>
        <v>121.4532</v>
      </c>
      <c r="P123"/>
      <c r="R123" s="967"/>
    </row>
    <row r="124" spans="1:18">
      <c r="A124" s="773" t="s">
        <v>736</v>
      </c>
      <c r="B124" s="773"/>
      <c r="C124" s="773" t="s">
        <v>247</v>
      </c>
      <c r="D124" s="773"/>
      <c r="E124" s="773"/>
      <c r="F124" s="773"/>
      <c r="G124" s="967" t="s">
        <v>389</v>
      </c>
      <c r="H124" s="967" t="str">
        <f t="shared" si="6"/>
        <v>Solution Consultant</v>
      </c>
      <c r="I124" t="str">
        <f t="shared" si="7"/>
        <v>EUSolution Consultant</v>
      </c>
      <c r="J124" t="str">
        <f t="shared" si="8"/>
        <v>EUUKSolution Consultant</v>
      </c>
      <c r="K124" cm="1">
        <f t="array" ref="K124">_xlfn.IFS(A124="Canada",4,A124="India",5,A124="UK",6,A124="USA",7,A124="EU",8)</f>
        <v>8</v>
      </c>
      <c r="L124" s="662">
        <f>VLOOKUP(H124,'StdCosts and StdRates'!$A$41:$H$86,K124,FALSE)</f>
        <v>215</v>
      </c>
      <c r="M124" s="662" cm="1">
        <f t="array" ref="M124">_xlfn.XLOOKUP(C124&amp;A124,FX!$A$2:$A$26&amp;FX!$B$2:$B$26,FX!$C$2:$C$26)</f>
        <v>1.1749799999999999</v>
      </c>
      <c r="N124" cm="1">
        <f t="array" ref="N124">_xlfn.IFS(C124="Canada",2,C124="India",3,C124="UK",4,C124="USA",5,C124="EU",6)</f>
        <v>4</v>
      </c>
      <c r="O124" s="662">
        <f>VLOOKUP(G124,'StdCosts and StdRates'!$A$17:$E$36,N124,FALSE)*M124</f>
        <v>106.92317999999999</v>
      </c>
      <c r="P124"/>
      <c r="R124" s="967"/>
    </row>
    <row r="125" spans="1:18">
      <c r="A125" s="773" t="s">
        <v>736</v>
      </c>
      <c r="B125" s="773"/>
      <c r="C125" s="773" t="s">
        <v>736</v>
      </c>
      <c r="D125" s="773"/>
      <c r="E125" s="773"/>
      <c r="F125" s="773"/>
      <c r="G125" s="967" t="s">
        <v>389</v>
      </c>
      <c r="H125" s="967" t="str">
        <f t="shared" si="6"/>
        <v>Solution Consultant</v>
      </c>
      <c r="I125" t="str">
        <f t="shared" si="7"/>
        <v>EUSolution Consultant</v>
      </c>
      <c r="J125" t="str">
        <f t="shared" si="8"/>
        <v>EUEUSolution Consultant</v>
      </c>
      <c r="K125" cm="1">
        <f t="array" ref="K125">_xlfn.IFS(A125="Canada",4,A125="India",5,A125="UK",6,A125="USA",7,A125="EU",8)</f>
        <v>8</v>
      </c>
      <c r="L125" s="662">
        <f>VLOOKUP(H125,'StdCosts and StdRates'!$A$41:$H$86,K125,FALSE)</f>
        <v>215</v>
      </c>
      <c r="M125" s="662" cm="1">
        <f t="array" ref="M125">_xlfn.XLOOKUP(C125&amp;A125,FX!$A$2:$A$26&amp;FX!$B$2:$B$26,FX!$C$2:$C$26)</f>
        <v>1</v>
      </c>
      <c r="N125" cm="1">
        <f t="array" ref="N125">_xlfn.IFS(C125="Canada",2,C125="India",3,C125="UK",4,C125="USA",5,C125="EU",6)</f>
        <v>6</v>
      </c>
      <c r="O125" s="662" t="e">
        <f>VLOOKUP(G125,'StdCosts and StdRates'!$A$17:$E$36,N125,FALSE)*M125</f>
        <v>#REF!</v>
      </c>
      <c r="P125"/>
      <c r="R125" s="967"/>
    </row>
    <row r="126" spans="1:18">
      <c r="A126" s="773" t="s">
        <v>736</v>
      </c>
      <c r="B126" s="773" t="s">
        <v>227</v>
      </c>
      <c r="C126" s="773" t="s">
        <v>227</v>
      </c>
      <c r="D126" s="773"/>
      <c r="E126" s="773"/>
      <c r="F126" s="773"/>
      <c r="G126" s="967" t="s">
        <v>389</v>
      </c>
      <c r="H126" s="967" t="str">
        <f t="shared" si="6"/>
        <v>IndiaSolution Consultant</v>
      </c>
      <c r="I126" t="str">
        <f t="shared" si="7"/>
        <v>EUIndiaSolution Consultant</v>
      </c>
      <c r="J126" t="str">
        <f t="shared" si="8"/>
        <v>EUIndiaSolution Consultant</v>
      </c>
      <c r="K126" cm="1">
        <f t="array" ref="K126">_xlfn.IFS(A126="Canada",4,A126="India",5,A126="UK",6,A126="USA",7,A126="EU",8)</f>
        <v>8</v>
      </c>
      <c r="L126" s="662">
        <f>VLOOKUP(H126,'StdCosts and StdRates'!$A$41:$H$86,K126,FALSE)</f>
        <v>95</v>
      </c>
      <c r="M126" s="662" cm="1">
        <f t="array" ref="M126">_xlfn.XLOOKUP(C126&amp;A126,FX!$A$2:$A$26&amp;FX!$B$2:$B$26,FX!$C$2:$C$26)</f>
        <v>1.106E-2</v>
      </c>
      <c r="N126" cm="1">
        <f t="array" ref="N126">_xlfn.IFS(C126="Canada",2,C126="India",3,C126="UK",4,C126="USA",5,C126="EU",6)</f>
        <v>3</v>
      </c>
      <c r="O126" s="662">
        <f>VLOOKUP(G126,'StdCosts and StdRates'!$A$17:$E$36,N126,FALSE)*M126</f>
        <v>25.504360000000002</v>
      </c>
      <c r="P126"/>
      <c r="R126" s="967"/>
    </row>
    <row r="127" spans="1:18">
      <c r="A127" s="773" t="s">
        <v>308</v>
      </c>
      <c r="B127" s="773"/>
      <c r="C127" s="773" t="s">
        <v>308</v>
      </c>
      <c r="D127" s="773"/>
      <c r="E127" s="773"/>
      <c r="F127" s="773"/>
      <c r="G127" s="967" t="s">
        <v>382</v>
      </c>
      <c r="H127" s="967" t="str">
        <f t="shared" si="3"/>
        <v>Change Adoption Specialist</v>
      </c>
      <c r="I127" t="str">
        <f t="shared" si="4"/>
        <v>USAChange Adoption Specialist</v>
      </c>
      <c r="J127" t="str">
        <f t="shared" si="5"/>
        <v>USAUSAChange Adoption Specialist</v>
      </c>
      <c r="K127" cm="1">
        <f t="array" ref="K127">_xlfn.IFS(A127="Canada",4,A127="India",5,A127="UK",6,A127="USA",7,A127="EU",8)</f>
        <v>7</v>
      </c>
      <c r="L127" s="662">
        <f>VLOOKUP(H127,'StdCosts and StdRates'!$A$41:$H$86,K127,FALSE)</f>
        <v>259</v>
      </c>
      <c r="M127" s="662" cm="1">
        <f t="array" ref="M127">_xlfn.XLOOKUP(C127&amp;A127,FX!$A$2:$A$26&amp;FX!$B$2:$B$26,FX!$C$2:$C$26)</f>
        <v>1</v>
      </c>
      <c r="N127" cm="1">
        <f t="array" ref="N127">_xlfn.IFS(C127="Canada",2,C127="India",3,C127="UK",4,C127="USA",5,C127="EU",6)</f>
        <v>5</v>
      </c>
      <c r="O127" s="662">
        <f>VLOOKUP(G127,'StdCosts and StdRates'!$A$17:$E$36,N127,FALSE)*M127</f>
        <v>141</v>
      </c>
      <c r="P127"/>
      <c r="R127" s="967"/>
    </row>
    <row r="128" spans="1:18">
      <c r="A128" s="773" t="s">
        <v>308</v>
      </c>
      <c r="B128" s="773"/>
      <c r="C128" s="773" t="s">
        <v>405</v>
      </c>
      <c r="D128" s="773"/>
      <c r="E128" s="773"/>
      <c r="F128" s="773"/>
      <c r="G128" s="967" t="s">
        <v>382</v>
      </c>
      <c r="H128" s="967" t="str">
        <f t="shared" si="3"/>
        <v>Change Adoption Specialist</v>
      </c>
      <c r="I128" t="str">
        <f t="shared" si="4"/>
        <v>USAChange Adoption Specialist</v>
      </c>
      <c r="J128" t="str">
        <f t="shared" si="5"/>
        <v>USACanadaChange Adoption Specialist</v>
      </c>
      <c r="K128" cm="1">
        <f t="array" ref="K128">_xlfn.IFS(A128="Canada",4,A128="India",5,A128="UK",6,A128="USA",7,A128="EU",8)</f>
        <v>7</v>
      </c>
      <c r="L128" s="662">
        <f>VLOOKUP(H128,'StdCosts and StdRates'!$A$41:$H$86,K128,FALSE)</f>
        <v>259</v>
      </c>
      <c r="M128" s="662" cm="1">
        <f t="array" ref="M128">_xlfn.XLOOKUP(C128&amp;A128,FX!$A$2:$A$26&amp;FX!$B$2:$B$26,FX!$C$2:$C$26)</f>
        <v>0.73351999999999995</v>
      </c>
      <c r="N128" cm="1">
        <f t="array" ref="N128">_xlfn.IFS(C128="Canada",2,C128="India",3,C128="UK",4,C128="USA",5,C128="EU",6)</f>
        <v>2</v>
      </c>
      <c r="O128" s="662">
        <f>VLOOKUP(G128,'StdCosts and StdRates'!$A$17:$E$36,N128,FALSE)*M128</f>
        <v>90.956479999999999</v>
      </c>
      <c r="P128"/>
      <c r="R128" s="967"/>
    </row>
    <row r="129" spans="1:18">
      <c r="A129" s="773" t="s">
        <v>308</v>
      </c>
      <c r="B129" s="773"/>
      <c r="C129" s="773" t="s">
        <v>247</v>
      </c>
      <c r="D129" s="773"/>
      <c r="E129" s="773"/>
      <c r="F129" s="773"/>
      <c r="G129" s="967" t="s">
        <v>382</v>
      </c>
      <c r="H129" s="967" t="str">
        <f t="shared" si="3"/>
        <v>Change Adoption Specialist</v>
      </c>
      <c r="I129" t="str">
        <f t="shared" si="4"/>
        <v>USAChange Adoption Specialist</v>
      </c>
      <c r="J129" t="str">
        <f t="shared" si="5"/>
        <v>USAUKChange Adoption Specialist</v>
      </c>
      <c r="K129" cm="1">
        <f t="array" ref="K129">_xlfn.IFS(A129="Canada",4,A129="India",5,A129="UK",6,A129="USA",7,A129="EU",8)</f>
        <v>7</v>
      </c>
      <c r="L129" s="662">
        <f>VLOOKUP(H129,'StdCosts and StdRates'!$A$41:$H$86,K129,FALSE)</f>
        <v>259</v>
      </c>
      <c r="M129" s="662" cm="1">
        <f t="array" ref="M129">_xlfn.XLOOKUP(C129&amp;A129,FX!$A$2:$A$26&amp;FX!$B$2:$B$26,FX!$C$2:$C$26)</f>
        <v>1.2772699999999999</v>
      </c>
      <c r="N129" cm="1">
        <f t="array" ref="N129">_xlfn.IFS(C129="Canada",2,C129="India",3,C129="UK",4,C129="USA",5,C129="EU",6)</f>
        <v>4</v>
      </c>
      <c r="O129" s="662">
        <f>VLOOKUP(G129,'StdCosts and StdRates'!$A$17:$E$36,N129,FALSE)*M129</f>
        <v>103.45886999999999</v>
      </c>
      <c r="P129"/>
      <c r="R129" s="967"/>
    </row>
    <row r="130" spans="1:18">
      <c r="A130" s="773" t="s">
        <v>308</v>
      </c>
      <c r="B130" s="773"/>
      <c r="C130" s="773" t="s">
        <v>736</v>
      </c>
      <c r="D130" s="773"/>
      <c r="E130" s="773"/>
      <c r="F130" s="773"/>
      <c r="G130" s="967" t="s">
        <v>382</v>
      </c>
      <c r="H130" s="967" t="str">
        <f t="shared" si="3"/>
        <v>Change Adoption Specialist</v>
      </c>
      <c r="I130" t="str">
        <f t="shared" si="4"/>
        <v>USAChange Adoption Specialist</v>
      </c>
      <c r="J130" t="str">
        <f t="shared" si="5"/>
        <v>USAEUChange Adoption Specialist</v>
      </c>
      <c r="K130" cm="1">
        <f t="array" ref="K130">_xlfn.IFS(A130="Canada",4,A130="India",5,A130="UK",6,A130="USA",7,A130="EU",8)</f>
        <v>7</v>
      </c>
      <c r="L130" s="662">
        <f>VLOOKUP(H130,'StdCosts and StdRates'!$A$41:$H$86,K130,FALSE)</f>
        <v>259</v>
      </c>
      <c r="M130" s="662" cm="1">
        <f t="array" ref="M130">_xlfn.XLOOKUP(C130&amp;A130,FX!$A$2:$A$26&amp;FX!$B$2:$B$26,FX!$C$2:$C$26)</f>
        <v>1.0869599999999999</v>
      </c>
      <c r="N130" cm="1">
        <f t="array" ref="N130">_xlfn.IFS(C130="Canada",2,C130="India",3,C130="UK",4,C130="USA",5,C130="EU",6)</f>
        <v>6</v>
      </c>
      <c r="O130" s="662" t="e">
        <f>VLOOKUP(G130,'StdCosts and StdRates'!$A$17:$E$36,N130,FALSE)*M130</f>
        <v>#REF!</v>
      </c>
      <c r="P130"/>
      <c r="R130" s="967"/>
    </row>
    <row r="131" spans="1:18">
      <c r="A131" s="773" t="s">
        <v>308</v>
      </c>
      <c r="B131" s="773" t="s">
        <v>227</v>
      </c>
      <c r="C131" s="773" t="s">
        <v>227</v>
      </c>
      <c r="D131" s="773"/>
      <c r="E131" s="773"/>
      <c r="F131" s="773"/>
      <c r="G131" s="967" t="s">
        <v>382</v>
      </c>
      <c r="H131" s="967" t="str">
        <f t="shared" si="3"/>
        <v>IndiaChange Adoption Specialist</v>
      </c>
      <c r="I131" t="str">
        <f t="shared" si="4"/>
        <v>USAIndiaChange Adoption Specialist</v>
      </c>
      <c r="J131" t="str">
        <f t="shared" si="5"/>
        <v>USAIndiaChange Adoption Specialist</v>
      </c>
      <c r="K131" cm="1">
        <f t="array" ref="K131">_xlfn.IFS(A131="Canada",4,A131="India",5,A131="UK",6,A131="USA",7,A131="EU",8)</f>
        <v>7</v>
      </c>
      <c r="L131" s="662">
        <f>VLOOKUP(H131,'StdCosts and StdRates'!$A$41:$H$86,K131,FALSE)</f>
        <v>99</v>
      </c>
      <c r="M131" s="662" cm="1">
        <f t="array" ref="M131">_xlfn.XLOOKUP(C131&amp;A131,FX!$A$2:$A$26&amp;FX!$B$2:$B$26,FX!$C$2:$C$26)</f>
        <v>1.2019999999999999E-2</v>
      </c>
      <c r="N131" cm="1">
        <f t="array" ref="N131">_xlfn.IFS(C131="Canada",2,C131="India",3,C131="UK",4,C131="USA",5,C131="EU",6)</f>
        <v>3</v>
      </c>
      <c r="O131" s="662">
        <f>VLOOKUP(G131,'StdCosts and StdRates'!$A$17:$E$36,N131,FALSE)*M131</f>
        <v>23.463039999999999</v>
      </c>
      <c r="P131"/>
      <c r="R131" s="967"/>
    </row>
    <row r="132" spans="1:18">
      <c r="A132" s="773" t="s">
        <v>405</v>
      </c>
      <c r="B132" s="773"/>
      <c r="C132" s="773" t="s">
        <v>308</v>
      </c>
      <c r="D132" s="773"/>
      <c r="E132" s="773"/>
      <c r="F132" s="773"/>
      <c r="G132" s="967" t="s">
        <v>382</v>
      </c>
      <c r="H132" s="967" t="str">
        <f t="shared" si="3"/>
        <v>Change Adoption Specialist</v>
      </c>
      <c r="I132" t="str">
        <f t="shared" si="4"/>
        <v>CanadaChange Adoption Specialist</v>
      </c>
      <c r="J132" t="str">
        <f t="shared" si="5"/>
        <v>CanadaUSAChange Adoption Specialist</v>
      </c>
      <c r="K132" cm="1">
        <f t="array" ref="K132">_xlfn.IFS(A132="Canada",4,A132="India",5,A132="UK",6,A132="USA",7,A132="EU",8)</f>
        <v>4</v>
      </c>
      <c r="L132" s="662">
        <f>VLOOKUP(H132,'StdCosts and StdRates'!$A$41:$H$86,K132,FALSE)</f>
        <v>269</v>
      </c>
      <c r="M132" s="662" cm="1">
        <f t="array" ref="M132">_xlfn.XLOOKUP(C132&amp;A132,FX!$A$2:$A$26&amp;FX!$B$2:$B$26,FX!$C$2:$C$26)</f>
        <v>1.36311</v>
      </c>
      <c r="N132" cm="1">
        <f t="array" ref="N132">_xlfn.IFS(C132="Canada",2,C132="India",3,C132="UK",4,C132="USA",5,C132="EU",6)</f>
        <v>5</v>
      </c>
      <c r="O132" s="662">
        <f>VLOOKUP(G132,'StdCosts and StdRates'!$A$17:$E$36,N132,FALSE)*M132</f>
        <v>192.19851</v>
      </c>
      <c r="P132"/>
      <c r="R132" s="967"/>
    </row>
    <row r="133" spans="1:18">
      <c r="A133" s="773" t="s">
        <v>405</v>
      </c>
      <c r="B133" s="773"/>
      <c r="C133" s="773" t="s">
        <v>405</v>
      </c>
      <c r="D133" s="773"/>
      <c r="E133" s="773"/>
      <c r="F133" s="773"/>
      <c r="G133" s="967" t="s">
        <v>382</v>
      </c>
      <c r="H133" s="967" t="str">
        <f t="shared" si="3"/>
        <v>Change Adoption Specialist</v>
      </c>
      <c r="I133" t="str">
        <f t="shared" si="4"/>
        <v>CanadaChange Adoption Specialist</v>
      </c>
      <c r="J133" t="str">
        <f t="shared" si="5"/>
        <v>CanadaCanadaChange Adoption Specialist</v>
      </c>
      <c r="K133" cm="1">
        <f t="array" ref="K133">_xlfn.IFS(A133="Canada",4,A133="India",5,A133="UK",6,A133="USA",7,A133="EU",8)</f>
        <v>4</v>
      </c>
      <c r="L133" s="662">
        <f>VLOOKUP(H133,'StdCosts and StdRates'!$A$41:$H$86,K133,FALSE)</f>
        <v>269</v>
      </c>
      <c r="M133" s="662" cm="1">
        <f t="array" ref="M133">_xlfn.XLOOKUP(C133&amp;A133,FX!$A$2:$A$26&amp;FX!$B$2:$B$26,FX!$C$2:$C$26)</f>
        <v>1</v>
      </c>
      <c r="N133" cm="1">
        <f t="array" ref="N133">_xlfn.IFS(C133="Canada",2,C133="India",3,C133="UK",4,C133="USA",5,C133="EU",6)</f>
        <v>2</v>
      </c>
      <c r="O133" s="662">
        <f>VLOOKUP(G133,'StdCosts and StdRates'!$A$17:$E$36,N133,FALSE)*M133</f>
        <v>124</v>
      </c>
      <c r="P133"/>
      <c r="R133" s="967"/>
    </row>
    <row r="134" spans="1:18">
      <c r="A134" s="773" t="s">
        <v>405</v>
      </c>
      <c r="B134" s="773"/>
      <c r="C134" s="773" t="s">
        <v>247</v>
      </c>
      <c r="D134" s="773"/>
      <c r="E134" s="773"/>
      <c r="F134" s="773"/>
      <c r="G134" s="967" t="s">
        <v>382</v>
      </c>
      <c r="H134" s="967" t="str">
        <f t="shared" si="3"/>
        <v>Change Adoption Specialist</v>
      </c>
      <c r="I134" t="str">
        <f t="shared" si="4"/>
        <v>CanadaChange Adoption Specialist</v>
      </c>
      <c r="J134" t="str">
        <f t="shared" si="5"/>
        <v>CanadaUKChange Adoption Specialist</v>
      </c>
      <c r="K134" cm="1">
        <f t="array" ref="K134">_xlfn.IFS(A134="Canada",4,A134="India",5,A134="UK",6,A134="USA",7,A134="EU",8)</f>
        <v>4</v>
      </c>
      <c r="L134" s="662">
        <f>VLOOKUP(H134,'StdCosts and StdRates'!$A$41:$H$86,K134,FALSE)</f>
        <v>269</v>
      </c>
      <c r="M134" s="662" cm="1">
        <f t="array" ref="M134">_xlfn.XLOOKUP(C134&amp;A134,FX!$A$2:$A$26&amp;FX!$B$2:$B$26,FX!$C$2:$C$26)</f>
        <v>1.7410699999999999</v>
      </c>
      <c r="N134" cm="1">
        <f t="array" ref="N134">_xlfn.IFS(C134="Canada",2,C134="India",3,C134="UK",4,C134="USA",5,C134="EU",6)</f>
        <v>4</v>
      </c>
      <c r="O134" s="662">
        <f>VLOOKUP(G134,'StdCosts and StdRates'!$A$17:$E$36,N134,FALSE)*M134</f>
        <v>141.02667</v>
      </c>
      <c r="P134"/>
      <c r="R134" s="967"/>
    </row>
    <row r="135" spans="1:18">
      <c r="A135" s="773" t="s">
        <v>405</v>
      </c>
      <c r="B135" s="773"/>
      <c r="C135" s="773" t="s">
        <v>736</v>
      </c>
      <c r="D135" s="773"/>
      <c r="E135" s="773"/>
      <c r="F135" s="773"/>
      <c r="G135" s="967" t="s">
        <v>382</v>
      </c>
      <c r="H135" s="967" t="str">
        <f t="shared" si="3"/>
        <v>Change Adoption Specialist</v>
      </c>
      <c r="I135" t="str">
        <f t="shared" si="4"/>
        <v>CanadaChange Adoption Specialist</v>
      </c>
      <c r="J135" t="str">
        <f t="shared" si="5"/>
        <v>CanadaEUChange Adoption Specialist</v>
      </c>
      <c r="K135" cm="1">
        <f t="array" ref="K135">_xlfn.IFS(A135="Canada",4,A135="India",5,A135="UK",6,A135="USA",7,A135="EU",8)</f>
        <v>4</v>
      </c>
      <c r="L135" s="662">
        <f>VLOOKUP(H135,'StdCosts and StdRates'!$A$41:$H$86,K135,FALSE)</f>
        <v>269</v>
      </c>
      <c r="M135" s="662" cm="1">
        <f t="array" ref="M135">_xlfn.XLOOKUP(C135&amp;A135,FX!$A$2:$A$26&amp;FX!$B$2:$B$26,FX!$C$2:$C$26)</f>
        <v>1.4816499999999999</v>
      </c>
      <c r="N135" cm="1">
        <f t="array" ref="N135">_xlfn.IFS(C135="Canada",2,C135="India",3,C135="UK",4,C135="USA",5,C135="EU",6)</f>
        <v>6</v>
      </c>
      <c r="O135" s="662" t="e">
        <f>VLOOKUP(G135,'StdCosts and StdRates'!$A$17:$E$36,N135,FALSE)*M135</f>
        <v>#REF!</v>
      </c>
      <c r="P135"/>
      <c r="R135" s="967"/>
    </row>
    <row r="136" spans="1:18">
      <c r="A136" s="773" t="s">
        <v>405</v>
      </c>
      <c r="B136" s="773" t="s">
        <v>227</v>
      </c>
      <c r="C136" s="773" t="s">
        <v>227</v>
      </c>
      <c r="D136" s="773"/>
      <c r="E136" s="773"/>
      <c r="F136" s="773"/>
      <c r="G136" s="967" t="s">
        <v>382</v>
      </c>
      <c r="H136" s="967" t="str">
        <f t="shared" si="3"/>
        <v>IndiaChange Adoption Specialist</v>
      </c>
      <c r="I136" t="str">
        <f t="shared" si="4"/>
        <v>CanadaIndiaChange Adoption Specialist</v>
      </c>
      <c r="J136" t="str">
        <f t="shared" si="5"/>
        <v>CanadaIndiaChange Adoption Specialist</v>
      </c>
      <c r="K136" cm="1">
        <f t="array" ref="K136">_xlfn.IFS(A136="Canada",4,A136="India",5,A136="UK",6,A136="USA",7,A136="EU",8)</f>
        <v>4</v>
      </c>
      <c r="L136" s="662">
        <f>VLOOKUP(H136,'StdCosts and StdRates'!$A$41:$H$86,K136,FALSE)</f>
        <v>125</v>
      </c>
      <c r="M136" s="662" cm="1">
        <f t="array" ref="M136">_xlfn.XLOOKUP(C136&amp;A136,FX!$A$2:$A$26&amp;FX!$B$2:$B$26,FX!$C$2:$C$26)</f>
        <v>1.6389999999999998E-2</v>
      </c>
      <c r="N136" cm="1">
        <f t="array" ref="N136">_xlfn.IFS(C136="Canada",2,C136="India",3,C136="UK",4,C136="USA",5,C136="EU",6)</f>
        <v>3</v>
      </c>
      <c r="O136" s="662">
        <f>VLOOKUP(G136,'StdCosts and StdRates'!$A$17:$E$36,N136,FALSE)*M136</f>
        <v>31.993279999999995</v>
      </c>
      <c r="P136"/>
      <c r="R136" s="967"/>
    </row>
    <row r="137" spans="1:18">
      <c r="A137" s="773" t="s">
        <v>247</v>
      </c>
      <c r="B137" s="773"/>
      <c r="C137" s="773" t="s">
        <v>308</v>
      </c>
      <c r="D137" s="773"/>
      <c r="E137" s="773"/>
      <c r="F137" s="773"/>
      <c r="G137" s="967" t="s">
        <v>382</v>
      </c>
      <c r="H137" s="967" t="str">
        <f t="shared" si="3"/>
        <v>Change Adoption Specialist</v>
      </c>
      <c r="I137" t="str">
        <f t="shared" si="4"/>
        <v>UKChange Adoption Specialist</v>
      </c>
      <c r="J137" t="str">
        <f t="shared" si="5"/>
        <v>UKUSAChange Adoption Specialist</v>
      </c>
      <c r="K137" cm="1">
        <f t="array" ref="K137">_xlfn.IFS(A137="Canada",4,A137="India",5,A137="UK",6,A137="USA",7,A137="EU",8)</f>
        <v>6</v>
      </c>
      <c r="L137" s="662">
        <f>VLOOKUP(H137,'StdCosts and StdRates'!$A$41:$H$86,K137,FALSE)</f>
        <v>169</v>
      </c>
      <c r="M137" s="662" cm="1">
        <f t="array" ref="M137">_xlfn.XLOOKUP(C137&amp;A137,FX!$A$2:$A$26&amp;FX!$B$2:$B$26,FX!$C$2:$C$26)</f>
        <v>0.78280000000000005</v>
      </c>
      <c r="N137" cm="1">
        <f t="array" ref="N137">_xlfn.IFS(C137="Canada",2,C137="India",3,C137="UK",4,C137="USA",5,C137="EU",6)</f>
        <v>5</v>
      </c>
      <c r="O137" s="662">
        <f>VLOOKUP(G137,'StdCosts and StdRates'!$A$17:$E$36,N137,FALSE)*M137</f>
        <v>110.37480000000001</v>
      </c>
      <c r="P137"/>
      <c r="R137" s="967"/>
    </row>
    <row r="138" spans="1:18">
      <c r="A138" s="773" t="s">
        <v>247</v>
      </c>
      <c r="B138" s="773"/>
      <c r="C138" s="773" t="s">
        <v>405</v>
      </c>
      <c r="D138" s="773"/>
      <c r="E138" s="773"/>
      <c r="F138" s="773"/>
      <c r="G138" s="967" t="s">
        <v>382</v>
      </c>
      <c r="H138" s="967" t="str">
        <f t="shared" si="3"/>
        <v>Change Adoption Specialist</v>
      </c>
      <c r="I138" t="str">
        <f t="shared" si="4"/>
        <v>UKChange Adoption Specialist</v>
      </c>
      <c r="J138" t="str">
        <f t="shared" si="5"/>
        <v>UKCanadaChange Adoption Specialist</v>
      </c>
      <c r="K138" cm="1">
        <f t="array" ref="K138">_xlfn.IFS(A138="Canada",4,A138="India",5,A138="UK",6,A138="USA",7,A138="EU",8)</f>
        <v>6</v>
      </c>
      <c r="L138" s="662">
        <f>VLOOKUP(H138,'StdCosts and StdRates'!$A$41:$H$86,K138,FALSE)</f>
        <v>169</v>
      </c>
      <c r="M138" s="662" cm="1">
        <f t="array" ref="M138">_xlfn.XLOOKUP(C138&amp;A138,FX!$A$2:$A$26&amp;FX!$B$2:$B$26,FX!$C$2:$C$26)</f>
        <v>0.57420000000000004</v>
      </c>
      <c r="N138" cm="1">
        <f t="array" ref="N138">_xlfn.IFS(C138="Canada",2,C138="India",3,C138="UK",4,C138="USA",5,C138="EU",6)</f>
        <v>2</v>
      </c>
      <c r="O138" s="662">
        <f>VLOOKUP(G138,'StdCosts and StdRates'!$A$17:$E$36,N138,FALSE)*M138</f>
        <v>71.200800000000001</v>
      </c>
      <c r="P138"/>
      <c r="R138" s="967"/>
    </row>
    <row r="139" spans="1:18">
      <c r="A139" s="773" t="s">
        <v>247</v>
      </c>
      <c r="B139" s="773"/>
      <c r="C139" s="773" t="s">
        <v>247</v>
      </c>
      <c r="D139" s="773"/>
      <c r="E139" s="773"/>
      <c r="F139" s="773"/>
      <c r="G139" s="967" t="s">
        <v>382</v>
      </c>
      <c r="H139" s="967" t="str">
        <f t="shared" si="3"/>
        <v>Change Adoption Specialist</v>
      </c>
      <c r="I139" t="str">
        <f t="shared" si="4"/>
        <v>UKChange Adoption Specialist</v>
      </c>
      <c r="J139" t="str">
        <f t="shared" si="5"/>
        <v>UKUKChange Adoption Specialist</v>
      </c>
      <c r="K139" cm="1">
        <f t="array" ref="K139">_xlfn.IFS(A139="Canada",4,A139="India",5,A139="UK",6,A139="USA",7,A139="EU",8)</f>
        <v>6</v>
      </c>
      <c r="L139" s="662">
        <f>VLOOKUP(H139,'StdCosts and StdRates'!$A$41:$H$86,K139,FALSE)</f>
        <v>169</v>
      </c>
      <c r="M139" s="662" cm="1">
        <f t="array" ref="M139">_xlfn.XLOOKUP(C139&amp;A139,FX!$A$2:$A$26&amp;FX!$B$2:$B$26,FX!$C$2:$C$26)</f>
        <v>1</v>
      </c>
      <c r="N139" cm="1">
        <f t="array" ref="N139">_xlfn.IFS(C139="Canada",2,C139="India",3,C139="UK",4,C139="USA",5,C139="EU",6)</f>
        <v>4</v>
      </c>
      <c r="O139" s="662">
        <f>VLOOKUP(G139,'StdCosts and StdRates'!$A$17:$E$36,N139,FALSE)*M139</f>
        <v>81</v>
      </c>
      <c r="P139"/>
      <c r="R139" s="967"/>
    </row>
    <row r="140" spans="1:18">
      <c r="A140" s="773" t="s">
        <v>247</v>
      </c>
      <c r="B140" s="773"/>
      <c r="C140" s="773" t="s">
        <v>736</v>
      </c>
      <c r="D140" s="773"/>
      <c r="E140" s="773"/>
      <c r="F140" s="773"/>
      <c r="G140" s="967" t="s">
        <v>382</v>
      </c>
      <c r="H140" s="967" t="str">
        <f t="shared" si="3"/>
        <v>Change Adoption Specialist</v>
      </c>
      <c r="I140" t="str">
        <f t="shared" si="4"/>
        <v>UKChange Adoption Specialist</v>
      </c>
      <c r="J140" t="str">
        <f t="shared" si="5"/>
        <v>UKEUChange Adoption Specialist</v>
      </c>
      <c r="K140" cm="1">
        <f t="array" ref="K140">_xlfn.IFS(A140="Canada",4,A140="India",5,A140="UK",6,A140="USA",7,A140="EU",8)</f>
        <v>6</v>
      </c>
      <c r="L140" s="662">
        <f>VLOOKUP(H140,'StdCosts and StdRates'!$A$41:$H$86,K140,FALSE)</f>
        <v>169</v>
      </c>
      <c r="M140" s="662" cm="1">
        <f t="array" ref="M140">_xlfn.XLOOKUP(C140&amp;A140,FX!$A$2:$A$26&amp;FX!$B$2:$B$26,FX!$C$2:$C$26)</f>
        <v>0.85092999999999996</v>
      </c>
      <c r="N140" cm="1">
        <f t="array" ref="N140">_xlfn.IFS(C140="Canada",2,C140="India",3,C140="UK",4,C140="USA",5,C140="EU",6)</f>
        <v>6</v>
      </c>
      <c r="O140" s="662" t="e">
        <f>VLOOKUP(G140,'StdCosts and StdRates'!$A$17:$E$36,N140,FALSE)*M140</f>
        <v>#REF!</v>
      </c>
      <c r="P140"/>
      <c r="R140" s="967"/>
    </row>
    <row r="141" spans="1:18">
      <c r="A141" s="773" t="s">
        <v>247</v>
      </c>
      <c r="B141" s="773" t="s">
        <v>227</v>
      </c>
      <c r="C141" s="773" t="s">
        <v>227</v>
      </c>
      <c r="D141" s="773"/>
      <c r="E141" s="773"/>
      <c r="F141" s="773"/>
      <c r="G141" s="967" t="s">
        <v>382</v>
      </c>
      <c r="H141" s="967" t="str">
        <f t="shared" si="3"/>
        <v>IndiaChange Adoption Specialist</v>
      </c>
      <c r="I141" t="str">
        <f t="shared" si="4"/>
        <v>UKIndiaChange Adoption Specialist</v>
      </c>
      <c r="J141" t="str">
        <f t="shared" si="5"/>
        <v>UKIndiaChange Adoption Specialist</v>
      </c>
      <c r="K141" cm="1">
        <f t="array" ref="K141">_xlfn.IFS(A141="Canada",4,A141="India",5,A141="UK",6,A141="USA",7,A141="EU",8)</f>
        <v>6</v>
      </c>
      <c r="L141" s="662">
        <f>VLOOKUP(H141,'StdCosts and StdRates'!$A$41:$H$86,K141,FALSE)</f>
        <v>75</v>
      </c>
      <c r="M141" s="662" cm="1">
        <f t="array" ref="M141">_xlfn.XLOOKUP(C141&amp;A141,FX!$A$2:$A$26&amp;FX!$B$2:$B$26,FX!$C$2:$C$26)</f>
        <v>9.41E-3</v>
      </c>
      <c r="N141" cm="1">
        <f t="array" ref="N141">_xlfn.IFS(C141="Canada",2,C141="India",3,C141="UK",4,C141="USA",5,C141="EU",6)</f>
        <v>3</v>
      </c>
      <c r="O141" s="662">
        <f>VLOOKUP(G141,'StdCosts and StdRates'!$A$17:$E$36,N141,FALSE)*M141</f>
        <v>18.368320000000001</v>
      </c>
      <c r="P141"/>
      <c r="R141" s="967"/>
    </row>
    <row r="142" spans="1:18">
      <c r="A142" s="773" t="s">
        <v>227</v>
      </c>
      <c r="B142" s="773"/>
      <c r="C142" s="773" t="s">
        <v>308</v>
      </c>
      <c r="D142" s="773"/>
      <c r="E142" s="773"/>
      <c r="F142" s="773"/>
      <c r="G142" s="967" t="s">
        <v>382</v>
      </c>
      <c r="H142" s="967" t="str">
        <f t="shared" si="3"/>
        <v>Change Adoption Specialist</v>
      </c>
      <c r="I142" t="str">
        <f t="shared" si="4"/>
        <v>IndiaChange Adoption Specialist</v>
      </c>
      <c r="J142" t="str">
        <f t="shared" si="5"/>
        <v>IndiaUSAChange Adoption Specialist</v>
      </c>
      <c r="K142" cm="1">
        <f t="array" ref="K142">_xlfn.IFS(A142="Canada",4,A142="India",5,A142="UK",6,A142="USA",7,A142="EU",8)</f>
        <v>5</v>
      </c>
      <c r="L142" s="662">
        <f>VLOOKUP(H142,'StdCosts and StdRates'!$A$41:$H$86,K142,FALSE)</f>
        <v>7500</v>
      </c>
      <c r="M142" s="662" cm="1">
        <f t="array" ref="M142">_xlfn.XLOOKUP(C142&amp;A142,FX!$A$2:$A$26&amp;FX!$B$2:$B$26,FX!$C$2:$C$26)</f>
        <v>83.1721</v>
      </c>
      <c r="N142" cm="1">
        <f t="array" ref="N142">_xlfn.IFS(C142="Canada",2,C142="India",3,C142="UK",4,C142="USA",5,C142="EU",6)</f>
        <v>5</v>
      </c>
      <c r="O142" s="662">
        <f>VLOOKUP(G142,'StdCosts and StdRates'!$A$17:$E$36,N142,FALSE)*M142</f>
        <v>11727.266100000001</v>
      </c>
      <c r="P142"/>
      <c r="R142" s="967"/>
    </row>
    <row r="143" spans="1:18">
      <c r="A143" s="773" t="s">
        <v>227</v>
      </c>
      <c r="B143" s="773"/>
      <c r="C143" s="773" t="s">
        <v>405</v>
      </c>
      <c r="D143" s="773"/>
      <c r="E143" s="773"/>
      <c r="F143" s="773"/>
      <c r="G143" s="967" t="s">
        <v>382</v>
      </c>
      <c r="H143" s="967" t="str">
        <f t="shared" si="3"/>
        <v>Change Adoption Specialist</v>
      </c>
      <c r="I143" t="str">
        <f t="shared" si="4"/>
        <v>IndiaChange Adoption Specialist</v>
      </c>
      <c r="J143" t="str">
        <f t="shared" si="5"/>
        <v>IndiaCanadaChange Adoption Specialist</v>
      </c>
      <c r="K143" cm="1">
        <f t="array" ref="K143">_xlfn.IFS(A143="Canada",4,A143="India",5,A143="UK",6,A143="USA",7,A143="EU",8)</f>
        <v>5</v>
      </c>
      <c r="L143" s="662">
        <f>VLOOKUP(H143,'StdCosts and StdRates'!$A$41:$H$86,K143,FALSE)</f>
        <v>7500</v>
      </c>
      <c r="M143" s="662" cm="1">
        <f t="array" ref="M143">_xlfn.XLOOKUP(C143&amp;A143,FX!$A$2:$A$26&amp;FX!$B$2:$B$26,FX!$C$2:$C$26)</f>
        <v>61.008200000000002</v>
      </c>
      <c r="N143" cm="1">
        <f t="array" ref="N143">_xlfn.IFS(C143="Canada",2,C143="India",3,C143="UK",4,C143="USA",5,C143="EU",6)</f>
        <v>2</v>
      </c>
      <c r="O143" s="662">
        <f>VLOOKUP(G143,'StdCosts and StdRates'!$A$17:$E$36,N143,FALSE)*M143</f>
        <v>7565.0168000000003</v>
      </c>
      <c r="P143"/>
      <c r="R143" s="967"/>
    </row>
    <row r="144" spans="1:18">
      <c r="A144" s="773" t="s">
        <v>227</v>
      </c>
      <c r="B144" s="773"/>
      <c r="C144" s="773" t="s">
        <v>247</v>
      </c>
      <c r="D144" s="773"/>
      <c r="E144" s="773"/>
      <c r="F144" s="773"/>
      <c r="G144" s="967" t="s">
        <v>382</v>
      </c>
      <c r="H144" s="967" t="str">
        <f t="shared" si="3"/>
        <v>Change Adoption Specialist</v>
      </c>
      <c r="I144" t="str">
        <f t="shared" si="4"/>
        <v>IndiaChange Adoption Specialist</v>
      </c>
      <c r="J144" t="str">
        <f t="shared" si="5"/>
        <v>IndiaUKChange Adoption Specialist</v>
      </c>
      <c r="K144" cm="1">
        <f t="array" ref="K144">_xlfn.IFS(A144="Canada",4,A144="India",5,A144="UK",6,A144="USA",7,A144="EU",8)</f>
        <v>5</v>
      </c>
      <c r="L144" s="662">
        <f>VLOOKUP(H144,'StdCosts and StdRates'!$A$41:$H$86,K144,FALSE)</f>
        <v>7500</v>
      </c>
      <c r="M144" s="662" cm="1">
        <f t="array" ref="M144">_xlfn.XLOOKUP(C144&amp;A144,FX!$A$2:$A$26&amp;FX!$B$2:$B$26,FX!$C$2:$C$26)</f>
        <v>106.23399999999999</v>
      </c>
      <c r="N144" cm="1">
        <f t="array" ref="N144">_xlfn.IFS(C144="Canada",2,C144="India",3,C144="UK",4,C144="USA",5,C144="EU",6)</f>
        <v>4</v>
      </c>
      <c r="O144" s="662">
        <f>VLOOKUP(G144,'StdCosts and StdRates'!$A$17:$E$36,N144,FALSE)*M144</f>
        <v>8604.9539999999997</v>
      </c>
      <c r="P144"/>
      <c r="R144" s="967"/>
    </row>
    <row r="145" spans="1:18">
      <c r="A145" s="773" t="s">
        <v>227</v>
      </c>
      <c r="B145" s="773"/>
      <c r="C145" s="773" t="s">
        <v>736</v>
      </c>
      <c r="D145" s="773"/>
      <c r="E145" s="773"/>
      <c r="F145" s="773"/>
      <c r="G145" s="967" t="s">
        <v>382</v>
      </c>
      <c r="H145" s="967" t="str">
        <f t="shared" si="3"/>
        <v>Change Adoption Specialist</v>
      </c>
      <c r="I145" t="str">
        <f t="shared" si="4"/>
        <v>IndiaChange Adoption Specialist</v>
      </c>
      <c r="J145" t="str">
        <f t="shared" si="5"/>
        <v>IndiaEUChange Adoption Specialist</v>
      </c>
      <c r="K145" cm="1">
        <f t="array" ref="K145">_xlfn.IFS(A145="Canada",4,A145="India",5,A145="UK",6,A145="USA",7,A145="EU",8)</f>
        <v>5</v>
      </c>
      <c r="L145" s="662">
        <f>VLOOKUP(H145,'StdCosts and StdRates'!$A$41:$H$86,K145,FALSE)</f>
        <v>7500</v>
      </c>
      <c r="M145" s="662" cm="1">
        <f t="array" ref="M145">_xlfn.XLOOKUP(C145&amp;A145,FX!$A$2:$A$26&amp;FX!$B$2:$B$26,FX!$C$2:$C$26)</f>
        <v>90.405100000000004</v>
      </c>
      <c r="N145" cm="1">
        <f t="array" ref="N145">_xlfn.IFS(C145="Canada",2,C145="India",3,C145="UK",4,C145="USA",5,C145="EU",6)</f>
        <v>6</v>
      </c>
      <c r="O145" s="662" t="e">
        <f>VLOOKUP(G145,'StdCosts and StdRates'!$A$17:$E$36,N145,FALSE)*M145</f>
        <v>#REF!</v>
      </c>
      <c r="P145"/>
      <c r="R145" s="967"/>
    </row>
    <row r="146" spans="1:18">
      <c r="A146" s="773" t="s">
        <v>227</v>
      </c>
      <c r="B146" s="773" t="s">
        <v>227</v>
      </c>
      <c r="C146" s="773" t="s">
        <v>227</v>
      </c>
      <c r="D146" s="773"/>
      <c r="E146" s="773"/>
      <c r="F146" s="773"/>
      <c r="G146" s="967" t="s">
        <v>382</v>
      </c>
      <c r="H146" s="967" t="str">
        <f t="shared" si="3"/>
        <v>IndiaChange Adoption Specialist</v>
      </c>
      <c r="I146" t="str">
        <f t="shared" si="4"/>
        <v>IndiaIndiaChange Adoption Specialist</v>
      </c>
      <c r="J146" t="str">
        <f t="shared" si="5"/>
        <v>IndiaIndiaChange Adoption Specialist</v>
      </c>
      <c r="K146" cm="1">
        <f t="array" ref="K146">_xlfn.IFS(A146="Canada",4,A146="India",5,A146="UK",6,A146="USA",7,A146="EU",8)</f>
        <v>5</v>
      </c>
      <c r="L146" s="662">
        <f>VLOOKUP(H146,'StdCosts and StdRates'!$A$41:$H$86,K146,FALSE)</f>
        <v>7500</v>
      </c>
      <c r="M146" s="662" cm="1">
        <f t="array" ref="M146">_xlfn.XLOOKUP(C146&amp;A146,FX!$A$2:$A$26&amp;FX!$B$2:$B$26,FX!$C$2:$C$26)</f>
        <v>1</v>
      </c>
      <c r="N146" cm="1">
        <f t="array" ref="N146">_xlfn.IFS(C146="Canada",2,C146="India",3,C146="UK",4,C146="USA",5,C146="EU",6)</f>
        <v>3</v>
      </c>
      <c r="O146" s="662">
        <f>VLOOKUP(G146,'StdCosts and StdRates'!$A$17:$E$36,N146,FALSE)*M146</f>
        <v>1952</v>
      </c>
      <c r="P146"/>
      <c r="R146" s="967"/>
    </row>
    <row r="147" spans="1:18">
      <c r="A147" s="773" t="s">
        <v>736</v>
      </c>
      <c r="B147" s="773"/>
      <c r="C147" s="773" t="s">
        <v>308</v>
      </c>
      <c r="D147" s="773"/>
      <c r="E147" s="773"/>
      <c r="F147" s="773"/>
      <c r="G147" s="967" t="s">
        <v>382</v>
      </c>
      <c r="H147" s="967" t="str">
        <f t="shared" si="3"/>
        <v>Change Adoption Specialist</v>
      </c>
      <c r="I147" t="str">
        <f t="shared" si="4"/>
        <v>EUChange Adoption Specialist</v>
      </c>
      <c r="J147" t="str">
        <f t="shared" si="5"/>
        <v>EUUSAChange Adoption Specialist</v>
      </c>
      <c r="K147" cm="1">
        <f t="array" ref="K147">_xlfn.IFS(A147="Canada",4,A147="India",5,A147="UK",6,A147="USA",7,A147="EU",8)</f>
        <v>8</v>
      </c>
      <c r="L147" s="662">
        <f>VLOOKUP(H147,'StdCosts and StdRates'!$A$41:$H$86,K147,FALSE)</f>
        <v>199</v>
      </c>
      <c r="M147" s="662" cm="1">
        <f t="array" ref="M147">_xlfn.XLOOKUP(C147&amp;A147,FX!$A$2:$A$26&amp;FX!$B$2:$B$26,FX!$C$2:$C$26)</f>
        <v>0.91986999999999997</v>
      </c>
      <c r="N147" cm="1">
        <f t="array" ref="N147">_xlfn.IFS(C147="Canada",2,C147="India",3,C147="UK",4,C147="USA",5,C147="EU",6)</f>
        <v>5</v>
      </c>
      <c r="O147" s="662">
        <f>VLOOKUP(G147,'StdCosts and StdRates'!$A$17:$E$36,N147,FALSE)*M147</f>
        <v>129.70167000000001</v>
      </c>
      <c r="P147"/>
      <c r="R147" s="967"/>
    </row>
    <row r="148" spans="1:18">
      <c r="A148" s="773" t="s">
        <v>736</v>
      </c>
      <c r="B148" s="773"/>
      <c r="C148" s="773" t="s">
        <v>405</v>
      </c>
      <c r="D148" s="773"/>
      <c r="E148" s="773"/>
      <c r="F148" s="773"/>
      <c r="G148" s="967" t="s">
        <v>382</v>
      </c>
      <c r="H148" s="967" t="str">
        <f t="shared" si="3"/>
        <v>Change Adoption Specialist</v>
      </c>
      <c r="I148" t="str">
        <f t="shared" si="4"/>
        <v>EUChange Adoption Specialist</v>
      </c>
      <c r="J148" t="str">
        <f t="shared" si="5"/>
        <v>EUCanadaChange Adoption Specialist</v>
      </c>
      <c r="K148" cm="1">
        <f t="array" ref="K148">_xlfn.IFS(A148="Canada",4,A148="India",5,A148="UK",6,A148="USA",7,A148="EU",8)</f>
        <v>8</v>
      </c>
      <c r="L148" s="662">
        <f>VLOOKUP(H148,'StdCosts and StdRates'!$A$41:$H$86,K148,FALSE)</f>
        <v>199</v>
      </c>
      <c r="M148" s="662" cm="1">
        <f t="array" ref="M148">_xlfn.XLOOKUP(C148&amp;A148,FX!$A$2:$A$26&amp;FX!$B$2:$B$26,FX!$C$2:$C$26)</f>
        <v>0.67474000000000001</v>
      </c>
      <c r="N148" cm="1">
        <f t="array" ref="N148">_xlfn.IFS(C148="Canada",2,C148="India",3,C148="UK",4,C148="USA",5,C148="EU",6)</f>
        <v>2</v>
      </c>
      <c r="O148" s="662">
        <f>VLOOKUP(G148,'StdCosts and StdRates'!$A$17:$E$36,N148,FALSE)*M148</f>
        <v>83.667760000000001</v>
      </c>
      <c r="P148"/>
      <c r="R148" s="967"/>
    </row>
    <row r="149" spans="1:18">
      <c r="A149" s="773" t="s">
        <v>736</v>
      </c>
      <c r="B149" s="773"/>
      <c r="C149" s="773" t="s">
        <v>247</v>
      </c>
      <c r="D149" s="773"/>
      <c r="E149" s="773"/>
      <c r="F149" s="773"/>
      <c r="G149" s="967" t="s">
        <v>382</v>
      </c>
      <c r="H149" s="967" t="str">
        <f t="shared" si="3"/>
        <v>Change Adoption Specialist</v>
      </c>
      <c r="I149" t="str">
        <f t="shared" si="4"/>
        <v>EUChange Adoption Specialist</v>
      </c>
      <c r="J149" t="str">
        <f t="shared" si="5"/>
        <v>EUUKChange Adoption Specialist</v>
      </c>
      <c r="K149" cm="1">
        <f t="array" ref="K149">_xlfn.IFS(A149="Canada",4,A149="India",5,A149="UK",6,A149="USA",7,A149="EU",8)</f>
        <v>8</v>
      </c>
      <c r="L149" s="662">
        <f>VLOOKUP(H149,'StdCosts and StdRates'!$A$41:$H$86,K149,FALSE)</f>
        <v>199</v>
      </c>
      <c r="M149" s="662" cm="1">
        <f t="array" ref="M149">_xlfn.XLOOKUP(C149&amp;A149,FX!$A$2:$A$26&amp;FX!$B$2:$B$26,FX!$C$2:$C$26)</f>
        <v>1.1749799999999999</v>
      </c>
      <c r="N149" cm="1">
        <f t="array" ref="N149">_xlfn.IFS(C149="Canada",2,C149="India",3,C149="UK",4,C149="USA",5,C149="EU",6)</f>
        <v>4</v>
      </c>
      <c r="O149" s="662">
        <f>VLOOKUP(G149,'StdCosts and StdRates'!$A$17:$E$36,N149,FALSE)*M149</f>
        <v>95.173379999999995</v>
      </c>
      <c r="P149"/>
      <c r="R149" s="967"/>
    </row>
    <row r="150" spans="1:18">
      <c r="A150" s="773" t="s">
        <v>736</v>
      </c>
      <c r="B150" s="773"/>
      <c r="C150" s="773" t="s">
        <v>736</v>
      </c>
      <c r="D150" s="773"/>
      <c r="E150" s="773"/>
      <c r="F150" s="773"/>
      <c r="G150" s="967" t="s">
        <v>382</v>
      </c>
      <c r="H150" s="967" t="str">
        <f t="shared" si="3"/>
        <v>Change Adoption Specialist</v>
      </c>
      <c r="I150" t="str">
        <f t="shared" si="4"/>
        <v>EUChange Adoption Specialist</v>
      </c>
      <c r="J150" t="str">
        <f t="shared" si="5"/>
        <v>EUEUChange Adoption Specialist</v>
      </c>
      <c r="K150" cm="1">
        <f t="array" ref="K150">_xlfn.IFS(A150="Canada",4,A150="India",5,A150="UK",6,A150="USA",7,A150="EU",8)</f>
        <v>8</v>
      </c>
      <c r="L150" s="662">
        <f>VLOOKUP(H150,'StdCosts and StdRates'!$A$41:$H$86,K150,FALSE)</f>
        <v>199</v>
      </c>
      <c r="M150" s="662" cm="1">
        <f t="array" ref="M150">_xlfn.XLOOKUP(C150&amp;A150,FX!$A$2:$A$26&amp;FX!$B$2:$B$26,FX!$C$2:$C$26)</f>
        <v>1</v>
      </c>
      <c r="N150" cm="1">
        <f t="array" ref="N150">_xlfn.IFS(C150="Canada",2,C150="India",3,C150="UK",4,C150="USA",5,C150="EU",6)</f>
        <v>6</v>
      </c>
      <c r="O150" s="662" t="e">
        <f>VLOOKUP(G150,'StdCosts and StdRates'!$A$17:$E$36,N150,FALSE)*M150</f>
        <v>#REF!</v>
      </c>
      <c r="P150"/>
      <c r="R150" s="967"/>
    </row>
    <row r="151" spans="1:18">
      <c r="A151" s="773" t="s">
        <v>736</v>
      </c>
      <c r="B151" s="773" t="s">
        <v>227</v>
      </c>
      <c r="C151" s="773" t="s">
        <v>227</v>
      </c>
      <c r="D151" s="773"/>
      <c r="E151" s="773"/>
      <c r="F151" s="773"/>
      <c r="G151" s="967" t="s">
        <v>382</v>
      </c>
      <c r="H151" s="967" t="str">
        <f t="shared" si="3"/>
        <v>IndiaChange Adoption Specialist</v>
      </c>
      <c r="I151" t="str">
        <f t="shared" si="4"/>
        <v>EUIndiaChange Adoption Specialist</v>
      </c>
      <c r="J151" t="str">
        <f t="shared" si="5"/>
        <v>EUIndiaChange Adoption Specialist</v>
      </c>
      <c r="K151" cm="1">
        <f t="array" ref="K151">_xlfn.IFS(A151="Canada",4,A151="India",5,A151="UK",6,A151="USA",7,A151="EU",8)</f>
        <v>8</v>
      </c>
      <c r="L151" s="662">
        <f>VLOOKUP(H151,'StdCosts and StdRates'!$A$41:$H$86,K151,FALSE)</f>
        <v>89</v>
      </c>
      <c r="M151" s="662" cm="1">
        <f t="array" ref="M151">_xlfn.XLOOKUP(C151&amp;A151,FX!$A$2:$A$26&amp;FX!$B$2:$B$26,FX!$C$2:$C$26)</f>
        <v>1.106E-2</v>
      </c>
      <c r="N151" cm="1">
        <f t="array" ref="N151">_xlfn.IFS(C151="Canada",2,C151="India",3,C151="UK",4,C151="USA",5,C151="EU",6)</f>
        <v>3</v>
      </c>
      <c r="O151" s="662">
        <f>VLOOKUP(G151,'StdCosts and StdRates'!$A$17:$E$36,N151,FALSE)*M151</f>
        <v>21.589120000000001</v>
      </c>
      <c r="P151"/>
      <c r="R151" s="967"/>
    </row>
    <row r="152" spans="1:18">
      <c r="A152" s="773" t="s">
        <v>308</v>
      </c>
      <c r="B152" s="773"/>
      <c r="C152" s="773" t="s">
        <v>308</v>
      </c>
      <c r="D152" s="773"/>
      <c r="E152" s="773"/>
      <c r="F152" s="773"/>
      <c r="G152" s="967" t="s">
        <v>385</v>
      </c>
      <c r="H152" s="967" t="str">
        <f t="shared" si="3"/>
        <v>Content Strategist</v>
      </c>
      <c r="I152" t="str">
        <f t="shared" si="4"/>
        <v>USAContent Strategist</v>
      </c>
      <c r="J152" t="str">
        <f t="shared" si="5"/>
        <v>USAUSAContent Strategist</v>
      </c>
      <c r="K152" cm="1">
        <f t="array" ref="K152">_xlfn.IFS(A152="Canada",4,A152="India",5,A152="UK",6,A152="USA",7,A152="EU",8)</f>
        <v>7</v>
      </c>
      <c r="L152" s="662">
        <f>VLOOKUP(H152,'StdCosts and StdRates'!$A$41:$H$86,K152,FALSE)</f>
        <v>239</v>
      </c>
      <c r="M152" s="662" cm="1">
        <f t="array" ref="M152">_xlfn.XLOOKUP(C152&amp;A152,FX!$A$2:$A$26&amp;FX!$B$2:$B$26,FX!$C$2:$C$26)</f>
        <v>1</v>
      </c>
      <c r="N152" cm="1">
        <f t="array" ref="N152">_xlfn.IFS(C152="Canada",2,C152="India",3,C152="UK",4,C152="USA",5,C152="EU",6)</f>
        <v>5</v>
      </c>
      <c r="O152" s="662">
        <f>VLOOKUP(G152,'StdCosts and StdRates'!$A$17:$E$36,N152,FALSE)*M152</f>
        <v>152</v>
      </c>
      <c r="P152"/>
      <c r="R152" s="967"/>
    </row>
    <row r="153" spans="1:18">
      <c r="A153" s="773" t="s">
        <v>308</v>
      </c>
      <c r="B153" s="773"/>
      <c r="C153" s="773" t="s">
        <v>405</v>
      </c>
      <c r="D153" s="773"/>
      <c r="E153" s="773"/>
      <c r="F153" s="773"/>
      <c r="G153" s="967" t="s">
        <v>385</v>
      </c>
      <c r="H153" s="967" t="str">
        <f t="shared" si="3"/>
        <v>Content Strategist</v>
      </c>
      <c r="I153" t="str">
        <f t="shared" si="4"/>
        <v>USAContent Strategist</v>
      </c>
      <c r="J153" t="str">
        <f t="shared" si="5"/>
        <v>USACanadaContent Strategist</v>
      </c>
      <c r="K153" cm="1">
        <f t="array" ref="K153">_xlfn.IFS(A153="Canada",4,A153="India",5,A153="UK",6,A153="USA",7,A153="EU",8)</f>
        <v>7</v>
      </c>
      <c r="L153" s="662">
        <f>VLOOKUP(H153,'StdCosts and StdRates'!$A$41:$H$86,K153,FALSE)</f>
        <v>239</v>
      </c>
      <c r="M153" s="662" cm="1">
        <f t="array" ref="M153">_xlfn.XLOOKUP(C153&amp;A153,FX!$A$2:$A$26&amp;FX!$B$2:$B$26,FX!$C$2:$C$26)</f>
        <v>0.73351999999999995</v>
      </c>
      <c r="N153" cm="1">
        <f t="array" ref="N153">_xlfn.IFS(C153="Canada",2,C153="India",3,C153="UK",4,C153="USA",5,C153="EU",6)</f>
        <v>2</v>
      </c>
      <c r="O153" s="662">
        <f>VLOOKUP(G153,'StdCosts and StdRates'!$A$17:$E$36,N153,FALSE)*M153</f>
        <v>94.624079999999992</v>
      </c>
      <c r="P153"/>
      <c r="R153" s="967"/>
    </row>
    <row r="154" spans="1:18">
      <c r="A154" s="773" t="s">
        <v>308</v>
      </c>
      <c r="B154" s="773"/>
      <c r="C154" s="773" t="s">
        <v>247</v>
      </c>
      <c r="D154" s="773"/>
      <c r="E154" s="773"/>
      <c r="F154" s="773"/>
      <c r="G154" s="967" t="s">
        <v>385</v>
      </c>
      <c r="H154" s="967" t="str">
        <f t="shared" si="3"/>
        <v>Content Strategist</v>
      </c>
      <c r="I154" t="str">
        <f t="shared" si="4"/>
        <v>USAContent Strategist</v>
      </c>
      <c r="J154" t="str">
        <f t="shared" si="5"/>
        <v>USAUKContent Strategist</v>
      </c>
      <c r="K154" cm="1">
        <f t="array" ref="K154">_xlfn.IFS(A154="Canada",4,A154="India",5,A154="UK",6,A154="USA",7,A154="EU",8)</f>
        <v>7</v>
      </c>
      <c r="L154" s="662">
        <f>VLOOKUP(H154,'StdCosts and StdRates'!$A$41:$H$86,K154,FALSE)</f>
        <v>239</v>
      </c>
      <c r="M154" s="662" cm="1">
        <f t="array" ref="M154">_xlfn.XLOOKUP(C154&amp;A154,FX!$A$2:$A$26&amp;FX!$B$2:$B$26,FX!$C$2:$C$26)</f>
        <v>1.2772699999999999</v>
      </c>
      <c r="N154" cm="1">
        <f t="array" ref="N154">_xlfn.IFS(C154="Canada",2,C154="India",3,C154="UK",4,C154="USA",5,C154="EU",6)</f>
        <v>4</v>
      </c>
      <c r="O154" s="662">
        <f>VLOOKUP(G154,'StdCosts and StdRates'!$A$17:$E$36,N154,FALSE)*M154</f>
        <v>103.45886999999999</v>
      </c>
      <c r="P154"/>
      <c r="R154" s="967"/>
    </row>
    <row r="155" spans="1:18">
      <c r="A155" s="773" t="s">
        <v>308</v>
      </c>
      <c r="B155" s="773"/>
      <c r="C155" s="773" t="s">
        <v>736</v>
      </c>
      <c r="D155" s="773"/>
      <c r="E155" s="773"/>
      <c r="F155" s="773"/>
      <c r="G155" s="967" t="s">
        <v>385</v>
      </c>
      <c r="H155" s="967" t="str">
        <f t="shared" ref="H155:H218" si="9">B155&amp;G155</f>
        <v>Content Strategist</v>
      </c>
      <c r="I155" t="str">
        <f t="shared" ref="I155:I218" si="10">A155&amp;B155&amp;D155&amp;E155&amp;F155&amp;G155</f>
        <v>USAContent Strategist</v>
      </c>
      <c r="J155" t="str">
        <f t="shared" ref="J155:J218" si="11">A155&amp;C155&amp;D155&amp;E155&amp;F155&amp;G155</f>
        <v>USAEUContent Strategist</v>
      </c>
      <c r="K155" cm="1">
        <f t="array" ref="K155">_xlfn.IFS(A155="Canada",4,A155="India",5,A155="UK",6,A155="USA",7,A155="EU",8)</f>
        <v>7</v>
      </c>
      <c r="L155" s="662">
        <f>VLOOKUP(H155,'StdCosts and StdRates'!$A$41:$H$86,K155,FALSE)</f>
        <v>239</v>
      </c>
      <c r="M155" s="662" cm="1">
        <f t="array" ref="M155">_xlfn.XLOOKUP(C155&amp;A155,FX!$A$2:$A$26&amp;FX!$B$2:$B$26,FX!$C$2:$C$26)</f>
        <v>1.0869599999999999</v>
      </c>
      <c r="N155" cm="1">
        <f t="array" ref="N155">_xlfn.IFS(C155="Canada",2,C155="India",3,C155="UK",4,C155="USA",5,C155="EU",6)</f>
        <v>6</v>
      </c>
      <c r="O155" s="662" t="e">
        <f>VLOOKUP(G155,'StdCosts and StdRates'!$A$17:$E$36,N155,FALSE)*M155</f>
        <v>#REF!</v>
      </c>
      <c r="P155"/>
      <c r="R155" s="967"/>
    </row>
    <row r="156" spans="1:18">
      <c r="A156" s="773" t="s">
        <v>308</v>
      </c>
      <c r="B156" s="773" t="s">
        <v>227</v>
      </c>
      <c r="C156" s="773" t="s">
        <v>227</v>
      </c>
      <c r="D156" s="773"/>
      <c r="E156" s="773"/>
      <c r="F156" s="773"/>
      <c r="G156" s="967" t="s">
        <v>385</v>
      </c>
      <c r="H156" s="967" t="str">
        <f t="shared" si="9"/>
        <v>IndiaContent Strategist</v>
      </c>
      <c r="I156" t="str">
        <f t="shared" si="10"/>
        <v>USAIndiaContent Strategist</v>
      </c>
      <c r="J156" t="str">
        <f t="shared" si="11"/>
        <v>USAIndiaContent Strategist</v>
      </c>
      <c r="K156" cm="1">
        <f t="array" ref="K156">_xlfn.IFS(A156="Canada",4,A156="India",5,A156="UK",6,A156="USA",7,A156="EU",8)</f>
        <v>7</v>
      </c>
      <c r="L156" s="662">
        <f>VLOOKUP(H156,'StdCosts and StdRates'!$A$41:$H$86,K156,FALSE)</f>
        <v>95</v>
      </c>
      <c r="M156" s="662" cm="1">
        <f t="array" ref="M156">_xlfn.XLOOKUP(C156&amp;A156,FX!$A$2:$A$26&amp;FX!$B$2:$B$26,FX!$C$2:$C$26)</f>
        <v>1.2019999999999999E-2</v>
      </c>
      <c r="N156" cm="1">
        <f t="array" ref="N156">_xlfn.IFS(C156="Canada",2,C156="India",3,C156="UK",4,C156="USA",5,C156="EU",6)</f>
        <v>3</v>
      </c>
      <c r="O156" s="662">
        <f>VLOOKUP(G156,'StdCosts and StdRates'!$A$17:$E$36,N156,FALSE)*M156</f>
        <v>23.463039999999999</v>
      </c>
      <c r="P156"/>
      <c r="R156" s="967"/>
    </row>
    <row r="157" spans="1:18">
      <c r="A157" s="773" t="s">
        <v>405</v>
      </c>
      <c r="B157" s="773"/>
      <c r="C157" s="773" t="s">
        <v>308</v>
      </c>
      <c r="D157" s="773"/>
      <c r="E157" s="773"/>
      <c r="F157" s="773"/>
      <c r="G157" s="967" t="s">
        <v>385</v>
      </c>
      <c r="H157" s="967" t="str">
        <f t="shared" si="9"/>
        <v>Content Strategist</v>
      </c>
      <c r="I157" t="str">
        <f t="shared" si="10"/>
        <v>CanadaContent Strategist</v>
      </c>
      <c r="J157" t="str">
        <f t="shared" si="11"/>
        <v>CanadaUSAContent Strategist</v>
      </c>
      <c r="K157" cm="1">
        <f t="array" ref="K157">_xlfn.IFS(A157="Canada",4,A157="India",5,A157="UK",6,A157="USA",7,A157="EU",8)</f>
        <v>4</v>
      </c>
      <c r="L157" s="662">
        <f>VLOOKUP(H157,'StdCosts and StdRates'!$A$41:$H$86,K157,FALSE)</f>
        <v>259</v>
      </c>
      <c r="M157" s="662" cm="1">
        <f t="array" ref="M157">_xlfn.XLOOKUP(C157&amp;A157,FX!$A$2:$A$26&amp;FX!$B$2:$B$26,FX!$C$2:$C$26)</f>
        <v>1.36311</v>
      </c>
      <c r="N157" cm="1">
        <f t="array" ref="N157">_xlfn.IFS(C157="Canada",2,C157="India",3,C157="UK",4,C157="USA",5,C157="EU",6)</f>
        <v>5</v>
      </c>
      <c r="O157" s="662">
        <f>VLOOKUP(G157,'StdCosts and StdRates'!$A$17:$E$36,N157,FALSE)*M157</f>
        <v>207.19272000000001</v>
      </c>
      <c r="P157"/>
      <c r="R157" s="967"/>
    </row>
    <row r="158" spans="1:18">
      <c r="A158" s="773" t="s">
        <v>405</v>
      </c>
      <c r="B158" s="773"/>
      <c r="C158" s="773" t="s">
        <v>405</v>
      </c>
      <c r="D158" s="773"/>
      <c r="E158" s="773"/>
      <c r="F158" s="773"/>
      <c r="G158" s="967" t="s">
        <v>385</v>
      </c>
      <c r="H158" s="967" t="str">
        <f t="shared" si="9"/>
        <v>Content Strategist</v>
      </c>
      <c r="I158" t="str">
        <f t="shared" si="10"/>
        <v>CanadaContent Strategist</v>
      </c>
      <c r="J158" t="str">
        <f t="shared" si="11"/>
        <v>CanadaCanadaContent Strategist</v>
      </c>
      <c r="K158" cm="1">
        <f t="array" ref="K158">_xlfn.IFS(A158="Canada",4,A158="India",5,A158="UK",6,A158="USA",7,A158="EU",8)</f>
        <v>4</v>
      </c>
      <c r="L158" s="662">
        <f>VLOOKUP(H158,'StdCosts and StdRates'!$A$41:$H$86,K158,FALSE)</f>
        <v>259</v>
      </c>
      <c r="M158" s="662" cm="1">
        <f t="array" ref="M158">_xlfn.XLOOKUP(C158&amp;A158,FX!$A$2:$A$26&amp;FX!$B$2:$B$26,FX!$C$2:$C$26)</f>
        <v>1</v>
      </c>
      <c r="N158" cm="1">
        <f t="array" ref="N158">_xlfn.IFS(C158="Canada",2,C158="India",3,C158="UK",4,C158="USA",5,C158="EU",6)</f>
        <v>2</v>
      </c>
      <c r="O158" s="662">
        <f>VLOOKUP(G158,'StdCosts and StdRates'!$A$17:$E$36,N158,FALSE)*M158</f>
        <v>129</v>
      </c>
      <c r="P158"/>
      <c r="R158" s="967"/>
    </row>
    <row r="159" spans="1:18">
      <c r="A159" s="773" t="s">
        <v>405</v>
      </c>
      <c r="B159" s="773"/>
      <c r="C159" s="773" t="s">
        <v>247</v>
      </c>
      <c r="D159" s="773"/>
      <c r="E159" s="773"/>
      <c r="F159" s="773"/>
      <c r="G159" s="967" t="s">
        <v>385</v>
      </c>
      <c r="H159" s="967" t="str">
        <f t="shared" si="9"/>
        <v>Content Strategist</v>
      </c>
      <c r="I159" t="str">
        <f t="shared" si="10"/>
        <v>CanadaContent Strategist</v>
      </c>
      <c r="J159" t="str">
        <f t="shared" si="11"/>
        <v>CanadaUKContent Strategist</v>
      </c>
      <c r="K159" cm="1">
        <f t="array" ref="K159">_xlfn.IFS(A159="Canada",4,A159="India",5,A159="UK",6,A159="USA",7,A159="EU",8)</f>
        <v>4</v>
      </c>
      <c r="L159" s="662">
        <f>VLOOKUP(H159,'StdCosts and StdRates'!$A$41:$H$86,K159,FALSE)</f>
        <v>259</v>
      </c>
      <c r="M159" s="662" cm="1">
        <f t="array" ref="M159">_xlfn.XLOOKUP(C159&amp;A159,FX!$A$2:$A$26&amp;FX!$B$2:$B$26,FX!$C$2:$C$26)</f>
        <v>1.7410699999999999</v>
      </c>
      <c r="N159" cm="1">
        <f t="array" ref="N159">_xlfn.IFS(C159="Canada",2,C159="India",3,C159="UK",4,C159="USA",5,C159="EU",6)</f>
        <v>4</v>
      </c>
      <c r="O159" s="662">
        <f>VLOOKUP(G159,'StdCosts and StdRates'!$A$17:$E$36,N159,FALSE)*M159</f>
        <v>141.02667</v>
      </c>
      <c r="P159"/>
      <c r="R159" s="967"/>
    </row>
    <row r="160" spans="1:18">
      <c r="A160" s="773" t="s">
        <v>405</v>
      </c>
      <c r="B160" s="773"/>
      <c r="C160" s="773" t="s">
        <v>736</v>
      </c>
      <c r="D160" s="773"/>
      <c r="E160" s="773"/>
      <c r="F160" s="773"/>
      <c r="G160" s="967" t="s">
        <v>385</v>
      </c>
      <c r="H160" s="967" t="str">
        <f t="shared" si="9"/>
        <v>Content Strategist</v>
      </c>
      <c r="I160" t="str">
        <f t="shared" si="10"/>
        <v>CanadaContent Strategist</v>
      </c>
      <c r="J160" t="str">
        <f t="shared" si="11"/>
        <v>CanadaEUContent Strategist</v>
      </c>
      <c r="K160" cm="1">
        <f t="array" ref="K160">_xlfn.IFS(A160="Canada",4,A160="India",5,A160="UK",6,A160="USA",7,A160="EU",8)</f>
        <v>4</v>
      </c>
      <c r="L160" s="662">
        <f>VLOOKUP(H160,'StdCosts and StdRates'!$A$41:$H$86,K160,FALSE)</f>
        <v>259</v>
      </c>
      <c r="M160" s="662" cm="1">
        <f t="array" ref="M160">_xlfn.XLOOKUP(C160&amp;A160,FX!$A$2:$A$26&amp;FX!$B$2:$B$26,FX!$C$2:$C$26)</f>
        <v>1.4816499999999999</v>
      </c>
      <c r="N160" cm="1">
        <f t="array" ref="N160">_xlfn.IFS(C160="Canada",2,C160="India",3,C160="UK",4,C160="USA",5,C160="EU",6)</f>
        <v>6</v>
      </c>
      <c r="O160" s="662" t="e">
        <f>VLOOKUP(G160,'StdCosts and StdRates'!$A$17:$E$36,N160,FALSE)*M160</f>
        <v>#REF!</v>
      </c>
      <c r="P160"/>
      <c r="R160" s="967"/>
    </row>
    <row r="161" spans="1:18">
      <c r="A161" s="773" t="s">
        <v>405</v>
      </c>
      <c r="B161" s="773" t="s">
        <v>227</v>
      </c>
      <c r="C161" s="773" t="s">
        <v>227</v>
      </c>
      <c r="D161" s="773"/>
      <c r="E161" s="773"/>
      <c r="F161" s="773"/>
      <c r="G161" s="967" t="s">
        <v>385</v>
      </c>
      <c r="H161" s="967" t="str">
        <f t="shared" si="9"/>
        <v>IndiaContent Strategist</v>
      </c>
      <c r="I161" t="str">
        <f t="shared" si="10"/>
        <v>CanadaIndiaContent Strategist</v>
      </c>
      <c r="J161" t="str">
        <f t="shared" si="11"/>
        <v>CanadaIndiaContent Strategist</v>
      </c>
      <c r="K161" cm="1">
        <f t="array" ref="K161">_xlfn.IFS(A161="Canada",4,A161="India",5,A161="UK",6,A161="USA",7,A161="EU",8)</f>
        <v>4</v>
      </c>
      <c r="L161" s="662">
        <f>VLOOKUP(H161,'StdCosts and StdRates'!$A$41:$H$86,K161,FALSE)</f>
        <v>119</v>
      </c>
      <c r="M161" s="662" cm="1">
        <f t="array" ref="M161">_xlfn.XLOOKUP(C161&amp;A161,FX!$A$2:$A$26&amp;FX!$B$2:$B$26,FX!$C$2:$C$26)</f>
        <v>1.6389999999999998E-2</v>
      </c>
      <c r="N161" cm="1">
        <f t="array" ref="N161">_xlfn.IFS(C161="Canada",2,C161="India",3,C161="UK",4,C161="USA",5,C161="EU",6)</f>
        <v>3</v>
      </c>
      <c r="O161" s="662">
        <f>VLOOKUP(G161,'StdCosts and StdRates'!$A$17:$E$36,N161,FALSE)*M161</f>
        <v>31.993279999999995</v>
      </c>
      <c r="P161"/>
      <c r="R161" s="967"/>
    </row>
    <row r="162" spans="1:18">
      <c r="A162" s="773" t="s">
        <v>247</v>
      </c>
      <c r="B162" s="773"/>
      <c r="C162" s="773" t="s">
        <v>308</v>
      </c>
      <c r="D162" s="773"/>
      <c r="E162" s="773"/>
      <c r="F162" s="773"/>
      <c r="G162" s="967" t="s">
        <v>385</v>
      </c>
      <c r="H162" s="967" t="str">
        <f t="shared" si="9"/>
        <v>Content Strategist</v>
      </c>
      <c r="I162" t="str">
        <f t="shared" si="10"/>
        <v>UKContent Strategist</v>
      </c>
      <c r="J162" t="str">
        <f t="shared" si="11"/>
        <v>UKUSAContent Strategist</v>
      </c>
      <c r="K162" cm="1">
        <f t="array" ref="K162">_xlfn.IFS(A162="Canada",4,A162="India",5,A162="UK",6,A162="USA",7,A162="EU",8)</f>
        <v>6</v>
      </c>
      <c r="L162" s="662">
        <f>VLOOKUP(H162,'StdCosts and StdRates'!$A$41:$H$86,K162,FALSE)</f>
        <v>155</v>
      </c>
      <c r="M162" s="662" cm="1">
        <f t="array" ref="M162">_xlfn.XLOOKUP(C162&amp;A162,FX!$A$2:$A$26&amp;FX!$B$2:$B$26,FX!$C$2:$C$26)</f>
        <v>0.78280000000000005</v>
      </c>
      <c r="N162" cm="1">
        <f t="array" ref="N162">_xlfn.IFS(C162="Canada",2,C162="India",3,C162="UK",4,C162="USA",5,C162="EU",6)</f>
        <v>5</v>
      </c>
      <c r="O162" s="662">
        <f>VLOOKUP(G162,'StdCosts and StdRates'!$A$17:$E$36,N162,FALSE)*M162</f>
        <v>118.98560000000001</v>
      </c>
      <c r="P162"/>
      <c r="R162" s="967"/>
    </row>
    <row r="163" spans="1:18">
      <c r="A163" s="773" t="s">
        <v>247</v>
      </c>
      <c r="B163" s="773"/>
      <c r="C163" s="773" t="s">
        <v>405</v>
      </c>
      <c r="D163" s="773"/>
      <c r="E163" s="773"/>
      <c r="F163" s="773"/>
      <c r="G163" s="967" t="s">
        <v>385</v>
      </c>
      <c r="H163" s="967" t="str">
        <f t="shared" si="9"/>
        <v>Content Strategist</v>
      </c>
      <c r="I163" t="str">
        <f t="shared" si="10"/>
        <v>UKContent Strategist</v>
      </c>
      <c r="J163" t="str">
        <f t="shared" si="11"/>
        <v>UKCanadaContent Strategist</v>
      </c>
      <c r="K163" cm="1">
        <f t="array" ref="K163">_xlfn.IFS(A163="Canada",4,A163="India",5,A163="UK",6,A163="USA",7,A163="EU",8)</f>
        <v>6</v>
      </c>
      <c r="L163" s="662">
        <f>VLOOKUP(H163,'StdCosts and StdRates'!$A$41:$H$86,K163,FALSE)</f>
        <v>155</v>
      </c>
      <c r="M163" s="662" cm="1">
        <f t="array" ref="M163">_xlfn.XLOOKUP(C163&amp;A163,FX!$A$2:$A$26&amp;FX!$B$2:$B$26,FX!$C$2:$C$26)</f>
        <v>0.57420000000000004</v>
      </c>
      <c r="N163" cm="1">
        <f t="array" ref="N163">_xlfn.IFS(C163="Canada",2,C163="India",3,C163="UK",4,C163="USA",5,C163="EU",6)</f>
        <v>2</v>
      </c>
      <c r="O163" s="662">
        <f>VLOOKUP(G163,'StdCosts and StdRates'!$A$17:$E$36,N163,FALSE)*M163</f>
        <v>74.07180000000001</v>
      </c>
      <c r="P163"/>
      <c r="R163" s="967"/>
    </row>
    <row r="164" spans="1:18">
      <c r="A164" s="773" t="s">
        <v>247</v>
      </c>
      <c r="B164" s="773"/>
      <c r="C164" s="773" t="s">
        <v>247</v>
      </c>
      <c r="D164" s="773"/>
      <c r="E164" s="773"/>
      <c r="F164" s="773"/>
      <c r="G164" s="967" t="s">
        <v>385</v>
      </c>
      <c r="H164" s="967" t="str">
        <f t="shared" si="9"/>
        <v>Content Strategist</v>
      </c>
      <c r="I164" t="str">
        <f t="shared" si="10"/>
        <v>UKContent Strategist</v>
      </c>
      <c r="J164" t="str">
        <f t="shared" si="11"/>
        <v>UKUKContent Strategist</v>
      </c>
      <c r="K164" cm="1">
        <f t="array" ref="K164">_xlfn.IFS(A164="Canada",4,A164="India",5,A164="UK",6,A164="USA",7,A164="EU",8)</f>
        <v>6</v>
      </c>
      <c r="L164" s="662">
        <f>VLOOKUP(H164,'StdCosts and StdRates'!$A$41:$H$86,K164,FALSE)</f>
        <v>155</v>
      </c>
      <c r="M164" s="662" cm="1">
        <f t="array" ref="M164">_xlfn.XLOOKUP(C164&amp;A164,FX!$A$2:$A$26&amp;FX!$B$2:$B$26,FX!$C$2:$C$26)</f>
        <v>1</v>
      </c>
      <c r="N164" cm="1">
        <f t="array" ref="N164">_xlfn.IFS(C164="Canada",2,C164="India",3,C164="UK",4,C164="USA",5,C164="EU",6)</f>
        <v>4</v>
      </c>
      <c r="O164" s="662">
        <f>VLOOKUP(G164,'StdCosts and StdRates'!$A$17:$E$36,N164,FALSE)*M164</f>
        <v>81</v>
      </c>
      <c r="P164"/>
      <c r="R164" s="967"/>
    </row>
    <row r="165" spans="1:18">
      <c r="A165" s="773" t="s">
        <v>247</v>
      </c>
      <c r="B165" s="773"/>
      <c r="C165" s="773" t="s">
        <v>736</v>
      </c>
      <c r="D165" s="773"/>
      <c r="E165" s="773"/>
      <c r="F165" s="773"/>
      <c r="G165" s="967" t="s">
        <v>385</v>
      </c>
      <c r="H165" s="967" t="str">
        <f t="shared" si="9"/>
        <v>Content Strategist</v>
      </c>
      <c r="I165" t="str">
        <f t="shared" si="10"/>
        <v>UKContent Strategist</v>
      </c>
      <c r="J165" t="str">
        <f t="shared" si="11"/>
        <v>UKEUContent Strategist</v>
      </c>
      <c r="K165" cm="1">
        <f t="array" ref="K165">_xlfn.IFS(A165="Canada",4,A165="India",5,A165="UK",6,A165="USA",7,A165="EU",8)</f>
        <v>6</v>
      </c>
      <c r="L165" s="662">
        <f>VLOOKUP(H165,'StdCosts and StdRates'!$A$41:$H$86,K165,FALSE)</f>
        <v>155</v>
      </c>
      <c r="M165" s="662" cm="1">
        <f t="array" ref="M165">_xlfn.XLOOKUP(C165&amp;A165,FX!$A$2:$A$26&amp;FX!$B$2:$B$26,FX!$C$2:$C$26)</f>
        <v>0.85092999999999996</v>
      </c>
      <c r="N165" cm="1">
        <f t="array" ref="N165">_xlfn.IFS(C165="Canada",2,C165="India",3,C165="UK",4,C165="USA",5,C165="EU",6)</f>
        <v>6</v>
      </c>
      <c r="O165" s="662" t="e">
        <f>VLOOKUP(G165,'StdCosts and StdRates'!$A$17:$E$36,N165,FALSE)*M165</f>
        <v>#REF!</v>
      </c>
      <c r="P165"/>
      <c r="R165" s="967"/>
    </row>
    <row r="166" spans="1:18">
      <c r="A166" s="773" t="s">
        <v>247</v>
      </c>
      <c r="B166" s="773" t="s">
        <v>227</v>
      </c>
      <c r="C166" s="773" t="s">
        <v>227</v>
      </c>
      <c r="D166" s="773"/>
      <c r="E166" s="773"/>
      <c r="F166" s="773"/>
      <c r="G166" s="967" t="s">
        <v>385</v>
      </c>
      <c r="H166" s="967" t="str">
        <f t="shared" si="9"/>
        <v>IndiaContent Strategist</v>
      </c>
      <c r="I166" t="str">
        <f t="shared" si="10"/>
        <v>UKIndiaContent Strategist</v>
      </c>
      <c r="J166" t="str">
        <f t="shared" si="11"/>
        <v>UKIndiaContent Strategist</v>
      </c>
      <c r="K166" cm="1">
        <f t="array" ref="K166">_xlfn.IFS(A166="Canada",4,A166="India",5,A166="UK",6,A166="USA",7,A166="EU",8)</f>
        <v>6</v>
      </c>
      <c r="L166" s="662">
        <f>VLOOKUP(H166,'StdCosts and StdRates'!$A$41:$H$86,K166,FALSE)</f>
        <v>69</v>
      </c>
      <c r="M166" s="662" cm="1">
        <f t="array" ref="M166">_xlfn.XLOOKUP(C166&amp;A166,FX!$A$2:$A$26&amp;FX!$B$2:$B$26,FX!$C$2:$C$26)</f>
        <v>9.41E-3</v>
      </c>
      <c r="N166" cm="1">
        <f t="array" ref="N166">_xlfn.IFS(C166="Canada",2,C166="India",3,C166="UK",4,C166="USA",5,C166="EU",6)</f>
        <v>3</v>
      </c>
      <c r="O166" s="662">
        <f>VLOOKUP(G166,'StdCosts and StdRates'!$A$17:$E$36,N166,FALSE)*M166</f>
        <v>18.368320000000001</v>
      </c>
      <c r="P166"/>
      <c r="R166" s="967"/>
    </row>
    <row r="167" spans="1:18">
      <c r="A167" s="773" t="s">
        <v>227</v>
      </c>
      <c r="B167" s="773"/>
      <c r="C167" s="773" t="s">
        <v>308</v>
      </c>
      <c r="D167" s="773"/>
      <c r="E167" s="773"/>
      <c r="F167" s="773"/>
      <c r="G167" s="967" t="s">
        <v>385</v>
      </c>
      <c r="H167" s="967" t="str">
        <f t="shared" si="9"/>
        <v>Content Strategist</v>
      </c>
      <c r="I167" t="str">
        <f t="shared" si="10"/>
        <v>IndiaContent Strategist</v>
      </c>
      <c r="J167" t="str">
        <f t="shared" si="11"/>
        <v>IndiaUSAContent Strategist</v>
      </c>
      <c r="K167" cm="1">
        <f t="array" ref="K167">_xlfn.IFS(A167="Canada",4,A167="India",5,A167="UK",6,A167="USA",7,A167="EU",8)</f>
        <v>5</v>
      </c>
      <c r="L167" s="662">
        <f>VLOOKUP(H167,'StdCosts and StdRates'!$A$41:$H$86,K167,FALSE)</f>
        <v>7200</v>
      </c>
      <c r="M167" s="662" cm="1">
        <f t="array" ref="M167">_xlfn.XLOOKUP(C167&amp;A167,FX!$A$2:$A$26&amp;FX!$B$2:$B$26,FX!$C$2:$C$26)</f>
        <v>83.1721</v>
      </c>
      <c r="N167" cm="1">
        <f t="array" ref="N167">_xlfn.IFS(C167="Canada",2,C167="India",3,C167="UK",4,C167="USA",5,C167="EU",6)</f>
        <v>5</v>
      </c>
      <c r="O167" s="662">
        <f>VLOOKUP(G167,'StdCosts and StdRates'!$A$17:$E$36,N167,FALSE)*M167</f>
        <v>12642.1592</v>
      </c>
      <c r="P167"/>
      <c r="R167" s="967"/>
    </row>
    <row r="168" spans="1:18">
      <c r="A168" s="773" t="s">
        <v>227</v>
      </c>
      <c r="B168" s="773"/>
      <c r="C168" s="773" t="s">
        <v>405</v>
      </c>
      <c r="D168" s="773"/>
      <c r="E168" s="773"/>
      <c r="F168" s="773"/>
      <c r="G168" s="967" t="s">
        <v>385</v>
      </c>
      <c r="H168" s="967" t="str">
        <f t="shared" si="9"/>
        <v>Content Strategist</v>
      </c>
      <c r="I168" t="str">
        <f t="shared" si="10"/>
        <v>IndiaContent Strategist</v>
      </c>
      <c r="J168" t="str">
        <f t="shared" si="11"/>
        <v>IndiaCanadaContent Strategist</v>
      </c>
      <c r="K168" cm="1">
        <f t="array" ref="K168">_xlfn.IFS(A168="Canada",4,A168="India",5,A168="UK",6,A168="USA",7,A168="EU",8)</f>
        <v>5</v>
      </c>
      <c r="L168" s="662">
        <f>VLOOKUP(H168,'StdCosts and StdRates'!$A$41:$H$86,K168,FALSE)</f>
        <v>7200</v>
      </c>
      <c r="M168" s="662" cm="1">
        <f t="array" ref="M168">_xlfn.XLOOKUP(C168&amp;A168,FX!$A$2:$A$26&amp;FX!$B$2:$B$26,FX!$C$2:$C$26)</f>
        <v>61.008200000000002</v>
      </c>
      <c r="N168" cm="1">
        <f t="array" ref="N168">_xlfn.IFS(C168="Canada",2,C168="India",3,C168="UK",4,C168="USA",5,C168="EU",6)</f>
        <v>2</v>
      </c>
      <c r="O168" s="662">
        <f>VLOOKUP(G168,'StdCosts and StdRates'!$A$17:$E$36,N168,FALSE)*M168</f>
        <v>7870.0578000000005</v>
      </c>
      <c r="P168"/>
      <c r="R168" s="967"/>
    </row>
    <row r="169" spans="1:18">
      <c r="A169" s="773" t="s">
        <v>227</v>
      </c>
      <c r="B169" s="773"/>
      <c r="C169" s="773" t="s">
        <v>247</v>
      </c>
      <c r="D169" s="773"/>
      <c r="E169" s="773"/>
      <c r="F169" s="773"/>
      <c r="G169" s="967" t="s">
        <v>385</v>
      </c>
      <c r="H169" s="967" t="str">
        <f t="shared" si="9"/>
        <v>Content Strategist</v>
      </c>
      <c r="I169" t="str">
        <f t="shared" si="10"/>
        <v>IndiaContent Strategist</v>
      </c>
      <c r="J169" t="str">
        <f t="shared" si="11"/>
        <v>IndiaUKContent Strategist</v>
      </c>
      <c r="K169" cm="1">
        <f t="array" ref="K169">_xlfn.IFS(A169="Canada",4,A169="India",5,A169="UK",6,A169="USA",7,A169="EU",8)</f>
        <v>5</v>
      </c>
      <c r="L169" s="662">
        <f>VLOOKUP(H169,'StdCosts and StdRates'!$A$41:$H$86,K169,FALSE)</f>
        <v>7200</v>
      </c>
      <c r="M169" s="662" cm="1">
        <f t="array" ref="M169">_xlfn.XLOOKUP(C169&amp;A169,FX!$A$2:$A$26&amp;FX!$B$2:$B$26,FX!$C$2:$C$26)</f>
        <v>106.23399999999999</v>
      </c>
      <c r="N169" cm="1">
        <f t="array" ref="N169">_xlfn.IFS(C169="Canada",2,C169="India",3,C169="UK",4,C169="USA",5,C169="EU",6)</f>
        <v>4</v>
      </c>
      <c r="O169" s="662">
        <f>VLOOKUP(G169,'StdCosts and StdRates'!$A$17:$E$36,N169,FALSE)*M169</f>
        <v>8604.9539999999997</v>
      </c>
      <c r="P169"/>
      <c r="R169" s="967"/>
    </row>
    <row r="170" spans="1:18">
      <c r="A170" s="773" t="s">
        <v>227</v>
      </c>
      <c r="B170" s="773"/>
      <c r="C170" s="773" t="s">
        <v>736</v>
      </c>
      <c r="D170" s="773"/>
      <c r="E170" s="773"/>
      <c r="F170" s="773"/>
      <c r="G170" s="967" t="s">
        <v>385</v>
      </c>
      <c r="H170" s="967" t="str">
        <f t="shared" si="9"/>
        <v>Content Strategist</v>
      </c>
      <c r="I170" t="str">
        <f t="shared" si="10"/>
        <v>IndiaContent Strategist</v>
      </c>
      <c r="J170" t="str">
        <f t="shared" si="11"/>
        <v>IndiaEUContent Strategist</v>
      </c>
      <c r="K170" cm="1">
        <f t="array" ref="K170">_xlfn.IFS(A170="Canada",4,A170="India",5,A170="UK",6,A170="USA",7,A170="EU",8)</f>
        <v>5</v>
      </c>
      <c r="L170" s="662">
        <f>VLOOKUP(H170,'StdCosts and StdRates'!$A$41:$H$86,K170,FALSE)</f>
        <v>7200</v>
      </c>
      <c r="M170" s="662" cm="1">
        <f t="array" ref="M170">_xlfn.XLOOKUP(C170&amp;A170,FX!$A$2:$A$26&amp;FX!$B$2:$B$26,FX!$C$2:$C$26)</f>
        <v>90.405100000000004</v>
      </c>
      <c r="N170" cm="1">
        <f t="array" ref="N170">_xlfn.IFS(C170="Canada",2,C170="India",3,C170="UK",4,C170="USA",5,C170="EU",6)</f>
        <v>6</v>
      </c>
      <c r="O170" s="662" t="e">
        <f>VLOOKUP(G170,'StdCosts and StdRates'!$A$17:$E$36,N170,FALSE)*M170</f>
        <v>#REF!</v>
      </c>
      <c r="P170"/>
      <c r="R170" s="967"/>
    </row>
    <row r="171" spans="1:18">
      <c r="A171" s="773" t="s">
        <v>227</v>
      </c>
      <c r="B171" s="773" t="s">
        <v>227</v>
      </c>
      <c r="C171" s="773" t="s">
        <v>227</v>
      </c>
      <c r="D171" s="773"/>
      <c r="E171" s="773"/>
      <c r="F171" s="773"/>
      <c r="G171" s="967" t="s">
        <v>385</v>
      </c>
      <c r="H171" s="967" t="str">
        <f t="shared" si="9"/>
        <v>IndiaContent Strategist</v>
      </c>
      <c r="I171" t="str">
        <f t="shared" si="10"/>
        <v>IndiaIndiaContent Strategist</v>
      </c>
      <c r="J171" t="str">
        <f t="shared" si="11"/>
        <v>IndiaIndiaContent Strategist</v>
      </c>
      <c r="K171" cm="1">
        <f t="array" ref="K171">_xlfn.IFS(A171="Canada",4,A171="India",5,A171="UK",6,A171="USA",7,A171="EU",8)</f>
        <v>5</v>
      </c>
      <c r="L171" s="662">
        <f>VLOOKUP(H171,'StdCosts and StdRates'!$A$41:$H$86,K171,FALSE)</f>
        <v>7200</v>
      </c>
      <c r="M171" s="662" cm="1">
        <f t="array" ref="M171">_xlfn.XLOOKUP(C171&amp;A171,FX!$A$2:$A$26&amp;FX!$B$2:$B$26,FX!$C$2:$C$26)</f>
        <v>1</v>
      </c>
      <c r="N171" cm="1">
        <f t="array" ref="N171">_xlfn.IFS(C171="Canada",2,C171="India",3,C171="UK",4,C171="USA",5,C171="EU",6)</f>
        <v>3</v>
      </c>
      <c r="O171" s="662">
        <f>VLOOKUP(G171,'StdCosts and StdRates'!$A$17:$E$36,N171,FALSE)*M171</f>
        <v>1952</v>
      </c>
      <c r="P171"/>
      <c r="R171" s="967"/>
    </row>
    <row r="172" spans="1:18">
      <c r="A172" s="773" t="s">
        <v>736</v>
      </c>
      <c r="B172" s="773"/>
      <c r="C172" s="773" t="s">
        <v>308</v>
      </c>
      <c r="D172" s="773"/>
      <c r="E172" s="773"/>
      <c r="F172" s="773"/>
      <c r="G172" s="967" t="s">
        <v>385</v>
      </c>
      <c r="H172" s="967" t="str">
        <f t="shared" si="9"/>
        <v>Content Strategist</v>
      </c>
      <c r="I172" t="str">
        <f t="shared" si="10"/>
        <v>EUContent Strategist</v>
      </c>
      <c r="J172" t="str">
        <f t="shared" si="11"/>
        <v>EUUSAContent Strategist</v>
      </c>
      <c r="K172" cm="1">
        <f t="array" ref="K172">_xlfn.IFS(A172="Canada",4,A172="India",5,A172="UK",6,A172="USA",7,A172="EU",8)</f>
        <v>8</v>
      </c>
      <c r="L172" s="662">
        <f>VLOOKUP(H172,'StdCosts and StdRates'!$A$41:$H$86,K172,FALSE)</f>
        <v>179</v>
      </c>
      <c r="M172" s="662" cm="1">
        <f t="array" ref="M172">_xlfn.XLOOKUP(C172&amp;A172,FX!$A$2:$A$26&amp;FX!$B$2:$B$26,FX!$C$2:$C$26)</f>
        <v>0.91986999999999997</v>
      </c>
      <c r="N172" cm="1">
        <f t="array" ref="N172">_xlfn.IFS(C172="Canada",2,C172="India",3,C172="UK",4,C172="USA",5,C172="EU",6)</f>
        <v>5</v>
      </c>
      <c r="O172" s="662">
        <f>VLOOKUP(G172,'StdCosts and StdRates'!$A$17:$E$36,N172,FALSE)*M172</f>
        <v>139.82023999999998</v>
      </c>
      <c r="P172"/>
      <c r="R172" s="967"/>
    </row>
    <row r="173" spans="1:18">
      <c r="A173" s="773" t="s">
        <v>736</v>
      </c>
      <c r="B173" s="773"/>
      <c r="C173" s="773" t="s">
        <v>405</v>
      </c>
      <c r="D173" s="773"/>
      <c r="E173" s="773"/>
      <c r="F173" s="773"/>
      <c r="G173" s="967" t="s">
        <v>385</v>
      </c>
      <c r="H173" s="967" t="str">
        <f t="shared" si="9"/>
        <v>Content Strategist</v>
      </c>
      <c r="I173" t="str">
        <f t="shared" si="10"/>
        <v>EUContent Strategist</v>
      </c>
      <c r="J173" t="str">
        <f t="shared" si="11"/>
        <v>EUCanadaContent Strategist</v>
      </c>
      <c r="K173" cm="1">
        <f t="array" ref="K173">_xlfn.IFS(A173="Canada",4,A173="India",5,A173="UK",6,A173="USA",7,A173="EU",8)</f>
        <v>8</v>
      </c>
      <c r="L173" s="662">
        <f>VLOOKUP(H173,'StdCosts and StdRates'!$A$41:$H$86,K173,FALSE)</f>
        <v>179</v>
      </c>
      <c r="M173" s="662" cm="1">
        <f t="array" ref="M173">_xlfn.XLOOKUP(C173&amp;A173,FX!$A$2:$A$26&amp;FX!$B$2:$B$26,FX!$C$2:$C$26)</f>
        <v>0.67474000000000001</v>
      </c>
      <c r="N173" cm="1">
        <f t="array" ref="N173">_xlfn.IFS(C173="Canada",2,C173="India",3,C173="UK",4,C173="USA",5,C173="EU",6)</f>
        <v>2</v>
      </c>
      <c r="O173" s="662">
        <f>VLOOKUP(G173,'StdCosts and StdRates'!$A$17:$E$36,N173,FALSE)*M173</f>
        <v>87.041460000000001</v>
      </c>
      <c r="P173"/>
      <c r="R173" s="967"/>
    </row>
    <row r="174" spans="1:18">
      <c r="A174" s="773" t="s">
        <v>736</v>
      </c>
      <c r="B174" s="773"/>
      <c r="C174" s="773" t="s">
        <v>247</v>
      </c>
      <c r="D174" s="773"/>
      <c r="E174" s="773"/>
      <c r="F174" s="773"/>
      <c r="G174" s="967" t="s">
        <v>385</v>
      </c>
      <c r="H174" s="967" t="str">
        <f t="shared" si="9"/>
        <v>Content Strategist</v>
      </c>
      <c r="I174" t="str">
        <f t="shared" si="10"/>
        <v>EUContent Strategist</v>
      </c>
      <c r="J174" t="str">
        <f t="shared" si="11"/>
        <v>EUUKContent Strategist</v>
      </c>
      <c r="K174" cm="1">
        <f t="array" ref="K174">_xlfn.IFS(A174="Canada",4,A174="India",5,A174="UK",6,A174="USA",7,A174="EU",8)</f>
        <v>8</v>
      </c>
      <c r="L174" s="662">
        <f>VLOOKUP(H174,'StdCosts and StdRates'!$A$41:$H$86,K174,FALSE)</f>
        <v>179</v>
      </c>
      <c r="M174" s="662" cm="1">
        <f t="array" ref="M174">_xlfn.XLOOKUP(C174&amp;A174,FX!$A$2:$A$26&amp;FX!$B$2:$B$26,FX!$C$2:$C$26)</f>
        <v>1.1749799999999999</v>
      </c>
      <c r="N174" cm="1">
        <f t="array" ref="N174">_xlfn.IFS(C174="Canada",2,C174="India",3,C174="UK",4,C174="USA",5,C174="EU",6)</f>
        <v>4</v>
      </c>
      <c r="O174" s="662">
        <f>VLOOKUP(G174,'StdCosts and StdRates'!$A$17:$E$36,N174,FALSE)*M174</f>
        <v>95.173379999999995</v>
      </c>
      <c r="P174"/>
      <c r="R174" s="967"/>
    </row>
    <row r="175" spans="1:18">
      <c r="A175" s="773" t="s">
        <v>736</v>
      </c>
      <c r="B175" s="773"/>
      <c r="C175" s="773" t="s">
        <v>736</v>
      </c>
      <c r="D175" s="773"/>
      <c r="E175" s="773"/>
      <c r="F175" s="773"/>
      <c r="G175" s="967" t="s">
        <v>385</v>
      </c>
      <c r="H175" s="967" t="str">
        <f t="shared" si="9"/>
        <v>Content Strategist</v>
      </c>
      <c r="I175" t="str">
        <f t="shared" si="10"/>
        <v>EUContent Strategist</v>
      </c>
      <c r="J175" t="str">
        <f t="shared" si="11"/>
        <v>EUEUContent Strategist</v>
      </c>
      <c r="K175" cm="1">
        <f t="array" ref="K175">_xlfn.IFS(A175="Canada",4,A175="India",5,A175="UK",6,A175="USA",7,A175="EU",8)</f>
        <v>8</v>
      </c>
      <c r="L175" s="662">
        <f>VLOOKUP(H175,'StdCosts and StdRates'!$A$41:$H$86,K175,FALSE)</f>
        <v>179</v>
      </c>
      <c r="M175" s="662" cm="1">
        <f t="array" ref="M175">_xlfn.XLOOKUP(C175&amp;A175,FX!$A$2:$A$26&amp;FX!$B$2:$B$26,FX!$C$2:$C$26)</f>
        <v>1</v>
      </c>
      <c r="N175" cm="1">
        <f t="array" ref="N175">_xlfn.IFS(C175="Canada",2,C175="India",3,C175="UK",4,C175="USA",5,C175="EU",6)</f>
        <v>6</v>
      </c>
      <c r="O175" s="662" t="e">
        <f>VLOOKUP(G175,'StdCosts and StdRates'!$A$17:$E$36,N175,FALSE)*M175</f>
        <v>#REF!</v>
      </c>
      <c r="P175"/>
      <c r="R175" s="967"/>
    </row>
    <row r="176" spans="1:18">
      <c r="A176" s="773" t="s">
        <v>736</v>
      </c>
      <c r="B176" s="773" t="s">
        <v>227</v>
      </c>
      <c r="C176" s="773" t="s">
        <v>227</v>
      </c>
      <c r="D176" s="773"/>
      <c r="E176" s="773"/>
      <c r="F176" s="773"/>
      <c r="G176" s="967" t="s">
        <v>385</v>
      </c>
      <c r="H176" s="967" t="str">
        <f t="shared" si="9"/>
        <v>IndiaContent Strategist</v>
      </c>
      <c r="I176" t="str">
        <f t="shared" si="10"/>
        <v>EUIndiaContent Strategist</v>
      </c>
      <c r="J176" t="str">
        <f t="shared" si="11"/>
        <v>EUIndiaContent Strategist</v>
      </c>
      <c r="K176" cm="1">
        <f t="array" ref="K176">_xlfn.IFS(A176="Canada",4,A176="India",5,A176="UK",6,A176="USA",7,A176="EU",8)</f>
        <v>8</v>
      </c>
      <c r="L176" s="662">
        <f>VLOOKUP(H176,'StdCosts and StdRates'!$A$41:$H$86,K176,FALSE)</f>
        <v>79</v>
      </c>
      <c r="M176" s="662" cm="1">
        <f t="array" ref="M176">_xlfn.XLOOKUP(C176&amp;A176,FX!$A$2:$A$26&amp;FX!$B$2:$B$26,FX!$C$2:$C$26)</f>
        <v>1.106E-2</v>
      </c>
      <c r="N176" cm="1">
        <f t="array" ref="N176">_xlfn.IFS(C176="Canada",2,C176="India",3,C176="UK",4,C176="USA",5,C176="EU",6)</f>
        <v>3</v>
      </c>
      <c r="O176" s="662">
        <f>VLOOKUP(G176,'StdCosts and StdRates'!$A$17:$E$36,N176,FALSE)*M176</f>
        <v>21.589120000000001</v>
      </c>
      <c r="P176"/>
      <c r="R176" s="967"/>
    </row>
    <row r="177" spans="1:18">
      <c r="A177" s="773" t="s">
        <v>308</v>
      </c>
      <c r="B177" s="773"/>
      <c r="C177" s="773" t="s">
        <v>308</v>
      </c>
      <c r="D177" s="773"/>
      <c r="E177" s="773"/>
      <c r="F177" s="773"/>
      <c r="G177" s="967" t="s">
        <v>737</v>
      </c>
      <c r="H177" s="967" t="str">
        <f t="shared" si="9"/>
        <v>Designer</v>
      </c>
      <c r="I177" t="str">
        <f t="shared" si="10"/>
        <v>USADesigner</v>
      </c>
      <c r="J177" t="str">
        <f t="shared" si="11"/>
        <v>USAUSADesigner</v>
      </c>
      <c r="K177" cm="1">
        <f t="array" ref="K177">_xlfn.IFS(A177="Canada",4,A177="India",5,A177="UK",6,A177="USA",7,A177="EU",8)</f>
        <v>7</v>
      </c>
      <c r="L177" s="662">
        <f>VLOOKUP(H177,'StdCosts and StdRates'!$A$41:$H$86,K177,FALSE)</f>
        <v>239</v>
      </c>
      <c r="M177" s="662" cm="1">
        <f t="array" ref="M177">_xlfn.XLOOKUP(C177&amp;A177,FX!$A$2:$A$26&amp;FX!$B$2:$B$26,FX!$C$2:$C$26)</f>
        <v>1</v>
      </c>
      <c r="N177" cm="1">
        <f t="array" ref="N177">_xlfn.IFS(C177="Canada",2,C177="India",3,C177="UK",4,C177="USA",5,C177="EU",6)</f>
        <v>5</v>
      </c>
      <c r="O177" s="662">
        <f>VLOOKUP(G177,'StdCosts and StdRates'!$A$17:$E$36,N177,FALSE)*M177</f>
        <v>102</v>
      </c>
      <c r="P177"/>
      <c r="R177" s="967"/>
    </row>
    <row r="178" spans="1:18">
      <c r="A178" s="773" t="s">
        <v>308</v>
      </c>
      <c r="B178" s="773"/>
      <c r="C178" s="773" t="s">
        <v>405</v>
      </c>
      <c r="D178" s="773"/>
      <c r="E178" s="773"/>
      <c r="F178" s="773"/>
      <c r="G178" s="967" t="s">
        <v>737</v>
      </c>
      <c r="H178" s="967" t="str">
        <f t="shared" si="9"/>
        <v>Designer</v>
      </c>
      <c r="I178" t="str">
        <f t="shared" si="10"/>
        <v>USADesigner</v>
      </c>
      <c r="J178" t="str">
        <f t="shared" si="11"/>
        <v>USACanadaDesigner</v>
      </c>
      <c r="K178" cm="1">
        <f t="array" ref="K178">_xlfn.IFS(A178="Canada",4,A178="India",5,A178="UK",6,A178="USA",7,A178="EU",8)</f>
        <v>7</v>
      </c>
      <c r="L178" s="662">
        <f>VLOOKUP(H178,'StdCosts and StdRates'!$A$41:$H$86,K178,FALSE)</f>
        <v>239</v>
      </c>
      <c r="M178" s="662" cm="1">
        <f t="array" ref="M178">_xlfn.XLOOKUP(C178&amp;A178,FX!$A$2:$A$26&amp;FX!$B$2:$B$26,FX!$C$2:$C$26)</f>
        <v>0.73351999999999995</v>
      </c>
      <c r="N178" cm="1">
        <f t="array" ref="N178">_xlfn.IFS(C178="Canada",2,C178="India",3,C178="UK",4,C178="USA",5,C178="EU",6)</f>
        <v>2</v>
      </c>
      <c r="O178" s="662">
        <f>VLOOKUP(G178,'StdCosts and StdRates'!$A$17:$E$36,N178,FALSE)*M178</f>
        <v>110.76151999999999</v>
      </c>
      <c r="P178"/>
      <c r="R178" s="967"/>
    </row>
    <row r="179" spans="1:18">
      <c r="A179" s="773" t="s">
        <v>308</v>
      </c>
      <c r="B179" s="773"/>
      <c r="C179" s="773" t="s">
        <v>247</v>
      </c>
      <c r="D179" s="773"/>
      <c r="E179" s="773"/>
      <c r="F179" s="773"/>
      <c r="G179" s="967" t="s">
        <v>737</v>
      </c>
      <c r="H179" s="967" t="str">
        <f t="shared" si="9"/>
        <v>Designer</v>
      </c>
      <c r="I179" t="str">
        <f t="shared" si="10"/>
        <v>USADesigner</v>
      </c>
      <c r="J179" t="str">
        <f t="shared" si="11"/>
        <v>USAUKDesigner</v>
      </c>
      <c r="K179" cm="1">
        <f t="array" ref="K179">_xlfn.IFS(A179="Canada",4,A179="India",5,A179="UK",6,A179="USA",7,A179="EU",8)</f>
        <v>7</v>
      </c>
      <c r="L179" s="662">
        <f>VLOOKUP(H179,'StdCosts and StdRates'!$A$41:$H$86,K179,FALSE)</f>
        <v>239</v>
      </c>
      <c r="M179" s="662" cm="1">
        <f t="array" ref="M179">_xlfn.XLOOKUP(C179&amp;A179,FX!$A$2:$A$26&amp;FX!$B$2:$B$26,FX!$C$2:$C$26)</f>
        <v>1.2772699999999999</v>
      </c>
      <c r="N179" cm="1">
        <f t="array" ref="N179">_xlfn.IFS(C179="Canada",2,C179="India",3,C179="UK",4,C179="USA",5,C179="EU",6)</f>
        <v>4</v>
      </c>
      <c r="O179" s="662">
        <f>VLOOKUP(G179,'StdCosts and StdRates'!$A$17:$E$36,N179,FALSE)*M179</f>
        <v>103.45886999999999</v>
      </c>
      <c r="P179"/>
      <c r="R179" s="967"/>
    </row>
    <row r="180" spans="1:18">
      <c r="A180" s="773" t="s">
        <v>308</v>
      </c>
      <c r="B180" s="773"/>
      <c r="C180" s="773" t="s">
        <v>736</v>
      </c>
      <c r="D180" s="773"/>
      <c r="E180" s="773"/>
      <c r="F180" s="773"/>
      <c r="G180" s="967" t="s">
        <v>737</v>
      </c>
      <c r="H180" s="967" t="str">
        <f t="shared" si="9"/>
        <v>Designer</v>
      </c>
      <c r="I180" t="str">
        <f t="shared" si="10"/>
        <v>USADesigner</v>
      </c>
      <c r="J180" t="str">
        <f t="shared" si="11"/>
        <v>USAEUDesigner</v>
      </c>
      <c r="K180" cm="1">
        <f t="array" ref="K180">_xlfn.IFS(A180="Canada",4,A180="India",5,A180="UK",6,A180="USA",7,A180="EU",8)</f>
        <v>7</v>
      </c>
      <c r="L180" s="662">
        <f>VLOOKUP(H180,'StdCosts and StdRates'!$A$41:$H$86,K180,FALSE)</f>
        <v>239</v>
      </c>
      <c r="M180" s="662" cm="1">
        <f t="array" ref="M180">_xlfn.XLOOKUP(C180&amp;A180,FX!$A$2:$A$26&amp;FX!$B$2:$B$26,FX!$C$2:$C$26)</f>
        <v>1.0869599999999999</v>
      </c>
      <c r="N180" cm="1">
        <f t="array" ref="N180">_xlfn.IFS(C180="Canada",2,C180="India",3,C180="UK",4,C180="USA",5,C180="EU",6)</f>
        <v>6</v>
      </c>
      <c r="O180" s="662" t="e">
        <f>VLOOKUP(G180,'StdCosts and StdRates'!$A$17:$E$36,N180,FALSE)*M180</f>
        <v>#REF!</v>
      </c>
      <c r="P180"/>
    </row>
    <row r="181" spans="1:18">
      <c r="A181" s="773" t="s">
        <v>308</v>
      </c>
      <c r="B181" s="773" t="s">
        <v>227</v>
      </c>
      <c r="C181" s="773" t="s">
        <v>227</v>
      </c>
      <c r="D181" s="773"/>
      <c r="E181" s="773"/>
      <c r="F181" s="773"/>
      <c r="G181" s="967" t="s">
        <v>737</v>
      </c>
      <c r="H181" s="967" t="str">
        <f t="shared" si="9"/>
        <v>IndiaDesigner</v>
      </c>
      <c r="I181" t="str">
        <f t="shared" si="10"/>
        <v>USAIndiaDesigner</v>
      </c>
      <c r="J181" t="str">
        <f t="shared" si="11"/>
        <v>USAIndiaDesigner</v>
      </c>
      <c r="K181" cm="1">
        <f t="array" ref="K181">_xlfn.IFS(A181="Canada",4,A181="India",5,A181="UK",6,A181="USA",7,A181="EU",8)</f>
        <v>7</v>
      </c>
      <c r="L181" s="662">
        <f>VLOOKUP(H181,'StdCosts and StdRates'!$A$41:$H$86,K181,FALSE)</f>
        <v>95</v>
      </c>
      <c r="M181" s="662" cm="1">
        <f t="array" ref="M181">_xlfn.XLOOKUP(C181&amp;A181,FX!$A$2:$A$26&amp;FX!$B$2:$B$26,FX!$C$2:$C$26)</f>
        <v>1.2019999999999999E-2</v>
      </c>
      <c r="N181" cm="1">
        <f t="array" ref="N181">_xlfn.IFS(C181="Canada",2,C181="India",3,C181="UK",4,C181="USA",5,C181="EU",6)</f>
        <v>3</v>
      </c>
      <c r="O181" s="662">
        <f>VLOOKUP(G181,'StdCosts and StdRates'!$A$17:$E$36,N181,FALSE)*M181</f>
        <v>22.72982</v>
      </c>
      <c r="P181"/>
    </row>
    <row r="182" spans="1:18">
      <c r="A182" s="773" t="s">
        <v>405</v>
      </c>
      <c r="B182" s="773"/>
      <c r="C182" s="773" t="s">
        <v>308</v>
      </c>
      <c r="D182" s="773"/>
      <c r="E182" s="773"/>
      <c r="F182" s="773"/>
      <c r="G182" s="967" t="s">
        <v>737</v>
      </c>
      <c r="H182" s="967" t="str">
        <f t="shared" si="9"/>
        <v>Designer</v>
      </c>
      <c r="I182" t="str">
        <f t="shared" si="10"/>
        <v>CanadaDesigner</v>
      </c>
      <c r="J182" t="str">
        <f t="shared" si="11"/>
        <v>CanadaUSADesigner</v>
      </c>
      <c r="K182" cm="1">
        <f t="array" ref="K182">_xlfn.IFS(A182="Canada",4,A182="India",5,A182="UK",6,A182="USA",7,A182="EU",8)</f>
        <v>4</v>
      </c>
      <c r="L182" s="662">
        <f>VLOOKUP(H182,'StdCosts and StdRates'!$A$41:$H$86,K182,FALSE)</f>
        <v>259</v>
      </c>
      <c r="M182" s="662" cm="1">
        <f t="array" ref="M182">_xlfn.XLOOKUP(C182&amp;A182,FX!$A$2:$A$26&amp;FX!$B$2:$B$26,FX!$C$2:$C$26)</f>
        <v>1.36311</v>
      </c>
      <c r="N182" cm="1">
        <f t="array" ref="N182">_xlfn.IFS(C182="Canada",2,C182="India",3,C182="UK",4,C182="USA",5,C182="EU",6)</f>
        <v>5</v>
      </c>
      <c r="O182" s="662">
        <f>VLOOKUP(G182,'StdCosts and StdRates'!$A$17:$E$36,N182,FALSE)*M182</f>
        <v>139.03721999999999</v>
      </c>
      <c r="P182"/>
    </row>
    <row r="183" spans="1:18">
      <c r="A183" s="773" t="s">
        <v>405</v>
      </c>
      <c r="B183" s="773"/>
      <c r="C183" s="773" t="s">
        <v>405</v>
      </c>
      <c r="D183" s="773"/>
      <c r="E183" s="773"/>
      <c r="F183" s="773"/>
      <c r="G183" s="967" t="s">
        <v>737</v>
      </c>
      <c r="H183" s="967" t="str">
        <f t="shared" si="9"/>
        <v>Designer</v>
      </c>
      <c r="I183" t="str">
        <f t="shared" si="10"/>
        <v>CanadaDesigner</v>
      </c>
      <c r="J183" t="str">
        <f t="shared" si="11"/>
        <v>CanadaCanadaDesigner</v>
      </c>
      <c r="K183" cm="1">
        <f t="array" ref="K183">_xlfn.IFS(A183="Canada",4,A183="India",5,A183="UK",6,A183="USA",7,A183="EU",8)</f>
        <v>4</v>
      </c>
      <c r="L183" s="662">
        <f>VLOOKUP(H183,'StdCosts and StdRates'!$A$41:$H$86,K183,FALSE)</f>
        <v>259</v>
      </c>
      <c r="M183" s="662" cm="1">
        <f t="array" ref="M183">_xlfn.XLOOKUP(C183&amp;A183,FX!$A$2:$A$26&amp;FX!$B$2:$B$26,FX!$C$2:$C$26)</f>
        <v>1</v>
      </c>
      <c r="N183" cm="1">
        <f t="array" ref="N183">_xlfn.IFS(C183="Canada",2,C183="India",3,C183="UK",4,C183="USA",5,C183="EU",6)</f>
        <v>2</v>
      </c>
      <c r="O183" s="662">
        <f>VLOOKUP(G183,'StdCosts and StdRates'!$A$17:$E$36,N183,FALSE)*M183</f>
        <v>151</v>
      </c>
      <c r="P183"/>
    </row>
    <row r="184" spans="1:18">
      <c r="A184" s="773" t="s">
        <v>405</v>
      </c>
      <c r="B184" s="773"/>
      <c r="C184" s="773" t="s">
        <v>247</v>
      </c>
      <c r="D184" s="773"/>
      <c r="E184" s="773"/>
      <c r="F184" s="773"/>
      <c r="G184" s="967" t="s">
        <v>737</v>
      </c>
      <c r="H184" s="967" t="str">
        <f t="shared" si="9"/>
        <v>Designer</v>
      </c>
      <c r="I184" t="str">
        <f t="shared" si="10"/>
        <v>CanadaDesigner</v>
      </c>
      <c r="J184" t="str">
        <f t="shared" si="11"/>
        <v>CanadaUKDesigner</v>
      </c>
      <c r="K184" cm="1">
        <f t="array" ref="K184">_xlfn.IFS(A184="Canada",4,A184="India",5,A184="UK",6,A184="USA",7,A184="EU",8)</f>
        <v>4</v>
      </c>
      <c r="L184" s="662">
        <f>VLOOKUP(H184,'StdCosts and StdRates'!$A$41:$H$86,K184,FALSE)</f>
        <v>259</v>
      </c>
      <c r="M184" s="662" cm="1">
        <f t="array" ref="M184">_xlfn.XLOOKUP(C184&amp;A184,FX!$A$2:$A$26&amp;FX!$B$2:$B$26,FX!$C$2:$C$26)</f>
        <v>1.7410699999999999</v>
      </c>
      <c r="N184" cm="1">
        <f t="array" ref="N184">_xlfn.IFS(C184="Canada",2,C184="India",3,C184="UK",4,C184="USA",5,C184="EU",6)</f>
        <v>4</v>
      </c>
      <c r="O184" s="662">
        <f>VLOOKUP(G184,'StdCosts and StdRates'!$A$17:$E$36,N184,FALSE)*M184</f>
        <v>141.02667</v>
      </c>
      <c r="P184"/>
    </row>
    <row r="185" spans="1:18">
      <c r="A185" s="773" t="s">
        <v>405</v>
      </c>
      <c r="B185" s="773"/>
      <c r="C185" s="773" t="s">
        <v>736</v>
      </c>
      <c r="D185" s="773"/>
      <c r="E185" s="773"/>
      <c r="F185" s="773"/>
      <c r="G185" s="967" t="s">
        <v>737</v>
      </c>
      <c r="H185" s="967" t="str">
        <f t="shared" si="9"/>
        <v>Designer</v>
      </c>
      <c r="I185" t="str">
        <f t="shared" si="10"/>
        <v>CanadaDesigner</v>
      </c>
      <c r="J185" t="str">
        <f t="shared" si="11"/>
        <v>CanadaEUDesigner</v>
      </c>
      <c r="K185" cm="1">
        <f t="array" ref="K185">_xlfn.IFS(A185="Canada",4,A185="India",5,A185="UK",6,A185="USA",7,A185="EU",8)</f>
        <v>4</v>
      </c>
      <c r="L185" s="662">
        <f>VLOOKUP(H185,'StdCosts and StdRates'!$A$41:$H$86,K185,FALSE)</f>
        <v>259</v>
      </c>
      <c r="M185" s="662" cm="1">
        <f t="array" ref="M185">_xlfn.XLOOKUP(C185&amp;A185,FX!$A$2:$A$26&amp;FX!$B$2:$B$26,FX!$C$2:$C$26)</f>
        <v>1.4816499999999999</v>
      </c>
      <c r="N185" cm="1">
        <f t="array" ref="N185">_xlfn.IFS(C185="Canada",2,C185="India",3,C185="UK",4,C185="USA",5,C185="EU",6)</f>
        <v>6</v>
      </c>
      <c r="O185" s="662" t="e">
        <f>VLOOKUP(G185,'StdCosts and StdRates'!$A$17:$E$36,N185,FALSE)*M185</f>
        <v>#REF!</v>
      </c>
      <c r="P185"/>
    </row>
    <row r="186" spans="1:18">
      <c r="A186" s="773" t="s">
        <v>405</v>
      </c>
      <c r="B186" s="773" t="s">
        <v>227</v>
      </c>
      <c r="C186" s="773" t="s">
        <v>227</v>
      </c>
      <c r="D186" s="773"/>
      <c r="E186" s="773"/>
      <c r="F186" s="773"/>
      <c r="G186" s="967" t="s">
        <v>737</v>
      </c>
      <c r="H186" s="967" t="str">
        <f t="shared" si="9"/>
        <v>IndiaDesigner</v>
      </c>
      <c r="I186" t="str">
        <f t="shared" si="10"/>
        <v>CanadaIndiaDesigner</v>
      </c>
      <c r="J186" t="str">
        <f t="shared" si="11"/>
        <v>CanadaIndiaDesigner</v>
      </c>
      <c r="K186" cm="1">
        <f t="array" ref="K186">_xlfn.IFS(A186="Canada",4,A186="India",5,A186="UK",6,A186="USA",7,A186="EU",8)</f>
        <v>4</v>
      </c>
      <c r="L186" s="662">
        <f>VLOOKUP(H186,'StdCosts and StdRates'!$A$41:$H$86,K186,FALSE)</f>
        <v>119</v>
      </c>
      <c r="M186" s="662" cm="1">
        <f t="array" ref="M186">_xlfn.XLOOKUP(C186&amp;A186,FX!$A$2:$A$26&amp;FX!$B$2:$B$26,FX!$C$2:$C$26)</f>
        <v>1.6389999999999998E-2</v>
      </c>
      <c r="N186" cm="1">
        <f t="array" ref="N186">_xlfn.IFS(C186="Canada",2,C186="India",3,C186="UK",4,C186="USA",5,C186="EU",6)</f>
        <v>3</v>
      </c>
      <c r="O186" s="662">
        <f>VLOOKUP(G186,'StdCosts and StdRates'!$A$17:$E$36,N186,FALSE)*M186</f>
        <v>30.993489999999998</v>
      </c>
      <c r="P186"/>
    </row>
    <row r="187" spans="1:18">
      <c r="A187" s="773" t="s">
        <v>247</v>
      </c>
      <c r="B187" s="773"/>
      <c r="C187" s="773" t="s">
        <v>308</v>
      </c>
      <c r="D187" s="773"/>
      <c r="E187" s="773"/>
      <c r="F187" s="773"/>
      <c r="G187" s="967" t="s">
        <v>737</v>
      </c>
      <c r="H187" s="967" t="str">
        <f t="shared" si="9"/>
        <v>Designer</v>
      </c>
      <c r="I187" t="str">
        <f t="shared" si="10"/>
        <v>UKDesigner</v>
      </c>
      <c r="J187" t="str">
        <f t="shared" si="11"/>
        <v>UKUSADesigner</v>
      </c>
      <c r="K187" cm="1">
        <f t="array" ref="K187">_xlfn.IFS(A187="Canada",4,A187="India",5,A187="UK",6,A187="USA",7,A187="EU",8)</f>
        <v>6</v>
      </c>
      <c r="L187" s="662">
        <f>VLOOKUP(H187,'StdCosts and StdRates'!$A$41:$H$86,K187,FALSE)</f>
        <v>155</v>
      </c>
      <c r="M187" s="662" cm="1">
        <f t="array" ref="M187">_xlfn.XLOOKUP(C187&amp;A187,FX!$A$2:$A$26&amp;FX!$B$2:$B$26,FX!$C$2:$C$26)</f>
        <v>0.78280000000000005</v>
      </c>
      <c r="N187" cm="1">
        <f t="array" ref="N187">_xlfn.IFS(C187="Canada",2,C187="India",3,C187="UK",4,C187="USA",5,C187="EU",6)</f>
        <v>5</v>
      </c>
      <c r="O187" s="662">
        <f>VLOOKUP(G187,'StdCosts and StdRates'!$A$17:$E$36,N187,FALSE)*M187</f>
        <v>79.845600000000005</v>
      </c>
      <c r="P187"/>
    </row>
    <row r="188" spans="1:18">
      <c r="A188" s="773" t="s">
        <v>247</v>
      </c>
      <c r="B188" s="773"/>
      <c r="C188" s="773" t="s">
        <v>405</v>
      </c>
      <c r="D188" s="773"/>
      <c r="E188" s="773"/>
      <c r="F188" s="773"/>
      <c r="G188" s="967" t="s">
        <v>737</v>
      </c>
      <c r="H188" s="967" t="str">
        <f t="shared" si="9"/>
        <v>Designer</v>
      </c>
      <c r="I188" t="str">
        <f t="shared" si="10"/>
        <v>UKDesigner</v>
      </c>
      <c r="J188" t="str">
        <f t="shared" si="11"/>
        <v>UKCanadaDesigner</v>
      </c>
      <c r="K188" cm="1">
        <f t="array" ref="K188">_xlfn.IFS(A188="Canada",4,A188="India",5,A188="UK",6,A188="USA",7,A188="EU",8)</f>
        <v>6</v>
      </c>
      <c r="L188" s="662">
        <f>VLOOKUP(H188,'StdCosts and StdRates'!$A$41:$H$86,K188,FALSE)</f>
        <v>155</v>
      </c>
      <c r="M188" s="662" cm="1">
        <f t="array" ref="M188">_xlfn.XLOOKUP(C188&amp;A188,FX!$A$2:$A$26&amp;FX!$B$2:$B$26,FX!$C$2:$C$26)</f>
        <v>0.57420000000000004</v>
      </c>
      <c r="N188" cm="1">
        <f t="array" ref="N188">_xlfn.IFS(C188="Canada",2,C188="India",3,C188="UK",4,C188="USA",5,C188="EU",6)</f>
        <v>2</v>
      </c>
      <c r="O188" s="662">
        <f>VLOOKUP(G188,'StdCosts and StdRates'!$A$17:$E$36,N188,FALSE)*M188</f>
        <v>86.7042</v>
      </c>
      <c r="P188"/>
    </row>
    <row r="189" spans="1:18">
      <c r="A189" s="773" t="s">
        <v>247</v>
      </c>
      <c r="B189" s="773"/>
      <c r="C189" s="773" t="s">
        <v>247</v>
      </c>
      <c r="D189" s="773"/>
      <c r="E189" s="773"/>
      <c r="F189" s="773"/>
      <c r="G189" s="967" t="s">
        <v>737</v>
      </c>
      <c r="H189" s="967" t="str">
        <f t="shared" si="9"/>
        <v>Designer</v>
      </c>
      <c r="I189" t="str">
        <f t="shared" si="10"/>
        <v>UKDesigner</v>
      </c>
      <c r="J189" t="str">
        <f t="shared" si="11"/>
        <v>UKUKDesigner</v>
      </c>
      <c r="K189" cm="1">
        <f t="array" ref="K189">_xlfn.IFS(A189="Canada",4,A189="India",5,A189="UK",6,A189="USA",7,A189="EU",8)</f>
        <v>6</v>
      </c>
      <c r="L189" s="662">
        <f>VLOOKUP(H189,'StdCosts and StdRates'!$A$41:$H$86,K189,FALSE)</f>
        <v>155</v>
      </c>
      <c r="M189" s="662" cm="1">
        <f t="array" ref="M189">_xlfn.XLOOKUP(C189&amp;A189,FX!$A$2:$A$26&amp;FX!$B$2:$B$26,FX!$C$2:$C$26)</f>
        <v>1</v>
      </c>
      <c r="N189" cm="1">
        <f t="array" ref="N189">_xlfn.IFS(C189="Canada",2,C189="India",3,C189="UK",4,C189="USA",5,C189="EU",6)</f>
        <v>4</v>
      </c>
      <c r="O189" s="662">
        <f>VLOOKUP(G189,'StdCosts and StdRates'!$A$17:$E$36,N189,FALSE)*M189</f>
        <v>81</v>
      </c>
      <c r="P189"/>
    </row>
    <row r="190" spans="1:18">
      <c r="A190" s="773" t="s">
        <v>247</v>
      </c>
      <c r="B190" s="773"/>
      <c r="C190" s="773" t="s">
        <v>736</v>
      </c>
      <c r="D190" s="773"/>
      <c r="E190" s="773"/>
      <c r="F190" s="773"/>
      <c r="G190" s="967" t="s">
        <v>737</v>
      </c>
      <c r="H190" s="967" t="str">
        <f t="shared" si="9"/>
        <v>Designer</v>
      </c>
      <c r="I190" t="str">
        <f t="shared" si="10"/>
        <v>UKDesigner</v>
      </c>
      <c r="J190" t="str">
        <f t="shared" si="11"/>
        <v>UKEUDesigner</v>
      </c>
      <c r="K190" cm="1">
        <f t="array" ref="K190">_xlfn.IFS(A190="Canada",4,A190="India",5,A190="UK",6,A190="USA",7,A190="EU",8)</f>
        <v>6</v>
      </c>
      <c r="L190" s="662">
        <f>VLOOKUP(H190,'StdCosts and StdRates'!$A$41:$H$86,K190,FALSE)</f>
        <v>155</v>
      </c>
      <c r="M190" s="662" cm="1">
        <f t="array" ref="M190">_xlfn.XLOOKUP(C190&amp;A190,FX!$A$2:$A$26&amp;FX!$B$2:$B$26,FX!$C$2:$C$26)</f>
        <v>0.85092999999999996</v>
      </c>
      <c r="N190" cm="1">
        <f t="array" ref="N190">_xlfn.IFS(C190="Canada",2,C190="India",3,C190="UK",4,C190="USA",5,C190="EU",6)</f>
        <v>6</v>
      </c>
      <c r="O190" s="662" t="e">
        <f>VLOOKUP(G190,'StdCosts and StdRates'!$A$17:$E$36,N190,FALSE)*M190</f>
        <v>#REF!</v>
      </c>
      <c r="P190"/>
    </row>
    <row r="191" spans="1:18">
      <c r="A191" s="773" t="s">
        <v>247</v>
      </c>
      <c r="B191" s="773" t="s">
        <v>227</v>
      </c>
      <c r="C191" s="773" t="s">
        <v>227</v>
      </c>
      <c r="D191" s="773"/>
      <c r="E191" s="773"/>
      <c r="F191" s="773"/>
      <c r="G191" s="967" t="s">
        <v>737</v>
      </c>
      <c r="H191" s="967" t="str">
        <f t="shared" si="9"/>
        <v>IndiaDesigner</v>
      </c>
      <c r="I191" t="str">
        <f t="shared" si="10"/>
        <v>UKIndiaDesigner</v>
      </c>
      <c r="J191" t="str">
        <f t="shared" si="11"/>
        <v>UKIndiaDesigner</v>
      </c>
      <c r="K191" cm="1">
        <f t="array" ref="K191">_xlfn.IFS(A191="Canada",4,A191="India",5,A191="UK",6,A191="USA",7,A191="EU",8)</f>
        <v>6</v>
      </c>
      <c r="L191" s="662">
        <f>VLOOKUP(H191,'StdCosts and StdRates'!$A$41:$H$86,K191,FALSE)</f>
        <v>69</v>
      </c>
      <c r="M191" s="662" cm="1">
        <f t="array" ref="M191">_xlfn.XLOOKUP(C191&amp;A191,FX!$A$2:$A$26&amp;FX!$B$2:$B$26,FX!$C$2:$C$26)</f>
        <v>9.41E-3</v>
      </c>
      <c r="N191" cm="1">
        <f t="array" ref="N191">_xlfn.IFS(C191="Canada",2,C191="India",3,C191="UK",4,C191="USA",5,C191="EU",6)</f>
        <v>3</v>
      </c>
      <c r="O191" s="662">
        <f>VLOOKUP(G191,'StdCosts and StdRates'!$A$17:$E$36,N191,FALSE)*M191</f>
        <v>17.794309999999999</v>
      </c>
      <c r="P191"/>
    </row>
    <row r="192" spans="1:18">
      <c r="A192" s="773" t="s">
        <v>227</v>
      </c>
      <c r="B192" s="773"/>
      <c r="C192" s="773" t="s">
        <v>308</v>
      </c>
      <c r="D192" s="773"/>
      <c r="E192" s="773"/>
      <c r="F192" s="773"/>
      <c r="G192" s="967" t="s">
        <v>737</v>
      </c>
      <c r="H192" s="967" t="str">
        <f t="shared" si="9"/>
        <v>Designer</v>
      </c>
      <c r="I192" t="str">
        <f t="shared" si="10"/>
        <v>IndiaDesigner</v>
      </c>
      <c r="J192" t="str">
        <f t="shared" si="11"/>
        <v>IndiaUSADesigner</v>
      </c>
      <c r="K192" cm="1">
        <f t="array" ref="K192">_xlfn.IFS(A192="Canada",4,A192="India",5,A192="UK",6,A192="USA",7,A192="EU",8)</f>
        <v>5</v>
      </c>
      <c r="L192" s="662">
        <f>VLOOKUP(H192,'StdCosts and StdRates'!$A$41:$H$86,K192,FALSE)</f>
        <v>7200</v>
      </c>
      <c r="M192" s="662" cm="1">
        <f t="array" ref="M192">_xlfn.XLOOKUP(C192&amp;A192,FX!$A$2:$A$26&amp;FX!$B$2:$B$26,FX!$C$2:$C$26)</f>
        <v>83.1721</v>
      </c>
      <c r="N192" cm="1">
        <f t="array" ref="N192">_xlfn.IFS(C192="Canada",2,C192="India",3,C192="UK",4,C192="USA",5,C192="EU",6)</f>
        <v>5</v>
      </c>
      <c r="O192" s="662">
        <f>VLOOKUP(G192,'StdCosts and StdRates'!$A$17:$E$36,N192,FALSE)*M192</f>
        <v>8483.5542000000005</v>
      </c>
      <c r="P192"/>
    </row>
    <row r="193" spans="1:18">
      <c r="A193" s="773" t="s">
        <v>227</v>
      </c>
      <c r="B193" s="773"/>
      <c r="C193" s="773" t="s">
        <v>405</v>
      </c>
      <c r="D193" s="773"/>
      <c r="E193" s="773"/>
      <c r="F193" s="773"/>
      <c r="G193" s="967" t="s">
        <v>737</v>
      </c>
      <c r="H193" s="967" t="str">
        <f t="shared" si="9"/>
        <v>Designer</v>
      </c>
      <c r="I193" t="str">
        <f t="shared" si="10"/>
        <v>IndiaDesigner</v>
      </c>
      <c r="J193" t="str">
        <f t="shared" si="11"/>
        <v>IndiaCanadaDesigner</v>
      </c>
      <c r="K193" cm="1">
        <f t="array" ref="K193">_xlfn.IFS(A193="Canada",4,A193="India",5,A193="UK",6,A193="USA",7,A193="EU",8)</f>
        <v>5</v>
      </c>
      <c r="L193" s="662">
        <f>VLOOKUP(H193,'StdCosts and StdRates'!$A$41:$H$86,K193,FALSE)</f>
        <v>7200</v>
      </c>
      <c r="M193" s="662" cm="1">
        <f t="array" ref="M193">_xlfn.XLOOKUP(C193&amp;A193,FX!$A$2:$A$26&amp;FX!$B$2:$B$26,FX!$C$2:$C$26)</f>
        <v>61.008200000000002</v>
      </c>
      <c r="N193" cm="1">
        <f t="array" ref="N193">_xlfn.IFS(C193="Canada",2,C193="India",3,C193="UK",4,C193="USA",5,C193="EU",6)</f>
        <v>2</v>
      </c>
      <c r="O193" s="662">
        <f>VLOOKUP(G193,'StdCosts and StdRates'!$A$17:$E$36,N193,FALSE)*M193</f>
        <v>9212.2381999999998</v>
      </c>
      <c r="P193"/>
    </row>
    <row r="194" spans="1:18">
      <c r="A194" s="773" t="s">
        <v>227</v>
      </c>
      <c r="B194" s="773"/>
      <c r="C194" s="773" t="s">
        <v>247</v>
      </c>
      <c r="D194" s="773"/>
      <c r="E194" s="773"/>
      <c r="F194" s="773"/>
      <c r="G194" s="967" t="s">
        <v>737</v>
      </c>
      <c r="H194" s="967" t="str">
        <f t="shared" si="9"/>
        <v>Designer</v>
      </c>
      <c r="I194" t="str">
        <f t="shared" si="10"/>
        <v>IndiaDesigner</v>
      </c>
      <c r="J194" t="str">
        <f t="shared" si="11"/>
        <v>IndiaUKDesigner</v>
      </c>
      <c r="K194" cm="1">
        <f t="array" ref="K194">_xlfn.IFS(A194="Canada",4,A194="India",5,A194="UK",6,A194="USA",7,A194="EU",8)</f>
        <v>5</v>
      </c>
      <c r="L194" s="662">
        <f>VLOOKUP(H194,'StdCosts and StdRates'!$A$41:$H$86,K194,FALSE)</f>
        <v>7200</v>
      </c>
      <c r="M194" s="662" cm="1">
        <f t="array" ref="M194">_xlfn.XLOOKUP(C194&amp;A194,FX!$A$2:$A$26&amp;FX!$B$2:$B$26,FX!$C$2:$C$26)</f>
        <v>106.23399999999999</v>
      </c>
      <c r="N194" cm="1">
        <f t="array" ref="N194">_xlfn.IFS(C194="Canada",2,C194="India",3,C194="UK",4,C194="USA",5,C194="EU",6)</f>
        <v>4</v>
      </c>
      <c r="O194" s="662">
        <f>VLOOKUP(G194,'StdCosts and StdRates'!$A$17:$E$36,N194,FALSE)*M194</f>
        <v>8604.9539999999997</v>
      </c>
      <c r="P194"/>
    </row>
    <row r="195" spans="1:18">
      <c r="A195" s="773" t="s">
        <v>227</v>
      </c>
      <c r="B195" s="773"/>
      <c r="C195" s="773" t="s">
        <v>736</v>
      </c>
      <c r="D195" s="773"/>
      <c r="E195" s="773"/>
      <c r="F195" s="773"/>
      <c r="G195" s="967" t="s">
        <v>737</v>
      </c>
      <c r="H195" s="967" t="str">
        <f t="shared" si="9"/>
        <v>Designer</v>
      </c>
      <c r="I195" t="str">
        <f t="shared" si="10"/>
        <v>IndiaDesigner</v>
      </c>
      <c r="J195" t="str">
        <f t="shared" si="11"/>
        <v>IndiaEUDesigner</v>
      </c>
      <c r="K195" cm="1">
        <f t="array" ref="K195">_xlfn.IFS(A195="Canada",4,A195="India",5,A195="UK",6,A195="USA",7,A195="EU",8)</f>
        <v>5</v>
      </c>
      <c r="L195" s="662">
        <f>VLOOKUP(H195,'StdCosts and StdRates'!$A$41:$H$86,K195,FALSE)</f>
        <v>7200</v>
      </c>
      <c r="M195" s="662" cm="1">
        <f t="array" ref="M195">_xlfn.XLOOKUP(C195&amp;A195,FX!$A$2:$A$26&amp;FX!$B$2:$B$26,FX!$C$2:$C$26)</f>
        <v>90.405100000000004</v>
      </c>
      <c r="N195" cm="1">
        <f t="array" ref="N195">_xlfn.IFS(C195="Canada",2,C195="India",3,C195="UK",4,C195="USA",5,C195="EU",6)</f>
        <v>6</v>
      </c>
      <c r="O195" s="662" t="e">
        <f>VLOOKUP(G195,'StdCosts and StdRates'!$A$17:$E$36,N195,FALSE)*M195</f>
        <v>#REF!</v>
      </c>
      <c r="P195"/>
    </row>
    <row r="196" spans="1:18">
      <c r="A196" s="773" t="s">
        <v>227</v>
      </c>
      <c r="B196" s="773" t="s">
        <v>227</v>
      </c>
      <c r="C196" s="773" t="s">
        <v>227</v>
      </c>
      <c r="D196" s="773"/>
      <c r="E196" s="773"/>
      <c r="F196" s="773"/>
      <c r="G196" s="967" t="s">
        <v>737</v>
      </c>
      <c r="H196" s="967" t="str">
        <f t="shared" si="9"/>
        <v>IndiaDesigner</v>
      </c>
      <c r="I196" t="str">
        <f t="shared" si="10"/>
        <v>IndiaIndiaDesigner</v>
      </c>
      <c r="J196" t="str">
        <f t="shared" si="11"/>
        <v>IndiaIndiaDesigner</v>
      </c>
      <c r="K196" cm="1">
        <f t="array" ref="K196">_xlfn.IFS(A196="Canada",4,A196="India",5,A196="UK",6,A196="USA",7,A196="EU",8)</f>
        <v>5</v>
      </c>
      <c r="L196" s="662">
        <f>VLOOKUP(H196,'StdCosts and StdRates'!$A$41:$H$86,K196,FALSE)</f>
        <v>7200</v>
      </c>
      <c r="M196" s="662" cm="1">
        <f t="array" ref="M196">_xlfn.XLOOKUP(C196&amp;A196,FX!$A$2:$A$26&amp;FX!$B$2:$B$26,FX!$C$2:$C$26)</f>
        <v>1</v>
      </c>
      <c r="N196" cm="1">
        <f t="array" ref="N196">_xlfn.IFS(C196="Canada",2,C196="India",3,C196="UK",4,C196="USA",5,C196="EU",6)</f>
        <v>3</v>
      </c>
      <c r="O196" s="662">
        <f>VLOOKUP(G196,'StdCosts and StdRates'!$A$17:$E$36,N196,FALSE)*M196</f>
        <v>1891</v>
      </c>
      <c r="P196"/>
    </row>
    <row r="197" spans="1:18">
      <c r="A197" s="773" t="s">
        <v>736</v>
      </c>
      <c r="B197" s="773"/>
      <c r="C197" s="773" t="s">
        <v>308</v>
      </c>
      <c r="D197" s="773"/>
      <c r="E197" s="773"/>
      <c r="F197" s="773"/>
      <c r="G197" s="967" t="s">
        <v>737</v>
      </c>
      <c r="H197" s="967" t="str">
        <f t="shared" si="9"/>
        <v>Designer</v>
      </c>
      <c r="I197" t="str">
        <f t="shared" si="10"/>
        <v>EUDesigner</v>
      </c>
      <c r="J197" t="str">
        <f t="shared" si="11"/>
        <v>EUUSADesigner</v>
      </c>
      <c r="K197" cm="1">
        <f t="array" ref="K197">_xlfn.IFS(A197="Canada",4,A197="India",5,A197="UK",6,A197="USA",7,A197="EU",8)</f>
        <v>8</v>
      </c>
      <c r="L197" s="662">
        <f>VLOOKUP(H197,'StdCosts and StdRates'!$A$41:$H$86,K197,FALSE)</f>
        <v>179</v>
      </c>
      <c r="M197" s="662" cm="1">
        <f t="array" ref="M197">_xlfn.XLOOKUP(C197&amp;A197,FX!$A$2:$A$26&amp;FX!$B$2:$B$26,FX!$C$2:$C$26)</f>
        <v>0.91986999999999997</v>
      </c>
      <c r="N197" cm="1">
        <f t="array" ref="N197">_xlfn.IFS(C197="Canada",2,C197="India",3,C197="UK",4,C197="USA",5,C197="EU",6)</f>
        <v>5</v>
      </c>
      <c r="O197" s="662">
        <f>VLOOKUP(G197,'StdCosts and StdRates'!$A$17:$E$36,N197,FALSE)*M197</f>
        <v>93.826740000000001</v>
      </c>
      <c r="P197"/>
      <c r="R197" s="967"/>
    </row>
    <row r="198" spans="1:18">
      <c r="A198" s="773" t="s">
        <v>736</v>
      </c>
      <c r="B198" s="773"/>
      <c r="C198" s="773" t="s">
        <v>405</v>
      </c>
      <c r="D198" s="773"/>
      <c r="E198" s="773"/>
      <c r="F198" s="773"/>
      <c r="G198" s="967" t="s">
        <v>737</v>
      </c>
      <c r="H198" s="967" t="str">
        <f t="shared" si="9"/>
        <v>Designer</v>
      </c>
      <c r="I198" t="str">
        <f t="shared" si="10"/>
        <v>EUDesigner</v>
      </c>
      <c r="J198" t="str">
        <f t="shared" si="11"/>
        <v>EUCanadaDesigner</v>
      </c>
      <c r="K198" cm="1">
        <f t="array" ref="K198">_xlfn.IFS(A198="Canada",4,A198="India",5,A198="UK",6,A198="USA",7,A198="EU",8)</f>
        <v>8</v>
      </c>
      <c r="L198" s="662">
        <f>VLOOKUP(H198,'StdCosts and StdRates'!$A$41:$H$86,K198,FALSE)</f>
        <v>179</v>
      </c>
      <c r="M198" s="662" cm="1">
        <f t="array" ref="M198">_xlfn.XLOOKUP(C198&amp;A198,FX!$A$2:$A$26&amp;FX!$B$2:$B$26,FX!$C$2:$C$26)</f>
        <v>0.67474000000000001</v>
      </c>
      <c r="N198" cm="1">
        <f t="array" ref="N198">_xlfn.IFS(C198="Canada",2,C198="India",3,C198="UK",4,C198="USA",5,C198="EU",6)</f>
        <v>2</v>
      </c>
      <c r="O198" s="662">
        <f>VLOOKUP(G198,'StdCosts and StdRates'!$A$17:$E$36,N198,FALSE)*M198</f>
        <v>101.88574</v>
      </c>
      <c r="P198"/>
      <c r="R198" s="967"/>
    </row>
    <row r="199" spans="1:18">
      <c r="A199" s="773" t="s">
        <v>736</v>
      </c>
      <c r="B199" s="773"/>
      <c r="C199" s="773" t="s">
        <v>247</v>
      </c>
      <c r="D199" s="773"/>
      <c r="E199" s="773"/>
      <c r="F199" s="773"/>
      <c r="G199" s="967" t="s">
        <v>737</v>
      </c>
      <c r="H199" s="967" t="str">
        <f t="shared" si="9"/>
        <v>Designer</v>
      </c>
      <c r="I199" t="str">
        <f t="shared" si="10"/>
        <v>EUDesigner</v>
      </c>
      <c r="J199" t="str">
        <f t="shared" si="11"/>
        <v>EUUKDesigner</v>
      </c>
      <c r="K199" cm="1">
        <f t="array" ref="K199">_xlfn.IFS(A199="Canada",4,A199="India",5,A199="UK",6,A199="USA",7,A199="EU",8)</f>
        <v>8</v>
      </c>
      <c r="L199" s="662">
        <f>VLOOKUP(H199,'StdCosts and StdRates'!$A$41:$H$86,K199,FALSE)</f>
        <v>179</v>
      </c>
      <c r="M199" s="662" cm="1">
        <f t="array" ref="M199">_xlfn.XLOOKUP(C199&amp;A199,FX!$A$2:$A$26&amp;FX!$B$2:$B$26,FX!$C$2:$C$26)</f>
        <v>1.1749799999999999</v>
      </c>
      <c r="N199" cm="1">
        <f t="array" ref="N199">_xlfn.IFS(C199="Canada",2,C199="India",3,C199="UK",4,C199="USA",5,C199="EU",6)</f>
        <v>4</v>
      </c>
      <c r="O199" s="662">
        <f>VLOOKUP(G199,'StdCosts and StdRates'!$A$17:$E$36,N199,FALSE)*M199</f>
        <v>95.173379999999995</v>
      </c>
      <c r="P199"/>
      <c r="R199" s="967"/>
    </row>
    <row r="200" spans="1:18">
      <c r="A200" s="773" t="s">
        <v>736</v>
      </c>
      <c r="B200" s="773"/>
      <c r="C200" s="773" t="s">
        <v>736</v>
      </c>
      <c r="D200" s="773"/>
      <c r="E200" s="773"/>
      <c r="F200" s="773"/>
      <c r="G200" s="967" t="s">
        <v>737</v>
      </c>
      <c r="H200" s="967" t="str">
        <f t="shared" si="9"/>
        <v>Designer</v>
      </c>
      <c r="I200" t="str">
        <f t="shared" si="10"/>
        <v>EUDesigner</v>
      </c>
      <c r="J200" t="str">
        <f t="shared" si="11"/>
        <v>EUEUDesigner</v>
      </c>
      <c r="K200" cm="1">
        <f t="array" ref="K200">_xlfn.IFS(A200="Canada",4,A200="India",5,A200="UK",6,A200="USA",7,A200="EU",8)</f>
        <v>8</v>
      </c>
      <c r="L200" s="662">
        <f>VLOOKUP(H200,'StdCosts and StdRates'!$A$41:$H$86,K200,FALSE)</f>
        <v>179</v>
      </c>
      <c r="M200" s="662" cm="1">
        <f t="array" ref="M200">_xlfn.XLOOKUP(C200&amp;A200,FX!$A$2:$A$26&amp;FX!$B$2:$B$26,FX!$C$2:$C$26)</f>
        <v>1</v>
      </c>
      <c r="N200" cm="1">
        <f t="array" ref="N200">_xlfn.IFS(C200="Canada",2,C200="India",3,C200="UK",4,C200="USA",5,C200="EU",6)</f>
        <v>6</v>
      </c>
      <c r="O200" s="662" t="e">
        <f>VLOOKUP(G200,'StdCosts and StdRates'!$A$17:$E$36,N200,FALSE)*M200</f>
        <v>#REF!</v>
      </c>
      <c r="P200"/>
      <c r="R200" s="967"/>
    </row>
    <row r="201" spans="1:18">
      <c r="A201" s="773" t="s">
        <v>736</v>
      </c>
      <c r="B201" s="773" t="s">
        <v>227</v>
      </c>
      <c r="C201" s="773" t="s">
        <v>227</v>
      </c>
      <c r="D201" s="773"/>
      <c r="E201" s="773"/>
      <c r="F201" s="773"/>
      <c r="G201" s="967" t="s">
        <v>737</v>
      </c>
      <c r="H201" s="967" t="str">
        <f t="shared" si="9"/>
        <v>IndiaDesigner</v>
      </c>
      <c r="I201" t="str">
        <f t="shared" si="10"/>
        <v>EUIndiaDesigner</v>
      </c>
      <c r="J201" t="str">
        <f t="shared" si="11"/>
        <v>EUIndiaDesigner</v>
      </c>
      <c r="K201" cm="1">
        <f t="array" ref="K201">_xlfn.IFS(A201="Canada",4,A201="India",5,A201="UK",6,A201="USA",7,A201="EU",8)</f>
        <v>8</v>
      </c>
      <c r="L201" s="662">
        <f>VLOOKUP(H201,'StdCosts and StdRates'!$A$41:$H$86,K201,FALSE)</f>
        <v>79</v>
      </c>
      <c r="M201" s="662" cm="1">
        <f t="array" ref="M201">_xlfn.XLOOKUP(C201&amp;A201,FX!$A$2:$A$26&amp;FX!$B$2:$B$26,FX!$C$2:$C$26)</f>
        <v>1.106E-2</v>
      </c>
      <c r="N201" cm="1">
        <f t="array" ref="N201">_xlfn.IFS(C201="Canada",2,C201="India",3,C201="UK",4,C201="USA",5,C201="EU",6)</f>
        <v>3</v>
      </c>
      <c r="O201" s="662">
        <f>VLOOKUP(G201,'StdCosts and StdRates'!$A$17:$E$36,N201,FALSE)*M201</f>
        <v>20.914460000000002</v>
      </c>
      <c r="P201"/>
      <c r="R201" s="967"/>
    </row>
    <row r="202" spans="1:18">
      <c r="A202" s="773" t="s">
        <v>308</v>
      </c>
      <c r="B202" s="773"/>
      <c r="C202" s="773" t="s">
        <v>308</v>
      </c>
      <c r="D202" s="773"/>
      <c r="E202" s="773"/>
      <c r="F202" s="773"/>
      <c r="G202" s="967" t="s">
        <v>307</v>
      </c>
      <c r="H202" s="967" t="str">
        <f t="shared" si="9"/>
        <v>MS - Architect</v>
      </c>
      <c r="I202" t="str">
        <f t="shared" si="10"/>
        <v>USAMS - Architect</v>
      </c>
      <c r="J202" t="str">
        <f t="shared" si="11"/>
        <v>USAUSAMS - Architect</v>
      </c>
      <c r="K202" cm="1">
        <f t="array" ref="K202">_xlfn.IFS(A202="Canada",4,A202="India",5,A202="UK",6,A202="USA",7,A202="EU",8)</f>
        <v>7</v>
      </c>
      <c r="L202" s="662">
        <f>VLOOKUP(H202,'StdCosts and StdRates'!$A$41:$H$86,K202,FALSE)</f>
        <v>259</v>
      </c>
      <c r="M202" s="662" cm="1">
        <f t="array" ref="M202">_xlfn.XLOOKUP(C202&amp;A202,FX!$A$2:$A$26&amp;FX!$B$2:$B$26,FX!$C$2:$C$26)</f>
        <v>1</v>
      </c>
      <c r="N202" cm="1">
        <f t="array" ref="N202">_xlfn.IFS(C202="Canada",2,C202="India",3,C202="UK",4,C202="USA",5,C202="EU",6)</f>
        <v>5</v>
      </c>
      <c r="O202" s="662">
        <f>VLOOKUP(G202,'StdCosts and StdRates'!$A$17:$E$36,N202,FALSE)*M202</f>
        <v>178</v>
      </c>
      <c r="P202"/>
      <c r="R202" s="967"/>
    </row>
    <row r="203" spans="1:18">
      <c r="A203" s="773" t="s">
        <v>308</v>
      </c>
      <c r="B203" s="773"/>
      <c r="C203" s="773" t="s">
        <v>405</v>
      </c>
      <c r="D203" s="773"/>
      <c r="E203" s="773"/>
      <c r="F203" s="773"/>
      <c r="G203" s="967" t="s">
        <v>307</v>
      </c>
      <c r="H203" s="967" t="str">
        <f t="shared" si="9"/>
        <v>MS - Architect</v>
      </c>
      <c r="I203" t="str">
        <f t="shared" si="10"/>
        <v>USAMS - Architect</v>
      </c>
      <c r="J203" t="str">
        <f t="shared" si="11"/>
        <v>USACanadaMS - Architect</v>
      </c>
      <c r="K203" cm="1">
        <f t="array" ref="K203">_xlfn.IFS(A203="Canada",4,A203="India",5,A203="UK",6,A203="USA",7,A203="EU",8)</f>
        <v>7</v>
      </c>
      <c r="L203" s="662">
        <f>VLOOKUP(H203,'StdCosts and StdRates'!$A$41:$H$86,K203,FALSE)</f>
        <v>259</v>
      </c>
      <c r="M203" s="662" cm="1">
        <f t="array" ref="M203">_xlfn.XLOOKUP(C203&amp;A203,FX!$A$2:$A$26&amp;FX!$B$2:$B$26,FX!$C$2:$C$26)</f>
        <v>0.73351999999999995</v>
      </c>
      <c r="N203" cm="1">
        <f t="array" ref="N203">_xlfn.IFS(C203="Canada",2,C203="India",3,C203="UK",4,C203="USA",5,C203="EU",6)</f>
        <v>2</v>
      </c>
      <c r="O203" s="662">
        <f>VLOOKUP(G203,'StdCosts and StdRates'!$A$17:$E$36,N203,FALSE)*M203</f>
        <v>120.29727999999999</v>
      </c>
      <c r="P203"/>
      <c r="R203" s="967"/>
    </row>
    <row r="204" spans="1:18">
      <c r="A204" s="773" t="s">
        <v>308</v>
      </c>
      <c r="B204" s="773"/>
      <c r="C204" s="773" t="s">
        <v>247</v>
      </c>
      <c r="D204" s="773"/>
      <c r="E204" s="773"/>
      <c r="F204" s="773"/>
      <c r="G204" s="967" t="s">
        <v>307</v>
      </c>
      <c r="H204" s="967" t="str">
        <f t="shared" si="9"/>
        <v>MS - Architect</v>
      </c>
      <c r="I204" t="str">
        <f t="shared" si="10"/>
        <v>USAMS - Architect</v>
      </c>
      <c r="J204" t="str">
        <f t="shared" si="11"/>
        <v>USAUKMS - Architect</v>
      </c>
      <c r="K204" cm="1">
        <f t="array" ref="K204">_xlfn.IFS(A204="Canada",4,A204="India",5,A204="UK",6,A204="USA",7,A204="EU",8)</f>
        <v>7</v>
      </c>
      <c r="L204" s="662">
        <f>VLOOKUP(H204,'StdCosts and StdRates'!$A$41:$H$86,K204,FALSE)</f>
        <v>259</v>
      </c>
      <c r="M204" s="662" cm="1">
        <f t="array" ref="M204">_xlfn.XLOOKUP(C204&amp;A204,FX!$A$2:$A$26&amp;FX!$B$2:$B$26,FX!$C$2:$C$26)</f>
        <v>1.2772699999999999</v>
      </c>
      <c r="N204" cm="1">
        <f t="array" ref="N204">_xlfn.IFS(C204="Canada",2,C204="India",3,C204="UK",4,C204="USA",5,C204="EU",6)</f>
        <v>4</v>
      </c>
      <c r="O204" s="662">
        <f>VLOOKUP(G204,'StdCosts and StdRates'!$A$17:$E$36,N204,FALSE)*M204</f>
        <v>135.39061999999998</v>
      </c>
      <c r="P204"/>
      <c r="R204" s="967"/>
    </row>
    <row r="205" spans="1:18">
      <c r="A205" s="773" t="s">
        <v>308</v>
      </c>
      <c r="B205" s="773"/>
      <c r="C205" s="773" t="s">
        <v>736</v>
      </c>
      <c r="D205" s="773"/>
      <c r="E205" s="773"/>
      <c r="F205" s="773"/>
      <c r="G205" s="967" t="s">
        <v>307</v>
      </c>
      <c r="H205" s="967" t="str">
        <f t="shared" si="9"/>
        <v>MS - Architect</v>
      </c>
      <c r="I205" t="str">
        <f t="shared" si="10"/>
        <v>USAMS - Architect</v>
      </c>
      <c r="J205" t="str">
        <f t="shared" si="11"/>
        <v>USAEUMS - Architect</v>
      </c>
      <c r="K205" cm="1">
        <f t="array" ref="K205">_xlfn.IFS(A205="Canada",4,A205="India",5,A205="UK",6,A205="USA",7,A205="EU",8)</f>
        <v>7</v>
      </c>
      <c r="L205" s="662">
        <f>VLOOKUP(H205,'StdCosts and StdRates'!$A$41:$H$86,K205,FALSE)</f>
        <v>259</v>
      </c>
      <c r="M205" s="662" cm="1">
        <f t="array" ref="M205">_xlfn.XLOOKUP(C205&amp;A205,FX!$A$2:$A$26&amp;FX!$B$2:$B$26,FX!$C$2:$C$26)</f>
        <v>1.0869599999999999</v>
      </c>
      <c r="N205" cm="1">
        <f t="array" ref="N205">_xlfn.IFS(C205="Canada",2,C205="India",3,C205="UK",4,C205="USA",5,C205="EU",6)</f>
        <v>6</v>
      </c>
      <c r="O205" s="662" t="e">
        <f>VLOOKUP(G205,'StdCosts and StdRates'!$A$17:$E$36,N205,FALSE)*M205</f>
        <v>#REF!</v>
      </c>
      <c r="P205"/>
      <c r="R205" s="967"/>
    </row>
    <row r="206" spans="1:18">
      <c r="A206" s="773" t="s">
        <v>308</v>
      </c>
      <c r="B206" s="773" t="s">
        <v>227</v>
      </c>
      <c r="C206" s="773" t="s">
        <v>227</v>
      </c>
      <c r="D206" s="773"/>
      <c r="E206" s="773"/>
      <c r="F206" s="773"/>
      <c r="G206" s="967" t="s">
        <v>307</v>
      </c>
      <c r="H206" s="967" t="str">
        <f t="shared" si="9"/>
        <v>IndiaMS - Architect</v>
      </c>
      <c r="I206" t="str">
        <f t="shared" si="10"/>
        <v>USAIndiaMS - Architect</v>
      </c>
      <c r="J206" t="str">
        <f t="shared" si="11"/>
        <v>USAIndiaMS - Architect</v>
      </c>
      <c r="K206" cm="1">
        <f t="array" ref="K206">_xlfn.IFS(A206="Canada",4,A206="India",5,A206="UK",6,A206="USA",7,A206="EU",8)</f>
        <v>7</v>
      </c>
      <c r="L206" s="662">
        <f>VLOOKUP(H206,'StdCosts and StdRates'!$A$41:$H$86,K206,FALSE)</f>
        <v>99</v>
      </c>
      <c r="M206" s="662" cm="1">
        <f t="array" ref="M206">_xlfn.XLOOKUP(C206&amp;A206,FX!$A$2:$A$26&amp;FX!$B$2:$B$26,FX!$C$2:$C$26)</f>
        <v>1.2019999999999999E-2</v>
      </c>
      <c r="N206" cm="1">
        <f t="array" ref="N206">_xlfn.IFS(C206="Canada",2,C206="India",3,C206="UK",4,C206="USA",5,C206="EU",6)</f>
        <v>3</v>
      </c>
      <c r="O206" s="662">
        <f>VLOOKUP(G206,'StdCosts and StdRates'!$A$17:$E$36,N206,FALSE)*M206</f>
        <v>37.790880000000001</v>
      </c>
      <c r="P206"/>
      <c r="R206" s="967"/>
    </row>
    <row r="207" spans="1:18">
      <c r="A207" s="773" t="s">
        <v>405</v>
      </c>
      <c r="B207" s="773"/>
      <c r="C207" s="773" t="s">
        <v>308</v>
      </c>
      <c r="D207" s="773"/>
      <c r="E207" s="773"/>
      <c r="F207" s="773"/>
      <c r="G207" s="967" t="s">
        <v>307</v>
      </c>
      <c r="H207" s="967" t="str">
        <f t="shared" si="9"/>
        <v>MS - Architect</v>
      </c>
      <c r="I207" t="str">
        <f t="shared" si="10"/>
        <v>CanadaMS - Architect</v>
      </c>
      <c r="J207" t="str">
        <f t="shared" si="11"/>
        <v>CanadaUSAMS - Architect</v>
      </c>
      <c r="K207" cm="1">
        <f t="array" ref="K207">_xlfn.IFS(A207="Canada",4,A207="India",5,A207="UK",6,A207="USA",7,A207="EU",8)</f>
        <v>4</v>
      </c>
      <c r="L207" s="662">
        <f>VLOOKUP(H207,'StdCosts and StdRates'!$A$41:$H$86,K207,FALSE)</f>
        <v>269</v>
      </c>
      <c r="M207" s="662" cm="1">
        <f t="array" ref="M207">_xlfn.XLOOKUP(C207&amp;A207,FX!$A$2:$A$26&amp;FX!$B$2:$B$26,FX!$C$2:$C$26)</f>
        <v>1.36311</v>
      </c>
      <c r="N207" cm="1">
        <f t="array" ref="N207">_xlfn.IFS(C207="Canada",2,C207="India",3,C207="UK",4,C207="USA",5,C207="EU",6)</f>
        <v>5</v>
      </c>
      <c r="O207" s="662">
        <f>VLOOKUP(G207,'StdCosts and StdRates'!$A$17:$E$36,N207,FALSE)*M207</f>
        <v>242.63357999999999</v>
      </c>
      <c r="P207"/>
      <c r="R207" s="967"/>
    </row>
    <row r="208" spans="1:18">
      <c r="A208" s="773" t="s">
        <v>405</v>
      </c>
      <c r="B208" s="773"/>
      <c r="C208" s="773" t="s">
        <v>405</v>
      </c>
      <c r="D208" s="773"/>
      <c r="E208" s="773"/>
      <c r="F208" s="773"/>
      <c r="G208" s="967" t="s">
        <v>307</v>
      </c>
      <c r="H208" s="967" t="str">
        <f t="shared" si="9"/>
        <v>MS - Architect</v>
      </c>
      <c r="I208" t="str">
        <f t="shared" si="10"/>
        <v>CanadaMS - Architect</v>
      </c>
      <c r="J208" t="str">
        <f t="shared" si="11"/>
        <v>CanadaCanadaMS - Architect</v>
      </c>
      <c r="K208" cm="1">
        <f t="array" ref="K208">_xlfn.IFS(A208="Canada",4,A208="India",5,A208="UK",6,A208="USA",7,A208="EU",8)</f>
        <v>4</v>
      </c>
      <c r="L208" s="662">
        <f>VLOOKUP(H208,'StdCosts and StdRates'!$A$41:$H$86,K208,FALSE)</f>
        <v>269</v>
      </c>
      <c r="M208" s="662" cm="1">
        <f t="array" ref="M208">_xlfn.XLOOKUP(C208&amp;A208,FX!$A$2:$A$26&amp;FX!$B$2:$B$26,FX!$C$2:$C$26)</f>
        <v>1</v>
      </c>
      <c r="N208" cm="1">
        <f t="array" ref="N208">_xlfn.IFS(C208="Canada",2,C208="India",3,C208="UK",4,C208="USA",5,C208="EU",6)</f>
        <v>2</v>
      </c>
      <c r="O208" s="662">
        <f>VLOOKUP(G208,'StdCosts and StdRates'!$A$17:$E$36,N208,FALSE)*M208</f>
        <v>164</v>
      </c>
      <c r="P208"/>
      <c r="R208" s="967"/>
    </row>
    <row r="209" spans="1:18">
      <c r="A209" s="773" t="s">
        <v>405</v>
      </c>
      <c r="B209" s="773"/>
      <c r="C209" s="773" t="s">
        <v>247</v>
      </c>
      <c r="D209" s="773"/>
      <c r="E209" s="773"/>
      <c r="F209" s="773"/>
      <c r="G209" s="967" t="s">
        <v>307</v>
      </c>
      <c r="H209" s="967" t="str">
        <f t="shared" si="9"/>
        <v>MS - Architect</v>
      </c>
      <c r="I209" t="str">
        <f t="shared" si="10"/>
        <v>CanadaMS - Architect</v>
      </c>
      <c r="J209" t="str">
        <f t="shared" si="11"/>
        <v>CanadaUKMS - Architect</v>
      </c>
      <c r="K209" cm="1">
        <f t="array" ref="K209">_xlfn.IFS(A209="Canada",4,A209="India",5,A209="UK",6,A209="USA",7,A209="EU",8)</f>
        <v>4</v>
      </c>
      <c r="L209" s="662">
        <f>VLOOKUP(H209,'StdCosts and StdRates'!$A$41:$H$86,K209,FALSE)</f>
        <v>269</v>
      </c>
      <c r="M209" s="662" cm="1">
        <f t="array" ref="M209">_xlfn.XLOOKUP(C209&amp;A209,FX!$A$2:$A$26&amp;FX!$B$2:$B$26,FX!$C$2:$C$26)</f>
        <v>1.7410699999999999</v>
      </c>
      <c r="N209" cm="1">
        <f t="array" ref="N209">_xlfn.IFS(C209="Canada",2,C209="India",3,C209="UK",4,C209="USA",5,C209="EU",6)</f>
        <v>4</v>
      </c>
      <c r="O209" s="662">
        <f>VLOOKUP(G209,'StdCosts and StdRates'!$A$17:$E$36,N209,FALSE)*M209</f>
        <v>184.55341999999999</v>
      </c>
      <c r="P209"/>
      <c r="R209" s="967"/>
    </row>
    <row r="210" spans="1:18">
      <c r="A210" s="773" t="s">
        <v>405</v>
      </c>
      <c r="B210" s="773"/>
      <c r="C210" s="773" t="s">
        <v>736</v>
      </c>
      <c r="D210" s="773"/>
      <c r="E210" s="773"/>
      <c r="F210" s="773"/>
      <c r="G210" s="967" t="s">
        <v>307</v>
      </c>
      <c r="H210" s="967" t="str">
        <f t="shared" si="9"/>
        <v>MS - Architect</v>
      </c>
      <c r="I210" t="str">
        <f t="shared" si="10"/>
        <v>CanadaMS - Architect</v>
      </c>
      <c r="J210" t="str">
        <f t="shared" si="11"/>
        <v>CanadaEUMS - Architect</v>
      </c>
      <c r="K210" cm="1">
        <f t="array" ref="K210">_xlfn.IFS(A210="Canada",4,A210="India",5,A210="UK",6,A210="USA",7,A210="EU",8)</f>
        <v>4</v>
      </c>
      <c r="L210" s="662">
        <f>VLOOKUP(H210,'StdCosts and StdRates'!$A$41:$H$86,K210,FALSE)</f>
        <v>269</v>
      </c>
      <c r="M210" s="662" cm="1">
        <f t="array" ref="M210">_xlfn.XLOOKUP(C210&amp;A210,FX!$A$2:$A$26&amp;FX!$B$2:$B$26,FX!$C$2:$C$26)</f>
        <v>1.4816499999999999</v>
      </c>
      <c r="N210" cm="1">
        <f t="array" ref="N210">_xlfn.IFS(C210="Canada",2,C210="India",3,C210="UK",4,C210="USA",5,C210="EU",6)</f>
        <v>6</v>
      </c>
      <c r="O210" s="662" t="e">
        <f>VLOOKUP(G210,'StdCosts and StdRates'!$A$17:$E$36,N210,FALSE)*M210</f>
        <v>#REF!</v>
      </c>
      <c r="P210"/>
      <c r="R210" s="967"/>
    </row>
    <row r="211" spans="1:18">
      <c r="A211" s="773" t="s">
        <v>405</v>
      </c>
      <c r="B211" s="773" t="s">
        <v>227</v>
      </c>
      <c r="C211" s="773" t="s">
        <v>227</v>
      </c>
      <c r="D211" s="773"/>
      <c r="E211" s="773"/>
      <c r="F211" s="773"/>
      <c r="G211" s="967" t="s">
        <v>307</v>
      </c>
      <c r="H211" s="967" t="str">
        <f t="shared" si="9"/>
        <v>IndiaMS - Architect</v>
      </c>
      <c r="I211" t="str">
        <f t="shared" si="10"/>
        <v>CanadaIndiaMS - Architect</v>
      </c>
      <c r="J211" t="str">
        <f t="shared" si="11"/>
        <v>CanadaIndiaMS - Architect</v>
      </c>
      <c r="K211" cm="1">
        <f t="array" ref="K211">_xlfn.IFS(A211="Canada",4,A211="India",5,A211="UK",6,A211="USA",7,A211="EU",8)</f>
        <v>4</v>
      </c>
      <c r="L211" s="662">
        <f>VLOOKUP(H211,'StdCosts and StdRates'!$A$41:$H$86,K211,FALSE)</f>
        <v>125</v>
      </c>
      <c r="M211" s="662" cm="1">
        <f t="array" ref="M211">_xlfn.XLOOKUP(C211&amp;A211,FX!$A$2:$A$26&amp;FX!$B$2:$B$26,FX!$C$2:$C$26)</f>
        <v>1.6389999999999998E-2</v>
      </c>
      <c r="N211" cm="1">
        <f t="array" ref="N211">_xlfn.IFS(C211="Canada",2,C211="India",3,C211="UK",4,C211="USA",5,C211="EU",6)</f>
        <v>3</v>
      </c>
      <c r="O211" s="662">
        <f>VLOOKUP(G211,'StdCosts and StdRates'!$A$17:$E$36,N211,FALSE)*M211</f>
        <v>51.530159999999995</v>
      </c>
      <c r="P211"/>
      <c r="R211" s="967"/>
    </row>
    <row r="212" spans="1:18">
      <c r="A212" s="773" t="s">
        <v>247</v>
      </c>
      <c r="B212" s="773"/>
      <c r="C212" s="773" t="s">
        <v>308</v>
      </c>
      <c r="D212" s="773"/>
      <c r="E212" s="773"/>
      <c r="F212" s="773"/>
      <c r="G212" s="967" t="s">
        <v>307</v>
      </c>
      <c r="H212" s="967" t="str">
        <f t="shared" si="9"/>
        <v>MS - Architect</v>
      </c>
      <c r="I212" t="str">
        <f t="shared" si="10"/>
        <v>UKMS - Architect</v>
      </c>
      <c r="J212" t="str">
        <f t="shared" si="11"/>
        <v>UKUSAMS - Architect</v>
      </c>
      <c r="K212" cm="1">
        <f t="array" ref="K212">_xlfn.IFS(A212="Canada",4,A212="India",5,A212="UK",6,A212="USA",7,A212="EU",8)</f>
        <v>6</v>
      </c>
      <c r="L212" s="662">
        <f>VLOOKUP(H212,'StdCosts and StdRates'!$A$41:$H$86,K212,FALSE)</f>
        <v>169</v>
      </c>
      <c r="M212" s="662" cm="1">
        <f t="array" ref="M212">_xlfn.XLOOKUP(C212&amp;A212,FX!$A$2:$A$26&amp;FX!$B$2:$B$26,FX!$C$2:$C$26)</f>
        <v>0.78280000000000005</v>
      </c>
      <c r="N212" cm="1">
        <f t="array" ref="N212">_xlfn.IFS(C212="Canada",2,C212="India",3,C212="UK",4,C212="USA",5,C212="EU",6)</f>
        <v>5</v>
      </c>
      <c r="O212" s="662">
        <f>VLOOKUP(G212,'StdCosts and StdRates'!$A$17:$E$36,N212,FALSE)*M212</f>
        <v>139.33840000000001</v>
      </c>
      <c r="P212"/>
      <c r="R212" s="967"/>
    </row>
    <row r="213" spans="1:18">
      <c r="A213" s="773" t="s">
        <v>247</v>
      </c>
      <c r="B213" s="773"/>
      <c r="C213" s="773" t="s">
        <v>405</v>
      </c>
      <c r="D213" s="773"/>
      <c r="E213" s="773"/>
      <c r="F213" s="773"/>
      <c r="G213" s="967" t="s">
        <v>307</v>
      </c>
      <c r="H213" s="967" t="str">
        <f t="shared" si="9"/>
        <v>MS - Architect</v>
      </c>
      <c r="I213" t="str">
        <f t="shared" si="10"/>
        <v>UKMS - Architect</v>
      </c>
      <c r="J213" t="str">
        <f t="shared" si="11"/>
        <v>UKCanadaMS - Architect</v>
      </c>
      <c r="K213" cm="1">
        <f t="array" ref="K213">_xlfn.IFS(A213="Canada",4,A213="India",5,A213="UK",6,A213="USA",7,A213="EU",8)</f>
        <v>6</v>
      </c>
      <c r="L213" s="662">
        <f>VLOOKUP(H213,'StdCosts and StdRates'!$A$41:$H$86,K213,FALSE)</f>
        <v>169</v>
      </c>
      <c r="M213" s="662" cm="1">
        <f t="array" ref="M213">_xlfn.XLOOKUP(C213&amp;A213,FX!$A$2:$A$26&amp;FX!$B$2:$B$26,FX!$C$2:$C$26)</f>
        <v>0.57420000000000004</v>
      </c>
      <c r="N213" cm="1">
        <f t="array" ref="N213">_xlfn.IFS(C213="Canada",2,C213="India",3,C213="UK",4,C213="USA",5,C213="EU",6)</f>
        <v>2</v>
      </c>
      <c r="O213" s="662">
        <f>VLOOKUP(G213,'StdCosts and StdRates'!$A$17:$E$36,N213,FALSE)*M213</f>
        <v>94.168800000000005</v>
      </c>
      <c r="P213"/>
      <c r="R213" s="967"/>
    </row>
    <row r="214" spans="1:18">
      <c r="A214" s="773" t="s">
        <v>247</v>
      </c>
      <c r="B214" s="773"/>
      <c r="C214" s="773" t="s">
        <v>247</v>
      </c>
      <c r="D214" s="773"/>
      <c r="E214" s="773"/>
      <c r="F214" s="773"/>
      <c r="G214" s="967" t="s">
        <v>307</v>
      </c>
      <c r="H214" s="967" t="str">
        <f t="shared" si="9"/>
        <v>MS - Architect</v>
      </c>
      <c r="I214" t="str">
        <f t="shared" si="10"/>
        <v>UKMS - Architect</v>
      </c>
      <c r="J214" t="str">
        <f t="shared" si="11"/>
        <v>UKUKMS - Architect</v>
      </c>
      <c r="K214" cm="1">
        <f t="array" ref="K214">_xlfn.IFS(A214="Canada",4,A214="India",5,A214="UK",6,A214="USA",7,A214="EU",8)</f>
        <v>6</v>
      </c>
      <c r="L214" s="662">
        <f>VLOOKUP(H214,'StdCosts and StdRates'!$A$41:$H$86,K214,FALSE)</f>
        <v>169</v>
      </c>
      <c r="M214" s="662" cm="1">
        <f t="array" ref="M214">_xlfn.XLOOKUP(C214&amp;A214,FX!$A$2:$A$26&amp;FX!$B$2:$B$26,FX!$C$2:$C$26)</f>
        <v>1</v>
      </c>
      <c r="N214" cm="1">
        <f t="array" ref="N214">_xlfn.IFS(C214="Canada",2,C214="India",3,C214="UK",4,C214="USA",5,C214="EU",6)</f>
        <v>4</v>
      </c>
      <c r="O214" s="662">
        <f>VLOOKUP(G214,'StdCosts and StdRates'!$A$17:$E$36,N214,FALSE)*M214</f>
        <v>106</v>
      </c>
      <c r="P214"/>
      <c r="R214" s="967"/>
    </row>
    <row r="215" spans="1:18">
      <c r="A215" s="773" t="s">
        <v>247</v>
      </c>
      <c r="B215" s="773"/>
      <c r="C215" s="773" t="s">
        <v>736</v>
      </c>
      <c r="D215" s="773"/>
      <c r="E215" s="773"/>
      <c r="F215" s="773"/>
      <c r="G215" s="967" t="s">
        <v>307</v>
      </c>
      <c r="H215" s="967" t="str">
        <f t="shared" si="9"/>
        <v>MS - Architect</v>
      </c>
      <c r="I215" t="str">
        <f t="shared" si="10"/>
        <v>UKMS - Architect</v>
      </c>
      <c r="J215" t="str">
        <f t="shared" si="11"/>
        <v>UKEUMS - Architect</v>
      </c>
      <c r="K215" cm="1">
        <f t="array" ref="K215">_xlfn.IFS(A215="Canada",4,A215="India",5,A215="UK",6,A215="USA",7,A215="EU",8)</f>
        <v>6</v>
      </c>
      <c r="L215" s="662">
        <f>VLOOKUP(H215,'StdCosts and StdRates'!$A$41:$H$86,K215,FALSE)</f>
        <v>169</v>
      </c>
      <c r="M215" s="662" cm="1">
        <f t="array" ref="M215">_xlfn.XLOOKUP(C215&amp;A215,FX!$A$2:$A$26&amp;FX!$B$2:$B$26,FX!$C$2:$C$26)</f>
        <v>0.85092999999999996</v>
      </c>
      <c r="N215" cm="1">
        <f t="array" ref="N215">_xlfn.IFS(C215="Canada",2,C215="India",3,C215="UK",4,C215="USA",5,C215="EU",6)</f>
        <v>6</v>
      </c>
      <c r="O215" s="662" t="e">
        <f>VLOOKUP(G215,'StdCosts and StdRates'!$A$17:$E$36,N215,FALSE)*M215</f>
        <v>#REF!</v>
      </c>
      <c r="P215"/>
      <c r="R215" s="967"/>
    </row>
    <row r="216" spans="1:18">
      <c r="A216" s="773" t="s">
        <v>247</v>
      </c>
      <c r="B216" s="773" t="s">
        <v>227</v>
      </c>
      <c r="C216" s="773" t="s">
        <v>227</v>
      </c>
      <c r="D216" s="773"/>
      <c r="E216" s="773"/>
      <c r="F216" s="773"/>
      <c r="G216" s="967" t="s">
        <v>307</v>
      </c>
      <c r="H216" s="967" t="str">
        <f t="shared" si="9"/>
        <v>IndiaMS - Architect</v>
      </c>
      <c r="I216" t="str">
        <f t="shared" si="10"/>
        <v>UKIndiaMS - Architect</v>
      </c>
      <c r="J216" t="str">
        <f t="shared" si="11"/>
        <v>UKIndiaMS - Architect</v>
      </c>
      <c r="K216" cm="1">
        <f t="array" ref="K216">_xlfn.IFS(A216="Canada",4,A216="India",5,A216="UK",6,A216="USA",7,A216="EU",8)</f>
        <v>6</v>
      </c>
      <c r="L216" s="662">
        <f>VLOOKUP(H216,'StdCosts and StdRates'!$A$41:$H$86,K216,FALSE)</f>
        <v>75</v>
      </c>
      <c r="M216" s="662" cm="1">
        <f t="array" ref="M216">_xlfn.XLOOKUP(C216&amp;A216,FX!$A$2:$A$26&amp;FX!$B$2:$B$26,FX!$C$2:$C$26)</f>
        <v>9.41E-3</v>
      </c>
      <c r="N216" cm="1">
        <f t="array" ref="N216">_xlfn.IFS(C216="Canada",2,C216="India",3,C216="UK",4,C216="USA",5,C216="EU",6)</f>
        <v>3</v>
      </c>
      <c r="O216" s="662">
        <f>VLOOKUP(G216,'StdCosts and StdRates'!$A$17:$E$36,N216,FALSE)*M216</f>
        <v>29.585039999999999</v>
      </c>
      <c r="P216"/>
      <c r="R216" s="967"/>
    </row>
    <row r="217" spans="1:18">
      <c r="A217" s="773" t="s">
        <v>227</v>
      </c>
      <c r="B217" s="773"/>
      <c r="C217" s="773" t="s">
        <v>308</v>
      </c>
      <c r="D217" s="773"/>
      <c r="E217" s="773"/>
      <c r="F217" s="773"/>
      <c r="G217" s="967" t="s">
        <v>307</v>
      </c>
      <c r="H217" s="967" t="str">
        <f t="shared" si="9"/>
        <v>MS - Architect</v>
      </c>
      <c r="I217" t="str">
        <f t="shared" si="10"/>
        <v>IndiaMS - Architect</v>
      </c>
      <c r="J217" t="str">
        <f t="shared" si="11"/>
        <v>IndiaUSAMS - Architect</v>
      </c>
      <c r="K217" cm="1">
        <f t="array" ref="K217">_xlfn.IFS(A217="Canada",4,A217="India",5,A217="UK",6,A217="USA",7,A217="EU",8)</f>
        <v>5</v>
      </c>
      <c r="L217" s="662">
        <f>VLOOKUP(H217,'StdCosts and StdRates'!$A$41:$H$86,K217,FALSE)</f>
        <v>7500</v>
      </c>
      <c r="M217" s="662" cm="1">
        <f t="array" ref="M217">_xlfn.XLOOKUP(C217&amp;A217,FX!$A$2:$A$26&amp;FX!$B$2:$B$26,FX!$C$2:$C$26)</f>
        <v>83.1721</v>
      </c>
      <c r="N217" cm="1">
        <f t="array" ref="N217">_xlfn.IFS(C217="Canada",2,C217="India",3,C217="UK",4,C217="USA",5,C217="EU",6)</f>
        <v>5</v>
      </c>
      <c r="O217" s="662">
        <f>VLOOKUP(G217,'StdCosts and StdRates'!$A$17:$E$36,N217,FALSE)*M217</f>
        <v>14804.6338</v>
      </c>
      <c r="P217"/>
      <c r="R217" s="967"/>
    </row>
    <row r="218" spans="1:18">
      <c r="A218" s="773" t="s">
        <v>227</v>
      </c>
      <c r="B218" s="773"/>
      <c r="C218" s="773" t="s">
        <v>405</v>
      </c>
      <c r="D218" s="773"/>
      <c r="E218" s="773"/>
      <c r="F218" s="773"/>
      <c r="G218" s="967" t="s">
        <v>307</v>
      </c>
      <c r="H218" s="967" t="str">
        <f t="shared" si="9"/>
        <v>MS - Architect</v>
      </c>
      <c r="I218" t="str">
        <f t="shared" si="10"/>
        <v>IndiaMS - Architect</v>
      </c>
      <c r="J218" t="str">
        <f t="shared" si="11"/>
        <v>IndiaCanadaMS - Architect</v>
      </c>
      <c r="K218" cm="1">
        <f t="array" ref="K218">_xlfn.IFS(A218="Canada",4,A218="India",5,A218="UK",6,A218="USA",7,A218="EU",8)</f>
        <v>5</v>
      </c>
      <c r="L218" s="662">
        <f>VLOOKUP(H218,'StdCosts and StdRates'!$A$41:$H$86,K218,FALSE)</f>
        <v>7500</v>
      </c>
      <c r="M218" s="662" cm="1">
        <f t="array" ref="M218">_xlfn.XLOOKUP(C218&amp;A218,FX!$A$2:$A$26&amp;FX!$B$2:$B$26,FX!$C$2:$C$26)</f>
        <v>61.008200000000002</v>
      </c>
      <c r="N218" cm="1">
        <f t="array" ref="N218">_xlfn.IFS(C218="Canada",2,C218="India",3,C218="UK",4,C218="USA",5,C218="EU",6)</f>
        <v>2</v>
      </c>
      <c r="O218" s="662">
        <f>VLOOKUP(G218,'StdCosts and StdRates'!$A$17:$E$36,N218,FALSE)*M218</f>
        <v>10005.344800000001</v>
      </c>
      <c r="P218"/>
      <c r="R218" s="967"/>
    </row>
    <row r="219" spans="1:18">
      <c r="A219" s="773" t="s">
        <v>227</v>
      </c>
      <c r="B219" s="773"/>
      <c r="C219" s="773" t="s">
        <v>247</v>
      </c>
      <c r="D219" s="773"/>
      <c r="E219" s="773"/>
      <c r="F219" s="773"/>
      <c r="G219" s="967" t="s">
        <v>307</v>
      </c>
      <c r="H219" s="967" t="str">
        <f t="shared" ref="H219:H282" si="12">B219&amp;G219</f>
        <v>MS - Architect</v>
      </c>
      <c r="I219" t="str">
        <f t="shared" ref="I219:I282" si="13">A219&amp;B219&amp;D219&amp;E219&amp;F219&amp;G219</f>
        <v>IndiaMS - Architect</v>
      </c>
      <c r="J219" t="str">
        <f t="shared" ref="J219:J282" si="14">A219&amp;C219&amp;D219&amp;E219&amp;F219&amp;G219</f>
        <v>IndiaUKMS - Architect</v>
      </c>
      <c r="K219" cm="1">
        <f t="array" ref="K219">_xlfn.IFS(A219="Canada",4,A219="India",5,A219="UK",6,A219="USA",7,A219="EU",8)</f>
        <v>5</v>
      </c>
      <c r="L219" s="662">
        <f>VLOOKUP(H219,'StdCosts and StdRates'!$A$41:$H$86,K219,FALSE)</f>
        <v>7500</v>
      </c>
      <c r="M219" s="662" cm="1">
        <f t="array" ref="M219">_xlfn.XLOOKUP(C219&amp;A219,FX!$A$2:$A$26&amp;FX!$B$2:$B$26,FX!$C$2:$C$26)</f>
        <v>106.23399999999999</v>
      </c>
      <c r="N219" cm="1">
        <f t="array" ref="N219">_xlfn.IFS(C219="Canada",2,C219="India",3,C219="UK",4,C219="USA",5,C219="EU",6)</f>
        <v>4</v>
      </c>
      <c r="O219" s="662">
        <f>VLOOKUP(G219,'StdCosts and StdRates'!$A$17:$E$36,N219,FALSE)*M219</f>
        <v>11260.804</v>
      </c>
      <c r="P219"/>
      <c r="R219" s="967"/>
    </row>
    <row r="220" spans="1:18">
      <c r="A220" s="773" t="s">
        <v>227</v>
      </c>
      <c r="B220" s="773"/>
      <c r="C220" s="773" t="s">
        <v>736</v>
      </c>
      <c r="D220" s="773"/>
      <c r="E220" s="773"/>
      <c r="F220" s="773"/>
      <c r="G220" s="967" t="s">
        <v>307</v>
      </c>
      <c r="H220" s="967" t="str">
        <f t="shared" si="12"/>
        <v>MS - Architect</v>
      </c>
      <c r="I220" t="str">
        <f t="shared" si="13"/>
        <v>IndiaMS - Architect</v>
      </c>
      <c r="J220" t="str">
        <f t="shared" si="14"/>
        <v>IndiaEUMS - Architect</v>
      </c>
      <c r="K220" cm="1">
        <f t="array" ref="K220">_xlfn.IFS(A220="Canada",4,A220="India",5,A220="UK",6,A220="USA",7,A220="EU",8)</f>
        <v>5</v>
      </c>
      <c r="L220" s="662">
        <f>VLOOKUP(H220,'StdCosts and StdRates'!$A$41:$H$86,K220,FALSE)</f>
        <v>7500</v>
      </c>
      <c r="M220" s="662" cm="1">
        <f t="array" ref="M220">_xlfn.XLOOKUP(C220&amp;A220,FX!$A$2:$A$26&amp;FX!$B$2:$B$26,FX!$C$2:$C$26)</f>
        <v>90.405100000000004</v>
      </c>
      <c r="N220" cm="1">
        <f t="array" ref="N220">_xlfn.IFS(C220="Canada",2,C220="India",3,C220="UK",4,C220="USA",5,C220="EU",6)</f>
        <v>6</v>
      </c>
      <c r="O220" s="662" t="e">
        <f>VLOOKUP(G220,'StdCosts and StdRates'!$A$17:$E$36,N220,FALSE)*M220</f>
        <v>#REF!</v>
      </c>
      <c r="P220"/>
      <c r="R220" s="967"/>
    </row>
    <row r="221" spans="1:18">
      <c r="A221" s="773" t="s">
        <v>227</v>
      </c>
      <c r="B221" s="773" t="s">
        <v>227</v>
      </c>
      <c r="C221" s="773" t="s">
        <v>227</v>
      </c>
      <c r="D221" s="773"/>
      <c r="E221" s="773"/>
      <c r="F221" s="773"/>
      <c r="G221" s="967" t="s">
        <v>307</v>
      </c>
      <c r="H221" s="967" t="str">
        <f t="shared" si="12"/>
        <v>IndiaMS - Architect</v>
      </c>
      <c r="I221" t="str">
        <f t="shared" si="13"/>
        <v>IndiaIndiaMS - Architect</v>
      </c>
      <c r="J221" t="str">
        <f t="shared" si="14"/>
        <v>IndiaIndiaMS - Architect</v>
      </c>
      <c r="K221" cm="1">
        <f t="array" ref="K221">_xlfn.IFS(A221="Canada",4,A221="India",5,A221="UK",6,A221="USA",7,A221="EU",8)</f>
        <v>5</v>
      </c>
      <c r="L221" s="662">
        <f>VLOOKUP(H221,'StdCosts and StdRates'!$A$41:$H$86,K221,FALSE)</f>
        <v>7500</v>
      </c>
      <c r="M221" s="662" cm="1">
        <f t="array" ref="M221">_xlfn.XLOOKUP(C221&amp;A221,FX!$A$2:$A$26&amp;FX!$B$2:$B$26,FX!$C$2:$C$26)</f>
        <v>1</v>
      </c>
      <c r="N221" cm="1">
        <f t="array" ref="N221">_xlfn.IFS(C221="Canada",2,C221="India",3,C221="UK",4,C221="USA",5,C221="EU",6)</f>
        <v>3</v>
      </c>
      <c r="O221" s="662">
        <f>VLOOKUP(G221,'StdCosts and StdRates'!$A$17:$E$36,N221,FALSE)*M221</f>
        <v>3144</v>
      </c>
      <c r="P221"/>
      <c r="R221" s="967"/>
    </row>
    <row r="222" spans="1:18">
      <c r="A222" s="773" t="s">
        <v>736</v>
      </c>
      <c r="B222" s="773"/>
      <c r="C222" s="773" t="s">
        <v>308</v>
      </c>
      <c r="D222" s="773"/>
      <c r="E222" s="773"/>
      <c r="F222" s="773"/>
      <c r="G222" s="967" t="s">
        <v>307</v>
      </c>
      <c r="H222" s="967" t="str">
        <f t="shared" si="12"/>
        <v>MS - Architect</v>
      </c>
      <c r="I222" t="str">
        <f t="shared" si="13"/>
        <v>EUMS - Architect</v>
      </c>
      <c r="J222" t="str">
        <f t="shared" si="14"/>
        <v>EUUSAMS - Architect</v>
      </c>
      <c r="K222" cm="1">
        <f t="array" ref="K222">_xlfn.IFS(A222="Canada",4,A222="India",5,A222="UK",6,A222="USA",7,A222="EU",8)</f>
        <v>8</v>
      </c>
      <c r="L222" s="662">
        <f>VLOOKUP(H222,'StdCosts and StdRates'!$A$41:$H$86,K222,FALSE)</f>
        <v>199</v>
      </c>
      <c r="M222" s="662" cm="1">
        <f t="array" ref="M222">_xlfn.XLOOKUP(C222&amp;A222,FX!$A$2:$A$26&amp;FX!$B$2:$B$26,FX!$C$2:$C$26)</f>
        <v>0.91986999999999997</v>
      </c>
      <c r="N222" cm="1">
        <f t="array" ref="N222">_xlfn.IFS(C222="Canada",2,C222="India",3,C222="UK",4,C222="USA",5,C222="EU",6)</f>
        <v>5</v>
      </c>
      <c r="O222" s="662">
        <f>VLOOKUP(G222,'StdCosts and StdRates'!$A$17:$E$36,N222,FALSE)*M222</f>
        <v>163.73686000000001</v>
      </c>
      <c r="P222"/>
      <c r="R222" s="967"/>
    </row>
    <row r="223" spans="1:18">
      <c r="A223" s="773" t="s">
        <v>736</v>
      </c>
      <c r="B223" s="773"/>
      <c r="C223" s="773" t="s">
        <v>405</v>
      </c>
      <c r="D223" s="773"/>
      <c r="E223" s="773"/>
      <c r="F223" s="773"/>
      <c r="G223" s="967" t="s">
        <v>307</v>
      </c>
      <c r="H223" s="967" t="str">
        <f t="shared" si="12"/>
        <v>MS - Architect</v>
      </c>
      <c r="I223" t="str">
        <f t="shared" si="13"/>
        <v>EUMS - Architect</v>
      </c>
      <c r="J223" t="str">
        <f t="shared" si="14"/>
        <v>EUCanadaMS - Architect</v>
      </c>
      <c r="K223" cm="1">
        <f t="array" ref="K223">_xlfn.IFS(A223="Canada",4,A223="India",5,A223="UK",6,A223="USA",7,A223="EU",8)</f>
        <v>8</v>
      </c>
      <c r="L223" s="662">
        <f>VLOOKUP(H223,'StdCosts and StdRates'!$A$41:$H$86,K223,FALSE)</f>
        <v>199</v>
      </c>
      <c r="M223" s="662" cm="1">
        <f t="array" ref="M223">_xlfn.XLOOKUP(C223&amp;A223,FX!$A$2:$A$26&amp;FX!$B$2:$B$26,FX!$C$2:$C$26)</f>
        <v>0.67474000000000001</v>
      </c>
      <c r="N223" cm="1">
        <f t="array" ref="N223">_xlfn.IFS(C223="Canada",2,C223="India",3,C223="UK",4,C223="USA",5,C223="EU",6)</f>
        <v>2</v>
      </c>
      <c r="O223" s="662">
        <f>VLOOKUP(G223,'StdCosts and StdRates'!$A$17:$E$36,N223,FALSE)*M223</f>
        <v>110.65736</v>
      </c>
      <c r="P223"/>
      <c r="R223" s="967"/>
    </row>
    <row r="224" spans="1:18">
      <c r="A224" s="773" t="s">
        <v>736</v>
      </c>
      <c r="B224" s="773"/>
      <c r="C224" s="773" t="s">
        <v>247</v>
      </c>
      <c r="D224" s="773"/>
      <c r="E224" s="773"/>
      <c r="F224" s="773"/>
      <c r="G224" s="967" t="s">
        <v>307</v>
      </c>
      <c r="H224" s="967" t="str">
        <f t="shared" si="12"/>
        <v>MS - Architect</v>
      </c>
      <c r="I224" t="str">
        <f t="shared" si="13"/>
        <v>EUMS - Architect</v>
      </c>
      <c r="J224" t="str">
        <f t="shared" si="14"/>
        <v>EUUKMS - Architect</v>
      </c>
      <c r="K224" cm="1">
        <f t="array" ref="K224">_xlfn.IFS(A224="Canada",4,A224="India",5,A224="UK",6,A224="USA",7,A224="EU",8)</f>
        <v>8</v>
      </c>
      <c r="L224" s="662">
        <f>VLOOKUP(H224,'StdCosts and StdRates'!$A$41:$H$86,K224,FALSE)</f>
        <v>199</v>
      </c>
      <c r="M224" s="662" cm="1">
        <f t="array" ref="M224">_xlfn.XLOOKUP(C224&amp;A224,FX!$A$2:$A$26&amp;FX!$B$2:$B$26,FX!$C$2:$C$26)</f>
        <v>1.1749799999999999</v>
      </c>
      <c r="N224" cm="1">
        <f t="array" ref="N224">_xlfn.IFS(C224="Canada",2,C224="India",3,C224="UK",4,C224="USA",5,C224="EU",6)</f>
        <v>4</v>
      </c>
      <c r="O224" s="662">
        <f>VLOOKUP(G224,'StdCosts and StdRates'!$A$17:$E$36,N224,FALSE)*M224</f>
        <v>124.54787999999999</v>
      </c>
      <c r="P224"/>
      <c r="R224" s="967"/>
    </row>
    <row r="225" spans="1:18">
      <c r="A225" s="773" t="s">
        <v>736</v>
      </c>
      <c r="B225" s="773"/>
      <c r="C225" s="773" t="s">
        <v>736</v>
      </c>
      <c r="D225" s="773"/>
      <c r="E225" s="773"/>
      <c r="F225" s="773"/>
      <c r="G225" s="967" t="s">
        <v>307</v>
      </c>
      <c r="H225" s="967" t="str">
        <f t="shared" si="12"/>
        <v>MS - Architect</v>
      </c>
      <c r="I225" t="str">
        <f t="shared" si="13"/>
        <v>EUMS - Architect</v>
      </c>
      <c r="J225" t="str">
        <f t="shared" si="14"/>
        <v>EUEUMS - Architect</v>
      </c>
      <c r="K225" cm="1">
        <f t="array" ref="K225">_xlfn.IFS(A225="Canada",4,A225="India",5,A225="UK",6,A225="USA",7,A225="EU",8)</f>
        <v>8</v>
      </c>
      <c r="L225" s="662">
        <f>VLOOKUP(H225,'StdCosts and StdRates'!$A$41:$H$86,K225,FALSE)</f>
        <v>199</v>
      </c>
      <c r="M225" s="662" cm="1">
        <f t="array" ref="M225">_xlfn.XLOOKUP(C225&amp;A225,FX!$A$2:$A$26&amp;FX!$B$2:$B$26,FX!$C$2:$C$26)</f>
        <v>1</v>
      </c>
      <c r="N225" cm="1">
        <f t="array" ref="N225">_xlfn.IFS(C225="Canada",2,C225="India",3,C225="UK",4,C225="USA",5,C225="EU",6)</f>
        <v>6</v>
      </c>
      <c r="O225" s="662" t="e">
        <f>VLOOKUP(G225,'StdCosts and StdRates'!$A$17:$E$36,N225,FALSE)*M225</f>
        <v>#REF!</v>
      </c>
      <c r="P225"/>
      <c r="R225" s="967"/>
    </row>
    <row r="226" spans="1:18">
      <c r="A226" s="773" t="s">
        <v>736</v>
      </c>
      <c r="B226" s="773" t="s">
        <v>227</v>
      </c>
      <c r="C226" s="773" t="s">
        <v>227</v>
      </c>
      <c r="D226" s="773"/>
      <c r="E226" s="773"/>
      <c r="F226" s="773"/>
      <c r="G226" s="967" t="s">
        <v>307</v>
      </c>
      <c r="H226" s="967" t="str">
        <f t="shared" si="12"/>
        <v>IndiaMS - Architect</v>
      </c>
      <c r="I226" t="str">
        <f t="shared" si="13"/>
        <v>EUIndiaMS - Architect</v>
      </c>
      <c r="J226" t="str">
        <f t="shared" si="14"/>
        <v>EUIndiaMS - Architect</v>
      </c>
      <c r="K226" cm="1">
        <f t="array" ref="K226">_xlfn.IFS(A226="Canada",4,A226="India",5,A226="UK",6,A226="USA",7,A226="EU",8)</f>
        <v>8</v>
      </c>
      <c r="L226" s="662">
        <f>VLOOKUP(H226,'StdCosts and StdRates'!$A$41:$H$86,K226,FALSE)</f>
        <v>89</v>
      </c>
      <c r="M226" s="662" cm="1">
        <f t="array" ref="M226">_xlfn.XLOOKUP(C226&amp;A226,FX!$A$2:$A$26&amp;FX!$B$2:$B$26,FX!$C$2:$C$26)</f>
        <v>1.106E-2</v>
      </c>
      <c r="N226" cm="1">
        <f t="array" ref="N226">_xlfn.IFS(C226="Canada",2,C226="India",3,C226="UK",4,C226="USA",5,C226="EU",6)</f>
        <v>3</v>
      </c>
      <c r="O226" s="662">
        <f>VLOOKUP(G226,'StdCosts and StdRates'!$A$17:$E$36,N226,FALSE)*M226</f>
        <v>34.772640000000003</v>
      </c>
      <c r="P226"/>
      <c r="R226" s="967"/>
    </row>
    <row r="227" spans="1:18">
      <c r="A227" s="773" t="s">
        <v>308</v>
      </c>
      <c r="B227" s="773"/>
      <c r="C227" s="773" t="s">
        <v>308</v>
      </c>
      <c r="D227" s="773"/>
      <c r="E227" s="773"/>
      <c r="F227" s="773"/>
      <c r="G227" s="967" t="s">
        <v>309</v>
      </c>
      <c r="H227" s="967" t="str">
        <f t="shared" si="12"/>
        <v>MS - Engineer</v>
      </c>
      <c r="I227" t="str">
        <f t="shared" si="13"/>
        <v>USAMS - Engineer</v>
      </c>
      <c r="J227" t="str">
        <f t="shared" si="14"/>
        <v>USAUSAMS - Engineer</v>
      </c>
      <c r="K227" cm="1">
        <f t="array" ref="K227">_xlfn.IFS(A227="Canada",4,A227="India",5,A227="UK",6,A227="USA",7,A227="EU",8)</f>
        <v>7</v>
      </c>
      <c r="L227" s="662">
        <f>VLOOKUP(H227,'StdCosts and StdRates'!$A$41:$H$86,K227,FALSE)</f>
        <v>219</v>
      </c>
      <c r="M227" s="662" cm="1">
        <f t="array" ref="M227">_xlfn.XLOOKUP(C227&amp;A227,FX!$A$2:$A$26&amp;FX!$B$2:$B$26,FX!$C$2:$C$26)</f>
        <v>1</v>
      </c>
      <c r="N227" cm="1">
        <f t="array" ref="N227">_xlfn.IFS(C227="Canada",2,C227="India",3,C227="UK",4,C227="USA",5,C227="EU",6)</f>
        <v>5</v>
      </c>
      <c r="O227" s="662">
        <f>VLOOKUP(G227,'StdCosts and StdRates'!$A$17:$E$36,N227,FALSE)*M227</f>
        <v>137</v>
      </c>
      <c r="P227"/>
      <c r="R227" s="967"/>
    </row>
    <row r="228" spans="1:18">
      <c r="A228" s="773" t="s">
        <v>308</v>
      </c>
      <c r="B228" s="773"/>
      <c r="C228" s="773" t="s">
        <v>405</v>
      </c>
      <c r="D228" s="773"/>
      <c r="E228" s="773"/>
      <c r="F228" s="773"/>
      <c r="G228" s="967" t="s">
        <v>309</v>
      </c>
      <c r="H228" s="967" t="str">
        <f t="shared" si="12"/>
        <v>MS - Engineer</v>
      </c>
      <c r="I228" t="str">
        <f t="shared" si="13"/>
        <v>USAMS - Engineer</v>
      </c>
      <c r="J228" t="str">
        <f t="shared" si="14"/>
        <v>USACanadaMS - Engineer</v>
      </c>
      <c r="K228" cm="1">
        <f t="array" ref="K228">_xlfn.IFS(A228="Canada",4,A228="India",5,A228="UK",6,A228="USA",7,A228="EU",8)</f>
        <v>7</v>
      </c>
      <c r="L228" s="662">
        <f>VLOOKUP(H228,'StdCosts and StdRates'!$A$41:$H$86,K228,FALSE)</f>
        <v>219</v>
      </c>
      <c r="M228" s="662" cm="1">
        <f t="array" ref="M228">_xlfn.XLOOKUP(C228&amp;A228,FX!$A$2:$A$26&amp;FX!$B$2:$B$26,FX!$C$2:$C$26)</f>
        <v>0.73351999999999995</v>
      </c>
      <c r="N228" cm="1">
        <f t="array" ref="N228">_xlfn.IFS(C228="Canada",2,C228="India",3,C228="UK",4,C228="USA",5,C228="EU",6)</f>
        <v>2</v>
      </c>
      <c r="O228" s="662">
        <f>VLOOKUP(G228,'StdCosts and StdRates'!$A$17:$E$36,N228,FALSE)*M228</f>
        <v>68.217359999999999</v>
      </c>
      <c r="P228"/>
      <c r="R228" s="967"/>
    </row>
    <row r="229" spans="1:18">
      <c r="A229" s="773" t="s">
        <v>308</v>
      </c>
      <c r="B229" s="773"/>
      <c r="C229" s="773" t="s">
        <v>247</v>
      </c>
      <c r="D229" s="773"/>
      <c r="E229" s="773"/>
      <c r="F229" s="773"/>
      <c r="G229" s="967" t="s">
        <v>309</v>
      </c>
      <c r="H229" s="967" t="str">
        <f t="shared" si="12"/>
        <v>MS - Engineer</v>
      </c>
      <c r="I229" t="str">
        <f t="shared" si="13"/>
        <v>USAMS - Engineer</v>
      </c>
      <c r="J229" t="str">
        <f t="shared" si="14"/>
        <v>USAUKMS - Engineer</v>
      </c>
      <c r="K229" cm="1">
        <f t="array" ref="K229">_xlfn.IFS(A229="Canada",4,A229="India",5,A229="UK",6,A229="USA",7,A229="EU",8)</f>
        <v>7</v>
      </c>
      <c r="L229" s="662">
        <f>VLOOKUP(H229,'StdCosts and StdRates'!$A$41:$H$86,K229,FALSE)</f>
        <v>219</v>
      </c>
      <c r="M229" s="662" cm="1">
        <f t="array" ref="M229">_xlfn.XLOOKUP(C229&amp;A229,FX!$A$2:$A$26&amp;FX!$B$2:$B$26,FX!$C$2:$C$26)</f>
        <v>1.2772699999999999</v>
      </c>
      <c r="N229" cm="1">
        <f t="array" ref="N229">_xlfn.IFS(C229="Canada",2,C229="India",3,C229="UK",4,C229="USA",5,C229="EU",6)</f>
        <v>4</v>
      </c>
      <c r="O229" s="662">
        <f>VLOOKUP(G229,'StdCosts and StdRates'!$A$17:$E$36,N229,FALSE)*M229</f>
        <v>90.68616999999999</v>
      </c>
      <c r="P229"/>
      <c r="R229" s="967"/>
    </row>
    <row r="230" spans="1:18">
      <c r="A230" s="773" t="s">
        <v>308</v>
      </c>
      <c r="B230" s="773"/>
      <c r="C230" s="773" t="s">
        <v>736</v>
      </c>
      <c r="D230" s="773"/>
      <c r="E230" s="773"/>
      <c r="F230" s="773"/>
      <c r="G230" s="967" t="s">
        <v>309</v>
      </c>
      <c r="H230" s="967" t="str">
        <f t="shared" si="12"/>
        <v>MS - Engineer</v>
      </c>
      <c r="I230" t="str">
        <f t="shared" si="13"/>
        <v>USAMS - Engineer</v>
      </c>
      <c r="J230" t="str">
        <f t="shared" si="14"/>
        <v>USAEUMS - Engineer</v>
      </c>
      <c r="K230" cm="1">
        <f t="array" ref="K230">_xlfn.IFS(A230="Canada",4,A230="India",5,A230="UK",6,A230="USA",7,A230="EU",8)</f>
        <v>7</v>
      </c>
      <c r="L230" s="662">
        <f>VLOOKUP(H230,'StdCosts and StdRates'!$A$41:$H$86,K230,FALSE)</f>
        <v>219</v>
      </c>
      <c r="M230" s="662" cm="1">
        <f t="array" ref="M230">_xlfn.XLOOKUP(C230&amp;A230,FX!$A$2:$A$26&amp;FX!$B$2:$B$26,FX!$C$2:$C$26)</f>
        <v>1.0869599999999999</v>
      </c>
      <c r="N230" cm="1">
        <f t="array" ref="N230">_xlfn.IFS(C230="Canada",2,C230="India",3,C230="UK",4,C230="USA",5,C230="EU",6)</f>
        <v>6</v>
      </c>
      <c r="O230" s="662" t="e">
        <f>VLOOKUP(G230,'StdCosts and StdRates'!$A$17:$E$36,N230,FALSE)*M230</f>
        <v>#REF!</v>
      </c>
      <c r="P230"/>
      <c r="R230" s="967"/>
    </row>
    <row r="231" spans="1:18">
      <c r="A231" s="773" t="s">
        <v>308</v>
      </c>
      <c r="B231" s="773" t="s">
        <v>227</v>
      </c>
      <c r="C231" s="773" t="s">
        <v>227</v>
      </c>
      <c r="D231" s="773"/>
      <c r="E231" s="773"/>
      <c r="F231" s="773"/>
      <c r="G231" s="967" t="s">
        <v>309</v>
      </c>
      <c r="H231" s="967" t="str">
        <f t="shared" si="12"/>
        <v>IndiaMS - Engineer</v>
      </c>
      <c r="I231" t="str">
        <f t="shared" si="13"/>
        <v>USAIndiaMS - Engineer</v>
      </c>
      <c r="J231" t="str">
        <f t="shared" si="14"/>
        <v>USAIndiaMS - Engineer</v>
      </c>
      <c r="K231" cm="1">
        <f t="array" ref="K231">_xlfn.IFS(A231="Canada",4,A231="India",5,A231="UK",6,A231="USA",7,A231="EU",8)</f>
        <v>7</v>
      </c>
      <c r="L231" s="662">
        <f>VLOOKUP(H231,'StdCosts and StdRates'!$A$41:$H$86,K231,FALSE)</f>
        <v>89</v>
      </c>
      <c r="M231" s="662" cm="1">
        <f t="array" ref="M231">_xlfn.XLOOKUP(C231&amp;A231,FX!$A$2:$A$26&amp;FX!$B$2:$B$26,FX!$C$2:$C$26)</f>
        <v>1.2019999999999999E-2</v>
      </c>
      <c r="N231" cm="1">
        <f t="array" ref="N231">_xlfn.IFS(C231="Canada",2,C231="India",3,C231="UK",4,C231="USA",5,C231="EU",6)</f>
        <v>3</v>
      </c>
      <c r="O231" s="662">
        <f>VLOOKUP(G231,'StdCosts and StdRates'!$A$17:$E$36,N231,FALSE)*M231</f>
        <v>25.470379999999999</v>
      </c>
      <c r="P231"/>
      <c r="R231" s="967"/>
    </row>
    <row r="232" spans="1:18">
      <c r="A232" s="773" t="s">
        <v>405</v>
      </c>
      <c r="B232" s="773"/>
      <c r="C232" s="773" t="s">
        <v>308</v>
      </c>
      <c r="D232" s="773"/>
      <c r="E232" s="773"/>
      <c r="F232" s="773"/>
      <c r="G232" s="967" t="s">
        <v>309</v>
      </c>
      <c r="H232" s="967" t="str">
        <f t="shared" si="12"/>
        <v>MS - Engineer</v>
      </c>
      <c r="I232" t="str">
        <f t="shared" si="13"/>
        <v>CanadaMS - Engineer</v>
      </c>
      <c r="J232" t="str">
        <f t="shared" si="14"/>
        <v>CanadaUSAMS - Engineer</v>
      </c>
      <c r="K232" cm="1">
        <f t="array" ref="K232">_xlfn.IFS(A232="Canada",4,A232="India",5,A232="UK",6,A232="USA",7,A232="EU",8)</f>
        <v>4</v>
      </c>
      <c r="L232" s="662">
        <f>VLOOKUP(H232,'StdCosts and StdRates'!$A$41:$H$86,K232,FALSE)</f>
        <v>239</v>
      </c>
      <c r="M232" s="662" cm="1">
        <f t="array" ref="M232">_xlfn.XLOOKUP(C232&amp;A232,FX!$A$2:$A$26&amp;FX!$B$2:$B$26,FX!$C$2:$C$26)</f>
        <v>1.36311</v>
      </c>
      <c r="N232" cm="1">
        <f t="array" ref="N232">_xlfn.IFS(C232="Canada",2,C232="India",3,C232="UK",4,C232="USA",5,C232="EU",6)</f>
        <v>5</v>
      </c>
      <c r="O232" s="662">
        <f>VLOOKUP(G232,'StdCosts and StdRates'!$A$17:$E$36,N232,FALSE)*M232</f>
        <v>186.74607</v>
      </c>
      <c r="P232"/>
      <c r="R232" s="967"/>
    </row>
    <row r="233" spans="1:18">
      <c r="A233" s="773" t="s">
        <v>405</v>
      </c>
      <c r="B233" s="773"/>
      <c r="C233" s="773" t="s">
        <v>405</v>
      </c>
      <c r="D233" s="773"/>
      <c r="E233" s="773"/>
      <c r="F233" s="773"/>
      <c r="G233" s="967" t="s">
        <v>309</v>
      </c>
      <c r="H233" s="967" t="str">
        <f t="shared" si="12"/>
        <v>MS - Engineer</v>
      </c>
      <c r="I233" t="str">
        <f t="shared" si="13"/>
        <v>CanadaMS - Engineer</v>
      </c>
      <c r="J233" t="str">
        <f t="shared" si="14"/>
        <v>CanadaCanadaMS - Engineer</v>
      </c>
      <c r="K233" cm="1">
        <f t="array" ref="K233">_xlfn.IFS(A233="Canada",4,A233="India",5,A233="UK",6,A233="USA",7,A233="EU",8)</f>
        <v>4</v>
      </c>
      <c r="L233" s="662">
        <f>VLOOKUP(H233,'StdCosts and StdRates'!$A$41:$H$86,K233,FALSE)</f>
        <v>239</v>
      </c>
      <c r="M233" s="662" cm="1">
        <f t="array" ref="M233">_xlfn.XLOOKUP(C233&amp;A233,FX!$A$2:$A$26&amp;FX!$B$2:$B$26,FX!$C$2:$C$26)</f>
        <v>1</v>
      </c>
      <c r="N233" cm="1">
        <f t="array" ref="N233">_xlfn.IFS(C233="Canada",2,C233="India",3,C233="UK",4,C233="USA",5,C233="EU",6)</f>
        <v>2</v>
      </c>
      <c r="O233" s="662">
        <f>VLOOKUP(G233,'StdCosts and StdRates'!$A$17:$E$36,N233,FALSE)*M233</f>
        <v>93</v>
      </c>
      <c r="P233"/>
      <c r="R233" s="967"/>
    </row>
    <row r="234" spans="1:18">
      <c r="A234" s="773" t="s">
        <v>405</v>
      </c>
      <c r="B234" s="773"/>
      <c r="C234" s="773" t="s">
        <v>247</v>
      </c>
      <c r="D234" s="773"/>
      <c r="E234" s="773"/>
      <c r="F234" s="773"/>
      <c r="G234" s="967" t="s">
        <v>309</v>
      </c>
      <c r="H234" s="967" t="str">
        <f t="shared" si="12"/>
        <v>MS - Engineer</v>
      </c>
      <c r="I234" t="str">
        <f t="shared" si="13"/>
        <v>CanadaMS - Engineer</v>
      </c>
      <c r="J234" t="str">
        <f t="shared" si="14"/>
        <v>CanadaUKMS - Engineer</v>
      </c>
      <c r="K234" cm="1">
        <f t="array" ref="K234">_xlfn.IFS(A234="Canada",4,A234="India",5,A234="UK",6,A234="USA",7,A234="EU",8)</f>
        <v>4</v>
      </c>
      <c r="L234" s="662">
        <f>VLOOKUP(H234,'StdCosts and StdRates'!$A$41:$H$86,K234,FALSE)</f>
        <v>239</v>
      </c>
      <c r="M234" s="662" cm="1">
        <f t="array" ref="M234">_xlfn.XLOOKUP(C234&amp;A234,FX!$A$2:$A$26&amp;FX!$B$2:$B$26,FX!$C$2:$C$26)</f>
        <v>1.7410699999999999</v>
      </c>
      <c r="N234" cm="1">
        <f t="array" ref="N234">_xlfn.IFS(C234="Canada",2,C234="India",3,C234="UK",4,C234="USA",5,C234="EU",6)</f>
        <v>4</v>
      </c>
      <c r="O234" s="662">
        <f>VLOOKUP(G234,'StdCosts and StdRates'!$A$17:$E$36,N234,FALSE)*M234</f>
        <v>123.61596999999999</v>
      </c>
      <c r="P234"/>
      <c r="R234" s="967"/>
    </row>
    <row r="235" spans="1:18">
      <c r="A235" s="773" t="s">
        <v>405</v>
      </c>
      <c r="B235" s="773"/>
      <c r="C235" s="773" t="s">
        <v>736</v>
      </c>
      <c r="D235" s="773"/>
      <c r="E235" s="773"/>
      <c r="F235" s="773"/>
      <c r="G235" s="967" t="s">
        <v>309</v>
      </c>
      <c r="H235" s="967" t="str">
        <f t="shared" si="12"/>
        <v>MS - Engineer</v>
      </c>
      <c r="I235" t="str">
        <f t="shared" si="13"/>
        <v>CanadaMS - Engineer</v>
      </c>
      <c r="J235" t="str">
        <f t="shared" si="14"/>
        <v>CanadaEUMS - Engineer</v>
      </c>
      <c r="K235" cm="1">
        <f t="array" ref="K235">_xlfn.IFS(A235="Canada",4,A235="India",5,A235="UK",6,A235="USA",7,A235="EU",8)</f>
        <v>4</v>
      </c>
      <c r="L235" s="662">
        <f>VLOOKUP(H235,'StdCosts and StdRates'!$A$41:$H$86,K235,FALSE)</f>
        <v>239</v>
      </c>
      <c r="M235" s="662" cm="1">
        <f t="array" ref="M235">_xlfn.XLOOKUP(C235&amp;A235,FX!$A$2:$A$26&amp;FX!$B$2:$B$26,FX!$C$2:$C$26)</f>
        <v>1.4816499999999999</v>
      </c>
      <c r="N235" cm="1">
        <f t="array" ref="N235">_xlfn.IFS(C235="Canada",2,C235="India",3,C235="UK",4,C235="USA",5,C235="EU",6)</f>
        <v>6</v>
      </c>
      <c r="O235" s="662" t="e">
        <f>VLOOKUP(G235,'StdCosts and StdRates'!$A$17:$E$36,N235,FALSE)*M235</f>
        <v>#REF!</v>
      </c>
      <c r="P235"/>
      <c r="R235" s="967"/>
    </row>
    <row r="236" spans="1:18">
      <c r="A236" s="773" t="s">
        <v>405</v>
      </c>
      <c r="B236" s="773" t="s">
        <v>227</v>
      </c>
      <c r="C236" s="773" t="s">
        <v>227</v>
      </c>
      <c r="D236" s="773"/>
      <c r="E236" s="773"/>
      <c r="F236" s="773"/>
      <c r="G236" s="967" t="s">
        <v>309</v>
      </c>
      <c r="H236" s="967" t="str">
        <f t="shared" si="12"/>
        <v>IndiaMS - Engineer</v>
      </c>
      <c r="I236" t="str">
        <f t="shared" si="13"/>
        <v>CanadaIndiaMS - Engineer</v>
      </c>
      <c r="J236" t="str">
        <f t="shared" si="14"/>
        <v>CanadaIndiaMS - Engineer</v>
      </c>
      <c r="K236" cm="1">
        <f t="array" ref="K236">_xlfn.IFS(A236="Canada",4,A236="India",5,A236="UK",6,A236="USA",7,A236="EU",8)</f>
        <v>4</v>
      </c>
      <c r="L236" s="662">
        <f>VLOOKUP(H236,'StdCosts and StdRates'!$A$41:$H$86,K236,FALSE)</f>
        <v>115</v>
      </c>
      <c r="M236" s="662" cm="1">
        <f t="array" ref="M236">_xlfn.XLOOKUP(C236&amp;A236,FX!$A$2:$A$26&amp;FX!$B$2:$B$26,FX!$C$2:$C$26)</f>
        <v>1.6389999999999998E-2</v>
      </c>
      <c r="N236" cm="1">
        <f t="array" ref="N236">_xlfn.IFS(C236="Canada",2,C236="India",3,C236="UK",4,C236="USA",5,C236="EU",6)</f>
        <v>3</v>
      </c>
      <c r="O236" s="662">
        <f>VLOOKUP(G236,'StdCosts and StdRates'!$A$17:$E$36,N236,FALSE)*M236</f>
        <v>34.730409999999999</v>
      </c>
      <c r="P236"/>
      <c r="R236" s="967"/>
    </row>
    <row r="237" spans="1:18">
      <c r="A237" s="773" t="s">
        <v>247</v>
      </c>
      <c r="B237" s="773"/>
      <c r="C237" s="773" t="s">
        <v>308</v>
      </c>
      <c r="D237" s="773"/>
      <c r="E237" s="773"/>
      <c r="F237" s="773"/>
      <c r="G237" s="967" t="s">
        <v>309</v>
      </c>
      <c r="H237" s="967" t="str">
        <f t="shared" si="12"/>
        <v>MS - Engineer</v>
      </c>
      <c r="I237" t="str">
        <f t="shared" si="13"/>
        <v>UKMS - Engineer</v>
      </c>
      <c r="J237" t="str">
        <f t="shared" si="14"/>
        <v>UKUSAMS - Engineer</v>
      </c>
      <c r="K237" cm="1">
        <f t="array" ref="K237">_xlfn.IFS(A237="Canada",4,A237="India",5,A237="UK",6,A237="USA",7,A237="EU",8)</f>
        <v>6</v>
      </c>
      <c r="L237" s="662">
        <f>VLOOKUP(H237,'StdCosts and StdRates'!$A$41:$H$86,K237,FALSE)</f>
        <v>139</v>
      </c>
      <c r="M237" s="662" cm="1">
        <f t="array" ref="M237">_xlfn.XLOOKUP(C237&amp;A237,FX!$A$2:$A$26&amp;FX!$B$2:$B$26,FX!$C$2:$C$26)</f>
        <v>0.78280000000000005</v>
      </c>
      <c r="N237" cm="1">
        <f t="array" ref="N237">_xlfn.IFS(C237="Canada",2,C237="India",3,C237="UK",4,C237="USA",5,C237="EU",6)</f>
        <v>5</v>
      </c>
      <c r="O237" s="662">
        <f>VLOOKUP(G237,'StdCosts and StdRates'!$A$17:$E$36,N237,FALSE)*M237</f>
        <v>107.2436</v>
      </c>
      <c r="P237"/>
      <c r="R237" s="967"/>
    </row>
    <row r="238" spans="1:18">
      <c r="A238" s="773" t="s">
        <v>247</v>
      </c>
      <c r="B238" s="773"/>
      <c r="C238" s="773" t="s">
        <v>405</v>
      </c>
      <c r="D238" s="773"/>
      <c r="E238" s="773"/>
      <c r="F238" s="773"/>
      <c r="G238" s="967" t="s">
        <v>309</v>
      </c>
      <c r="H238" s="967" t="str">
        <f t="shared" si="12"/>
        <v>MS - Engineer</v>
      </c>
      <c r="I238" t="str">
        <f t="shared" si="13"/>
        <v>UKMS - Engineer</v>
      </c>
      <c r="J238" t="str">
        <f t="shared" si="14"/>
        <v>UKCanadaMS - Engineer</v>
      </c>
      <c r="K238" cm="1">
        <f t="array" ref="K238">_xlfn.IFS(A238="Canada",4,A238="India",5,A238="UK",6,A238="USA",7,A238="EU",8)</f>
        <v>6</v>
      </c>
      <c r="L238" s="662">
        <f>VLOOKUP(H238,'StdCosts and StdRates'!$A$41:$H$86,K238,FALSE)</f>
        <v>139</v>
      </c>
      <c r="M238" s="662" cm="1">
        <f t="array" ref="M238">_xlfn.XLOOKUP(C238&amp;A238,FX!$A$2:$A$26&amp;FX!$B$2:$B$26,FX!$C$2:$C$26)</f>
        <v>0.57420000000000004</v>
      </c>
      <c r="N238" cm="1">
        <f t="array" ref="N238">_xlfn.IFS(C238="Canada",2,C238="India",3,C238="UK",4,C238="USA",5,C238="EU",6)</f>
        <v>2</v>
      </c>
      <c r="O238" s="662">
        <f>VLOOKUP(G238,'StdCosts and StdRates'!$A$17:$E$36,N238,FALSE)*M238</f>
        <v>53.400600000000004</v>
      </c>
      <c r="P238"/>
      <c r="R238" s="967"/>
    </row>
    <row r="239" spans="1:18">
      <c r="A239" s="773" t="s">
        <v>247</v>
      </c>
      <c r="B239" s="773"/>
      <c r="C239" s="773" t="s">
        <v>247</v>
      </c>
      <c r="D239" s="773"/>
      <c r="E239" s="773"/>
      <c r="F239" s="773"/>
      <c r="G239" s="967" t="s">
        <v>309</v>
      </c>
      <c r="H239" s="967" t="str">
        <f t="shared" si="12"/>
        <v>MS - Engineer</v>
      </c>
      <c r="I239" t="str">
        <f t="shared" si="13"/>
        <v>UKMS - Engineer</v>
      </c>
      <c r="J239" t="str">
        <f t="shared" si="14"/>
        <v>UKUKMS - Engineer</v>
      </c>
      <c r="K239" cm="1">
        <f t="array" ref="K239">_xlfn.IFS(A239="Canada",4,A239="India",5,A239="UK",6,A239="USA",7,A239="EU",8)</f>
        <v>6</v>
      </c>
      <c r="L239" s="662">
        <f>VLOOKUP(H239,'StdCosts and StdRates'!$A$41:$H$86,K239,FALSE)</f>
        <v>139</v>
      </c>
      <c r="M239" s="662" cm="1">
        <f t="array" ref="M239">_xlfn.XLOOKUP(C239&amp;A239,FX!$A$2:$A$26&amp;FX!$B$2:$B$26,FX!$C$2:$C$26)</f>
        <v>1</v>
      </c>
      <c r="N239" cm="1">
        <f t="array" ref="N239">_xlfn.IFS(C239="Canada",2,C239="India",3,C239="UK",4,C239="USA",5,C239="EU",6)</f>
        <v>4</v>
      </c>
      <c r="O239" s="662">
        <f>VLOOKUP(G239,'StdCosts and StdRates'!$A$17:$E$36,N239,FALSE)*M239</f>
        <v>71</v>
      </c>
      <c r="P239"/>
      <c r="R239" s="967"/>
    </row>
    <row r="240" spans="1:18">
      <c r="A240" s="773" t="s">
        <v>247</v>
      </c>
      <c r="B240" s="773"/>
      <c r="C240" s="773" t="s">
        <v>736</v>
      </c>
      <c r="D240" s="773"/>
      <c r="E240" s="773"/>
      <c r="F240" s="773"/>
      <c r="G240" s="967" t="s">
        <v>309</v>
      </c>
      <c r="H240" s="967" t="str">
        <f t="shared" si="12"/>
        <v>MS - Engineer</v>
      </c>
      <c r="I240" t="str">
        <f t="shared" si="13"/>
        <v>UKMS - Engineer</v>
      </c>
      <c r="J240" t="str">
        <f t="shared" si="14"/>
        <v>UKEUMS - Engineer</v>
      </c>
      <c r="K240" cm="1">
        <f t="array" ref="K240">_xlfn.IFS(A240="Canada",4,A240="India",5,A240="UK",6,A240="USA",7,A240="EU",8)</f>
        <v>6</v>
      </c>
      <c r="L240" s="662">
        <f>VLOOKUP(H240,'StdCosts and StdRates'!$A$41:$H$86,K240,FALSE)</f>
        <v>139</v>
      </c>
      <c r="M240" s="662" cm="1">
        <f t="array" ref="M240">_xlfn.XLOOKUP(C240&amp;A240,FX!$A$2:$A$26&amp;FX!$B$2:$B$26,FX!$C$2:$C$26)</f>
        <v>0.85092999999999996</v>
      </c>
      <c r="N240" cm="1">
        <f t="array" ref="N240">_xlfn.IFS(C240="Canada",2,C240="India",3,C240="UK",4,C240="USA",5,C240="EU",6)</f>
        <v>6</v>
      </c>
      <c r="O240" s="662" t="e">
        <f>VLOOKUP(G240,'StdCosts and StdRates'!$A$17:$E$36,N240,FALSE)*M240</f>
        <v>#REF!</v>
      </c>
      <c r="P240"/>
      <c r="R240" s="967"/>
    </row>
    <row r="241" spans="1:18">
      <c r="A241" s="773" t="s">
        <v>247</v>
      </c>
      <c r="B241" s="773" t="s">
        <v>227</v>
      </c>
      <c r="C241" s="773" t="s">
        <v>227</v>
      </c>
      <c r="D241" s="773"/>
      <c r="E241" s="773"/>
      <c r="F241" s="773"/>
      <c r="G241" s="967" t="s">
        <v>309</v>
      </c>
      <c r="H241" s="967" t="str">
        <f t="shared" si="12"/>
        <v>IndiaMS - Engineer</v>
      </c>
      <c r="I241" t="str">
        <f t="shared" si="13"/>
        <v>UKIndiaMS - Engineer</v>
      </c>
      <c r="J241" t="str">
        <f t="shared" si="14"/>
        <v>UKIndiaMS - Engineer</v>
      </c>
      <c r="K241" cm="1">
        <f t="array" ref="K241">_xlfn.IFS(A241="Canada",4,A241="India",5,A241="UK",6,A241="USA",7,A241="EU",8)</f>
        <v>6</v>
      </c>
      <c r="L241" s="662">
        <f>VLOOKUP(H241,'StdCosts and StdRates'!$A$41:$H$86,K241,FALSE)</f>
        <v>65</v>
      </c>
      <c r="M241" s="662" cm="1">
        <f t="array" ref="M241">_xlfn.XLOOKUP(C241&amp;A241,FX!$A$2:$A$26&amp;FX!$B$2:$B$26,FX!$C$2:$C$26)</f>
        <v>9.41E-3</v>
      </c>
      <c r="N241" cm="1">
        <f t="array" ref="N241">_xlfn.IFS(C241="Canada",2,C241="India",3,C241="UK",4,C241="USA",5,C241="EU",6)</f>
        <v>3</v>
      </c>
      <c r="O241" s="662">
        <f>VLOOKUP(G241,'StdCosts and StdRates'!$A$17:$E$36,N241,FALSE)*M241</f>
        <v>19.939789999999999</v>
      </c>
      <c r="P241"/>
      <c r="R241" s="967"/>
    </row>
    <row r="242" spans="1:18">
      <c r="A242" s="773" t="s">
        <v>227</v>
      </c>
      <c r="B242" s="773"/>
      <c r="C242" s="773" t="s">
        <v>308</v>
      </c>
      <c r="D242" s="773"/>
      <c r="E242" s="773"/>
      <c r="F242" s="773"/>
      <c r="G242" s="967" t="s">
        <v>309</v>
      </c>
      <c r="H242" s="967" t="str">
        <f t="shared" si="12"/>
        <v>MS - Engineer</v>
      </c>
      <c r="I242" t="str">
        <f t="shared" si="13"/>
        <v>IndiaMS - Engineer</v>
      </c>
      <c r="J242" t="str">
        <f t="shared" si="14"/>
        <v>IndiaUSAMS - Engineer</v>
      </c>
      <c r="K242" cm="1">
        <f t="array" ref="K242">_xlfn.IFS(A242="Canada",4,A242="India",5,A242="UK",6,A242="USA",7,A242="EU",8)</f>
        <v>5</v>
      </c>
      <c r="L242" s="662">
        <f>VLOOKUP(H242,'StdCosts and StdRates'!$A$41:$H$86,K242,FALSE)</f>
        <v>6800</v>
      </c>
      <c r="M242" s="662" cm="1">
        <f t="array" ref="M242">_xlfn.XLOOKUP(C242&amp;A242,FX!$A$2:$A$26&amp;FX!$B$2:$B$26,FX!$C$2:$C$26)</f>
        <v>83.1721</v>
      </c>
      <c r="N242" cm="1">
        <f t="array" ref="N242">_xlfn.IFS(C242="Canada",2,C242="India",3,C242="UK",4,C242="USA",5,C242="EU",6)</f>
        <v>5</v>
      </c>
      <c r="O242" s="662">
        <f>VLOOKUP(G242,'StdCosts and StdRates'!$A$17:$E$36,N242,FALSE)*M242</f>
        <v>11394.5777</v>
      </c>
      <c r="P242"/>
      <c r="R242" s="967"/>
    </row>
    <row r="243" spans="1:18">
      <c r="A243" s="773" t="s">
        <v>227</v>
      </c>
      <c r="B243" s="773"/>
      <c r="C243" s="773" t="s">
        <v>405</v>
      </c>
      <c r="D243" s="773"/>
      <c r="E243" s="773"/>
      <c r="F243" s="773"/>
      <c r="G243" s="967" t="s">
        <v>309</v>
      </c>
      <c r="H243" s="967" t="str">
        <f t="shared" si="12"/>
        <v>MS - Engineer</v>
      </c>
      <c r="I243" t="str">
        <f t="shared" si="13"/>
        <v>IndiaMS - Engineer</v>
      </c>
      <c r="J243" t="str">
        <f t="shared" si="14"/>
        <v>IndiaCanadaMS - Engineer</v>
      </c>
      <c r="K243" cm="1">
        <f t="array" ref="K243">_xlfn.IFS(A243="Canada",4,A243="India",5,A243="UK",6,A243="USA",7,A243="EU",8)</f>
        <v>5</v>
      </c>
      <c r="L243" s="662">
        <f>VLOOKUP(H243,'StdCosts and StdRates'!$A$41:$H$86,K243,FALSE)</f>
        <v>6800</v>
      </c>
      <c r="M243" s="662" cm="1">
        <f t="array" ref="M243">_xlfn.XLOOKUP(C243&amp;A243,FX!$A$2:$A$26&amp;FX!$B$2:$B$26,FX!$C$2:$C$26)</f>
        <v>61.008200000000002</v>
      </c>
      <c r="N243" cm="1">
        <f t="array" ref="N243">_xlfn.IFS(C243="Canada",2,C243="India",3,C243="UK",4,C243="USA",5,C243="EU",6)</f>
        <v>2</v>
      </c>
      <c r="O243" s="662">
        <f>VLOOKUP(G243,'StdCosts and StdRates'!$A$17:$E$36,N243,FALSE)*M243</f>
        <v>5673.7626</v>
      </c>
      <c r="P243"/>
      <c r="R243" s="967"/>
    </row>
    <row r="244" spans="1:18">
      <c r="A244" s="773" t="s">
        <v>227</v>
      </c>
      <c r="B244" s="773"/>
      <c r="C244" s="773" t="s">
        <v>247</v>
      </c>
      <c r="D244" s="773"/>
      <c r="E244" s="773"/>
      <c r="F244" s="773"/>
      <c r="G244" s="967" t="s">
        <v>309</v>
      </c>
      <c r="H244" s="967" t="str">
        <f t="shared" si="12"/>
        <v>MS - Engineer</v>
      </c>
      <c r="I244" t="str">
        <f t="shared" si="13"/>
        <v>IndiaMS - Engineer</v>
      </c>
      <c r="J244" t="str">
        <f t="shared" si="14"/>
        <v>IndiaUKMS - Engineer</v>
      </c>
      <c r="K244" cm="1">
        <f t="array" ref="K244">_xlfn.IFS(A244="Canada",4,A244="India",5,A244="UK",6,A244="USA",7,A244="EU",8)</f>
        <v>5</v>
      </c>
      <c r="L244" s="662">
        <f>VLOOKUP(H244,'StdCosts and StdRates'!$A$41:$H$86,K244,FALSE)</f>
        <v>6800</v>
      </c>
      <c r="M244" s="662" cm="1">
        <f t="array" ref="M244">_xlfn.XLOOKUP(C244&amp;A244,FX!$A$2:$A$26&amp;FX!$B$2:$B$26,FX!$C$2:$C$26)</f>
        <v>106.23399999999999</v>
      </c>
      <c r="N244" cm="1">
        <f t="array" ref="N244">_xlfn.IFS(C244="Canada",2,C244="India",3,C244="UK",4,C244="USA",5,C244="EU",6)</f>
        <v>4</v>
      </c>
      <c r="O244" s="662">
        <f>VLOOKUP(G244,'StdCosts and StdRates'!$A$17:$E$36,N244,FALSE)*M244</f>
        <v>7542.6139999999996</v>
      </c>
      <c r="P244"/>
      <c r="R244" s="967"/>
    </row>
    <row r="245" spans="1:18">
      <c r="A245" s="773" t="s">
        <v>227</v>
      </c>
      <c r="B245" s="773"/>
      <c r="C245" s="773" t="s">
        <v>736</v>
      </c>
      <c r="D245" s="773"/>
      <c r="E245" s="773"/>
      <c r="F245" s="773"/>
      <c r="G245" s="967" t="s">
        <v>309</v>
      </c>
      <c r="H245" s="967" t="str">
        <f t="shared" si="12"/>
        <v>MS - Engineer</v>
      </c>
      <c r="I245" t="str">
        <f t="shared" si="13"/>
        <v>IndiaMS - Engineer</v>
      </c>
      <c r="J245" t="str">
        <f t="shared" si="14"/>
        <v>IndiaEUMS - Engineer</v>
      </c>
      <c r="K245" cm="1">
        <f t="array" ref="K245">_xlfn.IFS(A245="Canada",4,A245="India",5,A245="UK",6,A245="USA",7,A245="EU",8)</f>
        <v>5</v>
      </c>
      <c r="L245" s="662">
        <f>VLOOKUP(H245,'StdCosts and StdRates'!$A$41:$H$86,K245,FALSE)</f>
        <v>6800</v>
      </c>
      <c r="M245" s="662" cm="1">
        <f t="array" ref="M245">_xlfn.XLOOKUP(C245&amp;A245,FX!$A$2:$A$26&amp;FX!$B$2:$B$26,FX!$C$2:$C$26)</f>
        <v>90.405100000000004</v>
      </c>
      <c r="N245" cm="1">
        <f t="array" ref="N245">_xlfn.IFS(C245="Canada",2,C245="India",3,C245="UK",4,C245="USA",5,C245="EU",6)</f>
        <v>6</v>
      </c>
      <c r="O245" s="662" t="e">
        <f>VLOOKUP(G245,'StdCosts and StdRates'!$A$17:$E$36,N245,FALSE)*M245</f>
        <v>#REF!</v>
      </c>
      <c r="P245"/>
      <c r="R245" s="967"/>
    </row>
    <row r="246" spans="1:18">
      <c r="A246" s="773" t="s">
        <v>227</v>
      </c>
      <c r="B246" s="773" t="s">
        <v>227</v>
      </c>
      <c r="C246" s="773" t="s">
        <v>227</v>
      </c>
      <c r="D246" s="773"/>
      <c r="E246" s="773"/>
      <c r="F246" s="773"/>
      <c r="G246" s="967" t="s">
        <v>309</v>
      </c>
      <c r="H246" s="967" t="str">
        <f t="shared" si="12"/>
        <v>IndiaMS - Engineer</v>
      </c>
      <c r="I246" t="str">
        <f t="shared" si="13"/>
        <v>IndiaIndiaMS - Engineer</v>
      </c>
      <c r="J246" t="str">
        <f t="shared" si="14"/>
        <v>IndiaIndiaMS - Engineer</v>
      </c>
      <c r="K246" cm="1">
        <f t="array" ref="K246">_xlfn.IFS(A246="Canada",4,A246="India",5,A246="UK",6,A246="USA",7,A246="EU",8)</f>
        <v>5</v>
      </c>
      <c r="L246" s="662">
        <f>VLOOKUP(H246,'StdCosts and StdRates'!$A$41:$H$86,K246,FALSE)</f>
        <v>6800</v>
      </c>
      <c r="M246" s="662" cm="1">
        <f t="array" ref="M246">_xlfn.XLOOKUP(C246&amp;A246,FX!$A$2:$A$26&amp;FX!$B$2:$B$26,FX!$C$2:$C$26)</f>
        <v>1</v>
      </c>
      <c r="N246" cm="1">
        <f t="array" ref="N246">_xlfn.IFS(C246="Canada",2,C246="India",3,C246="UK",4,C246="USA",5,C246="EU",6)</f>
        <v>3</v>
      </c>
      <c r="O246" s="662">
        <f>VLOOKUP(G246,'StdCosts and StdRates'!$A$17:$E$36,N246,FALSE)*M246</f>
        <v>2119</v>
      </c>
      <c r="P246"/>
      <c r="R246" s="967"/>
    </row>
    <row r="247" spans="1:18">
      <c r="A247" s="773" t="s">
        <v>736</v>
      </c>
      <c r="B247" s="773"/>
      <c r="C247" s="773" t="s">
        <v>308</v>
      </c>
      <c r="D247" s="773"/>
      <c r="E247" s="773"/>
      <c r="F247" s="773"/>
      <c r="G247" s="967" t="s">
        <v>309</v>
      </c>
      <c r="H247" s="967" t="str">
        <f t="shared" si="12"/>
        <v>MS - Engineer</v>
      </c>
      <c r="I247" t="str">
        <f t="shared" si="13"/>
        <v>EUMS - Engineer</v>
      </c>
      <c r="J247" t="str">
        <f t="shared" si="14"/>
        <v>EUUSAMS - Engineer</v>
      </c>
      <c r="K247" cm="1">
        <f t="array" ref="K247">_xlfn.IFS(A247="Canada",4,A247="India",5,A247="UK",6,A247="USA",7,A247="EU",8)</f>
        <v>8</v>
      </c>
      <c r="L247" s="662">
        <f>VLOOKUP(H247,'StdCosts and StdRates'!$A$41:$H$86,K247,FALSE)</f>
        <v>165</v>
      </c>
      <c r="M247" s="662" cm="1">
        <f t="array" ref="M247">_xlfn.XLOOKUP(C247&amp;A247,FX!$A$2:$A$26&amp;FX!$B$2:$B$26,FX!$C$2:$C$26)</f>
        <v>0.91986999999999997</v>
      </c>
      <c r="N247" cm="1">
        <f t="array" ref="N247">_xlfn.IFS(C247="Canada",2,C247="India",3,C247="UK",4,C247="USA",5,C247="EU",6)</f>
        <v>5</v>
      </c>
      <c r="O247" s="662">
        <f>VLOOKUP(G247,'StdCosts and StdRates'!$A$17:$E$36,N247,FALSE)*M247</f>
        <v>126.02218999999999</v>
      </c>
      <c r="P247"/>
      <c r="R247" s="967"/>
    </row>
    <row r="248" spans="1:18">
      <c r="A248" s="773" t="s">
        <v>736</v>
      </c>
      <c r="B248" s="773"/>
      <c r="C248" s="773" t="s">
        <v>405</v>
      </c>
      <c r="D248" s="773"/>
      <c r="E248" s="773"/>
      <c r="F248" s="773"/>
      <c r="G248" s="967" t="s">
        <v>309</v>
      </c>
      <c r="H248" s="967" t="str">
        <f t="shared" si="12"/>
        <v>MS - Engineer</v>
      </c>
      <c r="I248" t="str">
        <f t="shared" si="13"/>
        <v>EUMS - Engineer</v>
      </c>
      <c r="J248" t="str">
        <f t="shared" si="14"/>
        <v>EUCanadaMS - Engineer</v>
      </c>
      <c r="K248" cm="1">
        <f t="array" ref="K248">_xlfn.IFS(A248="Canada",4,A248="India",5,A248="UK",6,A248="USA",7,A248="EU",8)</f>
        <v>8</v>
      </c>
      <c r="L248" s="662">
        <f>VLOOKUP(H248,'StdCosts and StdRates'!$A$41:$H$86,K248,FALSE)</f>
        <v>165</v>
      </c>
      <c r="M248" s="662" cm="1">
        <f t="array" ref="M248">_xlfn.XLOOKUP(C248&amp;A248,FX!$A$2:$A$26&amp;FX!$B$2:$B$26,FX!$C$2:$C$26)</f>
        <v>0.67474000000000001</v>
      </c>
      <c r="N248" cm="1">
        <f t="array" ref="N248">_xlfn.IFS(C248="Canada",2,C248="India",3,C248="UK",4,C248="USA",5,C248="EU",6)</f>
        <v>2</v>
      </c>
      <c r="O248" s="662">
        <f>VLOOKUP(G248,'StdCosts and StdRates'!$A$17:$E$36,N248,FALSE)*M248</f>
        <v>62.750819999999997</v>
      </c>
      <c r="P248"/>
      <c r="R248" s="967"/>
    </row>
    <row r="249" spans="1:18">
      <c r="A249" s="773" t="s">
        <v>736</v>
      </c>
      <c r="B249" s="773"/>
      <c r="C249" s="773" t="s">
        <v>247</v>
      </c>
      <c r="D249" s="773"/>
      <c r="E249" s="773"/>
      <c r="F249" s="773"/>
      <c r="G249" s="967" t="s">
        <v>309</v>
      </c>
      <c r="H249" s="967" t="str">
        <f t="shared" si="12"/>
        <v>MS - Engineer</v>
      </c>
      <c r="I249" t="str">
        <f t="shared" si="13"/>
        <v>EUMS - Engineer</v>
      </c>
      <c r="J249" t="str">
        <f t="shared" si="14"/>
        <v>EUUKMS - Engineer</v>
      </c>
      <c r="K249" cm="1">
        <f t="array" ref="K249">_xlfn.IFS(A249="Canada",4,A249="India",5,A249="UK",6,A249="USA",7,A249="EU",8)</f>
        <v>8</v>
      </c>
      <c r="L249" s="662">
        <f>VLOOKUP(H249,'StdCosts and StdRates'!$A$41:$H$86,K249,FALSE)</f>
        <v>165</v>
      </c>
      <c r="M249" s="662" cm="1">
        <f t="array" ref="M249">_xlfn.XLOOKUP(C249&amp;A249,FX!$A$2:$A$26&amp;FX!$B$2:$B$26,FX!$C$2:$C$26)</f>
        <v>1.1749799999999999</v>
      </c>
      <c r="N249" cm="1">
        <f t="array" ref="N249">_xlfn.IFS(C249="Canada",2,C249="India",3,C249="UK",4,C249="USA",5,C249="EU",6)</f>
        <v>4</v>
      </c>
      <c r="O249" s="662">
        <f>VLOOKUP(G249,'StdCosts and StdRates'!$A$17:$E$36,N249,FALSE)*M249</f>
        <v>83.423579999999987</v>
      </c>
      <c r="P249"/>
      <c r="R249" s="967"/>
    </row>
    <row r="250" spans="1:18">
      <c r="A250" s="773" t="s">
        <v>736</v>
      </c>
      <c r="B250" s="773"/>
      <c r="C250" s="773" t="s">
        <v>736</v>
      </c>
      <c r="D250" s="773"/>
      <c r="E250" s="773"/>
      <c r="F250" s="773"/>
      <c r="G250" s="967" t="s">
        <v>309</v>
      </c>
      <c r="H250" s="967" t="str">
        <f t="shared" si="12"/>
        <v>MS - Engineer</v>
      </c>
      <c r="I250" t="str">
        <f t="shared" si="13"/>
        <v>EUMS - Engineer</v>
      </c>
      <c r="J250" t="str">
        <f t="shared" si="14"/>
        <v>EUEUMS - Engineer</v>
      </c>
      <c r="K250" cm="1">
        <f t="array" ref="K250">_xlfn.IFS(A250="Canada",4,A250="India",5,A250="UK",6,A250="USA",7,A250="EU",8)</f>
        <v>8</v>
      </c>
      <c r="L250" s="662">
        <f>VLOOKUP(H250,'StdCosts and StdRates'!$A$41:$H$86,K250,FALSE)</f>
        <v>165</v>
      </c>
      <c r="M250" s="662" cm="1">
        <f t="array" ref="M250">_xlfn.XLOOKUP(C250&amp;A250,FX!$A$2:$A$26&amp;FX!$B$2:$B$26,FX!$C$2:$C$26)</f>
        <v>1</v>
      </c>
      <c r="N250" cm="1">
        <f t="array" ref="N250">_xlfn.IFS(C250="Canada",2,C250="India",3,C250="UK",4,C250="USA",5,C250="EU",6)</f>
        <v>6</v>
      </c>
      <c r="O250" s="662" t="e">
        <f>VLOOKUP(G250,'StdCosts and StdRates'!$A$17:$E$36,N250,FALSE)*M250</f>
        <v>#REF!</v>
      </c>
      <c r="P250"/>
      <c r="R250" s="967"/>
    </row>
    <row r="251" spans="1:18">
      <c r="A251" s="773" t="s">
        <v>736</v>
      </c>
      <c r="B251" s="773" t="s">
        <v>227</v>
      </c>
      <c r="C251" s="773" t="s">
        <v>227</v>
      </c>
      <c r="D251" s="773"/>
      <c r="E251" s="773"/>
      <c r="F251" s="773"/>
      <c r="G251" s="967" t="s">
        <v>309</v>
      </c>
      <c r="H251" s="967" t="str">
        <f t="shared" si="12"/>
        <v>IndiaMS - Engineer</v>
      </c>
      <c r="I251" t="str">
        <f t="shared" si="13"/>
        <v>EUIndiaMS - Engineer</v>
      </c>
      <c r="J251" t="str">
        <f t="shared" si="14"/>
        <v>EUIndiaMS - Engineer</v>
      </c>
      <c r="K251" cm="1">
        <f t="array" ref="K251">_xlfn.IFS(A251="Canada",4,A251="India",5,A251="UK",6,A251="USA",7,A251="EU",8)</f>
        <v>8</v>
      </c>
      <c r="L251" s="662">
        <f>VLOOKUP(H251,'StdCosts and StdRates'!$A$41:$H$86,K251,FALSE)</f>
        <v>75</v>
      </c>
      <c r="M251" s="662" cm="1">
        <f t="array" ref="M251">_xlfn.XLOOKUP(C251&amp;A251,FX!$A$2:$A$26&amp;FX!$B$2:$B$26,FX!$C$2:$C$26)</f>
        <v>1.106E-2</v>
      </c>
      <c r="N251" cm="1">
        <f t="array" ref="N251">_xlfn.IFS(C251="Canada",2,C251="India",3,C251="UK",4,C251="USA",5,C251="EU",6)</f>
        <v>3</v>
      </c>
      <c r="O251" s="662">
        <f>VLOOKUP(G251,'StdCosts and StdRates'!$A$17:$E$36,N251,FALSE)*M251</f>
        <v>23.436140000000002</v>
      </c>
      <c r="P251"/>
      <c r="R251" s="967"/>
    </row>
    <row r="252" spans="1:18">
      <c r="A252" s="773" t="s">
        <v>308</v>
      </c>
      <c r="B252" s="773"/>
      <c r="C252" s="773" t="s">
        <v>308</v>
      </c>
      <c r="D252" s="773"/>
      <c r="E252" s="773"/>
      <c r="F252" s="773"/>
      <c r="G252" s="967" t="s">
        <v>312</v>
      </c>
      <c r="H252" s="967" t="str">
        <f t="shared" si="12"/>
        <v>MS - Platform Analyst</v>
      </c>
      <c r="I252" t="str">
        <f t="shared" si="13"/>
        <v>USAMS - Platform Analyst</v>
      </c>
      <c r="J252" t="str">
        <f t="shared" si="14"/>
        <v>USAUSAMS - Platform Analyst</v>
      </c>
      <c r="K252" cm="1">
        <f t="array" ref="K252">_xlfn.IFS(A252="Canada",4,A252="India",5,A252="UK",6,A252="USA",7,A252="EU",8)</f>
        <v>7</v>
      </c>
      <c r="L252" s="662">
        <f>VLOOKUP(H252,'StdCosts and StdRates'!$A$41:$H$86,K252,FALSE)</f>
        <v>199</v>
      </c>
      <c r="M252" s="662" cm="1">
        <f t="array" ref="M252">_xlfn.XLOOKUP(C252&amp;A252,FX!$A$2:$A$26&amp;FX!$B$2:$B$26,FX!$C$2:$C$26)</f>
        <v>1</v>
      </c>
      <c r="N252" cm="1">
        <f t="array" ref="N252">_xlfn.IFS(C252="Canada",2,C252="India",3,C252="UK",4,C252="USA",5,C252="EU",6)</f>
        <v>5</v>
      </c>
      <c r="O252" s="662">
        <f>VLOOKUP(G252,'StdCosts and StdRates'!$A$17:$E$36,N252,FALSE)*M252</f>
        <v>123</v>
      </c>
      <c r="P252"/>
      <c r="R252" s="967"/>
    </row>
    <row r="253" spans="1:18">
      <c r="A253" s="773" t="s">
        <v>308</v>
      </c>
      <c r="B253" s="773"/>
      <c r="C253" s="773" t="s">
        <v>405</v>
      </c>
      <c r="D253" s="773"/>
      <c r="E253" s="773"/>
      <c r="F253" s="773"/>
      <c r="G253" s="967" t="s">
        <v>312</v>
      </c>
      <c r="H253" s="967" t="str">
        <f t="shared" si="12"/>
        <v>MS - Platform Analyst</v>
      </c>
      <c r="I253" t="str">
        <f t="shared" si="13"/>
        <v>USAMS - Platform Analyst</v>
      </c>
      <c r="J253" t="str">
        <f t="shared" si="14"/>
        <v>USACanadaMS - Platform Analyst</v>
      </c>
      <c r="K253" cm="1">
        <f t="array" ref="K253">_xlfn.IFS(A253="Canada",4,A253="India",5,A253="UK",6,A253="USA",7,A253="EU",8)</f>
        <v>7</v>
      </c>
      <c r="L253" s="662">
        <f>VLOOKUP(H253,'StdCosts and StdRates'!$A$41:$H$86,K253,FALSE)</f>
        <v>199</v>
      </c>
      <c r="M253" s="662" cm="1">
        <f t="array" ref="M253">_xlfn.XLOOKUP(C253&amp;A253,FX!$A$2:$A$26&amp;FX!$B$2:$B$26,FX!$C$2:$C$26)</f>
        <v>0.73351999999999995</v>
      </c>
      <c r="N253" cm="1">
        <f t="array" ref="N253">_xlfn.IFS(C253="Canada",2,C253="India",3,C253="UK",4,C253="USA",5,C253="EU",6)</f>
        <v>2</v>
      </c>
      <c r="O253" s="662">
        <f>VLOOKUP(G253,'StdCosts and StdRates'!$A$17:$E$36,N253,FALSE)*M253</f>
        <v>71.884959999999992</v>
      </c>
      <c r="P253"/>
      <c r="R253" s="967"/>
    </row>
    <row r="254" spans="1:18">
      <c r="A254" s="773" t="s">
        <v>308</v>
      </c>
      <c r="B254" s="773"/>
      <c r="C254" s="773" t="s">
        <v>247</v>
      </c>
      <c r="D254" s="773"/>
      <c r="E254" s="773"/>
      <c r="F254" s="773"/>
      <c r="G254" s="967" t="s">
        <v>312</v>
      </c>
      <c r="H254" s="967" t="str">
        <f t="shared" si="12"/>
        <v>MS - Platform Analyst</v>
      </c>
      <c r="I254" t="str">
        <f t="shared" si="13"/>
        <v>USAMS - Platform Analyst</v>
      </c>
      <c r="J254" t="str">
        <f t="shared" si="14"/>
        <v>USAUKMS - Platform Analyst</v>
      </c>
      <c r="K254" cm="1">
        <f t="array" ref="K254">_xlfn.IFS(A254="Canada",4,A254="India",5,A254="UK",6,A254="USA",7,A254="EU",8)</f>
        <v>7</v>
      </c>
      <c r="L254" s="662">
        <f>VLOOKUP(H254,'StdCosts and StdRates'!$A$41:$H$86,K254,FALSE)</f>
        <v>199</v>
      </c>
      <c r="M254" s="662" cm="1">
        <f t="array" ref="M254">_xlfn.XLOOKUP(C254&amp;A254,FX!$A$2:$A$26&amp;FX!$B$2:$B$26,FX!$C$2:$C$26)</f>
        <v>1.2772699999999999</v>
      </c>
      <c r="N254" cm="1">
        <f t="array" ref="N254">_xlfn.IFS(C254="Canada",2,C254="India",3,C254="UK",4,C254="USA",5,C254="EU",6)</f>
        <v>4</v>
      </c>
      <c r="O254" s="662">
        <f>VLOOKUP(G254,'StdCosts and StdRates'!$A$17:$E$36,N254,FALSE)*M254</f>
        <v>134.11335</v>
      </c>
      <c r="P254"/>
      <c r="R254" s="967"/>
    </row>
    <row r="255" spans="1:18">
      <c r="A255" s="773" t="s">
        <v>308</v>
      </c>
      <c r="B255" s="773"/>
      <c r="C255" s="773" t="s">
        <v>736</v>
      </c>
      <c r="D255" s="773"/>
      <c r="E255" s="773"/>
      <c r="F255" s="773"/>
      <c r="G255" s="967" t="s">
        <v>312</v>
      </c>
      <c r="H255" s="967" t="str">
        <f t="shared" si="12"/>
        <v>MS - Platform Analyst</v>
      </c>
      <c r="I255" t="str">
        <f t="shared" si="13"/>
        <v>USAMS - Platform Analyst</v>
      </c>
      <c r="J255" t="str">
        <f t="shared" si="14"/>
        <v>USAEUMS - Platform Analyst</v>
      </c>
      <c r="K255" cm="1">
        <f t="array" ref="K255">_xlfn.IFS(A255="Canada",4,A255="India",5,A255="UK",6,A255="USA",7,A255="EU",8)</f>
        <v>7</v>
      </c>
      <c r="L255" s="662">
        <f>VLOOKUP(H255,'StdCosts and StdRates'!$A$41:$H$86,K255,FALSE)</f>
        <v>199</v>
      </c>
      <c r="M255" s="662" cm="1">
        <f t="array" ref="M255">_xlfn.XLOOKUP(C255&amp;A255,FX!$A$2:$A$26&amp;FX!$B$2:$B$26,FX!$C$2:$C$26)</f>
        <v>1.0869599999999999</v>
      </c>
      <c r="N255" cm="1">
        <f t="array" ref="N255">_xlfn.IFS(C255="Canada",2,C255="India",3,C255="UK",4,C255="USA",5,C255="EU",6)</f>
        <v>6</v>
      </c>
      <c r="O255" s="662" t="e">
        <f>VLOOKUP(G255,'StdCosts and StdRates'!$A$17:$E$36,N255,FALSE)*M255</f>
        <v>#REF!</v>
      </c>
      <c r="P255"/>
      <c r="R255" s="967"/>
    </row>
    <row r="256" spans="1:18">
      <c r="A256" s="773" t="s">
        <v>308</v>
      </c>
      <c r="B256" s="773" t="s">
        <v>227</v>
      </c>
      <c r="C256" s="773" t="s">
        <v>227</v>
      </c>
      <c r="D256" s="773"/>
      <c r="E256" s="773"/>
      <c r="F256" s="773"/>
      <c r="G256" s="967" t="s">
        <v>312</v>
      </c>
      <c r="H256" s="967" t="str">
        <f t="shared" si="12"/>
        <v>IndiaMS - Platform Analyst</v>
      </c>
      <c r="I256" t="str">
        <f t="shared" si="13"/>
        <v>USAIndiaMS - Platform Analyst</v>
      </c>
      <c r="J256" t="str">
        <f t="shared" si="14"/>
        <v>USAIndiaMS - Platform Analyst</v>
      </c>
      <c r="K256" cm="1">
        <f t="array" ref="K256">_xlfn.IFS(A256="Canada",4,A256="India",5,A256="UK",6,A256="USA",7,A256="EU",8)</f>
        <v>7</v>
      </c>
      <c r="L256" s="662">
        <f>VLOOKUP(H256,'StdCosts and StdRates'!$A$41:$H$86,K256,FALSE)</f>
        <v>79</v>
      </c>
      <c r="M256" s="662" cm="1">
        <f t="array" ref="M256">_xlfn.XLOOKUP(C256&amp;A256,FX!$A$2:$A$26&amp;FX!$B$2:$B$26,FX!$C$2:$C$26)</f>
        <v>1.2019999999999999E-2</v>
      </c>
      <c r="N256" cm="1">
        <f t="array" ref="N256">_xlfn.IFS(C256="Canada",2,C256="India",3,C256="UK",4,C256="USA",5,C256="EU",6)</f>
        <v>3</v>
      </c>
      <c r="O256" s="662">
        <f>VLOOKUP(G256,'StdCosts and StdRates'!$A$17:$E$36,N256,FALSE)*M256</f>
        <v>14.25572</v>
      </c>
      <c r="P256"/>
      <c r="R256" s="967"/>
    </row>
    <row r="257" spans="1:18">
      <c r="A257" s="773" t="s">
        <v>405</v>
      </c>
      <c r="B257" s="773"/>
      <c r="C257" s="773" t="s">
        <v>308</v>
      </c>
      <c r="D257" s="773"/>
      <c r="E257" s="773"/>
      <c r="F257" s="773"/>
      <c r="G257" s="967" t="s">
        <v>312</v>
      </c>
      <c r="H257" s="967" t="str">
        <f t="shared" si="12"/>
        <v>MS - Platform Analyst</v>
      </c>
      <c r="I257" t="str">
        <f t="shared" si="13"/>
        <v>CanadaMS - Platform Analyst</v>
      </c>
      <c r="J257" t="str">
        <f t="shared" si="14"/>
        <v>CanadaUSAMS - Platform Analyst</v>
      </c>
      <c r="K257" cm="1">
        <f t="array" ref="K257">_xlfn.IFS(A257="Canada",4,A257="India",5,A257="UK",6,A257="USA",7,A257="EU",8)</f>
        <v>4</v>
      </c>
      <c r="L257" s="662">
        <f>VLOOKUP(H257,'StdCosts and StdRates'!$A$41:$H$86,K257,FALSE)</f>
        <v>219</v>
      </c>
      <c r="M257" s="662" cm="1">
        <f t="array" ref="M257">_xlfn.XLOOKUP(C257&amp;A257,FX!$A$2:$A$26&amp;FX!$B$2:$B$26,FX!$C$2:$C$26)</f>
        <v>1.36311</v>
      </c>
      <c r="N257" cm="1">
        <f t="array" ref="N257">_xlfn.IFS(C257="Canada",2,C257="India",3,C257="UK",4,C257="USA",5,C257="EU",6)</f>
        <v>5</v>
      </c>
      <c r="O257" s="662">
        <f>VLOOKUP(G257,'StdCosts and StdRates'!$A$17:$E$36,N257,FALSE)*M257</f>
        <v>167.66253</v>
      </c>
      <c r="P257"/>
      <c r="R257" s="967"/>
    </row>
    <row r="258" spans="1:18">
      <c r="A258" s="773" t="s">
        <v>405</v>
      </c>
      <c r="B258" s="773"/>
      <c r="C258" s="773" t="s">
        <v>405</v>
      </c>
      <c r="D258" s="773"/>
      <c r="E258" s="773"/>
      <c r="F258" s="773"/>
      <c r="G258" s="967" t="s">
        <v>312</v>
      </c>
      <c r="H258" s="967" t="str">
        <f t="shared" si="12"/>
        <v>MS - Platform Analyst</v>
      </c>
      <c r="I258" t="str">
        <f t="shared" si="13"/>
        <v>CanadaMS - Platform Analyst</v>
      </c>
      <c r="J258" t="str">
        <f t="shared" si="14"/>
        <v>CanadaCanadaMS - Platform Analyst</v>
      </c>
      <c r="K258" cm="1">
        <f t="array" ref="K258">_xlfn.IFS(A258="Canada",4,A258="India",5,A258="UK",6,A258="USA",7,A258="EU",8)</f>
        <v>4</v>
      </c>
      <c r="L258" s="662">
        <f>VLOOKUP(H258,'StdCosts and StdRates'!$A$41:$H$86,K258,FALSE)</f>
        <v>219</v>
      </c>
      <c r="M258" s="662" cm="1">
        <f t="array" ref="M258">_xlfn.XLOOKUP(C258&amp;A258,FX!$A$2:$A$26&amp;FX!$B$2:$B$26,FX!$C$2:$C$26)</f>
        <v>1</v>
      </c>
      <c r="N258" cm="1">
        <f t="array" ref="N258">_xlfn.IFS(C258="Canada",2,C258="India",3,C258="UK",4,C258="USA",5,C258="EU",6)</f>
        <v>2</v>
      </c>
      <c r="O258" s="662">
        <f>VLOOKUP(G258,'StdCosts and StdRates'!$A$17:$E$36,N258,FALSE)*M258</f>
        <v>98</v>
      </c>
      <c r="P258"/>
      <c r="R258" s="967"/>
    </row>
    <row r="259" spans="1:18">
      <c r="A259" s="773" t="s">
        <v>405</v>
      </c>
      <c r="B259" s="773"/>
      <c r="C259" s="773" t="s">
        <v>247</v>
      </c>
      <c r="D259" s="773"/>
      <c r="E259" s="773"/>
      <c r="F259" s="773"/>
      <c r="G259" s="967" t="s">
        <v>312</v>
      </c>
      <c r="H259" s="967" t="str">
        <f t="shared" si="12"/>
        <v>MS - Platform Analyst</v>
      </c>
      <c r="I259" t="str">
        <f t="shared" si="13"/>
        <v>CanadaMS - Platform Analyst</v>
      </c>
      <c r="J259" t="str">
        <f t="shared" si="14"/>
        <v>CanadaUKMS - Platform Analyst</v>
      </c>
      <c r="K259" cm="1">
        <f t="array" ref="K259">_xlfn.IFS(A259="Canada",4,A259="India",5,A259="UK",6,A259="USA",7,A259="EU",8)</f>
        <v>4</v>
      </c>
      <c r="L259" s="662">
        <f>VLOOKUP(H259,'StdCosts and StdRates'!$A$41:$H$86,K259,FALSE)</f>
        <v>219</v>
      </c>
      <c r="M259" s="662" cm="1">
        <f t="array" ref="M259">_xlfn.XLOOKUP(C259&amp;A259,FX!$A$2:$A$26&amp;FX!$B$2:$B$26,FX!$C$2:$C$26)</f>
        <v>1.7410699999999999</v>
      </c>
      <c r="N259" cm="1">
        <f t="array" ref="N259">_xlfn.IFS(C259="Canada",2,C259="India",3,C259="UK",4,C259="USA",5,C259="EU",6)</f>
        <v>4</v>
      </c>
      <c r="O259" s="662">
        <f>VLOOKUP(G259,'StdCosts and StdRates'!$A$17:$E$36,N259,FALSE)*M259</f>
        <v>182.81234999999998</v>
      </c>
      <c r="P259"/>
      <c r="R259" s="967"/>
    </row>
    <row r="260" spans="1:18">
      <c r="A260" s="773" t="s">
        <v>405</v>
      </c>
      <c r="B260" s="773"/>
      <c r="C260" s="773" t="s">
        <v>736</v>
      </c>
      <c r="D260" s="773"/>
      <c r="E260" s="773"/>
      <c r="F260" s="773"/>
      <c r="G260" s="967" t="s">
        <v>312</v>
      </c>
      <c r="H260" s="967" t="str">
        <f t="shared" si="12"/>
        <v>MS - Platform Analyst</v>
      </c>
      <c r="I260" t="str">
        <f t="shared" si="13"/>
        <v>CanadaMS - Platform Analyst</v>
      </c>
      <c r="J260" t="str">
        <f t="shared" si="14"/>
        <v>CanadaEUMS - Platform Analyst</v>
      </c>
      <c r="K260" cm="1">
        <f t="array" ref="K260">_xlfn.IFS(A260="Canada",4,A260="India",5,A260="UK",6,A260="USA",7,A260="EU",8)</f>
        <v>4</v>
      </c>
      <c r="L260" s="662">
        <f>VLOOKUP(H260,'StdCosts and StdRates'!$A$41:$H$86,K260,FALSE)</f>
        <v>219</v>
      </c>
      <c r="M260" s="662" cm="1">
        <f t="array" ref="M260">_xlfn.XLOOKUP(C260&amp;A260,FX!$A$2:$A$26&amp;FX!$B$2:$B$26,FX!$C$2:$C$26)</f>
        <v>1.4816499999999999</v>
      </c>
      <c r="N260" cm="1">
        <f t="array" ref="N260">_xlfn.IFS(C260="Canada",2,C260="India",3,C260="UK",4,C260="USA",5,C260="EU",6)</f>
        <v>6</v>
      </c>
      <c r="O260" s="662" t="e">
        <f>VLOOKUP(G260,'StdCosts and StdRates'!$A$17:$E$36,N260,FALSE)*M260</f>
        <v>#REF!</v>
      </c>
      <c r="P260"/>
      <c r="R260" s="967"/>
    </row>
    <row r="261" spans="1:18">
      <c r="A261" s="773" t="s">
        <v>405</v>
      </c>
      <c r="B261" s="773" t="s">
        <v>227</v>
      </c>
      <c r="C261" s="773" t="s">
        <v>227</v>
      </c>
      <c r="D261" s="773"/>
      <c r="E261" s="773"/>
      <c r="F261" s="773"/>
      <c r="G261" s="967" t="s">
        <v>312</v>
      </c>
      <c r="H261" s="967" t="str">
        <f t="shared" si="12"/>
        <v>IndiaMS - Platform Analyst</v>
      </c>
      <c r="I261" t="str">
        <f t="shared" si="13"/>
        <v>CanadaIndiaMS - Platform Analyst</v>
      </c>
      <c r="J261" t="str">
        <f t="shared" si="14"/>
        <v>CanadaIndiaMS - Platform Analyst</v>
      </c>
      <c r="K261" cm="1">
        <f t="array" ref="K261">_xlfn.IFS(A261="Canada",4,A261="India",5,A261="UK",6,A261="USA",7,A261="EU",8)</f>
        <v>4</v>
      </c>
      <c r="L261" s="662">
        <f>VLOOKUP(H261,'StdCosts and StdRates'!$A$41:$H$86,K261,FALSE)</f>
        <v>99</v>
      </c>
      <c r="M261" s="662" cm="1">
        <f t="array" ref="M261">_xlfn.XLOOKUP(C261&amp;A261,FX!$A$2:$A$26&amp;FX!$B$2:$B$26,FX!$C$2:$C$26)</f>
        <v>1.6389999999999998E-2</v>
      </c>
      <c r="N261" cm="1">
        <f t="array" ref="N261">_xlfn.IFS(C261="Canada",2,C261="India",3,C261="UK",4,C261="USA",5,C261="EU",6)</f>
        <v>3</v>
      </c>
      <c r="O261" s="662">
        <f>VLOOKUP(G261,'StdCosts and StdRates'!$A$17:$E$36,N261,FALSE)*M261</f>
        <v>19.43854</v>
      </c>
      <c r="P261"/>
      <c r="R261" s="967"/>
    </row>
    <row r="262" spans="1:18">
      <c r="A262" s="773" t="s">
        <v>247</v>
      </c>
      <c r="B262" s="773"/>
      <c r="C262" s="773" t="s">
        <v>308</v>
      </c>
      <c r="D262" s="773"/>
      <c r="E262" s="773"/>
      <c r="F262" s="773"/>
      <c r="G262" s="967" t="s">
        <v>312</v>
      </c>
      <c r="H262" s="967" t="str">
        <f t="shared" si="12"/>
        <v>MS - Platform Analyst</v>
      </c>
      <c r="I262" t="str">
        <f t="shared" si="13"/>
        <v>UKMS - Platform Analyst</v>
      </c>
      <c r="J262" t="str">
        <f t="shared" si="14"/>
        <v>UKUSAMS - Platform Analyst</v>
      </c>
      <c r="K262" cm="1">
        <f t="array" ref="K262">_xlfn.IFS(A262="Canada",4,A262="India",5,A262="UK",6,A262="USA",7,A262="EU",8)</f>
        <v>6</v>
      </c>
      <c r="L262" s="662">
        <f>VLOOKUP(H262,'StdCosts and StdRates'!$A$41:$H$86,K262,FALSE)</f>
        <v>129</v>
      </c>
      <c r="M262" s="662" cm="1">
        <f t="array" ref="M262">_xlfn.XLOOKUP(C262&amp;A262,FX!$A$2:$A$26&amp;FX!$B$2:$B$26,FX!$C$2:$C$26)</f>
        <v>0.78280000000000005</v>
      </c>
      <c r="N262" cm="1">
        <f t="array" ref="N262">_xlfn.IFS(C262="Canada",2,C262="India",3,C262="UK",4,C262="USA",5,C262="EU",6)</f>
        <v>5</v>
      </c>
      <c r="O262" s="662">
        <f>VLOOKUP(G262,'StdCosts and StdRates'!$A$17:$E$36,N262,FALSE)*M262</f>
        <v>96.284400000000005</v>
      </c>
      <c r="P262"/>
      <c r="R262" s="967"/>
    </row>
    <row r="263" spans="1:18">
      <c r="A263" s="773" t="s">
        <v>247</v>
      </c>
      <c r="B263" s="773"/>
      <c r="C263" s="773" t="s">
        <v>405</v>
      </c>
      <c r="D263" s="773"/>
      <c r="E263" s="773"/>
      <c r="F263" s="773"/>
      <c r="G263" s="967" t="s">
        <v>312</v>
      </c>
      <c r="H263" s="967" t="str">
        <f t="shared" si="12"/>
        <v>MS - Platform Analyst</v>
      </c>
      <c r="I263" t="str">
        <f t="shared" si="13"/>
        <v>UKMS - Platform Analyst</v>
      </c>
      <c r="J263" t="str">
        <f t="shared" si="14"/>
        <v>UKCanadaMS - Platform Analyst</v>
      </c>
      <c r="K263" cm="1">
        <f t="array" ref="K263">_xlfn.IFS(A263="Canada",4,A263="India",5,A263="UK",6,A263="USA",7,A263="EU",8)</f>
        <v>6</v>
      </c>
      <c r="L263" s="662">
        <f>VLOOKUP(H263,'StdCosts and StdRates'!$A$41:$H$86,K263,FALSE)</f>
        <v>129</v>
      </c>
      <c r="M263" s="662" cm="1">
        <f t="array" ref="M263">_xlfn.XLOOKUP(C263&amp;A263,FX!$A$2:$A$26&amp;FX!$B$2:$B$26,FX!$C$2:$C$26)</f>
        <v>0.57420000000000004</v>
      </c>
      <c r="N263" cm="1">
        <f t="array" ref="N263">_xlfn.IFS(C263="Canada",2,C263="India",3,C263="UK",4,C263="USA",5,C263="EU",6)</f>
        <v>2</v>
      </c>
      <c r="O263" s="662">
        <f>VLOOKUP(G263,'StdCosts and StdRates'!$A$17:$E$36,N263,FALSE)*M263</f>
        <v>56.271600000000007</v>
      </c>
      <c r="P263"/>
      <c r="R263" s="967"/>
    </row>
    <row r="264" spans="1:18">
      <c r="A264" s="773" t="s">
        <v>247</v>
      </c>
      <c r="B264" s="773"/>
      <c r="C264" s="773" t="s">
        <v>247</v>
      </c>
      <c r="D264" s="773"/>
      <c r="E264" s="773"/>
      <c r="F264" s="773"/>
      <c r="G264" s="967" t="s">
        <v>312</v>
      </c>
      <c r="H264" s="967" t="str">
        <f t="shared" si="12"/>
        <v>MS - Platform Analyst</v>
      </c>
      <c r="I264" t="str">
        <f t="shared" si="13"/>
        <v>UKMS - Platform Analyst</v>
      </c>
      <c r="J264" t="str">
        <f t="shared" si="14"/>
        <v>UKUKMS - Platform Analyst</v>
      </c>
      <c r="K264" cm="1">
        <f t="array" ref="K264">_xlfn.IFS(A264="Canada",4,A264="India",5,A264="UK",6,A264="USA",7,A264="EU",8)</f>
        <v>6</v>
      </c>
      <c r="L264" s="662">
        <f>VLOOKUP(H264,'StdCosts and StdRates'!$A$41:$H$86,K264,FALSE)</f>
        <v>129</v>
      </c>
      <c r="M264" s="662" cm="1">
        <f t="array" ref="M264">_xlfn.XLOOKUP(C264&amp;A264,FX!$A$2:$A$26&amp;FX!$B$2:$B$26,FX!$C$2:$C$26)</f>
        <v>1</v>
      </c>
      <c r="N264" cm="1">
        <f t="array" ref="N264">_xlfn.IFS(C264="Canada",2,C264="India",3,C264="UK",4,C264="USA",5,C264="EU",6)</f>
        <v>4</v>
      </c>
      <c r="O264" s="662">
        <f>VLOOKUP(G264,'StdCosts and StdRates'!$A$17:$E$36,N264,FALSE)*M264</f>
        <v>105</v>
      </c>
      <c r="P264"/>
      <c r="R264" s="967"/>
    </row>
    <row r="265" spans="1:18">
      <c r="A265" s="773" t="s">
        <v>247</v>
      </c>
      <c r="B265" s="773"/>
      <c r="C265" s="773" t="s">
        <v>736</v>
      </c>
      <c r="D265" s="773"/>
      <c r="E265" s="773"/>
      <c r="F265" s="773"/>
      <c r="G265" s="967" t="s">
        <v>312</v>
      </c>
      <c r="H265" s="967" t="str">
        <f t="shared" si="12"/>
        <v>MS - Platform Analyst</v>
      </c>
      <c r="I265" t="str">
        <f t="shared" si="13"/>
        <v>UKMS - Platform Analyst</v>
      </c>
      <c r="J265" t="str">
        <f t="shared" si="14"/>
        <v>UKEUMS - Platform Analyst</v>
      </c>
      <c r="K265" cm="1">
        <f t="array" ref="K265">_xlfn.IFS(A265="Canada",4,A265="India",5,A265="UK",6,A265="USA",7,A265="EU",8)</f>
        <v>6</v>
      </c>
      <c r="L265" s="662">
        <f>VLOOKUP(H265,'StdCosts and StdRates'!$A$41:$H$86,K265,FALSE)</f>
        <v>129</v>
      </c>
      <c r="M265" s="662" cm="1">
        <f t="array" ref="M265">_xlfn.XLOOKUP(C265&amp;A265,FX!$A$2:$A$26&amp;FX!$B$2:$B$26,FX!$C$2:$C$26)</f>
        <v>0.85092999999999996</v>
      </c>
      <c r="N265" cm="1">
        <f t="array" ref="N265">_xlfn.IFS(C265="Canada",2,C265="India",3,C265="UK",4,C265="USA",5,C265="EU",6)</f>
        <v>6</v>
      </c>
      <c r="O265" s="662" t="e">
        <f>VLOOKUP(G265,'StdCosts and StdRates'!$A$17:$E$36,N265,FALSE)*M265</f>
        <v>#REF!</v>
      </c>
      <c r="P265"/>
    </row>
    <row r="266" spans="1:18">
      <c r="A266" s="773" t="s">
        <v>247</v>
      </c>
      <c r="B266" s="773" t="s">
        <v>227</v>
      </c>
      <c r="C266" s="773" t="s">
        <v>227</v>
      </c>
      <c r="D266" s="773"/>
      <c r="E266" s="773"/>
      <c r="F266" s="773"/>
      <c r="G266" s="967" t="s">
        <v>312</v>
      </c>
      <c r="H266" s="967" t="str">
        <f t="shared" si="12"/>
        <v>IndiaMS - Platform Analyst</v>
      </c>
      <c r="I266" t="str">
        <f t="shared" si="13"/>
        <v>UKIndiaMS - Platform Analyst</v>
      </c>
      <c r="J266" t="str">
        <f t="shared" si="14"/>
        <v>UKIndiaMS - Platform Analyst</v>
      </c>
      <c r="K266" cm="1">
        <f t="array" ref="K266">_xlfn.IFS(A266="Canada",4,A266="India",5,A266="UK",6,A266="USA",7,A266="EU",8)</f>
        <v>6</v>
      </c>
      <c r="L266" s="662">
        <f>VLOOKUP(H266,'StdCosts and StdRates'!$A$41:$H$86,K266,FALSE)</f>
        <v>59</v>
      </c>
      <c r="M266" s="662" cm="1">
        <f t="array" ref="M266">_xlfn.XLOOKUP(C266&amp;A266,FX!$A$2:$A$26&amp;FX!$B$2:$B$26,FX!$C$2:$C$26)</f>
        <v>9.41E-3</v>
      </c>
      <c r="N266" cm="1">
        <f t="array" ref="N266">_xlfn.IFS(C266="Canada",2,C266="India",3,C266="UK",4,C266="USA",5,C266="EU",6)</f>
        <v>3</v>
      </c>
      <c r="O266" s="662">
        <f>VLOOKUP(G266,'StdCosts and StdRates'!$A$17:$E$36,N266,FALSE)*M266</f>
        <v>11.160259999999999</v>
      </c>
      <c r="P266"/>
    </row>
    <row r="267" spans="1:18">
      <c r="A267" s="773" t="s">
        <v>227</v>
      </c>
      <c r="B267" s="773"/>
      <c r="C267" s="773" t="s">
        <v>308</v>
      </c>
      <c r="D267" s="773"/>
      <c r="E267" s="773"/>
      <c r="F267" s="773"/>
      <c r="G267" s="967" t="s">
        <v>312</v>
      </c>
      <c r="H267" s="967" t="str">
        <f t="shared" si="12"/>
        <v>MS - Platform Analyst</v>
      </c>
      <c r="I267" t="str">
        <f t="shared" si="13"/>
        <v>IndiaMS - Platform Analyst</v>
      </c>
      <c r="J267" t="str">
        <f t="shared" si="14"/>
        <v>IndiaUSAMS - Platform Analyst</v>
      </c>
      <c r="K267" cm="1">
        <f t="array" ref="K267">_xlfn.IFS(A267="Canada",4,A267="India",5,A267="UK",6,A267="USA",7,A267="EU",8)</f>
        <v>5</v>
      </c>
      <c r="L267" s="662">
        <f>VLOOKUP(H267,'StdCosts and StdRates'!$A$41:$H$86,K267,FALSE)</f>
        <v>6000</v>
      </c>
      <c r="M267" s="662" cm="1">
        <f t="array" ref="M267">_xlfn.XLOOKUP(C267&amp;A267,FX!$A$2:$A$26&amp;FX!$B$2:$B$26,FX!$C$2:$C$26)</f>
        <v>83.1721</v>
      </c>
      <c r="N267" cm="1">
        <f t="array" ref="N267">_xlfn.IFS(C267="Canada",2,C267="India",3,C267="UK",4,C267="USA",5,C267="EU",6)</f>
        <v>5</v>
      </c>
      <c r="O267" s="662">
        <f>VLOOKUP(G267,'StdCosts and StdRates'!$A$17:$E$36,N267,FALSE)*M267</f>
        <v>10230.168299999999</v>
      </c>
      <c r="P267"/>
    </row>
    <row r="268" spans="1:18">
      <c r="A268" s="773" t="s">
        <v>227</v>
      </c>
      <c r="B268" s="773"/>
      <c r="C268" s="773" t="s">
        <v>405</v>
      </c>
      <c r="D268" s="773"/>
      <c r="E268" s="773"/>
      <c r="F268" s="773"/>
      <c r="G268" s="967" t="s">
        <v>312</v>
      </c>
      <c r="H268" s="967" t="str">
        <f t="shared" si="12"/>
        <v>MS - Platform Analyst</v>
      </c>
      <c r="I268" t="str">
        <f t="shared" si="13"/>
        <v>IndiaMS - Platform Analyst</v>
      </c>
      <c r="J268" t="str">
        <f t="shared" si="14"/>
        <v>IndiaCanadaMS - Platform Analyst</v>
      </c>
      <c r="K268" cm="1">
        <f t="array" ref="K268">_xlfn.IFS(A268="Canada",4,A268="India",5,A268="UK",6,A268="USA",7,A268="EU",8)</f>
        <v>5</v>
      </c>
      <c r="L268" s="662">
        <f>VLOOKUP(H268,'StdCosts and StdRates'!$A$41:$H$86,K268,FALSE)</f>
        <v>6000</v>
      </c>
      <c r="M268" s="662" cm="1">
        <f t="array" ref="M268">_xlfn.XLOOKUP(C268&amp;A268,FX!$A$2:$A$26&amp;FX!$B$2:$B$26,FX!$C$2:$C$26)</f>
        <v>61.008200000000002</v>
      </c>
      <c r="N268" cm="1">
        <f t="array" ref="N268">_xlfn.IFS(C268="Canada",2,C268="India",3,C268="UK",4,C268="USA",5,C268="EU",6)</f>
        <v>2</v>
      </c>
      <c r="O268" s="662">
        <f>VLOOKUP(G268,'StdCosts and StdRates'!$A$17:$E$36,N268,FALSE)*M268</f>
        <v>5978.8036000000002</v>
      </c>
      <c r="P268"/>
    </row>
    <row r="269" spans="1:18">
      <c r="A269" s="773" t="s">
        <v>227</v>
      </c>
      <c r="B269" s="773"/>
      <c r="C269" s="773" t="s">
        <v>247</v>
      </c>
      <c r="D269" s="773"/>
      <c r="E269" s="773"/>
      <c r="F269" s="773"/>
      <c r="G269" s="967" t="s">
        <v>312</v>
      </c>
      <c r="H269" s="967" t="str">
        <f t="shared" si="12"/>
        <v>MS - Platform Analyst</v>
      </c>
      <c r="I269" t="str">
        <f t="shared" si="13"/>
        <v>IndiaMS - Platform Analyst</v>
      </c>
      <c r="J269" t="str">
        <f t="shared" si="14"/>
        <v>IndiaUKMS - Platform Analyst</v>
      </c>
      <c r="K269" cm="1">
        <f t="array" ref="K269">_xlfn.IFS(A269="Canada",4,A269="India",5,A269="UK",6,A269="USA",7,A269="EU",8)</f>
        <v>5</v>
      </c>
      <c r="L269" s="662">
        <f>VLOOKUP(H269,'StdCosts and StdRates'!$A$41:$H$86,K269,FALSE)</f>
        <v>6000</v>
      </c>
      <c r="M269" s="662" cm="1">
        <f t="array" ref="M269">_xlfn.XLOOKUP(C269&amp;A269,FX!$A$2:$A$26&amp;FX!$B$2:$B$26,FX!$C$2:$C$26)</f>
        <v>106.23399999999999</v>
      </c>
      <c r="N269" cm="1">
        <f t="array" ref="N269">_xlfn.IFS(C269="Canada",2,C269="India",3,C269="UK",4,C269="USA",5,C269="EU",6)</f>
        <v>4</v>
      </c>
      <c r="O269" s="662">
        <f>VLOOKUP(G269,'StdCosts and StdRates'!$A$17:$E$36,N269,FALSE)*M269</f>
        <v>11154.57</v>
      </c>
      <c r="P269"/>
    </row>
    <row r="270" spans="1:18">
      <c r="A270" s="773" t="s">
        <v>227</v>
      </c>
      <c r="B270" s="773"/>
      <c r="C270" s="773" t="s">
        <v>736</v>
      </c>
      <c r="D270" s="773"/>
      <c r="E270" s="773"/>
      <c r="F270" s="773"/>
      <c r="G270" s="967" t="s">
        <v>312</v>
      </c>
      <c r="H270" s="967" t="str">
        <f t="shared" si="12"/>
        <v>MS - Platform Analyst</v>
      </c>
      <c r="I270" t="str">
        <f t="shared" si="13"/>
        <v>IndiaMS - Platform Analyst</v>
      </c>
      <c r="J270" t="str">
        <f t="shared" si="14"/>
        <v>IndiaEUMS - Platform Analyst</v>
      </c>
      <c r="K270" cm="1">
        <f t="array" ref="K270">_xlfn.IFS(A270="Canada",4,A270="India",5,A270="UK",6,A270="USA",7,A270="EU",8)</f>
        <v>5</v>
      </c>
      <c r="L270" s="662">
        <f>VLOOKUP(H270,'StdCosts and StdRates'!$A$41:$H$86,K270,FALSE)</f>
        <v>6000</v>
      </c>
      <c r="M270" s="662" cm="1">
        <f t="array" ref="M270">_xlfn.XLOOKUP(C270&amp;A270,FX!$A$2:$A$26&amp;FX!$B$2:$B$26,FX!$C$2:$C$26)</f>
        <v>90.405100000000004</v>
      </c>
      <c r="N270" cm="1">
        <f t="array" ref="N270">_xlfn.IFS(C270="Canada",2,C270="India",3,C270="UK",4,C270="USA",5,C270="EU",6)</f>
        <v>6</v>
      </c>
      <c r="O270" s="662" t="e">
        <f>VLOOKUP(G270,'StdCosts and StdRates'!$A$17:$E$36,N270,FALSE)*M270</f>
        <v>#REF!</v>
      </c>
      <c r="P270"/>
    </row>
    <row r="271" spans="1:18">
      <c r="A271" s="773" t="s">
        <v>227</v>
      </c>
      <c r="B271" s="773" t="s">
        <v>227</v>
      </c>
      <c r="C271" s="773" t="s">
        <v>227</v>
      </c>
      <c r="D271" s="773"/>
      <c r="E271" s="773"/>
      <c r="F271" s="773"/>
      <c r="G271" s="967" t="s">
        <v>312</v>
      </c>
      <c r="H271" s="967" t="str">
        <f t="shared" si="12"/>
        <v>IndiaMS - Platform Analyst</v>
      </c>
      <c r="I271" t="str">
        <f t="shared" si="13"/>
        <v>IndiaIndiaMS - Platform Analyst</v>
      </c>
      <c r="J271" t="str">
        <f t="shared" si="14"/>
        <v>IndiaIndiaMS - Platform Analyst</v>
      </c>
      <c r="K271" cm="1">
        <f t="array" ref="K271">_xlfn.IFS(A271="Canada",4,A271="India",5,A271="UK",6,A271="USA",7,A271="EU",8)</f>
        <v>5</v>
      </c>
      <c r="L271" s="662">
        <f>VLOOKUP(H271,'StdCosts and StdRates'!$A$41:$H$86,K271,FALSE)</f>
        <v>6000</v>
      </c>
      <c r="M271" s="662" cm="1">
        <f t="array" ref="M271">_xlfn.XLOOKUP(C271&amp;A271,FX!$A$2:$A$26&amp;FX!$B$2:$B$26,FX!$C$2:$C$26)</f>
        <v>1</v>
      </c>
      <c r="N271" cm="1">
        <f t="array" ref="N271">_xlfn.IFS(C271="Canada",2,C271="India",3,C271="UK",4,C271="USA",5,C271="EU",6)</f>
        <v>3</v>
      </c>
      <c r="O271" s="662">
        <f>VLOOKUP(G271,'StdCosts and StdRates'!$A$17:$E$36,N271,FALSE)*M271</f>
        <v>1186</v>
      </c>
      <c r="P271"/>
    </row>
    <row r="272" spans="1:18">
      <c r="A272" s="773" t="s">
        <v>736</v>
      </c>
      <c r="B272" s="773"/>
      <c r="C272" s="773" t="s">
        <v>308</v>
      </c>
      <c r="D272" s="773"/>
      <c r="E272" s="773"/>
      <c r="F272" s="773"/>
      <c r="G272" s="967" t="s">
        <v>312</v>
      </c>
      <c r="H272" s="967" t="str">
        <f t="shared" si="12"/>
        <v>MS - Platform Analyst</v>
      </c>
      <c r="I272" t="str">
        <f t="shared" si="13"/>
        <v>EUMS - Platform Analyst</v>
      </c>
      <c r="J272" t="str">
        <f t="shared" si="14"/>
        <v>EUUSAMS - Platform Analyst</v>
      </c>
      <c r="K272" cm="1">
        <f t="array" ref="K272">_xlfn.IFS(A272="Canada",4,A272="India",5,A272="UK",6,A272="USA",7,A272="EU",8)</f>
        <v>8</v>
      </c>
      <c r="L272" s="662">
        <f>VLOOKUP(H272,'StdCosts and StdRates'!$A$41:$H$86,K272,FALSE)</f>
        <v>149</v>
      </c>
      <c r="M272" s="662" cm="1">
        <f t="array" ref="M272">_xlfn.XLOOKUP(C272&amp;A272,FX!$A$2:$A$26&amp;FX!$B$2:$B$26,FX!$C$2:$C$26)</f>
        <v>0.91986999999999997</v>
      </c>
      <c r="N272" cm="1">
        <f t="array" ref="N272">_xlfn.IFS(C272="Canada",2,C272="India",3,C272="UK",4,C272="USA",5,C272="EU",6)</f>
        <v>5</v>
      </c>
      <c r="O272" s="662">
        <f>VLOOKUP(G272,'StdCosts and StdRates'!$A$17:$E$36,N272,FALSE)*M272</f>
        <v>113.14400999999999</v>
      </c>
      <c r="P272"/>
    </row>
    <row r="273" spans="1:18">
      <c r="A273" s="773" t="s">
        <v>736</v>
      </c>
      <c r="B273" s="773"/>
      <c r="C273" s="773" t="s">
        <v>405</v>
      </c>
      <c r="D273" s="773"/>
      <c r="E273" s="773"/>
      <c r="F273" s="773"/>
      <c r="G273" s="967" t="s">
        <v>312</v>
      </c>
      <c r="H273" s="967" t="str">
        <f t="shared" si="12"/>
        <v>MS - Platform Analyst</v>
      </c>
      <c r="I273" t="str">
        <f t="shared" si="13"/>
        <v>EUMS - Platform Analyst</v>
      </c>
      <c r="J273" t="str">
        <f t="shared" si="14"/>
        <v>EUCanadaMS - Platform Analyst</v>
      </c>
      <c r="K273" cm="1">
        <f t="array" ref="K273">_xlfn.IFS(A273="Canada",4,A273="India",5,A273="UK",6,A273="USA",7,A273="EU",8)</f>
        <v>8</v>
      </c>
      <c r="L273" s="662">
        <f>VLOOKUP(H273,'StdCosts and StdRates'!$A$41:$H$86,K273,FALSE)</f>
        <v>149</v>
      </c>
      <c r="M273" s="662" cm="1">
        <f t="array" ref="M273">_xlfn.XLOOKUP(C273&amp;A273,FX!$A$2:$A$26&amp;FX!$B$2:$B$26,FX!$C$2:$C$26)</f>
        <v>0.67474000000000001</v>
      </c>
      <c r="N273" cm="1">
        <f t="array" ref="N273">_xlfn.IFS(C273="Canada",2,C273="India",3,C273="UK",4,C273="USA",5,C273="EU",6)</f>
        <v>2</v>
      </c>
      <c r="O273" s="662">
        <f>VLOOKUP(G273,'StdCosts and StdRates'!$A$17:$E$36,N273,FALSE)*M273</f>
        <v>66.124520000000004</v>
      </c>
      <c r="P273"/>
    </row>
    <row r="274" spans="1:18">
      <c r="A274" s="773" t="s">
        <v>736</v>
      </c>
      <c r="B274" s="773"/>
      <c r="C274" s="773" t="s">
        <v>247</v>
      </c>
      <c r="D274" s="773"/>
      <c r="E274" s="773"/>
      <c r="F274" s="773"/>
      <c r="G274" s="967" t="s">
        <v>312</v>
      </c>
      <c r="H274" s="967" t="str">
        <f t="shared" si="12"/>
        <v>MS - Platform Analyst</v>
      </c>
      <c r="I274" t="str">
        <f t="shared" si="13"/>
        <v>EUMS - Platform Analyst</v>
      </c>
      <c r="J274" t="str">
        <f t="shared" si="14"/>
        <v>EUUKMS - Platform Analyst</v>
      </c>
      <c r="K274" cm="1">
        <f t="array" ref="K274">_xlfn.IFS(A274="Canada",4,A274="India",5,A274="UK",6,A274="USA",7,A274="EU",8)</f>
        <v>8</v>
      </c>
      <c r="L274" s="662">
        <f>VLOOKUP(H274,'StdCosts and StdRates'!$A$41:$H$86,K274,FALSE)</f>
        <v>149</v>
      </c>
      <c r="M274" s="662" cm="1">
        <f t="array" ref="M274">_xlfn.XLOOKUP(C274&amp;A274,FX!$A$2:$A$26&amp;FX!$B$2:$B$26,FX!$C$2:$C$26)</f>
        <v>1.1749799999999999</v>
      </c>
      <c r="N274" cm="1">
        <f t="array" ref="N274">_xlfn.IFS(C274="Canada",2,C274="India",3,C274="UK",4,C274="USA",5,C274="EU",6)</f>
        <v>4</v>
      </c>
      <c r="O274" s="662">
        <f>VLOOKUP(G274,'StdCosts and StdRates'!$A$17:$E$36,N274,FALSE)*M274</f>
        <v>123.37289999999999</v>
      </c>
      <c r="P274"/>
    </row>
    <row r="275" spans="1:18">
      <c r="A275" s="773" t="s">
        <v>736</v>
      </c>
      <c r="B275" s="773"/>
      <c r="C275" s="773" t="s">
        <v>736</v>
      </c>
      <c r="D275" s="773"/>
      <c r="E275" s="773"/>
      <c r="F275" s="773"/>
      <c r="G275" s="967" t="s">
        <v>312</v>
      </c>
      <c r="H275" s="967" t="str">
        <f t="shared" si="12"/>
        <v>MS - Platform Analyst</v>
      </c>
      <c r="I275" t="str">
        <f t="shared" si="13"/>
        <v>EUMS - Platform Analyst</v>
      </c>
      <c r="J275" t="str">
        <f t="shared" si="14"/>
        <v>EUEUMS - Platform Analyst</v>
      </c>
      <c r="K275" cm="1">
        <f t="array" ref="K275">_xlfn.IFS(A275="Canada",4,A275="India",5,A275="UK",6,A275="USA",7,A275="EU",8)</f>
        <v>8</v>
      </c>
      <c r="L275" s="662">
        <f>VLOOKUP(H275,'StdCosts and StdRates'!$A$41:$H$86,K275,FALSE)</f>
        <v>149</v>
      </c>
      <c r="M275" s="662" cm="1">
        <f t="array" ref="M275">_xlfn.XLOOKUP(C275&amp;A275,FX!$A$2:$A$26&amp;FX!$B$2:$B$26,FX!$C$2:$C$26)</f>
        <v>1</v>
      </c>
      <c r="N275" cm="1">
        <f t="array" ref="N275">_xlfn.IFS(C275="Canada",2,C275="India",3,C275="UK",4,C275="USA",5,C275="EU",6)</f>
        <v>6</v>
      </c>
      <c r="O275" s="662" t="e">
        <f>VLOOKUP(G275,'StdCosts and StdRates'!$A$17:$E$36,N275,FALSE)*M275</f>
        <v>#REF!</v>
      </c>
      <c r="P275"/>
    </row>
    <row r="276" spans="1:18">
      <c r="A276" s="773" t="s">
        <v>736</v>
      </c>
      <c r="B276" s="773" t="s">
        <v>227</v>
      </c>
      <c r="C276" s="773" t="s">
        <v>227</v>
      </c>
      <c r="D276" s="773"/>
      <c r="E276" s="773"/>
      <c r="F276" s="773"/>
      <c r="G276" s="967" t="s">
        <v>312</v>
      </c>
      <c r="H276" s="967" t="str">
        <f t="shared" si="12"/>
        <v>IndiaMS - Platform Analyst</v>
      </c>
      <c r="I276" t="str">
        <f t="shared" si="13"/>
        <v>EUIndiaMS - Platform Analyst</v>
      </c>
      <c r="J276" t="str">
        <f t="shared" si="14"/>
        <v>EUIndiaMS - Platform Analyst</v>
      </c>
      <c r="K276" cm="1">
        <f t="array" ref="K276">_xlfn.IFS(A276="Canada",4,A276="India",5,A276="UK",6,A276="USA",7,A276="EU",8)</f>
        <v>8</v>
      </c>
      <c r="L276" s="662">
        <f>VLOOKUP(H276,'StdCosts and StdRates'!$A$41:$H$86,K276,FALSE)</f>
        <v>69</v>
      </c>
      <c r="M276" s="662" cm="1">
        <f t="array" ref="M276">_xlfn.XLOOKUP(C276&amp;A276,FX!$A$2:$A$26&amp;FX!$B$2:$B$26,FX!$C$2:$C$26)</f>
        <v>1.106E-2</v>
      </c>
      <c r="N276" cm="1">
        <f t="array" ref="N276">_xlfn.IFS(C276="Canada",2,C276="India",3,C276="UK",4,C276="USA",5,C276="EU",6)</f>
        <v>3</v>
      </c>
      <c r="O276" s="662">
        <f>VLOOKUP(G276,'StdCosts and StdRates'!$A$17:$E$36,N276,FALSE)*M276</f>
        <v>13.11716</v>
      </c>
      <c r="P276"/>
    </row>
    <row r="277" spans="1:18">
      <c r="A277" s="773" t="s">
        <v>308</v>
      </c>
      <c r="B277" s="773"/>
      <c r="C277" s="773" t="s">
        <v>308</v>
      </c>
      <c r="D277" s="773"/>
      <c r="E277" s="773"/>
      <c r="F277" s="773"/>
      <c r="G277" s="967" t="s">
        <v>372</v>
      </c>
      <c r="H277" s="967" t="str">
        <f t="shared" si="12"/>
        <v>Workflow/Practice Strategist</v>
      </c>
      <c r="I277" t="str">
        <f t="shared" si="13"/>
        <v>USAWorkflow/Practice Strategist</v>
      </c>
      <c r="J277" t="str">
        <f t="shared" si="14"/>
        <v>USAUSAWorkflow/Practice Strategist</v>
      </c>
      <c r="K277" cm="1">
        <f t="array" ref="K277">_xlfn.IFS(A277="Canada",4,A277="India",5,A277="UK",6,A277="USA",7,A277="EU",8)</f>
        <v>7</v>
      </c>
      <c r="L277" s="662">
        <f>VLOOKUP(H277,'StdCosts and StdRates'!$A$41:$H$86,K277,FALSE)</f>
        <v>339</v>
      </c>
      <c r="M277" s="662" cm="1">
        <f t="array" ref="M277">_xlfn.XLOOKUP(C277&amp;A277,FX!$A$2:$A$26&amp;FX!$B$2:$B$26,FX!$C$2:$C$26)</f>
        <v>1</v>
      </c>
      <c r="N277" cm="1">
        <f t="array" ref="N277">_xlfn.IFS(C277="Canada",2,C277="India",3,C277="UK",4,C277="USA",5,C277="EU",6)</f>
        <v>5</v>
      </c>
      <c r="O277" s="662">
        <f>VLOOKUP(G277,'StdCosts and StdRates'!$A$17:$E$36,N277,FALSE)*M277</f>
        <v>211</v>
      </c>
      <c r="P277"/>
    </row>
    <row r="278" spans="1:18">
      <c r="A278" s="773" t="s">
        <v>308</v>
      </c>
      <c r="B278" s="773"/>
      <c r="C278" s="773" t="s">
        <v>405</v>
      </c>
      <c r="D278" s="773"/>
      <c r="E278" s="773"/>
      <c r="F278" s="773"/>
      <c r="G278" s="967" t="s">
        <v>372</v>
      </c>
      <c r="H278" s="967" t="str">
        <f t="shared" si="12"/>
        <v>Workflow/Practice Strategist</v>
      </c>
      <c r="I278" t="str">
        <f t="shared" si="13"/>
        <v>USAWorkflow/Practice Strategist</v>
      </c>
      <c r="J278" t="str">
        <f t="shared" si="14"/>
        <v>USACanadaWorkflow/Practice Strategist</v>
      </c>
      <c r="K278" cm="1">
        <f t="array" ref="K278">_xlfn.IFS(A278="Canada",4,A278="India",5,A278="UK",6,A278="USA",7,A278="EU",8)</f>
        <v>7</v>
      </c>
      <c r="L278" s="662">
        <f>VLOOKUP(H278,'StdCosts and StdRates'!$A$41:$H$86,K278,FALSE)</f>
        <v>339</v>
      </c>
      <c r="M278" s="662" cm="1">
        <f t="array" ref="M278">_xlfn.XLOOKUP(C278&amp;A278,FX!$A$2:$A$26&amp;FX!$B$2:$B$26,FX!$C$2:$C$26)</f>
        <v>0.73351999999999995</v>
      </c>
      <c r="N278" cm="1">
        <f t="array" ref="N278">_xlfn.IFS(C278="Canada",2,C278="India",3,C278="UK",4,C278="USA",5,C278="EU",6)</f>
        <v>2</v>
      </c>
      <c r="O278" s="662">
        <f>VLOOKUP(G278,'StdCosts and StdRates'!$A$17:$E$36,N278,FALSE)*M278</f>
        <v>148.90456</v>
      </c>
      <c r="P278"/>
    </row>
    <row r="279" spans="1:18">
      <c r="A279" s="773" t="s">
        <v>308</v>
      </c>
      <c r="B279" s="773"/>
      <c r="C279" s="773" t="s">
        <v>247</v>
      </c>
      <c r="D279" s="773"/>
      <c r="E279" s="773"/>
      <c r="F279" s="773"/>
      <c r="G279" s="967" t="s">
        <v>372</v>
      </c>
      <c r="H279" s="967" t="str">
        <f t="shared" si="12"/>
        <v>Workflow/Practice Strategist</v>
      </c>
      <c r="I279" t="str">
        <f t="shared" si="13"/>
        <v>USAWorkflow/Practice Strategist</v>
      </c>
      <c r="J279" t="str">
        <f t="shared" si="14"/>
        <v>USAUKWorkflow/Practice Strategist</v>
      </c>
      <c r="K279" cm="1">
        <f t="array" ref="K279">_xlfn.IFS(A279="Canada",4,A279="India",5,A279="UK",6,A279="USA",7,A279="EU",8)</f>
        <v>7</v>
      </c>
      <c r="L279" s="662">
        <f>VLOOKUP(H279,'StdCosts and StdRates'!$A$41:$H$86,K279,FALSE)</f>
        <v>339</v>
      </c>
      <c r="M279" s="662" cm="1">
        <f t="array" ref="M279">_xlfn.XLOOKUP(C279&amp;A279,FX!$A$2:$A$26&amp;FX!$B$2:$B$26,FX!$C$2:$C$26)</f>
        <v>1.2772699999999999</v>
      </c>
      <c r="N279" cm="1">
        <f t="array" ref="N279">_xlfn.IFS(C279="Canada",2,C279="India",3,C279="UK",4,C279="USA",5,C279="EU",6)</f>
        <v>4</v>
      </c>
      <c r="O279" s="662">
        <f>VLOOKUP(G279,'StdCosts and StdRates'!$A$17:$E$36,N279,FALSE)*M279</f>
        <v>189.03595999999999</v>
      </c>
      <c r="P279"/>
    </row>
    <row r="280" spans="1:18">
      <c r="A280" s="773" t="s">
        <v>308</v>
      </c>
      <c r="B280" s="773"/>
      <c r="C280" s="773" t="s">
        <v>736</v>
      </c>
      <c r="D280" s="773"/>
      <c r="E280" s="773"/>
      <c r="F280" s="773"/>
      <c r="G280" s="967" t="s">
        <v>372</v>
      </c>
      <c r="H280" s="967" t="str">
        <f t="shared" si="12"/>
        <v>Workflow/Practice Strategist</v>
      </c>
      <c r="I280" t="str">
        <f t="shared" si="13"/>
        <v>USAWorkflow/Practice Strategist</v>
      </c>
      <c r="J280" t="str">
        <f t="shared" si="14"/>
        <v>USAEUWorkflow/Practice Strategist</v>
      </c>
      <c r="K280" cm="1">
        <f t="array" ref="K280">_xlfn.IFS(A280="Canada",4,A280="India",5,A280="UK",6,A280="USA",7,A280="EU",8)</f>
        <v>7</v>
      </c>
      <c r="L280" s="662">
        <f>VLOOKUP(H280,'StdCosts and StdRates'!$A$41:$H$86,K280,FALSE)</f>
        <v>339</v>
      </c>
      <c r="M280" s="662" cm="1">
        <f t="array" ref="M280">_xlfn.XLOOKUP(C280&amp;A280,FX!$A$2:$A$26&amp;FX!$B$2:$B$26,FX!$C$2:$C$26)</f>
        <v>1.0869599999999999</v>
      </c>
      <c r="N280" cm="1">
        <f t="array" ref="N280">_xlfn.IFS(C280="Canada",2,C280="India",3,C280="UK",4,C280="USA",5,C280="EU",6)</f>
        <v>6</v>
      </c>
      <c r="O280" s="662" t="e">
        <f>VLOOKUP(G280,'StdCosts and StdRates'!$A$17:$E$36,N280,FALSE)*M280</f>
        <v>#REF!</v>
      </c>
      <c r="P280"/>
    </row>
    <row r="281" spans="1:18">
      <c r="A281" s="773" t="s">
        <v>308</v>
      </c>
      <c r="B281" s="773" t="s">
        <v>227</v>
      </c>
      <c r="C281" s="773" t="s">
        <v>227</v>
      </c>
      <c r="D281" s="773"/>
      <c r="E281" s="773"/>
      <c r="F281" s="773"/>
      <c r="G281" s="967" t="s">
        <v>372</v>
      </c>
      <c r="H281" s="967" t="str">
        <f t="shared" si="12"/>
        <v>IndiaWorkflow/Practice Strategist</v>
      </c>
      <c r="I281" t="str">
        <f t="shared" si="13"/>
        <v>USAIndiaWorkflow/Practice Strategist</v>
      </c>
      <c r="J281" t="str">
        <f t="shared" si="14"/>
        <v>USAIndiaWorkflow/Practice Strategist</v>
      </c>
      <c r="K281" cm="1">
        <f t="array" ref="K281">_xlfn.IFS(A281="Canada",4,A281="India",5,A281="UK",6,A281="USA",7,A281="EU",8)</f>
        <v>7</v>
      </c>
      <c r="L281" s="662">
        <f>VLOOKUP(H281,'StdCosts and StdRates'!$A$41:$H$86,K281,FALSE)</f>
        <v>129</v>
      </c>
      <c r="M281" s="662" cm="1">
        <f t="array" ref="M281">_xlfn.XLOOKUP(C281&amp;A281,FX!$A$2:$A$26&amp;FX!$B$2:$B$26,FX!$C$2:$C$26)</f>
        <v>1.2019999999999999E-2</v>
      </c>
      <c r="N281" cm="1">
        <f t="array" ref="N281">_xlfn.IFS(C281="Canada",2,C281="India",3,C281="UK",4,C281="USA",5,C281="EU",6)</f>
        <v>3</v>
      </c>
      <c r="O281" s="662">
        <f>VLOOKUP(G281,'StdCosts and StdRates'!$A$17:$E$36,N281,FALSE)*M281</f>
        <v>61.590479999999999</v>
      </c>
      <c r="P281"/>
    </row>
    <row r="282" spans="1:18">
      <c r="A282" s="773" t="s">
        <v>405</v>
      </c>
      <c r="B282" s="773"/>
      <c r="C282" s="773" t="s">
        <v>308</v>
      </c>
      <c r="D282" s="773"/>
      <c r="E282" s="773"/>
      <c r="F282" s="773"/>
      <c r="G282" s="967" t="s">
        <v>372</v>
      </c>
      <c r="H282" s="967" t="str">
        <f t="shared" si="12"/>
        <v>Workflow/Practice Strategist</v>
      </c>
      <c r="I282" t="str">
        <f t="shared" si="13"/>
        <v>CanadaWorkflow/Practice Strategist</v>
      </c>
      <c r="J282" t="str">
        <f t="shared" si="14"/>
        <v>CanadaUSAWorkflow/Practice Strategist</v>
      </c>
      <c r="K282" cm="1">
        <f t="array" ref="K282">_xlfn.IFS(A282="Canada",4,A282="India",5,A282="UK",6,A282="USA",7,A282="EU",8)</f>
        <v>4</v>
      </c>
      <c r="L282" s="662">
        <f>VLOOKUP(H282,'StdCosts and StdRates'!$A$41:$H$86,K282,FALSE)</f>
        <v>359</v>
      </c>
      <c r="M282" s="662" cm="1">
        <f t="array" ref="M282">_xlfn.XLOOKUP(C282&amp;A282,FX!$A$2:$A$26&amp;FX!$B$2:$B$26,FX!$C$2:$C$26)</f>
        <v>1.36311</v>
      </c>
      <c r="N282" cm="1">
        <f t="array" ref="N282">_xlfn.IFS(C282="Canada",2,C282="India",3,C282="UK",4,C282="USA",5,C282="EU",6)</f>
        <v>5</v>
      </c>
      <c r="O282" s="662">
        <f>VLOOKUP(G282,'StdCosts and StdRates'!$A$17:$E$36,N282,FALSE)*M282</f>
        <v>287.61621000000002</v>
      </c>
      <c r="P282"/>
      <c r="R282" s="967"/>
    </row>
    <row r="283" spans="1:18">
      <c r="A283" s="773" t="s">
        <v>405</v>
      </c>
      <c r="B283" s="773"/>
      <c r="C283" s="773" t="s">
        <v>405</v>
      </c>
      <c r="D283" s="773"/>
      <c r="E283" s="773"/>
      <c r="F283" s="773"/>
      <c r="G283" s="967" t="s">
        <v>372</v>
      </c>
      <c r="H283" s="967" t="str">
        <f t="shared" ref="H283:H346" si="15">B283&amp;G283</f>
        <v>Workflow/Practice Strategist</v>
      </c>
      <c r="I283" t="str">
        <f t="shared" ref="I283:I346" si="16">A283&amp;B283&amp;D283&amp;E283&amp;F283&amp;G283</f>
        <v>CanadaWorkflow/Practice Strategist</v>
      </c>
      <c r="J283" t="str">
        <f t="shared" ref="J283:J346" si="17">A283&amp;C283&amp;D283&amp;E283&amp;F283&amp;G283</f>
        <v>CanadaCanadaWorkflow/Practice Strategist</v>
      </c>
      <c r="K283" cm="1">
        <f t="array" ref="K283">_xlfn.IFS(A283="Canada",4,A283="India",5,A283="UK",6,A283="USA",7,A283="EU",8)</f>
        <v>4</v>
      </c>
      <c r="L283" s="662">
        <f>VLOOKUP(H283,'StdCosts and StdRates'!$A$41:$H$86,K283,FALSE)</f>
        <v>359</v>
      </c>
      <c r="M283" s="662" cm="1">
        <f t="array" ref="M283">_xlfn.XLOOKUP(C283&amp;A283,FX!$A$2:$A$26&amp;FX!$B$2:$B$26,FX!$C$2:$C$26)</f>
        <v>1</v>
      </c>
      <c r="N283" cm="1">
        <f t="array" ref="N283">_xlfn.IFS(C283="Canada",2,C283="India",3,C283="UK",4,C283="USA",5,C283="EU",6)</f>
        <v>2</v>
      </c>
      <c r="O283" s="662">
        <f>VLOOKUP(G283,'StdCosts and StdRates'!$A$17:$E$36,N283,FALSE)*M283</f>
        <v>203</v>
      </c>
      <c r="P283"/>
      <c r="R283" s="967"/>
    </row>
    <row r="284" spans="1:18">
      <c r="A284" s="773" t="s">
        <v>405</v>
      </c>
      <c r="B284" s="773"/>
      <c r="C284" s="773" t="s">
        <v>247</v>
      </c>
      <c r="D284" s="773"/>
      <c r="E284" s="773"/>
      <c r="F284" s="773"/>
      <c r="G284" s="967" t="s">
        <v>372</v>
      </c>
      <c r="H284" s="967" t="str">
        <f t="shared" si="15"/>
        <v>Workflow/Practice Strategist</v>
      </c>
      <c r="I284" t="str">
        <f t="shared" si="16"/>
        <v>CanadaWorkflow/Practice Strategist</v>
      </c>
      <c r="J284" t="str">
        <f t="shared" si="17"/>
        <v>CanadaUKWorkflow/Practice Strategist</v>
      </c>
      <c r="K284" cm="1">
        <f t="array" ref="K284">_xlfn.IFS(A284="Canada",4,A284="India",5,A284="UK",6,A284="USA",7,A284="EU",8)</f>
        <v>4</v>
      </c>
      <c r="L284" s="662">
        <f>VLOOKUP(H284,'StdCosts and StdRates'!$A$41:$H$86,K284,FALSE)</f>
        <v>359</v>
      </c>
      <c r="M284" s="662" cm="1">
        <f t="array" ref="M284">_xlfn.XLOOKUP(C284&amp;A284,FX!$A$2:$A$26&amp;FX!$B$2:$B$26,FX!$C$2:$C$26)</f>
        <v>1.7410699999999999</v>
      </c>
      <c r="N284" cm="1">
        <f t="array" ref="N284">_xlfn.IFS(C284="Canada",2,C284="India",3,C284="UK",4,C284="USA",5,C284="EU",6)</f>
        <v>4</v>
      </c>
      <c r="O284" s="662">
        <f>VLOOKUP(G284,'StdCosts and StdRates'!$A$17:$E$36,N284,FALSE)*M284</f>
        <v>257.67836</v>
      </c>
      <c r="P284"/>
      <c r="R284" s="967"/>
    </row>
    <row r="285" spans="1:18">
      <c r="A285" s="773" t="s">
        <v>405</v>
      </c>
      <c r="B285" s="773"/>
      <c r="C285" s="773" t="s">
        <v>736</v>
      </c>
      <c r="D285" s="773"/>
      <c r="E285" s="773"/>
      <c r="F285" s="773"/>
      <c r="G285" s="967" t="s">
        <v>372</v>
      </c>
      <c r="H285" s="967" t="str">
        <f t="shared" si="15"/>
        <v>Workflow/Practice Strategist</v>
      </c>
      <c r="I285" t="str">
        <f t="shared" si="16"/>
        <v>CanadaWorkflow/Practice Strategist</v>
      </c>
      <c r="J285" t="str">
        <f t="shared" si="17"/>
        <v>CanadaEUWorkflow/Practice Strategist</v>
      </c>
      <c r="K285" cm="1">
        <f t="array" ref="K285">_xlfn.IFS(A285="Canada",4,A285="India",5,A285="UK",6,A285="USA",7,A285="EU",8)</f>
        <v>4</v>
      </c>
      <c r="L285" s="662">
        <f>VLOOKUP(H285,'StdCosts and StdRates'!$A$41:$H$86,K285,FALSE)</f>
        <v>359</v>
      </c>
      <c r="M285" s="662" cm="1">
        <f t="array" ref="M285">_xlfn.XLOOKUP(C285&amp;A285,FX!$A$2:$A$26&amp;FX!$B$2:$B$26,FX!$C$2:$C$26)</f>
        <v>1.4816499999999999</v>
      </c>
      <c r="N285" cm="1">
        <f t="array" ref="N285">_xlfn.IFS(C285="Canada",2,C285="India",3,C285="UK",4,C285="USA",5,C285="EU",6)</f>
        <v>6</v>
      </c>
      <c r="O285" s="662" t="e">
        <f>VLOOKUP(G285,'StdCosts and StdRates'!$A$17:$E$36,N285,FALSE)*M285</f>
        <v>#REF!</v>
      </c>
      <c r="P285"/>
      <c r="R285" s="967"/>
    </row>
    <row r="286" spans="1:18">
      <c r="A286" s="773" t="s">
        <v>405</v>
      </c>
      <c r="B286" s="773" t="s">
        <v>227</v>
      </c>
      <c r="C286" s="773" t="s">
        <v>227</v>
      </c>
      <c r="D286" s="773"/>
      <c r="E286" s="773"/>
      <c r="F286" s="773"/>
      <c r="G286" s="967" t="s">
        <v>372</v>
      </c>
      <c r="H286" s="967" t="str">
        <f t="shared" si="15"/>
        <v>IndiaWorkflow/Practice Strategist</v>
      </c>
      <c r="I286" t="str">
        <f t="shared" si="16"/>
        <v>CanadaIndiaWorkflow/Practice Strategist</v>
      </c>
      <c r="J286" t="str">
        <f t="shared" si="17"/>
        <v>CanadaIndiaWorkflow/Practice Strategist</v>
      </c>
      <c r="K286" cm="1">
        <f t="array" ref="K286">_xlfn.IFS(A286="Canada",4,A286="India",5,A286="UK",6,A286="USA",7,A286="EU",8)</f>
        <v>4</v>
      </c>
      <c r="L286" s="662">
        <f>VLOOKUP(H286,'StdCosts and StdRates'!$A$41:$H$86,K286,FALSE)</f>
        <v>165</v>
      </c>
      <c r="M286" s="662" cm="1">
        <f t="array" ref="M286">_xlfn.XLOOKUP(C286&amp;A286,FX!$A$2:$A$26&amp;FX!$B$2:$B$26,FX!$C$2:$C$26)</f>
        <v>1.6389999999999998E-2</v>
      </c>
      <c r="N286" cm="1">
        <f t="array" ref="N286">_xlfn.IFS(C286="Canada",2,C286="India",3,C286="UK",4,C286="USA",5,C286="EU",6)</f>
        <v>3</v>
      </c>
      <c r="O286" s="662">
        <f>VLOOKUP(G286,'StdCosts and StdRates'!$A$17:$E$36,N286,FALSE)*M286</f>
        <v>83.982359999999986</v>
      </c>
      <c r="P286"/>
      <c r="R286" s="967"/>
    </row>
    <row r="287" spans="1:18">
      <c r="A287" s="773" t="s">
        <v>247</v>
      </c>
      <c r="B287" s="773"/>
      <c r="C287" s="773" t="s">
        <v>308</v>
      </c>
      <c r="D287" s="773"/>
      <c r="E287" s="773"/>
      <c r="F287" s="773"/>
      <c r="G287" s="967" t="s">
        <v>372</v>
      </c>
      <c r="H287" s="967" t="str">
        <f t="shared" si="15"/>
        <v>Workflow/Practice Strategist</v>
      </c>
      <c r="I287" t="str">
        <f t="shared" si="16"/>
        <v>UKWorkflow/Practice Strategist</v>
      </c>
      <c r="J287" t="str">
        <f t="shared" si="17"/>
        <v>UKUSAWorkflow/Practice Strategist</v>
      </c>
      <c r="K287" cm="1">
        <f t="array" ref="K287">_xlfn.IFS(A287="Canada",4,A287="India",5,A287="UK",6,A287="USA",7,A287="EU",8)</f>
        <v>6</v>
      </c>
      <c r="L287" s="662">
        <f>VLOOKUP(H287,'StdCosts and StdRates'!$A$41:$H$86,K287,FALSE)</f>
        <v>219</v>
      </c>
      <c r="M287" s="662" cm="1">
        <f t="array" ref="M287">_xlfn.XLOOKUP(C287&amp;A287,FX!$A$2:$A$26&amp;FX!$B$2:$B$26,FX!$C$2:$C$26)</f>
        <v>0.78280000000000005</v>
      </c>
      <c r="N287" cm="1">
        <f t="array" ref="N287">_xlfn.IFS(C287="Canada",2,C287="India",3,C287="UK",4,C287="USA",5,C287="EU",6)</f>
        <v>5</v>
      </c>
      <c r="O287" s="662">
        <f>VLOOKUP(G287,'StdCosts and StdRates'!$A$17:$E$36,N287,FALSE)*M287</f>
        <v>165.17080000000001</v>
      </c>
      <c r="P287"/>
      <c r="R287" s="967"/>
    </row>
    <row r="288" spans="1:18">
      <c r="A288" s="773" t="s">
        <v>247</v>
      </c>
      <c r="B288" s="773"/>
      <c r="C288" s="773" t="s">
        <v>405</v>
      </c>
      <c r="D288" s="773"/>
      <c r="E288" s="773"/>
      <c r="F288" s="773"/>
      <c r="G288" s="967" t="s">
        <v>372</v>
      </c>
      <c r="H288" s="967" t="str">
        <f t="shared" si="15"/>
        <v>Workflow/Practice Strategist</v>
      </c>
      <c r="I288" t="str">
        <f t="shared" si="16"/>
        <v>UKWorkflow/Practice Strategist</v>
      </c>
      <c r="J288" t="str">
        <f t="shared" si="17"/>
        <v>UKCanadaWorkflow/Practice Strategist</v>
      </c>
      <c r="K288" cm="1">
        <f t="array" ref="K288">_xlfn.IFS(A288="Canada",4,A288="India",5,A288="UK",6,A288="USA",7,A288="EU",8)</f>
        <v>6</v>
      </c>
      <c r="L288" s="662">
        <f>VLOOKUP(H288,'StdCosts and StdRates'!$A$41:$H$86,K288,FALSE)</f>
        <v>219</v>
      </c>
      <c r="M288" s="662" cm="1">
        <f t="array" ref="M288">_xlfn.XLOOKUP(C288&amp;A288,FX!$A$2:$A$26&amp;FX!$B$2:$B$26,FX!$C$2:$C$26)</f>
        <v>0.57420000000000004</v>
      </c>
      <c r="N288" cm="1">
        <f t="array" ref="N288">_xlfn.IFS(C288="Canada",2,C288="India",3,C288="UK",4,C288="USA",5,C288="EU",6)</f>
        <v>2</v>
      </c>
      <c r="O288" s="662">
        <f>VLOOKUP(G288,'StdCosts and StdRates'!$A$17:$E$36,N288,FALSE)*M288</f>
        <v>116.5626</v>
      </c>
      <c r="P288"/>
      <c r="R288" s="967"/>
    </row>
    <row r="289" spans="1:18">
      <c r="A289" s="773" t="s">
        <v>247</v>
      </c>
      <c r="B289" s="773"/>
      <c r="C289" s="773" t="s">
        <v>247</v>
      </c>
      <c r="D289" s="773"/>
      <c r="E289" s="773"/>
      <c r="F289" s="773"/>
      <c r="G289" s="967" t="s">
        <v>372</v>
      </c>
      <c r="H289" s="967" t="str">
        <f t="shared" si="15"/>
        <v>Workflow/Practice Strategist</v>
      </c>
      <c r="I289" t="str">
        <f t="shared" si="16"/>
        <v>UKWorkflow/Practice Strategist</v>
      </c>
      <c r="J289" t="str">
        <f t="shared" si="17"/>
        <v>UKUKWorkflow/Practice Strategist</v>
      </c>
      <c r="K289" cm="1">
        <f t="array" ref="K289">_xlfn.IFS(A289="Canada",4,A289="India",5,A289="UK",6,A289="USA",7,A289="EU",8)</f>
        <v>6</v>
      </c>
      <c r="L289" s="662">
        <f>VLOOKUP(H289,'StdCosts and StdRates'!$A$41:$H$86,K289,FALSE)</f>
        <v>219</v>
      </c>
      <c r="M289" s="662" cm="1">
        <f t="array" ref="M289">_xlfn.XLOOKUP(C289&amp;A289,FX!$A$2:$A$26&amp;FX!$B$2:$B$26,FX!$C$2:$C$26)</f>
        <v>1</v>
      </c>
      <c r="N289" cm="1">
        <f t="array" ref="N289">_xlfn.IFS(C289="Canada",2,C289="India",3,C289="UK",4,C289="USA",5,C289="EU",6)</f>
        <v>4</v>
      </c>
      <c r="O289" s="662">
        <f>VLOOKUP(G289,'StdCosts and StdRates'!$A$17:$E$36,N289,FALSE)*M289</f>
        <v>148</v>
      </c>
      <c r="P289"/>
      <c r="R289" s="967"/>
    </row>
    <row r="290" spans="1:18">
      <c r="A290" s="773" t="s">
        <v>247</v>
      </c>
      <c r="B290" s="773"/>
      <c r="C290" s="773" t="s">
        <v>736</v>
      </c>
      <c r="D290" s="773"/>
      <c r="E290" s="773"/>
      <c r="F290" s="773"/>
      <c r="G290" s="967" t="s">
        <v>372</v>
      </c>
      <c r="H290" s="967" t="str">
        <f t="shared" si="15"/>
        <v>Workflow/Practice Strategist</v>
      </c>
      <c r="I290" t="str">
        <f t="shared" si="16"/>
        <v>UKWorkflow/Practice Strategist</v>
      </c>
      <c r="J290" t="str">
        <f t="shared" si="17"/>
        <v>UKEUWorkflow/Practice Strategist</v>
      </c>
      <c r="K290" cm="1">
        <f t="array" ref="K290">_xlfn.IFS(A290="Canada",4,A290="India",5,A290="UK",6,A290="USA",7,A290="EU",8)</f>
        <v>6</v>
      </c>
      <c r="L290" s="662">
        <f>VLOOKUP(H290,'StdCosts and StdRates'!$A$41:$H$86,K290,FALSE)</f>
        <v>219</v>
      </c>
      <c r="M290" s="662" cm="1">
        <f t="array" ref="M290">_xlfn.XLOOKUP(C290&amp;A290,FX!$A$2:$A$26&amp;FX!$B$2:$B$26,FX!$C$2:$C$26)</f>
        <v>0.85092999999999996</v>
      </c>
      <c r="N290" cm="1">
        <f t="array" ref="N290">_xlfn.IFS(C290="Canada",2,C290="India",3,C290="UK",4,C290="USA",5,C290="EU",6)</f>
        <v>6</v>
      </c>
      <c r="O290" s="662" t="e">
        <f>VLOOKUP(G290,'StdCosts and StdRates'!$A$17:$E$36,N290,FALSE)*M290</f>
        <v>#REF!</v>
      </c>
      <c r="P290"/>
      <c r="R290" s="967"/>
    </row>
    <row r="291" spans="1:18">
      <c r="A291" s="773" t="s">
        <v>247</v>
      </c>
      <c r="B291" s="773" t="s">
        <v>227</v>
      </c>
      <c r="C291" s="773" t="s">
        <v>227</v>
      </c>
      <c r="D291" s="773"/>
      <c r="E291" s="773"/>
      <c r="F291" s="773"/>
      <c r="G291" s="967" t="s">
        <v>372</v>
      </c>
      <c r="H291" s="967" t="str">
        <f t="shared" si="15"/>
        <v>IndiaWorkflow/Practice Strategist</v>
      </c>
      <c r="I291" t="str">
        <f t="shared" si="16"/>
        <v>UKIndiaWorkflow/Practice Strategist</v>
      </c>
      <c r="J291" t="str">
        <f t="shared" si="17"/>
        <v>UKIndiaWorkflow/Practice Strategist</v>
      </c>
      <c r="K291" cm="1">
        <f t="array" ref="K291">_xlfn.IFS(A291="Canada",4,A291="India",5,A291="UK",6,A291="USA",7,A291="EU",8)</f>
        <v>6</v>
      </c>
      <c r="L291" s="662">
        <f>VLOOKUP(H291,'StdCosts and StdRates'!$A$41:$H$86,K291,FALSE)</f>
        <v>95</v>
      </c>
      <c r="M291" s="662" cm="1">
        <f t="array" ref="M291">_xlfn.XLOOKUP(C291&amp;A291,FX!$A$2:$A$26&amp;FX!$B$2:$B$26,FX!$C$2:$C$26)</f>
        <v>9.41E-3</v>
      </c>
      <c r="N291" cm="1">
        <f t="array" ref="N291">_xlfn.IFS(C291="Canada",2,C291="India",3,C291="UK",4,C291="USA",5,C291="EU",6)</f>
        <v>3</v>
      </c>
      <c r="O291" s="662">
        <f>VLOOKUP(G291,'StdCosts and StdRates'!$A$17:$E$36,N291,FALSE)*M291</f>
        <v>48.216839999999998</v>
      </c>
      <c r="P291"/>
      <c r="R291" s="967"/>
    </row>
    <row r="292" spans="1:18">
      <c r="A292" s="773" t="s">
        <v>227</v>
      </c>
      <c r="B292" s="773"/>
      <c r="C292" s="773" t="s">
        <v>308</v>
      </c>
      <c r="D292" s="773"/>
      <c r="E292" s="773"/>
      <c r="F292" s="773"/>
      <c r="G292" s="967" t="s">
        <v>372</v>
      </c>
      <c r="H292" s="967" t="str">
        <f t="shared" si="15"/>
        <v>Workflow/Practice Strategist</v>
      </c>
      <c r="I292" t="str">
        <f t="shared" si="16"/>
        <v>IndiaWorkflow/Practice Strategist</v>
      </c>
      <c r="J292" t="str">
        <f t="shared" si="17"/>
        <v>IndiaUSAWorkflow/Practice Strategist</v>
      </c>
      <c r="K292" cm="1">
        <f t="array" ref="K292">_xlfn.IFS(A292="Canada",4,A292="India",5,A292="UK",6,A292="USA",7,A292="EU",8)</f>
        <v>5</v>
      </c>
      <c r="L292" s="662">
        <f>VLOOKUP(H292,'StdCosts and StdRates'!$A$41:$H$86,K292,FALSE)</f>
        <v>9800</v>
      </c>
      <c r="M292" s="662" cm="1">
        <f t="array" ref="M292">_xlfn.XLOOKUP(C292&amp;A292,FX!$A$2:$A$26&amp;FX!$B$2:$B$26,FX!$C$2:$C$26)</f>
        <v>83.1721</v>
      </c>
      <c r="N292" cm="1">
        <f t="array" ref="N292">_xlfn.IFS(C292="Canada",2,C292="India",3,C292="UK",4,C292="USA",5,C292="EU",6)</f>
        <v>5</v>
      </c>
      <c r="O292" s="662">
        <f>VLOOKUP(G292,'StdCosts and StdRates'!$A$17:$E$36,N292,FALSE)*M292</f>
        <v>17549.313099999999</v>
      </c>
      <c r="P292"/>
      <c r="R292" s="967"/>
    </row>
    <row r="293" spans="1:18">
      <c r="A293" s="773" t="s">
        <v>227</v>
      </c>
      <c r="B293" s="773"/>
      <c r="C293" s="773" t="s">
        <v>405</v>
      </c>
      <c r="D293" s="773"/>
      <c r="E293" s="773"/>
      <c r="F293" s="773"/>
      <c r="G293" s="967" t="s">
        <v>372</v>
      </c>
      <c r="H293" s="967" t="str">
        <f t="shared" si="15"/>
        <v>Workflow/Practice Strategist</v>
      </c>
      <c r="I293" t="str">
        <f t="shared" si="16"/>
        <v>IndiaWorkflow/Practice Strategist</v>
      </c>
      <c r="J293" t="str">
        <f t="shared" si="17"/>
        <v>IndiaCanadaWorkflow/Practice Strategist</v>
      </c>
      <c r="K293" cm="1">
        <f t="array" ref="K293">_xlfn.IFS(A293="Canada",4,A293="India",5,A293="UK",6,A293="USA",7,A293="EU",8)</f>
        <v>5</v>
      </c>
      <c r="L293" s="662">
        <f>VLOOKUP(H293,'StdCosts and StdRates'!$A$41:$H$86,K293,FALSE)</f>
        <v>9800</v>
      </c>
      <c r="M293" s="662" cm="1">
        <f t="array" ref="M293">_xlfn.XLOOKUP(C293&amp;A293,FX!$A$2:$A$26&amp;FX!$B$2:$B$26,FX!$C$2:$C$26)</f>
        <v>61.008200000000002</v>
      </c>
      <c r="N293" cm="1">
        <f t="array" ref="N293">_xlfn.IFS(C293="Canada",2,C293="India",3,C293="UK",4,C293="USA",5,C293="EU",6)</f>
        <v>2</v>
      </c>
      <c r="O293" s="662">
        <f>VLOOKUP(G293,'StdCosts and StdRates'!$A$17:$E$36,N293,FALSE)*M293</f>
        <v>12384.6646</v>
      </c>
      <c r="P293"/>
      <c r="R293" s="967"/>
    </row>
    <row r="294" spans="1:18">
      <c r="A294" s="773" t="s">
        <v>227</v>
      </c>
      <c r="B294" s="773"/>
      <c r="C294" s="773" t="s">
        <v>247</v>
      </c>
      <c r="D294" s="773"/>
      <c r="E294" s="773"/>
      <c r="F294" s="773"/>
      <c r="G294" s="967" t="s">
        <v>372</v>
      </c>
      <c r="H294" s="967" t="str">
        <f t="shared" si="15"/>
        <v>Workflow/Practice Strategist</v>
      </c>
      <c r="I294" t="str">
        <f t="shared" si="16"/>
        <v>IndiaWorkflow/Practice Strategist</v>
      </c>
      <c r="J294" t="str">
        <f t="shared" si="17"/>
        <v>IndiaUKWorkflow/Practice Strategist</v>
      </c>
      <c r="K294" cm="1">
        <f t="array" ref="K294">_xlfn.IFS(A294="Canada",4,A294="India",5,A294="UK",6,A294="USA",7,A294="EU",8)</f>
        <v>5</v>
      </c>
      <c r="L294" s="662">
        <f>VLOOKUP(H294,'StdCosts and StdRates'!$A$41:$H$86,K294,FALSE)</f>
        <v>9800</v>
      </c>
      <c r="M294" s="662" cm="1">
        <f t="array" ref="M294">_xlfn.XLOOKUP(C294&amp;A294,FX!$A$2:$A$26&amp;FX!$B$2:$B$26,FX!$C$2:$C$26)</f>
        <v>106.23399999999999</v>
      </c>
      <c r="N294" cm="1">
        <f t="array" ref="N294">_xlfn.IFS(C294="Canada",2,C294="India",3,C294="UK",4,C294="USA",5,C294="EU",6)</f>
        <v>4</v>
      </c>
      <c r="O294" s="662">
        <f>VLOOKUP(G294,'StdCosts and StdRates'!$A$17:$E$36,N294,FALSE)*M294</f>
        <v>15722.632</v>
      </c>
      <c r="P294"/>
      <c r="R294" s="967"/>
    </row>
    <row r="295" spans="1:18">
      <c r="A295" s="773" t="s">
        <v>227</v>
      </c>
      <c r="B295" s="773"/>
      <c r="C295" s="773" t="s">
        <v>736</v>
      </c>
      <c r="D295" s="773"/>
      <c r="E295" s="773"/>
      <c r="F295" s="773"/>
      <c r="G295" s="967" t="s">
        <v>372</v>
      </c>
      <c r="H295" s="967" t="str">
        <f t="shared" si="15"/>
        <v>Workflow/Practice Strategist</v>
      </c>
      <c r="I295" t="str">
        <f t="shared" si="16"/>
        <v>IndiaWorkflow/Practice Strategist</v>
      </c>
      <c r="J295" t="str">
        <f t="shared" si="17"/>
        <v>IndiaEUWorkflow/Practice Strategist</v>
      </c>
      <c r="K295" cm="1">
        <f t="array" ref="K295">_xlfn.IFS(A295="Canada",4,A295="India",5,A295="UK",6,A295="USA",7,A295="EU",8)</f>
        <v>5</v>
      </c>
      <c r="L295" s="662">
        <f>VLOOKUP(H295,'StdCosts and StdRates'!$A$41:$H$86,K295,FALSE)</f>
        <v>9800</v>
      </c>
      <c r="M295" s="662" cm="1">
        <f t="array" ref="M295">_xlfn.XLOOKUP(C295&amp;A295,FX!$A$2:$A$26&amp;FX!$B$2:$B$26,FX!$C$2:$C$26)</f>
        <v>90.405100000000004</v>
      </c>
      <c r="N295" cm="1">
        <f t="array" ref="N295">_xlfn.IFS(C295="Canada",2,C295="India",3,C295="UK",4,C295="USA",5,C295="EU",6)</f>
        <v>6</v>
      </c>
      <c r="O295" s="662" t="e">
        <f>VLOOKUP(G295,'StdCosts and StdRates'!$A$17:$E$36,N295,FALSE)*M295</f>
        <v>#REF!</v>
      </c>
      <c r="P295"/>
      <c r="R295" s="967"/>
    </row>
    <row r="296" spans="1:18">
      <c r="A296" s="773" t="s">
        <v>227</v>
      </c>
      <c r="B296" s="773" t="s">
        <v>227</v>
      </c>
      <c r="C296" s="773" t="s">
        <v>227</v>
      </c>
      <c r="D296" s="773"/>
      <c r="E296" s="773"/>
      <c r="F296" s="773"/>
      <c r="G296" s="967" t="s">
        <v>372</v>
      </c>
      <c r="H296" s="967" t="str">
        <f t="shared" si="15"/>
        <v>IndiaWorkflow/Practice Strategist</v>
      </c>
      <c r="I296" t="str">
        <f t="shared" si="16"/>
        <v>IndiaIndiaWorkflow/Practice Strategist</v>
      </c>
      <c r="J296" t="str">
        <f t="shared" si="17"/>
        <v>IndiaIndiaWorkflow/Practice Strategist</v>
      </c>
      <c r="K296" cm="1">
        <f t="array" ref="K296">_xlfn.IFS(A296="Canada",4,A296="India",5,A296="UK",6,A296="USA",7,A296="EU",8)</f>
        <v>5</v>
      </c>
      <c r="L296" s="662">
        <f>VLOOKUP(H296,'StdCosts and StdRates'!$A$41:$H$86,K296,FALSE)</f>
        <v>9800</v>
      </c>
      <c r="M296" s="662" cm="1">
        <f t="array" ref="M296">_xlfn.XLOOKUP(C296&amp;A296,FX!$A$2:$A$26&amp;FX!$B$2:$B$26,FX!$C$2:$C$26)</f>
        <v>1</v>
      </c>
      <c r="N296" cm="1">
        <f t="array" ref="N296">_xlfn.IFS(C296="Canada",2,C296="India",3,C296="UK",4,C296="USA",5,C296="EU",6)</f>
        <v>3</v>
      </c>
      <c r="O296" s="662">
        <f>VLOOKUP(G296,'StdCosts and StdRates'!$A$17:$E$36,N296,FALSE)*M296</f>
        <v>5124</v>
      </c>
      <c r="P296"/>
      <c r="R296" s="967"/>
    </row>
    <row r="297" spans="1:18">
      <c r="A297" s="773" t="s">
        <v>736</v>
      </c>
      <c r="B297" s="773"/>
      <c r="C297" s="773" t="s">
        <v>308</v>
      </c>
      <c r="D297" s="773"/>
      <c r="E297" s="773"/>
      <c r="F297" s="773"/>
      <c r="G297" s="967" t="s">
        <v>372</v>
      </c>
      <c r="H297" s="967" t="str">
        <f t="shared" si="15"/>
        <v>Workflow/Practice Strategist</v>
      </c>
      <c r="I297" t="str">
        <f t="shared" si="16"/>
        <v>EUWorkflow/Practice Strategist</v>
      </c>
      <c r="J297" t="str">
        <f t="shared" si="17"/>
        <v>EUUSAWorkflow/Practice Strategist</v>
      </c>
      <c r="K297" cm="1">
        <f t="array" ref="K297">_xlfn.IFS(A297="Canada",4,A297="India",5,A297="UK",6,A297="USA",7,A297="EU",8)</f>
        <v>8</v>
      </c>
      <c r="L297" s="662">
        <f>VLOOKUP(H297,'StdCosts and StdRates'!$A$41:$H$86,K297,FALSE)</f>
        <v>255</v>
      </c>
      <c r="M297" s="662" cm="1">
        <f t="array" ref="M297">_xlfn.XLOOKUP(C297&amp;A297,FX!$A$2:$A$26&amp;FX!$B$2:$B$26,FX!$C$2:$C$26)</f>
        <v>0.91986999999999997</v>
      </c>
      <c r="N297" cm="1">
        <f t="array" ref="N297">_xlfn.IFS(C297="Canada",2,C297="India",3,C297="UK",4,C297="USA",5,C297="EU",6)</f>
        <v>5</v>
      </c>
      <c r="O297" s="662">
        <f>VLOOKUP(G297,'StdCosts and StdRates'!$A$17:$E$36,N297,FALSE)*M297</f>
        <v>194.09256999999999</v>
      </c>
      <c r="P297"/>
      <c r="R297" s="967"/>
    </row>
    <row r="298" spans="1:18">
      <c r="A298" s="773" t="s">
        <v>736</v>
      </c>
      <c r="B298" s="773"/>
      <c r="C298" s="773" t="s">
        <v>405</v>
      </c>
      <c r="D298" s="773"/>
      <c r="E298" s="773"/>
      <c r="F298" s="773"/>
      <c r="G298" s="967" t="s">
        <v>372</v>
      </c>
      <c r="H298" s="967" t="str">
        <f t="shared" si="15"/>
        <v>Workflow/Practice Strategist</v>
      </c>
      <c r="I298" t="str">
        <f t="shared" si="16"/>
        <v>EUWorkflow/Practice Strategist</v>
      </c>
      <c r="J298" t="str">
        <f t="shared" si="17"/>
        <v>EUCanadaWorkflow/Practice Strategist</v>
      </c>
      <c r="K298" cm="1">
        <f t="array" ref="K298">_xlfn.IFS(A298="Canada",4,A298="India",5,A298="UK",6,A298="USA",7,A298="EU",8)</f>
        <v>8</v>
      </c>
      <c r="L298" s="662">
        <f>VLOOKUP(H298,'StdCosts and StdRates'!$A$41:$H$86,K298,FALSE)</f>
        <v>255</v>
      </c>
      <c r="M298" s="662" cm="1">
        <f t="array" ref="M298">_xlfn.XLOOKUP(C298&amp;A298,FX!$A$2:$A$26&amp;FX!$B$2:$B$26,FX!$C$2:$C$26)</f>
        <v>0.67474000000000001</v>
      </c>
      <c r="N298" cm="1">
        <f t="array" ref="N298">_xlfn.IFS(C298="Canada",2,C298="India",3,C298="UK",4,C298="USA",5,C298="EU",6)</f>
        <v>2</v>
      </c>
      <c r="O298" s="662">
        <f>VLOOKUP(G298,'StdCosts and StdRates'!$A$17:$E$36,N298,FALSE)*M298</f>
        <v>136.97221999999999</v>
      </c>
      <c r="P298"/>
      <c r="R298" s="967"/>
    </row>
    <row r="299" spans="1:18">
      <c r="A299" s="773" t="s">
        <v>736</v>
      </c>
      <c r="B299" s="773"/>
      <c r="C299" s="773" t="s">
        <v>247</v>
      </c>
      <c r="D299" s="773"/>
      <c r="E299" s="773"/>
      <c r="F299" s="773"/>
      <c r="G299" s="967" t="s">
        <v>372</v>
      </c>
      <c r="H299" s="967" t="str">
        <f t="shared" si="15"/>
        <v>Workflow/Practice Strategist</v>
      </c>
      <c r="I299" t="str">
        <f t="shared" si="16"/>
        <v>EUWorkflow/Practice Strategist</v>
      </c>
      <c r="J299" t="str">
        <f t="shared" si="17"/>
        <v>EUUKWorkflow/Practice Strategist</v>
      </c>
      <c r="K299" cm="1">
        <f t="array" ref="K299">_xlfn.IFS(A299="Canada",4,A299="India",5,A299="UK",6,A299="USA",7,A299="EU",8)</f>
        <v>8</v>
      </c>
      <c r="L299" s="662">
        <f>VLOOKUP(H299,'StdCosts and StdRates'!$A$41:$H$86,K299,FALSE)</f>
        <v>255</v>
      </c>
      <c r="M299" s="662" cm="1">
        <f t="array" ref="M299">_xlfn.XLOOKUP(C299&amp;A299,FX!$A$2:$A$26&amp;FX!$B$2:$B$26,FX!$C$2:$C$26)</f>
        <v>1.1749799999999999</v>
      </c>
      <c r="N299" cm="1">
        <f t="array" ref="N299">_xlfn.IFS(C299="Canada",2,C299="India",3,C299="UK",4,C299="USA",5,C299="EU",6)</f>
        <v>4</v>
      </c>
      <c r="O299" s="662">
        <f>VLOOKUP(G299,'StdCosts and StdRates'!$A$17:$E$36,N299,FALSE)*M299</f>
        <v>173.89703999999998</v>
      </c>
      <c r="P299"/>
      <c r="R299" s="967"/>
    </row>
    <row r="300" spans="1:18">
      <c r="A300" s="773" t="s">
        <v>736</v>
      </c>
      <c r="B300" s="773"/>
      <c r="C300" s="773" t="s">
        <v>736</v>
      </c>
      <c r="D300" s="773"/>
      <c r="E300" s="773"/>
      <c r="F300" s="773"/>
      <c r="G300" s="967" t="s">
        <v>372</v>
      </c>
      <c r="H300" s="967" t="str">
        <f t="shared" si="15"/>
        <v>Workflow/Practice Strategist</v>
      </c>
      <c r="I300" t="str">
        <f t="shared" si="16"/>
        <v>EUWorkflow/Practice Strategist</v>
      </c>
      <c r="J300" t="str">
        <f t="shared" si="17"/>
        <v>EUEUWorkflow/Practice Strategist</v>
      </c>
      <c r="K300" cm="1">
        <f t="array" ref="K300">_xlfn.IFS(A300="Canada",4,A300="India",5,A300="UK",6,A300="USA",7,A300="EU",8)</f>
        <v>8</v>
      </c>
      <c r="L300" s="662">
        <f>VLOOKUP(H300,'StdCosts and StdRates'!$A$41:$H$86,K300,FALSE)</f>
        <v>255</v>
      </c>
      <c r="M300" s="662" cm="1">
        <f t="array" ref="M300">_xlfn.XLOOKUP(C300&amp;A300,FX!$A$2:$A$26&amp;FX!$B$2:$B$26,FX!$C$2:$C$26)</f>
        <v>1</v>
      </c>
      <c r="N300" cm="1">
        <f t="array" ref="N300">_xlfn.IFS(C300="Canada",2,C300="India",3,C300="UK",4,C300="USA",5,C300="EU",6)</f>
        <v>6</v>
      </c>
      <c r="O300" s="662" t="e">
        <f>VLOOKUP(G300,'StdCosts and StdRates'!$A$17:$E$36,N300,FALSE)*M300</f>
        <v>#REF!</v>
      </c>
      <c r="P300"/>
      <c r="R300" s="967"/>
    </row>
    <row r="301" spans="1:18">
      <c r="A301" s="773" t="s">
        <v>736</v>
      </c>
      <c r="B301" s="773" t="s">
        <v>227</v>
      </c>
      <c r="C301" s="773" t="s">
        <v>227</v>
      </c>
      <c r="D301" s="773"/>
      <c r="E301" s="773"/>
      <c r="F301" s="773"/>
      <c r="G301" s="967" t="s">
        <v>372</v>
      </c>
      <c r="H301" s="967" t="str">
        <f t="shared" si="15"/>
        <v>IndiaWorkflow/Practice Strategist</v>
      </c>
      <c r="I301" t="str">
        <f t="shared" si="16"/>
        <v>EUIndiaWorkflow/Practice Strategist</v>
      </c>
      <c r="J301" t="str">
        <f t="shared" si="17"/>
        <v>EUIndiaWorkflow/Practice Strategist</v>
      </c>
      <c r="K301" cm="1">
        <f t="array" ref="K301">_xlfn.IFS(A301="Canada",4,A301="India",5,A301="UK",6,A301="USA",7,A301="EU",8)</f>
        <v>8</v>
      </c>
      <c r="L301" s="662">
        <f>VLOOKUP(H301,'StdCosts and StdRates'!$A$41:$H$86,K301,FALSE)</f>
        <v>109</v>
      </c>
      <c r="M301" s="662" cm="1">
        <f t="array" ref="M301">_xlfn.XLOOKUP(C301&amp;A301,FX!$A$2:$A$26&amp;FX!$B$2:$B$26,FX!$C$2:$C$26)</f>
        <v>1.106E-2</v>
      </c>
      <c r="N301" cm="1">
        <f t="array" ref="N301">_xlfn.IFS(C301="Canada",2,C301="India",3,C301="UK",4,C301="USA",5,C301="EU",6)</f>
        <v>3</v>
      </c>
      <c r="O301" s="662">
        <f>VLOOKUP(G301,'StdCosts and StdRates'!$A$17:$E$36,N301,FALSE)*M301</f>
        <v>56.671440000000004</v>
      </c>
      <c r="P301"/>
      <c r="R301" s="967"/>
    </row>
    <row r="302" spans="1:18">
      <c r="A302" s="773" t="s">
        <v>308</v>
      </c>
      <c r="B302" s="773"/>
      <c r="C302" s="773" t="s">
        <v>308</v>
      </c>
      <c r="D302" s="773"/>
      <c r="E302" s="773"/>
      <c r="F302" s="773"/>
      <c r="G302" s="967" t="s">
        <v>375</v>
      </c>
      <c r="H302" s="967" t="str">
        <f t="shared" si="15"/>
        <v>Project Coordinator</v>
      </c>
      <c r="I302" t="str">
        <f t="shared" si="16"/>
        <v>USAProject Coordinator</v>
      </c>
      <c r="J302" t="str">
        <f t="shared" si="17"/>
        <v>USAUSAProject Coordinator</v>
      </c>
      <c r="K302" cm="1">
        <f t="array" ref="K302">_xlfn.IFS(A302="Canada",4,A302="India",5,A302="UK",6,A302="USA",7,A302="EU",8)</f>
        <v>7</v>
      </c>
      <c r="L302" s="662">
        <f>VLOOKUP(H302,'StdCosts and StdRates'!$A$41:$H$86,K302,FALSE)</f>
        <v>199</v>
      </c>
      <c r="M302" s="662" cm="1">
        <f t="array" ref="M302">_xlfn.XLOOKUP(C302&amp;A302,FX!$A$2:$A$26&amp;FX!$B$2:$B$26,FX!$C$2:$C$26)</f>
        <v>1</v>
      </c>
      <c r="N302" cm="1">
        <f t="array" ref="N302">_xlfn.IFS(C302="Canada",2,C302="India",3,C302="UK",4,C302="USA",5,C302="EU",6)</f>
        <v>5</v>
      </c>
      <c r="O302" s="662">
        <f>VLOOKUP(G302,'StdCosts and StdRates'!$A$17:$E$36,N302,FALSE)*M302</f>
        <v>92</v>
      </c>
      <c r="P302"/>
      <c r="R302" s="967"/>
    </row>
    <row r="303" spans="1:18">
      <c r="A303" s="773" t="s">
        <v>308</v>
      </c>
      <c r="B303" s="773"/>
      <c r="C303" s="773" t="s">
        <v>405</v>
      </c>
      <c r="D303" s="773"/>
      <c r="E303" s="773"/>
      <c r="F303" s="773"/>
      <c r="G303" s="967" t="s">
        <v>375</v>
      </c>
      <c r="H303" s="967" t="str">
        <f t="shared" si="15"/>
        <v>Project Coordinator</v>
      </c>
      <c r="I303" t="str">
        <f t="shared" si="16"/>
        <v>USAProject Coordinator</v>
      </c>
      <c r="J303" t="str">
        <f t="shared" si="17"/>
        <v>USACanadaProject Coordinator</v>
      </c>
      <c r="K303" cm="1">
        <f t="array" ref="K303">_xlfn.IFS(A303="Canada",4,A303="India",5,A303="UK",6,A303="USA",7,A303="EU",8)</f>
        <v>7</v>
      </c>
      <c r="L303" s="662">
        <f>VLOOKUP(H303,'StdCosts and StdRates'!$A$41:$H$86,K303,FALSE)</f>
        <v>199</v>
      </c>
      <c r="M303" s="662" cm="1">
        <f t="array" ref="M303">_xlfn.XLOOKUP(C303&amp;A303,FX!$A$2:$A$26&amp;FX!$B$2:$B$26,FX!$C$2:$C$26)</f>
        <v>0.73351999999999995</v>
      </c>
      <c r="N303" cm="1">
        <f t="array" ref="N303">_xlfn.IFS(C303="Canada",2,C303="India",3,C303="UK",4,C303="USA",5,C303="EU",6)</f>
        <v>2</v>
      </c>
      <c r="O303" s="662">
        <f>VLOOKUP(G303,'StdCosts and StdRates'!$A$17:$E$36,N303,FALSE)*M303</f>
        <v>60.148639999999993</v>
      </c>
      <c r="P303"/>
      <c r="R303" s="967"/>
    </row>
    <row r="304" spans="1:18">
      <c r="A304" s="773" t="s">
        <v>308</v>
      </c>
      <c r="B304" s="773"/>
      <c r="C304" s="773" t="s">
        <v>247</v>
      </c>
      <c r="D304" s="773"/>
      <c r="E304" s="773"/>
      <c r="F304" s="773"/>
      <c r="G304" s="967" t="s">
        <v>375</v>
      </c>
      <c r="H304" s="967" t="str">
        <f t="shared" si="15"/>
        <v>Project Coordinator</v>
      </c>
      <c r="I304" t="str">
        <f t="shared" si="16"/>
        <v>USAProject Coordinator</v>
      </c>
      <c r="J304" t="str">
        <f t="shared" si="17"/>
        <v>USAUKProject Coordinator</v>
      </c>
      <c r="K304" cm="1">
        <f t="array" ref="K304">_xlfn.IFS(A304="Canada",4,A304="India",5,A304="UK",6,A304="USA",7,A304="EU",8)</f>
        <v>7</v>
      </c>
      <c r="L304" s="662">
        <f>VLOOKUP(H304,'StdCosts and StdRates'!$A$41:$H$86,K304,FALSE)</f>
        <v>199</v>
      </c>
      <c r="M304" s="662" cm="1">
        <f t="array" ref="M304">_xlfn.XLOOKUP(C304&amp;A304,FX!$A$2:$A$26&amp;FX!$B$2:$B$26,FX!$C$2:$C$26)</f>
        <v>1.2772699999999999</v>
      </c>
      <c r="N304" cm="1">
        <f t="array" ref="N304">_xlfn.IFS(C304="Canada",2,C304="India",3,C304="UK",4,C304="USA",5,C304="EU",6)</f>
        <v>4</v>
      </c>
      <c r="O304" s="662">
        <f>VLOOKUP(G304,'StdCosts and StdRates'!$A$17:$E$36,N304,FALSE)*M304</f>
        <v>106.01340999999999</v>
      </c>
      <c r="P304"/>
      <c r="R304" s="967"/>
    </row>
    <row r="305" spans="1:18">
      <c r="A305" s="773" t="s">
        <v>308</v>
      </c>
      <c r="B305" s="773"/>
      <c r="C305" s="773" t="s">
        <v>736</v>
      </c>
      <c r="D305" s="773"/>
      <c r="E305" s="773"/>
      <c r="F305" s="773"/>
      <c r="G305" s="967" t="s">
        <v>375</v>
      </c>
      <c r="H305" s="967" t="str">
        <f t="shared" si="15"/>
        <v>Project Coordinator</v>
      </c>
      <c r="I305" t="str">
        <f t="shared" si="16"/>
        <v>USAProject Coordinator</v>
      </c>
      <c r="J305" t="str">
        <f t="shared" si="17"/>
        <v>USAEUProject Coordinator</v>
      </c>
      <c r="K305" cm="1">
        <f t="array" ref="K305">_xlfn.IFS(A305="Canada",4,A305="India",5,A305="UK",6,A305="USA",7,A305="EU",8)</f>
        <v>7</v>
      </c>
      <c r="L305" s="662">
        <f>VLOOKUP(H305,'StdCosts and StdRates'!$A$41:$H$86,K305,FALSE)</f>
        <v>199</v>
      </c>
      <c r="M305" s="662" cm="1">
        <f t="array" ref="M305">_xlfn.XLOOKUP(C305&amp;A305,FX!$A$2:$A$26&amp;FX!$B$2:$B$26,FX!$C$2:$C$26)</f>
        <v>1.0869599999999999</v>
      </c>
      <c r="N305" cm="1">
        <f t="array" ref="N305">_xlfn.IFS(C305="Canada",2,C305="India",3,C305="UK",4,C305="USA",5,C305="EU",6)</f>
        <v>6</v>
      </c>
      <c r="O305" s="662" t="e">
        <f>VLOOKUP(G305,'StdCosts and StdRates'!$A$17:$E$36,N305,FALSE)*M305</f>
        <v>#REF!</v>
      </c>
      <c r="P305"/>
      <c r="R305" s="967"/>
    </row>
    <row r="306" spans="1:18">
      <c r="A306" s="773" t="s">
        <v>308</v>
      </c>
      <c r="B306" s="773" t="s">
        <v>227</v>
      </c>
      <c r="C306" s="773" t="s">
        <v>227</v>
      </c>
      <c r="D306" s="773"/>
      <c r="E306" s="773"/>
      <c r="F306" s="773"/>
      <c r="G306" s="967" t="s">
        <v>375</v>
      </c>
      <c r="H306" s="967" t="str">
        <f t="shared" si="15"/>
        <v>IndiaProject Coordinator</v>
      </c>
      <c r="I306" t="str">
        <f t="shared" si="16"/>
        <v>USAIndiaProject Coordinator</v>
      </c>
      <c r="J306" t="str">
        <f t="shared" si="17"/>
        <v>USAIndiaProject Coordinator</v>
      </c>
      <c r="K306" cm="1">
        <f t="array" ref="K306">_xlfn.IFS(A306="Canada",4,A306="India",5,A306="UK",6,A306="USA",7,A306="EU",8)</f>
        <v>7</v>
      </c>
      <c r="L306" s="662">
        <f>VLOOKUP(H306,'StdCosts and StdRates'!$A$41:$H$86,K306,FALSE)</f>
        <v>79</v>
      </c>
      <c r="M306" s="662" cm="1">
        <f t="array" ref="M306">_xlfn.XLOOKUP(C306&amp;A306,FX!$A$2:$A$26&amp;FX!$B$2:$B$26,FX!$C$2:$C$26)</f>
        <v>1.2019999999999999E-2</v>
      </c>
      <c r="N306" cm="1">
        <f t="array" ref="N306">_xlfn.IFS(C306="Canada",2,C306="India",3,C306="UK",4,C306="USA",5,C306="EU",6)</f>
        <v>3</v>
      </c>
      <c r="O306" s="662">
        <f>VLOOKUP(G306,'StdCosts and StdRates'!$A$17:$E$36,N306,FALSE)*M306</f>
        <v>14.0634</v>
      </c>
      <c r="P306"/>
      <c r="R306" s="967"/>
    </row>
    <row r="307" spans="1:18">
      <c r="A307" s="773" t="s">
        <v>405</v>
      </c>
      <c r="B307" s="773"/>
      <c r="C307" s="773" t="s">
        <v>308</v>
      </c>
      <c r="D307" s="773"/>
      <c r="E307" s="773"/>
      <c r="F307" s="773"/>
      <c r="G307" s="967" t="s">
        <v>375</v>
      </c>
      <c r="H307" s="967" t="str">
        <f t="shared" si="15"/>
        <v>Project Coordinator</v>
      </c>
      <c r="I307" t="str">
        <f t="shared" si="16"/>
        <v>CanadaProject Coordinator</v>
      </c>
      <c r="J307" t="str">
        <f t="shared" si="17"/>
        <v>CanadaUSAProject Coordinator</v>
      </c>
      <c r="K307" cm="1">
        <f t="array" ref="K307">_xlfn.IFS(A307="Canada",4,A307="India",5,A307="UK",6,A307="USA",7,A307="EU",8)</f>
        <v>4</v>
      </c>
      <c r="L307" s="662">
        <f>VLOOKUP(H307,'StdCosts and StdRates'!$A$41:$H$86,K307,FALSE)</f>
        <v>219</v>
      </c>
      <c r="M307" s="662" cm="1">
        <f t="array" ref="M307">_xlfn.XLOOKUP(C307&amp;A307,FX!$A$2:$A$26&amp;FX!$B$2:$B$26,FX!$C$2:$C$26)</f>
        <v>1.36311</v>
      </c>
      <c r="N307" cm="1">
        <f t="array" ref="N307">_xlfn.IFS(C307="Canada",2,C307="India",3,C307="UK",4,C307="USA",5,C307="EU",6)</f>
        <v>5</v>
      </c>
      <c r="O307" s="662">
        <f>VLOOKUP(G307,'StdCosts and StdRates'!$A$17:$E$36,N307,FALSE)*M307</f>
        <v>125.40612</v>
      </c>
      <c r="P307"/>
      <c r="R307" s="967"/>
    </row>
    <row r="308" spans="1:18">
      <c r="A308" s="773" t="s">
        <v>405</v>
      </c>
      <c r="B308" s="773"/>
      <c r="C308" s="773" t="s">
        <v>405</v>
      </c>
      <c r="D308" s="773"/>
      <c r="E308" s="773"/>
      <c r="F308" s="773"/>
      <c r="G308" s="967" t="s">
        <v>375</v>
      </c>
      <c r="H308" s="967" t="str">
        <f t="shared" si="15"/>
        <v>Project Coordinator</v>
      </c>
      <c r="I308" t="str">
        <f t="shared" si="16"/>
        <v>CanadaProject Coordinator</v>
      </c>
      <c r="J308" t="str">
        <f t="shared" si="17"/>
        <v>CanadaCanadaProject Coordinator</v>
      </c>
      <c r="K308" cm="1">
        <f t="array" ref="K308">_xlfn.IFS(A308="Canada",4,A308="India",5,A308="UK",6,A308="USA",7,A308="EU",8)</f>
        <v>4</v>
      </c>
      <c r="L308" s="662">
        <f>VLOOKUP(H308,'StdCosts and StdRates'!$A$41:$H$86,K308,FALSE)</f>
        <v>219</v>
      </c>
      <c r="M308" s="662" cm="1">
        <f t="array" ref="M308">_xlfn.XLOOKUP(C308&amp;A308,FX!$A$2:$A$26&amp;FX!$B$2:$B$26,FX!$C$2:$C$26)</f>
        <v>1</v>
      </c>
      <c r="N308" cm="1">
        <f t="array" ref="N308">_xlfn.IFS(C308="Canada",2,C308="India",3,C308="UK",4,C308="USA",5,C308="EU",6)</f>
        <v>2</v>
      </c>
      <c r="O308" s="662">
        <f>VLOOKUP(G308,'StdCosts and StdRates'!$A$17:$E$36,N308,FALSE)*M308</f>
        <v>82</v>
      </c>
      <c r="P308"/>
      <c r="R308" s="967"/>
    </row>
    <row r="309" spans="1:18">
      <c r="A309" s="773" t="s">
        <v>405</v>
      </c>
      <c r="B309" s="773"/>
      <c r="C309" s="773" t="s">
        <v>247</v>
      </c>
      <c r="D309" s="773"/>
      <c r="E309" s="773"/>
      <c r="F309" s="773"/>
      <c r="G309" s="967" t="s">
        <v>375</v>
      </c>
      <c r="H309" s="967" t="str">
        <f t="shared" si="15"/>
        <v>Project Coordinator</v>
      </c>
      <c r="I309" t="str">
        <f t="shared" si="16"/>
        <v>CanadaProject Coordinator</v>
      </c>
      <c r="J309" t="str">
        <f t="shared" si="17"/>
        <v>CanadaUKProject Coordinator</v>
      </c>
      <c r="K309" cm="1">
        <f t="array" ref="K309">_xlfn.IFS(A309="Canada",4,A309="India",5,A309="UK",6,A309="USA",7,A309="EU",8)</f>
        <v>4</v>
      </c>
      <c r="L309" s="662">
        <f>VLOOKUP(H309,'StdCosts and StdRates'!$A$41:$H$86,K309,FALSE)</f>
        <v>219</v>
      </c>
      <c r="M309" s="662" cm="1">
        <f t="array" ref="M309">_xlfn.XLOOKUP(C309&amp;A309,FX!$A$2:$A$26&amp;FX!$B$2:$B$26,FX!$C$2:$C$26)</f>
        <v>1.7410699999999999</v>
      </c>
      <c r="N309" cm="1">
        <f t="array" ref="N309">_xlfn.IFS(C309="Canada",2,C309="India",3,C309="UK",4,C309="USA",5,C309="EU",6)</f>
        <v>4</v>
      </c>
      <c r="O309" s="662">
        <f>VLOOKUP(G309,'StdCosts and StdRates'!$A$17:$E$36,N309,FALSE)*M309</f>
        <v>144.50880999999998</v>
      </c>
      <c r="P309"/>
      <c r="R309" s="967"/>
    </row>
    <row r="310" spans="1:18">
      <c r="A310" s="773" t="s">
        <v>405</v>
      </c>
      <c r="B310" s="773"/>
      <c r="C310" s="773" t="s">
        <v>736</v>
      </c>
      <c r="D310" s="773"/>
      <c r="E310" s="773"/>
      <c r="F310" s="773"/>
      <c r="G310" s="967" t="s">
        <v>375</v>
      </c>
      <c r="H310" s="967" t="str">
        <f t="shared" si="15"/>
        <v>Project Coordinator</v>
      </c>
      <c r="I310" t="str">
        <f t="shared" si="16"/>
        <v>CanadaProject Coordinator</v>
      </c>
      <c r="J310" t="str">
        <f t="shared" si="17"/>
        <v>CanadaEUProject Coordinator</v>
      </c>
      <c r="K310" cm="1">
        <f t="array" ref="K310">_xlfn.IFS(A310="Canada",4,A310="India",5,A310="UK",6,A310="USA",7,A310="EU",8)</f>
        <v>4</v>
      </c>
      <c r="L310" s="662">
        <f>VLOOKUP(H310,'StdCosts and StdRates'!$A$41:$H$86,K310,FALSE)</f>
        <v>219</v>
      </c>
      <c r="M310" s="662" cm="1">
        <f t="array" ref="M310">_xlfn.XLOOKUP(C310&amp;A310,FX!$A$2:$A$26&amp;FX!$B$2:$B$26,FX!$C$2:$C$26)</f>
        <v>1.4816499999999999</v>
      </c>
      <c r="N310" cm="1">
        <f t="array" ref="N310">_xlfn.IFS(C310="Canada",2,C310="India",3,C310="UK",4,C310="USA",5,C310="EU",6)</f>
        <v>6</v>
      </c>
      <c r="O310" s="662" t="e">
        <f>VLOOKUP(G310,'StdCosts and StdRates'!$A$17:$E$36,N310,FALSE)*M310</f>
        <v>#REF!</v>
      </c>
      <c r="P310"/>
      <c r="R310" s="967"/>
    </row>
    <row r="311" spans="1:18">
      <c r="A311" s="773" t="s">
        <v>405</v>
      </c>
      <c r="B311" s="773" t="s">
        <v>227</v>
      </c>
      <c r="C311" s="773" t="s">
        <v>227</v>
      </c>
      <c r="D311" s="773"/>
      <c r="E311" s="773"/>
      <c r="F311" s="773"/>
      <c r="G311" s="967" t="s">
        <v>375</v>
      </c>
      <c r="H311" s="967" t="str">
        <f t="shared" si="15"/>
        <v>IndiaProject Coordinator</v>
      </c>
      <c r="I311" t="str">
        <f t="shared" si="16"/>
        <v>CanadaIndiaProject Coordinator</v>
      </c>
      <c r="J311" t="str">
        <f t="shared" si="17"/>
        <v>CanadaIndiaProject Coordinator</v>
      </c>
      <c r="K311" cm="1">
        <f t="array" ref="K311">_xlfn.IFS(A311="Canada",4,A311="India",5,A311="UK",6,A311="USA",7,A311="EU",8)</f>
        <v>4</v>
      </c>
      <c r="L311" s="662">
        <f>VLOOKUP(H311,'StdCosts and StdRates'!$A$41:$H$86,K311,FALSE)</f>
        <v>99</v>
      </c>
      <c r="M311" s="662" cm="1">
        <f t="array" ref="M311">_xlfn.XLOOKUP(C311&amp;A311,FX!$A$2:$A$26&amp;FX!$B$2:$B$26,FX!$C$2:$C$26)</f>
        <v>1.6389999999999998E-2</v>
      </c>
      <c r="N311" cm="1">
        <f t="array" ref="N311">_xlfn.IFS(C311="Canada",2,C311="India",3,C311="UK",4,C311="USA",5,C311="EU",6)</f>
        <v>3</v>
      </c>
      <c r="O311" s="662">
        <f>VLOOKUP(G311,'StdCosts and StdRates'!$A$17:$E$36,N311,FALSE)*M311</f>
        <v>19.176299999999998</v>
      </c>
      <c r="P311"/>
      <c r="R311" s="967"/>
    </row>
    <row r="312" spans="1:18">
      <c r="A312" s="773" t="s">
        <v>247</v>
      </c>
      <c r="B312" s="773"/>
      <c r="C312" s="773" t="s">
        <v>308</v>
      </c>
      <c r="D312" s="773"/>
      <c r="E312" s="773"/>
      <c r="F312" s="773"/>
      <c r="G312" s="967" t="s">
        <v>375</v>
      </c>
      <c r="H312" s="967" t="str">
        <f t="shared" si="15"/>
        <v>Project Coordinator</v>
      </c>
      <c r="I312" t="str">
        <f t="shared" si="16"/>
        <v>UKProject Coordinator</v>
      </c>
      <c r="J312" t="str">
        <f t="shared" si="17"/>
        <v>UKUSAProject Coordinator</v>
      </c>
      <c r="K312" cm="1">
        <f t="array" ref="K312">_xlfn.IFS(A312="Canada",4,A312="India",5,A312="UK",6,A312="USA",7,A312="EU",8)</f>
        <v>6</v>
      </c>
      <c r="L312" s="662">
        <f>VLOOKUP(H312,'StdCosts and StdRates'!$A$41:$H$86,K312,FALSE)</f>
        <v>129</v>
      </c>
      <c r="M312" s="662" cm="1">
        <f t="array" ref="M312">_xlfn.XLOOKUP(C312&amp;A312,FX!$A$2:$A$26&amp;FX!$B$2:$B$26,FX!$C$2:$C$26)</f>
        <v>0.78280000000000005</v>
      </c>
      <c r="N312" cm="1">
        <f t="array" ref="N312">_xlfn.IFS(C312="Canada",2,C312="India",3,C312="UK",4,C312="USA",5,C312="EU",6)</f>
        <v>5</v>
      </c>
      <c r="O312" s="662">
        <f>VLOOKUP(G312,'StdCosts and StdRates'!$A$17:$E$36,N312,FALSE)*M312</f>
        <v>72.017600000000002</v>
      </c>
      <c r="P312"/>
      <c r="R312" s="967"/>
    </row>
    <row r="313" spans="1:18">
      <c r="A313" s="773" t="s">
        <v>247</v>
      </c>
      <c r="B313" s="773"/>
      <c r="C313" s="773" t="s">
        <v>405</v>
      </c>
      <c r="D313" s="773"/>
      <c r="E313" s="773"/>
      <c r="F313" s="773"/>
      <c r="G313" s="967" t="s">
        <v>375</v>
      </c>
      <c r="H313" s="967" t="str">
        <f t="shared" si="15"/>
        <v>Project Coordinator</v>
      </c>
      <c r="I313" t="str">
        <f t="shared" si="16"/>
        <v>UKProject Coordinator</v>
      </c>
      <c r="J313" t="str">
        <f t="shared" si="17"/>
        <v>UKCanadaProject Coordinator</v>
      </c>
      <c r="K313" cm="1">
        <f t="array" ref="K313">_xlfn.IFS(A313="Canada",4,A313="India",5,A313="UK",6,A313="USA",7,A313="EU",8)</f>
        <v>6</v>
      </c>
      <c r="L313" s="662">
        <f>VLOOKUP(H313,'StdCosts and StdRates'!$A$41:$H$86,K313,FALSE)</f>
        <v>129</v>
      </c>
      <c r="M313" s="662" cm="1">
        <f t="array" ref="M313">_xlfn.XLOOKUP(C313&amp;A313,FX!$A$2:$A$26&amp;FX!$B$2:$B$26,FX!$C$2:$C$26)</f>
        <v>0.57420000000000004</v>
      </c>
      <c r="N313" cm="1">
        <f t="array" ref="N313">_xlfn.IFS(C313="Canada",2,C313="India",3,C313="UK",4,C313="USA",5,C313="EU",6)</f>
        <v>2</v>
      </c>
      <c r="O313" s="662">
        <f>VLOOKUP(G313,'StdCosts and StdRates'!$A$17:$E$36,N313,FALSE)*M313</f>
        <v>47.084400000000002</v>
      </c>
      <c r="P313"/>
      <c r="R313" s="967"/>
    </row>
    <row r="314" spans="1:18">
      <c r="A314" s="773" t="s">
        <v>247</v>
      </c>
      <c r="B314" s="773"/>
      <c r="C314" s="773" t="s">
        <v>247</v>
      </c>
      <c r="D314" s="773"/>
      <c r="E314" s="773"/>
      <c r="F314" s="773"/>
      <c r="G314" s="967" t="s">
        <v>375</v>
      </c>
      <c r="H314" s="967" t="str">
        <f t="shared" si="15"/>
        <v>Project Coordinator</v>
      </c>
      <c r="I314" t="str">
        <f t="shared" si="16"/>
        <v>UKProject Coordinator</v>
      </c>
      <c r="J314" t="str">
        <f t="shared" si="17"/>
        <v>UKUKProject Coordinator</v>
      </c>
      <c r="K314" cm="1">
        <f t="array" ref="K314">_xlfn.IFS(A314="Canada",4,A314="India",5,A314="UK",6,A314="USA",7,A314="EU",8)</f>
        <v>6</v>
      </c>
      <c r="L314" s="662">
        <f>VLOOKUP(H314,'StdCosts and StdRates'!$A$41:$H$86,K314,FALSE)</f>
        <v>129</v>
      </c>
      <c r="M314" s="662" cm="1">
        <f t="array" ref="M314">_xlfn.XLOOKUP(C314&amp;A314,FX!$A$2:$A$26&amp;FX!$B$2:$B$26,FX!$C$2:$C$26)</f>
        <v>1</v>
      </c>
      <c r="N314" cm="1">
        <f t="array" ref="N314">_xlfn.IFS(C314="Canada",2,C314="India",3,C314="UK",4,C314="USA",5,C314="EU",6)</f>
        <v>4</v>
      </c>
      <c r="O314" s="662">
        <f>VLOOKUP(G314,'StdCosts and StdRates'!$A$17:$E$36,N314,FALSE)*M314</f>
        <v>83</v>
      </c>
      <c r="P314"/>
      <c r="R314" s="967"/>
    </row>
    <row r="315" spans="1:18">
      <c r="A315" s="773" t="s">
        <v>247</v>
      </c>
      <c r="B315" s="773"/>
      <c r="C315" s="773" t="s">
        <v>736</v>
      </c>
      <c r="D315" s="773"/>
      <c r="E315" s="773"/>
      <c r="F315" s="773"/>
      <c r="G315" s="967" t="s">
        <v>375</v>
      </c>
      <c r="H315" s="967" t="str">
        <f t="shared" si="15"/>
        <v>Project Coordinator</v>
      </c>
      <c r="I315" t="str">
        <f t="shared" si="16"/>
        <v>UKProject Coordinator</v>
      </c>
      <c r="J315" t="str">
        <f t="shared" si="17"/>
        <v>UKEUProject Coordinator</v>
      </c>
      <c r="K315" cm="1">
        <f t="array" ref="K315">_xlfn.IFS(A315="Canada",4,A315="India",5,A315="UK",6,A315="USA",7,A315="EU",8)</f>
        <v>6</v>
      </c>
      <c r="L315" s="662">
        <f>VLOOKUP(H315,'StdCosts and StdRates'!$A$41:$H$86,K315,FALSE)</f>
        <v>129</v>
      </c>
      <c r="M315" s="662" cm="1">
        <f t="array" ref="M315">_xlfn.XLOOKUP(C315&amp;A315,FX!$A$2:$A$26&amp;FX!$B$2:$B$26,FX!$C$2:$C$26)</f>
        <v>0.85092999999999996</v>
      </c>
      <c r="N315" cm="1">
        <f t="array" ref="N315">_xlfn.IFS(C315="Canada",2,C315="India",3,C315="UK",4,C315="USA",5,C315="EU",6)</f>
        <v>6</v>
      </c>
      <c r="O315" s="662" t="e">
        <f>VLOOKUP(G315,'StdCosts and StdRates'!$A$17:$E$36,N315,FALSE)*M315</f>
        <v>#REF!</v>
      </c>
      <c r="P315"/>
      <c r="R315" s="967"/>
    </row>
    <row r="316" spans="1:18">
      <c r="A316" s="773" t="s">
        <v>247</v>
      </c>
      <c r="B316" s="773" t="s">
        <v>227</v>
      </c>
      <c r="C316" s="773" t="s">
        <v>227</v>
      </c>
      <c r="D316" s="773"/>
      <c r="E316" s="773"/>
      <c r="F316" s="773"/>
      <c r="G316" s="967" t="s">
        <v>375</v>
      </c>
      <c r="H316" s="967" t="str">
        <f t="shared" si="15"/>
        <v>IndiaProject Coordinator</v>
      </c>
      <c r="I316" t="str">
        <f t="shared" si="16"/>
        <v>UKIndiaProject Coordinator</v>
      </c>
      <c r="J316" t="str">
        <f t="shared" si="17"/>
        <v>UKIndiaProject Coordinator</v>
      </c>
      <c r="K316" cm="1">
        <f t="array" ref="K316">_xlfn.IFS(A316="Canada",4,A316="India",5,A316="UK",6,A316="USA",7,A316="EU",8)</f>
        <v>6</v>
      </c>
      <c r="L316" s="662">
        <f>VLOOKUP(H316,'StdCosts and StdRates'!$A$41:$H$86,K316,FALSE)</f>
        <v>59</v>
      </c>
      <c r="M316" s="662" cm="1">
        <f t="array" ref="M316">_xlfn.XLOOKUP(C316&amp;A316,FX!$A$2:$A$26&amp;FX!$B$2:$B$26,FX!$C$2:$C$26)</f>
        <v>9.41E-3</v>
      </c>
      <c r="N316" cm="1">
        <f t="array" ref="N316">_xlfn.IFS(C316="Canada",2,C316="India",3,C316="UK",4,C316="USA",5,C316="EU",6)</f>
        <v>3</v>
      </c>
      <c r="O316" s="662">
        <f>VLOOKUP(G316,'StdCosts and StdRates'!$A$17:$E$36,N316,FALSE)*M316</f>
        <v>11.0097</v>
      </c>
      <c r="P316"/>
      <c r="R316" s="967"/>
    </row>
    <row r="317" spans="1:18">
      <c r="A317" s="773" t="s">
        <v>227</v>
      </c>
      <c r="B317" s="773"/>
      <c r="C317" s="773" t="s">
        <v>308</v>
      </c>
      <c r="D317" s="773"/>
      <c r="E317" s="773"/>
      <c r="F317" s="773"/>
      <c r="G317" s="967" t="s">
        <v>375</v>
      </c>
      <c r="H317" s="967" t="str">
        <f t="shared" si="15"/>
        <v>Project Coordinator</v>
      </c>
      <c r="I317" t="str">
        <f t="shared" si="16"/>
        <v>IndiaProject Coordinator</v>
      </c>
      <c r="J317" t="str">
        <f t="shared" si="17"/>
        <v>IndiaUSAProject Coordinator</v>
      </c>
      <c r="K317" cm="1">
        <f t="array" ref="K317">_xlfn.IFS(A317="Canada",4,A317="India",5,A317="UK",6,A317="USA",7,A317="EU",8)</f>
        <v>5</v>
      </c>
      <c r="L317" s="662">
        <f>VLOOKUP(H317,'StdCosts and StdRates'!$A$41:$H$86,K317,FALSE)</f>
        <v>6000</v>
      </c>
      <c r="M317" s="662" cm="1">
        <f t="array" ref="M317">_xlfn.XLOOKUP(C317&amp;A317,FX!$A$2:$A$26&amp;FX!$B$2:$B$26,FX!$C$2:$C$26)</f>
        <v>83.1721</v>
      </c>
      <c r="N317" cm="1">
        <f t="array" ref="N317">_xlfn.IFS(C317="Canada",2,C317="India",3,C317="UK",4,C317="USA",5,C317="EU",6)</f>
        <v>5</v>
      </c>
      <c r="O317" s="662">
        <f>VLOOKUP(G317,'StdCosts and StdRates'!$A$17:$E$36,N317,FALSE)*M317</f>
        <v>7651.8332</v>
      </c>
      <c r="P317"/>
      <c r="R317" s="967"/>
    </row>
    <row r="318" spans="1:18">
      <c r="A318" s="773" t="s">
        <v>227</v>
      </c>
      <c r="B318" s="773"/>
      <c r="C318" s="773" t="s">
        <v>405</v>
      </c>
      <c r="D318" s="773"/>
      <c r="E318" s="773"/>
      <c r="F318" s="773"/>
      <c r="G318" s="967" t="s">
        <v>375</v>
      </c>
      <c r="H318" s="967" t="str">
        <f t="shared" si="15"/>
        <v>Project Coordinator</v>
      </c>
      <c r="I318" t="str">
        <f t="shared" si="16"/>
        <v>IndiaProject Coordinator</v>
      </c>
      <c r="J318" t="str">
        <f t="shared" si="17"/>
        <v>IndiaCanadaProject Coordinator</v>
      </c>
      <c r="K318" cm="1">
        <f t="array" ref="K318">_xlfn.IFS(A318="Canada",4,A318="India",5,A318="UK",6,A318="USA",7,A318="EU",8)</f>
        <v>5</v>
      </c>
      <c r="L318" s="662">
        <f>VLOOKUP(H318,'StdCosts and StdRates'!$A$41:$H$86,K318,FALSE)</f>
        <v>6000</v>
      </c>
      <c r="M318" s="662" cm="1">
        <f t="array" ref="M318">_xlfn.XLOOKUP(C318&amp;A318,FX!$A$2:$A$26&amp;FX!$B$2:$B$26,FX!$C$2:$C$26)</f>
        <v>61.008200000000002</v>
      </c>
      <c r="N318" cm="1">
        <f t="array" ref="N318">_xlfn.IFS(C318="Canada",2,C318="India",3,C318="UK",4,C318="USA",5,C318="EU",6)</f>
        <v>2</v>
      </c>
      <c r="O318" s="662">
        <f>VLOOKUP(G318,'StdCosts and StdRates'!$A$17:$E$36,N318,FALSE)*M318</f>
        <v>5002.6724000000004</v>
      </c>
      <c r="P318"/>
      <c r="R318" s="967"/>
    </row>
    <row r="319" spans="1:18">
      <c r="A319" s="773" t="s">
        <v>227</v>
      </c>
      <c r="B319" s="773"/>
      <c r="C319" s="773" t="s">
        <v>247</v>
      </c>
      <c r="D319" s="773"/>
      <c r="E319" s="773"/>
      <c r="F319" s="773"/>
      <c r="G319" s="967" t="s">
        <v>375</v>
      </c>
      <c r="H319" s="967" t="str">
        <f t="shared" si="15"/>
        <v>Project Coordinator</v>
      </c>
      <c r="I319" t="str">
        <f t="shared" si="16"/>
        <v>IndiaProject Coordinator</v>
      </c>
      <c r="J319" t="str">
        <f t="shared" si="17"/>
        <v>IndiaUKProject Coordinator</v>
      </c>
      <c r="K319" cm="1">
        <f t="array" ref="K319">_xlfn.IFS(A319="Canada",4,A319="India",5,A319="UK",6,A319="USA",7,A319="EU",8)</f>
        <v>5</v>
      </c>
      <c r="L319" s="662">
        <f>VLOOKUP(H319,'StdCosts and StdRates'!$A$41:$H$86,K319,FALSE)</f>
        <v>6000</v>
      </c>
      <c r="M319" s="662" cm="1">
        <f t="array" ref="M319">_xlfn.XLOOKUP(C319&amp;A319,FX!$A$2:$A$26&amp;FX!$B$2:$B$26,FX!$C$2:$C$26)</f>
        <v>106.23399999999999</v>
      </c>
      <c r="N319" cm="1">
        <f t="array" ref="N319">_xlfn.IFS(C319="Canada",2,C319="India",3,C319="UK",4,C319="USA",5,C319="EU",6)</f>
        <v>4</v>
      </c>
      <c r="O319" s="662">
        <f>VLOOKUP(G319,'StdCosts and StdRates'!$A$17:$E$36,N319,FALSE)*M319</f>
        <v>8817.4219999999987</v>
      </c>
      <c r="P319"/>
      <c r="R319" s="967"/>
    </row>
    <row r="320" spans="1:18">
      <c r="A320" s="773" t="s">
        <v>227</v>
      </c>
      <c r="B320" s="773"/>
      <c r="C320" s="773" t="s">
        <v>736</v>
      </c>
      <c r="D320" s="773"/>
      <c r="E320" s="773"/>
      <c r="F320" s="773"/>
      <c r="G320" s="967" t="s">
        <v>375</v>
      </c>
      <c r="H320" s="967" t="str">
        <f t="shared" si="15"/>
        <v>Project Coordinator</v>
      </c>
      <c r="I320" t="str">
        <f t="shared" si="16"/>
        <v>IndiaProject Coordinator</v>
      </c>
      <c r="J320" t="str">
        <f t="shared" si="17"/>
        <v>IndiaEUProject Coordinator</v>
      </c>
      <c r="K320" cm="1">
        <f t="array" ref="K320">_xlfn.IFS(A320="Canada",4,A320="India",5,A320="UK",6,A320="USA",7,A320="EU",8)</f>
        <v>5</v>
      </c>
      <c r="L320" s="662">
        <f>VLOOKUP(H320,'StdCosts and StdRates'!$A$41:$H$86,K320,FALSE)</f>
        <v>6000</v>
      </c>
      <c r="M320" s="662" cm="1">
        <f t="array" ref="M320">_xlfn.XLOOKUP(C320&amp;A320,FX!$A$2:$A$26&amp;FX!$B$2:$B$26,FX!$C$2:$C$26)</f>
        <v>90.405100000000004</v>
      </c>
      <c r="N320" cm="1">
        <f t="array" ref="N320">_xlfn.IFS(C320="Canada",2,C320="India",3,C320="UK",4,C320="USA",5,C320="EU",6)</f>
        <v>6</v>
      </c>
      <c r="O320" s="662" t="e">
        <f>VLOOKUP(G320,'StdCosts and StdRates'!$A$17:$E$36,N320,FALSE)*M320</f>
        <v>#REF!</v>
      </c>
      <c r="P320"/>
      <c r="R320" s="967"/>
    </row>
    <row r="321" spans="1:18">
      <c r="A321" s="773" t="s">
        <v>227</v>
      </c>
      <c r="B321" s="773" t="s">
        <v>227</v>
      </c>
      <c r="C321" s="773" t="s">
        <v>227</v>
      </c>
      <c r="D321" s="773"/>
      <c r="E321" s="773"/>
      <c r="F321" s="773"/>
      <c r="G321" s="967" t="s">
        <v>375</v>
      </c>
      <c r="H321" s="967" t="str">
        <f t="shared" si="15"/>
        <v>IndiaProject Coordinator</v>
      </c>
      <c r="I321" t="str">
        <f t="shared" si="16"/>
        <v>IndiaIndiaProject Coordinator</v>
      </c>
      <c r="J321" t="str">
        <f t="shared" si="17"/>
        <v>IndiaIndiaProject Coordinator</v>
      </c>
      <c r="K321" cm="1">
        <f t="array" ref="K321">_xlfn.IFS(A321="Canada",4,A321="India",5,A321="UK",6,A321="USA",7,A321="EU",8)</f>
        <v>5</v>
      </c>
      <c r="L321" s="662">
        <f>VLOOKUP(H321,'StdCosts and StdRates'!$A$41:$H$86,K321,FALSE)</f>
        <v>6000</v>
      </c>
      <c r="M321" s="662" cm="1">
        <f t="array" ref="M321">_xlfn.XLOOKUP(C321&amp;A321,FX!$A$2:$A$26&amp;FX!$B$2:$B$26,FX!$C$2:$C$26)</f>
        <v>1</v>
      </c>
      <c r="N321" cm="1">
        <f t="array" ref="N321">_xlfn.IFS(C321="Canada",2,C321="India",3,C321="UK",4,C321="USA",5,C321="EU",6)</f>
        <v>3</v>
      </c>
      <c r="O321" s="662">
        <f>VLOOKUP(G321,'StdCosts and StdRates'!$A$17:$E$36,N321,FALSE)*M321</f>
        <v>1170</v>
      </c>
      <c r="P321"/>
      <c r="R321" s="967"/>
    </row>
    <row r="322" spans="1:18">
      <c r="A322" s="773" t="s">
        <v>736</v>
      </c>
      <c r="B322" s="773"/>
      <c r="C322" s="773" t="s">
        <v>308</v>
      </c>
      <c r="D322" s="773"/>
      <c r="E322" s="773"/>
      <c r="F322" s="773"/>
      <c r="G322" s="967" t="s">
        <v>375</v>
      </c>
      <c r="H322" s="967" t="str">
        <f t="shared" si="15"/>
        <v>Project Coordinator</v>
      </c>
      <c r="I322" t="str">
        <f t="shared" si="16"/>
        <v>EUProject Coordinator</v>
      </c>
      <c r="J322" t="str">
        <f t="shared" si="17"/>
        <v>EUUSAProject Coordinator</v>
      </c>
      <c r="K322" cm="1">
        <f t="array" ref="K322">_xlfn.IFS(A322="Canada",4,A322="India",5,A322="UK",6,A322="USA",7,A322="EU",8)</f>
        <v>8</v>
      </c>
      <c r="L322" s="662">
        <f>VLOOKUP(H322,'StdCosts and StdRates'!$A$41:$H$86,K322,FALSE)</f>
        <v>149</v>
      </c>
      <c r="M322" s="662" cm="1">
        <f t="array" ref="M322">_xlfn.XLOOKUP(C322&amp;A322,FX!$A$2:$A$26&amp;FX!$B$2:$B$26,FX!$C$2:$C$26)</f>
        <v>0.91986999999999997</v>
      </c>
      <c r="N322" cm="1">
        <f t="array" ref="N322">_xlfn.IFS(C322="Canada",2,C322="India",3,C322="UK",4,C322="USA",5,C322="EU",6)</f>
        <v>5</v>
      </c>
      <c r="O322" s="662">
        <f>VLOOKUP(G322,'StdCosts and StdRates'!$A$17:$E$36,N322,FALSE)*M322</f>
        <v>84.628039999999999</v>
      </c>
      <c r="P322"/>
      <c r="R322" s="967"/>
    </row>
    <row r="323" spans="1:18">
      <c r="A323" s="773" t="s">
        <v>736</v>
      </c>
      <c r="B323" s="773"/>
      <c r="C323" s="773" t="s">
        <v>405</v>
      </c>
      <c r="D323" s="773"/>
      <c r="E323" s="773"/>
      <c r="F323" s="773"/>
      <c r="G323" s="967" t="s">
        <v>375</v>
      </c>
      <c r="H323" s="967" t="str">
        <f t="shared" si="15"/>
        <v>Project Coordinator</v>
      </c>
      <c r="I323" t="str">
        <f t="shared" si="16"/>
        <v>EUProject Coordinator</v>
      </c>
      <c r="J323" t="str">
        <f t="shared" si="17"/>
        <v>EUCanadaProject Coordinator</v>
      </c>
      <c r="K323" cm="1">
        <f t="array" ref="K323">_xlfn.IFS(A323="Canada",4,A323="India",5,A323="UK",6,A323="USA",7,A323="EU",8)</f>
        <v>8</v>
      </c>
      <c r="L323" s="662">
        <f>VLOOKUP(H323,'StdCosts and StdRates'!$A$41:$H$86,K323,FALSE)</f>
        <v>149</v>
      </c>
      <c r="M323" s="662" cm="1">
        <f t="array" ref="M323">_xlfn.XLOOKUP(C323&amp;A323,FX!$A$2:$A$26&amp;FX!$B$2:$B$26,FX!$C$2:$C$26)</f>
        <v>0.67474000000000001</v>
      </c>
      <c r="N323" cm="1">
        <f t="array" ref="N323">_xlfn.IFS(C323="Canada",2,C323="India",3,C323="UK",4,C323="USA",5,C323="EU",6)</f>
        <v>2</v>
      </c>
      <c r="O323" s="662">
        <f>VLOOKUP(G323,'StdCosts and StdRates'!$A$17:$E$36,N323,FALSE)*M323</f>
        <v>55.328679999999999</v>
      </c>
      <c r="P323"/>
      <c r="R323" s="967"/>
    </row>
    <row r="324" spans="1:18">
      <c r="A324" s="773" t="s">
        <v>736</v>
      </c>
      <c r="B324" s="773"/>
      <c r="C324" s="773" t="s">
        <v>247</v>
      </c>
      <c r="D324" s="773"/>
      <c r="E324" s="773"/>
      <c r="F324" s="773"/>
      <c r="G324" s="967" t="s">
        <v>375</v>
      </c>
      <c r="H324" s="967" t="str">
        <f t="shared" si="15"/>
        <v>Project Coordinator</v>
      </c>
      <c r="I324" t="str">
        <f t="shared" si="16"/>
        <v>EUProject Coordinator</v>
      </c>
      <c r="J324" t="str">
        <f t="shared" si="17"/>
        <v>EUUKProject Coordinator</v>
      </c>
      <c r="K324" cm="1">
        <f t="array" ref="K324">_xlfn.IFS(A324="Canada",4,A324="India",5,A324="UK",6,A324="USA",7,A324="EU",8)</f>
        <v>8</v>
      </c>
      <c r="L324" s="662">
        <f>VLOOKUP(H324,'StdCosts and StdRates'!$A$41:$H$86,K324,FALSE)</f>
        <v>149</v>
      </c>
      <c r="M324" s="662" cm="1">
        <f t="array" ref="M324">_xlfn.XLOOKUP(C324&amp;A324,FX!$A$2:$A$26&amp;FX!$B$2:$B$26,FX!$C$2:$C$26)</f>
        <v>1.1749799999999999</v>
      </c>
      <c r="N324" cm="1">
        <f t="array" ref="N324">_xlfn.IFS(C324="Canada",2,C324="India",3,C324="UK",4,C324="USA",5,C324="EU",6)</f>
        <v>4</v>
      </c>
      <c r="O324" s="662">
        <f>VLOOKUP(G324,'StdCosts and StdRates'!$A$17:$E$36,N324,FALSE)*M324</f>
        <v>97.52333999999999</v>
      </c>
      <c r="P324"/>
      <c r="R324" s="967"/>
    </row>
    <row r="325" spans="1:18">
      <c r="A325" s="773" t="s">
        <v>736</v>
      </c>
      <c r="B325" s="773"/>
      <c r="C325" s="773" t="s">
        <v>736</v>
      </c>
      <c r="D325" s="773"/>
      <c r="E325" s="773"/>
      <c r="F325" s="773"/>
      <c r="G325" s="967" t="s">
        <v>375</v>
      </c>
      <c r="H325" s="967" t="str">
        <f t="shared" si="15"/>
        <v>Project Coordinator</v>
      </c>
      <c r="I325" t="str">
        <f t="shared" si="16"/>
        <v>EUProject Coordinator</v>
      </c>
      <c r="J325" t="str">
        <f t="shared" si="17"/>
        <v>EUEUProject Coordinator</v>
      </c>
      <c r="K325" cm="1">
        <f t="array" ref="K325">_xlfn.IFS(A325="Canada",4,A325="India",5,A325="UK",6,A325="USA",7,A325="EU",8)</f>
        <v>8</v>
      </c>
      <c r="L325" s="662">
        <f>VLOOKUP(H325,'StdCosts and StdRates'!$A$41:$H$86,K325,FALSE)</f>
        <v>149</v>
      </c>
      <c r="M325" s="662" cm="1">
        <f t="array" ref="M325">_xlfn.XLOOKUP(C325&amp;A325,FX!$A$2:$A$26&amp;FX!$B$2:$B$26,FX!$C$2:$C$26)</f>
        <v>1</v>
      </c>
      <c r="N325" cm="1">
        <f t="array" ref="N325">_xlfn.IFS(C325="Canada",2,C325="India",3,C325="UK",4,C325="USA",5,C325="EU",6)</f>
        <v>6</v>
      </c>
      <c r="O325" s="662" t="e">
        <f>VLOOKUP(G325,'StdCosts and StdRates'!$A$17:$E$36,N325,FALSE)*M325</f>
        <v>#REF!</v>
      </c>
      <c r="P325"/>
      <c r="R325" s="967"/>
    </row>
    <row r="326" spans="1:18">
      <c r="A326" s="773" t="s">
        <v>736</v>
      </c>
      <c r="B326" s="773" t="s">
        <v>227</v>
      </c>
      <c r="C326" s="773" t="s">
        <v>227</v>
      </c>
      <c r="D326" s="773"/>
      <c r="E326" s="773"/>
      <c r="F326" s="773"/>
      <c r="G326" s="967" t="s">
        <v>375</v>
      </c>
      <c r="H326" s="967" t="str">
        <f t="shared" si="15"/>
        <v>IndiaProject Coordinator</v>
      </c>
      <c r="I326" t="str">
        <f t="shared" si="16"/>
        <v>EUIndiaProject Coordinator</v>
      </c>
      <c r="J326" t="str">
        <f t="shared" si="17"/>
        <v>EUIndiaProject Coordinator</v>
      </c>
      <c r="K326" cm="1">
        <f t="array" ref="K326">_xlfn.IFS(A326="Canada",4,A326="India",5,A326="UK",6,A326="USA",7,A326="EU",8)</f>
        <v>8</v>
      </c>
      <c r="L326" s="662">
        <f>VLOOKUP(H326,'StdCosts and StdRates'!$A$41:$H$86,K326,FALSE)</f>
        <v>69</v>
      </c>
      <c r="M326" s="662" cm="1">
        <f t="array" ref="M326">_xlfn.XLOOKUP(C326&amp;A326,FX!$A$2:$A$26&amp;FX!$B$2:$B$26,FX!$C$2:$C$26)</f>
        <v>1.106E-2</v>
      </c>
      <c r="N326" cm="1">
        <f t="array" ref="N326">_xlfn.IFS(C326="Canada",2,C326="India",3,C326="UK",4,C326="USA",5,C326="EU",6)</f>
        <v>3</v>
      </c>
      <c r="O326" s="662">
        <f>VLOOKUP(G326,'StdCosts and StdRates'!$A$17:$E$36,N326,FALSE)*M326</f>
        <v>12.940200000000001</v>
      </c>
      <c r="P326"/>
      <c r="R326" s="967"/>
    </row>
    <row r="327" spans="1:18">
      <c r="A327" s="773" t="s">
        <v>308</v>
      </c>
      <c r="B327" s="773"/>
      <c r="C327" s="773" t="s">
        <v>308</v>
      </c>
      <c r="D327" s="773"/>
      <c r="E327" s="773"/>
      <c r="F327" s="773"/>
      <c r="G327" s="967" t="s">
        <v>158</v>
      </c>
      <c r="H327" s="967" t="str">
        <f t="shared" si="15"/>
        <v>Project Manager</v>
      </c>
      <c r="I327" t="str">
        <f t="shared" si="16"/>
        <v>USAProject Manager</v>
      </c>
      <c r="J327" t="str">
        <f t="shared" si="17"/>
        <v>USAUSAProject Manager</v>
      </c>
      <c r="K327" cm="1">
        <f t="array" ref="K327">_xlfn.IFS(A327="Canada",4,A327="India",5,A327="UK",6,A327="USA",7,A327="EU",8)</f>
        <v>7</v>
      </c>
      <c r="L327" s="662">
        <f>VLOOKUP(H327,'StdCosts and StdRates'!$A$41:$H$86,K327,FALSE)</f>
        <v>219</v>
      </c>
      <c r="M327" s="662" cm="1">
        <f t="array" ref="M327">_xlfn.XLOOKUP(C327&amp;A327,FX!$A$2:$A$26&amp;FX!$B$2:$B$26,FX!$C$2:$C$26)</f>
        <v>1</v>
      </c>
      <c r="N327" cm="1">
        <f t="array" ref="N327">_xlfn.IFS(C327="Canada",2,C327="India",3,C327="UK",4,C327="USA",5,C327="EU",6)</f>
        <v>5</v>
      </c>
      <c r="O327" s="662">
        <f>VLOOKUP(G327,'StdCosts and StdRates'!$A$17:$E$36,N327,FALSE)*M327</f>
        <v>123</v>
      </c>
      <c r="P327"/>
      <c r="R327" s="967"/>
    </row>
    <row r="328" spans="1:18">
      <c r="A328" s="773" t="s">
        <v>308</v>
      </c>
      <c r="B328" s="773"/>
      <c r="C328" s="773" t="s">
        <v>405</v>
      </c>
      <c r="D328" s="773"/>
      <c r="E328" s="773"/>
      <c r="F328" s="773"/>
      <c r="G328" s="967" t="s">
        <v>158</v>
      </c>
      <c r="H328" s="967" t="str">
        <f t="shared" si="15"/>
        <v>Project Manager</v>
      </c>
      <c r="I328" t="str">
        <f t="shared" si="16"/>
        <v>USAProject Manager</v>
      </c>
      <c r="J328" t="str">
        <f t="shared" si="17"/>
        <v>USACanadaProject Manager</v>
      </c>
      <c r="K328" cm="1">
        <f t="array" ref="K328">_xlfn.IFS(A328="Canada",4,A328="India",5,A328="UK",6,A328="USA",7,A328="EU",8)</f>
        <v>7</v>
      </c>
      <c r="L328" s="662">
        <f>VLOOKUP(H328,'StdCosts and StdRates'!$A$41:$H$86,K328,FALSE)</f>
        <v>219</v>
      </c>
      <c r="M328" s="662" cm="1">
        <f t="array" ref="M328">_xlfn.XLOOKUP(C328&amp;A328,FX!$A$2:$A$26&amp;FX!$B$2:$B$26,FX!$C$2:$C$26)</f>
        <v>0.73351999999999995</v>
      </c>
      <c r="N328" cm="1">
        <f t="array" ref="N328">_xlfn.IFS(C328="Canada",2,C328="India",3,C328="UK",4,C328="USA",5,C328="EU",6)</f>
        <v>2</v>
      </c>
      <c r="O328" s="662">
        <f>VLOOKUP(G328,'StdCosts and StdRates'!$A$17:$E$36,N328,FALSE)*M328</f>
        <v>77.019599999999997</v>
      </c>
      <c r="P328"/>
      <c r="R328" s="967"/>
    </row>
    <row r="329" spans="1:18">
      <c r="A329" s="773" t="s">
        <v>308</v>
      </c>
      <c r="B329" s="773"/>
      <c r="C329" s="773" t="s">
        <v>247</v>
      </c>
      <c r="D329" s="773"/>
      <c r="E329" s="773"/>
      <c r="F329" s="773"/>
      <c r="G329" s="967" t="s">
        <v>158</v>
      </c>
      <c r="H329" s="967" t="str">
        <f t="shared" si="15"/>
        <v>Project Manager</v>
      </c>
      <c r="I329" t="str">
        <f t="shared" si="16"/>
        <v>USAProject Manager</v>
      </c>
      <c r="J329" t="str">
        <f t="shared" si="17"/>
        <v>USAUKProject Manager</v>
      </c>
      <c r="K329" cm="1">
        <f t="array" ref="K329">_xlfn.IFS(A329="Canada",4,A329="India",5,A329="UK",6,A329="USA",7,A329="EU",8)</f>
        <v>7</v>
      </c>
      <c r="L329" s="662">
        <f>VLOOKUP(H329,'StdCosts and StdRates'!$A$41:$H$86,K329,FALSE)</f>
        <v>219</v>
      </c>
      <c r="M329" s="662" cm="1">
        <f t="array" ref="M329">_xlfn.XLOOKUP(C329&amp;A329,FX!$A$2:$A$26&amp;FX!$B$2:$B$26,FX!$C$2:$C$26)</f>
        <v>1.2772699999999999</v>
      </c>
      <c r="N329" cm="1">
        <f t="array" ref="N329">_xlfn.IFS(C329="Canada",2,C329="India",3,C329="UK",4,C329="USA",5,C329="EU",6)</f>
        <v>4</v>
      </c>
      <c r="O329" s="662">
        <f>VLOOKUP(G329,'StdCosts and StdRates'!$A$17:$E$36,N329,FALSE)*M329</f>
        <v>99.627059999999986</v>
      </c>
      <c r="P329"/>
      <c r="R329" s="967"/>
    </row>
    <row r="330" spans="1:18">
      <c r="A330" s="773" t="s">
        <v>308</v>
      </c>
      <c r="B330" s="773"/>
      <c r="C330" s="773" t="s">
        <v>736</v>
      </c>
      <c r="D330" s="773"/>
      <c r="E330" s="773"/>
      <c r="F330" s="773"/>
      <c r="G330" s="967" t="s">
        <v>158</v>
      </c>
      <c r="H330" s="967" t="str">
        <f t="shared" si="15"/>
        <v>Project Manager</v>
      </c>
      <c r="I330" t="str">
        <f t="shared" si="16"/>
        <v>USAProject Manager</v>
      </c>
      <c r="J330" t="str">
        <f t="shared" si="17"/>
        <v>USAEUProject Manager</v>
      </c>
      <c r="K330" cm="1">
        <f t="array" ref="K330">_xlfn.IFS(A330="Canada",4,A330="India",5,A330="UK",6,A330="USA",7,A330="EU",8)</f>
        <v>7</v>
      </c>
      <c r="L330" s="662">
        <f>VLOOKUP(H330,'StdCosts and StdRates'!$A$41:$H$86,K330,FALSE)</f>
        <v>219</v>
      </c>
      <c r="M330" s="662" cm="1">
        <f t="array" ref="M330">_xlfn.XLOOKUP(C330&amp;A330,FX!$A$2:$A$26&amp;FX!$B$2:$B$26,FX!$C$2:$C$26)</f>
        <v>1.0869599999999999</v>
      </c>
      <c r="N330" cm="1">
        <f t="array" ref="N330">_xlfn.IFS(C330="Canada",2,C330="India",3,C330="UK",4,C330="USA",5,C330="EU",6)</f>
        <v>6</v>
      </c>
      <c r="O330" s="662" t="e">
        <f>VLOOKUP(G330,'StdCosts and StdRates'!$A$17:$E$36,N330,FALSE)*M330</f>
        <v>#REF!</v>
      </c>
      <c r="P330"/>
      <c r="R330" s="967"/>
    </row>
    <row r="331" spans="1:18">
      <c r="A331" s="773" t="s">
        <v>308</v>
      </c>
      <c r="B331" s="773" t="s">
        <v>227</v>
      </c>
      <c r="C331" s="773" t="s">
        <v>227</v>
      </c>
      <c r="D331" s="773"/>
      <c r="E331" s="773"/>
      <c r="F331" s="773"/>
      <c r="G331" s="967" t="s">
        <v>158</v>
      </c>
      <c r="H331" s="967" t="str">
        <f t="shared" si="15"/>
        <v>IndiaProject Manager</v>
      </c>
      <c r="I331" t="str">
        <f t="shared" si="16"/>
        <v>USAIndiaProject Manager</v>
      </c>
      <c r="J331" t="str">
        <f t="shared" si="17"/>
        <v>USAIndiaProject Manager</v>
      </c>
      <c r="K331" cm="1">
        <f t="array" ref="K331">_xlfn.IFS(A331="Canada",4,A331="India",5,A331="UK",6,A331="USA",7,A331="EU",8)</f>
        <v>7</v>
      </c>
      <c r="L331" s="662">
        <f>VLOOKUP(H331,'StdCosts and StdRates'!$A$41:$H$86,K331,FALSE)</f>
        <v>89</v>
      </c>
      <c r="M331" s="662" cm="1">
        <f t="array" ref="M331">_xlfn.XLOOKUP(C331&amp;A331,FX!$A$2:$A$26&amp;FX!$B$2:$B$26,FX!$C$2:$C$26)</f>
        <v>1.2019999999999999E-2</v>
      </c>
      <c r="N331" cm="1">
        <f t="array" ref="N331">_xlfn.IFS(C331="Canada",2,C331="India",3,C331="UK",4,C331="USA",5,C331="EU",6)</f>
        <v>3</v>
      </c>
      <c r="O331" s="662">
        <f>VLOOKUP(G331,'StdCosts and StdRates'!$A$17:$E$36,N331,FALSE)*M331</f>
        <v>23.463039999999999</v>
      </c>
      <c r="P331"/>
      <c r="R331" s="967"/>
    </row>
    <row r="332" spans="1:18">
      <c r="A332" s="773" t="s">
        <v>405</v>
      </c>
      <c r="B332" s="773"/>
      <c r="C332" s="773" t="s">
        <v>308</v>
      </c>
      <c r="D332" s="773"/>
      <c r="E332" s="773"/>
      <c r="F332" s="773"/>
      <c r="G332" s="967" t="s">
        <v>158</v>
      </c>
      <c r="H332" s="967" t="str">
        <f t="shared" si="15"/>
        <v>Project Manager</v>
      </c>
      <c r="I332" t="str">
        <f t="shared" si="16"/>
        <v>CanadaProject Manager</v>
      </c>
      <c r="J332" t="str">
        <f t="shared" si="17"/>
        <v>CanadaUSAProject Manager</v>
      </c>
      <c r="K332" cm="1">
        <f t="array" ref="K332">_xlfn.IFS(A332="Canada",4,A332="India",5,A332="UK",6,A332="USA",7,A332="EU",8)</f>
        <v>4</v>
      </c>
      <c r="L332" s="662">
        <f>VLOOKUP(H332,'StdCosts and StdRates'!$A$41:$H$86,K332,FALSE)</f>
        <v>239</v>
      </c>
      <c r="M332" s="662" cm="1">
        <f t="array" ref="M332">_xlfn.XLOOKUP(C332&amp;A332,FX!$A$2:$A$26&amp;FX!$B$2:$B$26,FX!$C$2:$C$26)</f>
        <v>1.36311</v>
      </c>
      <c r="N332" cm="1">
        <f t="array" ref="N332">_xlfn.IFS(C332="Canada",2,C332="India",3,C332="UK",4,C332="USA",5,C332="EU",6)</f>
        <v>5</v>
      </c>
      <c r="O332" s="662">
        <f>VLOOKUP(G332,'StdCosts and StdRates'!$A$17:$E$36,N332,FALSE)*M332</f>
        <v>167.66253</v>
      </c>
      <c r="P332"/>
      <c r="R332" s="967"/>
    </row>
    <row r="333" spans="1:18">
      <c r="A333" s="773" t="s">
        <v>405</v>
      </c>
      <c r="B333" s="773"/>
      <c r="C333" s="773" t="s">
        <v>405</v>
      </c>
      <c r="D333" s="773"/>
      <c r="E333" s="773"/>
      <c r="F333" s="773"/>
      <c r="G333" s="967" t="s">
        <v>158</v>
      </c>
      <c r="H333" s="967" t="str">
        <f t="shared" si="15"/>
        <v>Project Manager</v>
      </c>
      <c r="I333" t="str">
        <f t="shared" si="16"/>
        <v>CanadaProject Manager</v>
      </c>
      <c r="J333" t="str">
        <f t="shared" si="17"/>
        <v>CanadaCanadaProject Manager</v>
      </c>
      <c r="K333" cm="1">
        <f t="array" ref="K333">_xlfn.IFS(A333="Canada",4,A333="India",5,A333="UK",6,A333="USA",7,A333="EU",8)</f>
        <v>4</v>
      </c>
      <c r="L333" s="662">
        <f>VLOOKUP(H333,'StdCosts and StdRates'!$A$41:$H$86,K333,FALSE)</f>
        <v>239</v>
      </c>
      <c r="M333" s="662" cm="1">
        <f t="array" ref="M333">_xlfn.XLOOKUP(C333&amp;A333,FX!$A$2:$A$26&amp;FX!$B$2:$B$26,FX!$C$2:$C$26)</f>
        <v>1</v>
      </c>
      <c r="N333" cm="1">
        <f t="array" ref="N333">_xlfn.IFS(C333="Canada",2,C333="India",3,C333="UK",4,C333="USA",5,C333="EU",6)</f>
        <v>2</v>
      </c>
      <c r="O333" s="662">
        <f>VLOOKUP(G333,'StdCosts and StdRates'!$A$17:$E$36,N333,FALSE)*M333</f>
        <v>105</v>
      </c>
      <c r="P333"/>
      <c r="R333" s="967"/>
    </row>
    <row r="334" spans="1:18">
      <c r="A334" s="773" t="s">
        <v>405</v>
      </c>
      <c r="B334" s="773"/>
      <c r="C334" s="773" t="s">
        <v>247</v>
      </c>
      <c r="D334" s="773"/>
      <c r="E334" s="773"/>
      <c r="F334" s="773"/>
      <c r="G334" s="967" t="s">
        <v>158</v>
      </c>
      <c r="H334" s="967" t="str">
        <f t="shared" si="15"/>
        <v>Project Manager</v>
      </c>
      <c r="I334" t="str">
        <f t="shared" si="16"/>
        <v>CanadaProject Manager</v>
      </c>
      <c r="J334" t="str">
        <f t="shared" si="17"/>
        <v>CanadaUKProject Manager</v>
      </c>
      <c r="K334" cm="1">
        <f t="array" ref="K334">_xlfn.IFS(A334="Canada",4,A334="India",5,A334="UK",6,A334="USA",7,A334="EU",8)</f>
        <v>4</v>
      </c>
      <c r="L334" s="662">
        <f>VLOOKUP(H334,'StdCosts and StdRates'!$A$41:$H$86,K334,FALSE)</f>
        <v>239</v>
      </c>
      <c r="M334" s="662" cm="1">
        <f t="array" ref="M334">_xlfn.XLOOKUP(C334&amp;A334,FX!$A$2:$A$26&amp;FX!$B$2:$B$26,FX!$C$2:$C$26)</f>
        <v>1.7410699999999999</v>
      </c>
      <c r="N334" cm="1">
        <f t="array" ref="N334">_xlfn.IFS(C334="Canada",2,C334="India",3,C334="UK",4,C334="USA",5,C334="EU",6)</f>
        <v>4</v>
      </c>
      <c r="O334" s="662">
        <f>VLOOKUP(G334,'StdCosts and StdRates'!$A$17:$E$36,N334,FALSE)*M334</f>
        <v>135.80346</v>
      </c>
      <c r="P334"/>
      <c r="R334" s="967"/>
    </row>
    <row r="335" spans="1:18">
      <c r="A335" s="773" t="s">
        <v>405</v>
      </c>
      <c r="B335" s="773"/>
      <c r="C335" s="773" t="s">
        <v>736</v>
      </c>
      <c r="D335" s="773"/>
      <c r="E335" s="773"/>
      <c r="F335" s="773"/>
      <c r="G335" s="967" t="s">
        <v>158</v>
      </c>
      <c r="H335" s="967" t="str">
        <f t="shared" si="15"/>
        <v>Project Manager</v>
      </c>
      <c r="I335" t="str">
        <f t="shared" si="16"/>
        <v>CanadaProject Manager</v>
      </c>
      <c r="J335" t="str">
        <f t="shared" si="17"/>
        <v>CanadaEUProject Manager</v>
      </c>
      <c r="K335" cm="1">
        <f t="array" ref="K335">_xlfn.IFS(A335="Canada",4,A335="India",5,A335="UK",6,A335="USA",7,A335="EU",8)</f>
        <v>4</v>
      </c>
      <c r="L335" s="662">
        <f>VLOOKUP(H335,'StdCosts and StdRates'!$A$41:$H$86,K335,FALSE)</f>
        <v>239</v>
      </c>
      <c r="M335" s="662" cm="1">
        <f t="array" ref="M335">_xlfn.XLOOKUP(C335&amp;A335,FX!$A$2:$A$26&amp;FX!$B$2:$B$26,FX!$C$2:$C$26)</f>
        <v>1.4816499999999999</v>
      </c>
      <c r="N335" cm="1">
        <f t="array" ref="N335">_xlfn.IFS(C335="Canada",2,C335="India",3,C335="UK",4,C335="USA",5,C335="EU",6)</f>
        <v>6</v>
      </c>
      <c r="O335" s="662" t="e">
        <f>VLOOKUP(G335,'StdCosts and StdRates'!$A$17:$E$36,N335,FALSE)*M335</f>
        <v>#REF!</v>
      </c>
      <c r="P335"/>
      <c r="R335" s="967"/>
    </row>
    <row r="336" spans="1:18">
      <c r="A336" s="773" t="s">
        <v>405</v>
      </c>
      <c r="B336" s="773" t="s">
        <v>227</v>
      </c>
      <c r="C336" s="773" t="s">
        <v>227</v>
      </c>
      <c r="D336" s="773"/>
      <c r="E336" s="773"/>
      <c r="F336" s="773"/>
      <c r="G336" s="967" t="s">
        <v>158</v>
      </c>
      <c r="H336" s="967" t="str">
        <f t="shared" si="15"/>
        <v>IndiaProject Manager</v>
      </c>
      <c r="I336" t="str">
        <f t="shared" si="16"/>
        <v>CanadaIndiaProject Manager</v>
      </c>
      <c r="J336" t="str">
        <f t="shared" si="17"/>
        <v>CanadaIndiaProject Manager</v>
      </c>
      <c r="K336" cm="1">
        <f t="array" ref="K336">_xlfn.IFS(A336="Canada",4,A336="India",5,A336="UK",6,A336="USA",7,A336="EU",8)</f>
        <v>4</v>
      </c>
      <c r="L336" s="662">
        <f>VLOOKUP(H336,'StdCosts and StdRates'!$A$41:$H$86,K336,FALSE)</f>
        <v>115</v>
      </c>
      <c r="M336" s="662" cm="1">
        <f t="array" ref="M336">_xlfn.XLOOKUP(C336&amp;A336,FX!$A$2:$A$26&amp;FX!$B$2:$B$26,FX!$C$2:$C$26)</f>
        <v>1.6389999999999998E-2</v>
      </c>
      <c r="N336" cm="1">
        <f t="array" ref="N336">_xlfn.IFS(C336="Canada",2,C336="India",3,C336="UK",4,C336="USA",5,C336="EU",6)</f>
        <v>3</v>
      </c>
      <c r="O336" s="662">
        <f>VLOOKUP(G336,'StdCosts and StdRates'!$A$17:$E$36,N336,FALSE)*M336</f>
        <v>31.993279999999995</v>
      </c>
      <c r="P336"/>
      <c r="R336" s="967"/>
    </row>
    <row r="337" spans="1:18">
      <c r="A337" s="773" t="s">
        <v>247</v>
      </c>
      <c r="B337" s="773"/>
      <c r="C337" s="773" t="s">
        <v>308</v>
      </c>
      <c r="D337" s="773"/>
      <c r="E337" s="773"/>
      <c r="F337" s="773"/>
      <c r="G337" s="967" t="s">
        <v>158</v>
      </c>
      <c r="H337" s="967" t="str">
        <f t="shared" si="15"/>
        <v>Project Manager</v>
      </c>
      <c r="I337" t="str">
        <f t="shared" si="16"/>
        <v>UKProject Manager</v>
      </c>
      <c r="J337" t="str">
        <f t="shared" si="17"/>
        <v>UKUSAProject Manager</v>
      </c>
      <c r="K337" cm="1">
        <f t="array" ref="K337">_xlfn.IFS(A337="Canada",4,A337="India",5,A337="UK",6,A337="USA",7,A337="EU",8)</f>
        <v>6</v>
      </c>
      <c r="L337" s="662">
        <f>VLOOKUP(H337,'StdCosts and StdRates'!$A$41:$H$86,K337,FALSE)</f>
        <v>139</v>
      </c>
      <c r="M337" s="662" cm="1">
        <f t="array" ref="M337">_xlfn.XLOOKUP(C337&amp;A337,FX!$A$2:$A$26&amp;FX!$B$2:$B$26,FX!$C$2:$C$26)</f>
        <v>0.78280000000000005</v>
      </c>
      <c r="N337" cm="1">
        <f t="array" ref="N337">_xlfn.IFS(C337="Canada",2,C337="India",3,C337="UK",4,C337="USA",5,C337="EU",6)</f>
        <v>5</v>
      </c>
      <c r="O337" s="662">
        <f>VLOOKUP(G337,'StdCosts and StdRates'!$A$17:$E$36,N337,FALSE)*M337</f>
        <v>96.284400000000005</v>
      </c>
      <c r="P337"/>
      <c r="R337" s="967"/>
    </row>
    <row r="338" spans="1:18">
      <c r="A338" s="773" t="s">
        <v>247</v>
      </c>
      <c r="B338" s="773"/>
      <c r="C338" s="773" t="s">
        <v>405</v>
      </c>
      <c r="D338" s="773"/>
      <c r="E338" s="773"/>
      <c r="F338" s="773"/>
      <c r="G338" s="967" t="s">
        <v>158</v>
      </c>
      <c r="H338" s="967" t="str">
        <f t="shared" si="15"/>
        <v>Project Manager</v>
      </c>
      <c r="I338" t="str">
        <f t="shared" si="16"/>
        <v>UKProject Manager</v>
      </c>
      <c r="J338" t="str">
        <f t="shared" si="17"/>
        <v>UKCanadaProject Manager</v>
      </c>
      <c r="K338" cm="1">
        <f t="array" ref="K338">_xlfn.IFS(A338="Canada",4,A338="India",5,A338="UK",6,A338="USA",7,A338="EU",8)</f>
        <v>6</v>
      </c>
      <c r="L338" s="662">
        <f>VLOOKUP(H338,'StdCosts and StdRates'!$A$41:$H$86,K338,FALSE)</f>
        <v>139</v>
      </c>
      <c r="M338" s="662" cm="1">
        <f t="array" ref="M338">_xlfn.XLOOKUP(C338&amp;A338,FX!$A$2:$A$26&amp;FX!$B$2:$B$26,FX!$C$2:$C$26)</f>
        <v>0.57420000000000004</v>
      </c>
      <c r="N338" cm="1">
        <f t="array" ref="N338">_xlfn.IFS(C338="Canada",2,C338="India",3,C338="UK",4,C338="USA",5,C338="EU",6)</f>
        <v>2</v>
      </c>
      <c r="O338" s="662">
        <f>VLOOKUP(G338,'StdCosts and StdRates'!$A$17:$E$36,N338,FALSE)*M338</f>
        <v>60.291000000000004</v>
      </c>
      <c r="P338"/>
      <c r="R338" s="967"/>
    </row>
    <row r="339" spans="1:18">
      <c r="A339" s="773" t="s">
        <v>247</v>
      </c>
      <c r="B339" s="773"/>
      <c r="C339" s="773" t="s">
        <v>247</v>
      </c>
      <c r="D339" s="773"/>
      <c r="E339" s="773"/>
      <c r="F339" s="773"/>
      <c r="G339" s="967" t="s">
        <v>158</v>
      </c>
      <c r="H339" s="967" t="str">
        <f t="shared" si="15"/>
        <v>Project Manager</v>
      </c>
      <c r="I339" t="str">
        <f t="shared" si="16"/>
        <v>UKProject Manager</v>
      </c>
      <c r="J339" t="str">
        <f t="shared" si="17"/>
        <v>UKUKProject Manager</v>
      </c>
      <c r="K339" cm="1">
        <f t="array" ref="K339">_xlfn.IFS(A339="Canada",4,A339="India",5,A339="UK",6,A339="USA",7,A339="EU",8)</f>
        <v>6</v>
      </c>
      <c r="L339" s="662">
        <f>VLOOKUP(H339,'StdCosts and StdRates'!$A$41:$H$86,K339,FALSE)</f>
        <v>139</v>
      </c>
      <c r="M339" s="662" cm="1">
        <f t="array" ref="M339">_xlfn.XLOOKUP(C339&amp;A339,FX!$A$2:$A$26&amp;FX!$B$2:$B$26,FX!$C$2:$C$26)</f>
        <v>1</v>
      </c>
      <c r="N339" cm="1">
        <f t="array" ref="N339">_xlfn.IFS(C339="Canada",2,C339="India",3,C339="UK",4,C339="USA",5,C339="EU",6)</f>
        <v>4</v>
      </c>
      <c r="O339" s="662">
        <f>VLOOKUP(G339,'StdCosts and StdRates'!$A$17:$E$36,N339,FALSE)*M339</f>
        <v>78</v>
      </c>
      <c r="P339"/>
      <c r="R339" s="967"/>
    </row>
    <row r="340" spans="1:18">
      <c r="A340" s="773" t="s">
        <v>247</v>
      </c>
      <c r="B340" s="773"/>
      <c r="C340" s="773" t="s">
        <v>736</v>
      </c>
      <c r="D340" s="773"/>
      <c r="E340" s="773"/>
      <c r="F340" s="773"/>
      <c r="G340" s="967" t="s">
        <v>158</v>
      </c>
      <c r="H340" s="967" t="str">
        <f t="shared" si="15"/>
        <v>Project Manager</v>
      </c>
      <c r="I340" t="str">
        <f t="shared" si="16"/>
        <v>UKProject Manager</v>
      </c>
      <c r="J340" t="str">
        <f t="shared" si="17"/>
        <v>UKEUProject Manager</v>
      </c>
      <c r="K340" cm="1">
        <f t="array" ref="K340">_xlfn.IFS(A340="Canada",4,A340="India",5,A340="UK",6,A340="USA",7,A340="EU",8)</f>
        <v>6</v>
      </c>
      <c r="L340" s="662">
        <f>VLOOKUP(H340,'StdCosts and StdRates'!$A$41:$H$86,K340,FALSE)</f>
        <v>139</v>
      </c>
      <c r="M340" s="662" cm="1">
        <f t="array" ref="M340">_xlfn.XLOOKUP(C340&amp;A340,FX!$A$2:$A$26&amp;FX!$B$2:$B$26,FX!$C$2:$C$26)</f>
        <v>0.85092999999999996</v>
      </c>
      <c r="N340" cm="1">
        <f t="array" ref="N340">_xlfn.IFS(C340="Canada",2,C340="India",3,C340="UK",4,C340="USA",5,C340="EU",6)</f>
        <v>6</v>
      </c>
      <c r="O340" s="662" t="e">
        <f>VLOOKUP(G340,'StdCosts and StdRates'!$A$17:$E$36,N340,FALSE)*M340</f>
        <v>#REF!</v>
      </c>
      <c r="P340"/>
      <c r="R340" s="967"/>
    </row>
    <row r="341" spans="1:18">
      <c r="A341" s="773" t="s">
        <v>247</v>
      </c>
      <c r="B341" s="773" t="s">
        <v>227</v>
      </c>
      <c r="C341" s="773" t="s">
        <v>227</v>
      </c>
      <c r="D341" s="773"/>
      <c r="E341" s="773"/>
      <c r="F341" s="773"/>
      <c r="G341" s="967" t="s">
        <v>158</v>
      </c>
      <c r="H341" s="967" t="str">
        <f t="shared" si="15"/>
        <v>IndiaProject Manager</v>
      </c>
      <c r="I341" t="str">
        <f t="shared" si="16"/>
        <v>UKIndiaProject Manager</v>
      </c>
      <c r="J341" t="str">
        <f t="shared" si="17"/>
        <v>UKIndiaProject Manager</v>
      </c>
      <c r="K341" cm="1">
        <f t="array" ref="K341">_xlfn.IFS(A341="Canada",4,A341="India",5,A341="UK",6,A341="USA",7,A341="EU",8)</f>
        <v>6</v>
      </c>
      <c r="L341" s="662">
        <f>VLOOKUP(H341,'StdCosts and StdRates'!$A$41:$H$86,K341,FALSE)</f>
        <v>65</v>
      </c>
      <c r="M341" s="662" cm="1">
        <f t="array" ref="M341">_xlfn.XLOOKUP(C341&amp;A341,FX!$A$2:$A$26&amp;FX!$B$2:$B$26,FX!$C$2:$C$26)</f>
        <v>9.41E-3</v>
      </c>
      <c r="N341" cm="1">
        <f t="array" ref="N341">_xlfn.IFS(C341="Canada",2,C341="India",3,C341="UK",4,C341="USA",5,C341="EU",6)</f>
        <v>3</v>
      </c>
      <c r="O341" s="662">
        <f>VLOOKUP(G341,'StdCosts and StdRates'!$A$17:$E$36,N341,FALSE)*M341</f>
        <v>18.368320000000001</v>
      </c>
      <c r="P341"/>
      <c r="R341" s="967"/>
    </row>
    <row r="342" spans="1:18">
      <c r="A342" s="773" t="s">
        <v>227</v>
      </c>
      <c r="B342" s="773"/>
      <c r="C342" s="773" t="s">
        <v>308</v>
      </c>
      <c r="D342" s="773"/>
      <c r="E342" s="773"/>
      <c r="F342" s="773"/>
      <c r="G342" s="967" t="s">
        <v>158</v>
      </c>
      <c r="H342" s="967" t="str">
        <f t="shared" si="15"/>
        <v>Project Manager</v>
      </c>
      <c r="I342" t="str">
        <f t="shared" si="16"/>
        <v>IndiaProject Manager</v>
      </c>
      <c r="J342" t="str">
        <f t="shared" si="17"/>
        <v>IndiaUSAProject Manager</v>
      </c>
      <c r="K342" cm="1">
        <f t="array" ref="K342">_xlfn.IFS(A342="Canada",4,A342="India",5,A342="UK",6,A342="USA",7,A342="EU",8)</f>
        <v>5</v>
      </c>
      <c r="L342" s="662">
        <f>VLOOKUP(H342,'StdCosts and StdRates'!$A$41:$H$86,K342,FALSE)</f>
        <v>6800</v>
      </c>
      <c r="M342" s="662" cm="1">
        <f t="array" ref="M342">_xlfn.XLOOKUP(C342&amp;A342,FX!$A$2:$A$26&amp;FX!$B$2:$B$26,FX!$C$2:$C$26)</f>
        <v>83.1721</v>
      </c>
      <c r="N342" cm="1">
        <f t="array" ref="N342">_xlfn.IFS(C342="Canada",2,C342="India",3,C342="UK",4,C342="USA",5,C342="EU",6)</f>
        <v>5</v>
      </c>
      <c r="O342" s="662">
        <f>VLOOKUP(G342,'StdCosts and StdRates'!$A$17:$E$36,N342,FALSE)*M342</f>
        <v>10230.168299999999</v>
      </c>
      <c r="P342"/>
      <c r="R342" s="967"/>
    </row>
    <row r="343" spans="1:18">
      <c r="A343" s="773" t="s">
        <v>227</v>
      </c>
      <c r="B343" s="773"/>
      <c r="C343" s="773" t="s">
        <v>405</v>
      </c>
      <c r="D343" s="773"/>
      <c r="E343" s="773"/>
      <c r="F343" s="773"/>
      <c r="G343" s="967" t="s">
        <v>158</v>
      </c>
      <c r="H343" s="967" t="str">
        <f t="shared" si="15"/>
        <v>Project Manager</v>
      </c>
      <c r="I343" t="str">
        <f t="shared" si="16"/>
        <v>IndiaProject Manager</v>
      </c>
      <c r="J343" t="str">
        <f t="shared" si="17"/>
        <v>IndiaCanadaProject Manager</v>
      </c>
      <c r="K343" cm="1">
        <f t="array" ref="K343">_xlfn.IFS(A343="Canada",4,A343="India",5,A343="UK",6,A343="USA",7,A343="EU",8)</f>
        <v>5</v>
      </c>
      <c r="L343" s="662">
        <f>VLOOKUP(H343,'StdCosts and StdRates'!$A$41:$H$86,K343,FALSE)</f>
        <v>6800</v>
      </c>
      <c r="M343" s="662" cm="1">
        <f t="array" ref="M343">_xlfn.XLOOKUP(C343&amp;A343,FX!$A$2:$A$26&amp;FX!$B$2:$B$26,FX!$C$2:$C$26)</f>
        <v>61.008200000000002</v>
      </c>
      <c r="N343" cm="1">
        <f t="array" ref="N343">_xlfn.IFS(C343="Canada",2,C343="India",3,C343="UK",4,C343="USA",5,C343="EU",6)</f>
        <v>2</v>
      </c>
      <c r="O343" s="662">
        <f>VLOOKUP(G343,'StdCosts and StdRates'!$A$17:$E$36,N343,FALSE)*M343</f>
        <v>6405.8609999999999</v>
      </c>
      <c r="P343"/>
      <c r="R343" s="967"/>
    </row>
    <row r="344" spans="1:18">
      <c r="A344" s="773" t="s">
        <v>227</v>
      </c>
      <c r="B344" s="773"/>
      <c r="C344" s="773" t="s">
        <v>247</v>
      </c>
      <c r="D344" s="773"/>
      <c r="E344" s="773"/>
      <c r="F344" s="773"/>
      <c r="G344" s="967" t="s">
        <v>158</v>
      </c>
      <c r="H344" s="967" t="str">
        <f t="shared" si="15"/>
        <v>Project Manager</v>
      </c>
      <c r="I344" t="str">
        <f t="shared" si="16"/>
        <v>IndiaProject Manager</v>
      </c>
      <c r="J344" t="str">
        <f t="shared" si="17"/>
        <v>IndiaUKProject Manager</v>
      </c>
      <c r="K344" cm="1">
        <f t="array" ref="K344">_xlfn.IFS(A344="Canada",4,A344="India",5,A344="UK",6,A344="USA",7,A344="EU",8)</f>
        <v>5</v>
      </c>
      <c r="L344" s="662">
        <f>VLOOKUP(H344,'StdCosts and StdRates'!$A$41:$H$86,K344,FALSE)</f>
        <v>6800</v>
      </c>
      <c r="M344" s="662" cm="1">
        <f t="array" ref="M344">_xlfn.XLOOKUP(C344&amp;A344,FX!$A$2:$A$26&amp;FX!$B$2:$B$26,FX!$C$2:$C$26)</f>
        <v>106.23399999999999</v>
      </c>
      <c r="N344" cm="1">
        <f t="array" ref="N344">_xlfn.IFS(C344="Canada",2,C344="India",3,C344="UK",4,C344="USA",5,C344="EU",6)</f>
        <v>4</v>
      </c>
      <c r="O344" s="662">
        <f>VLOOKUP(G344,'StdCosts and StdRates'!$A$17:$E$36,N344,FALSE)*M344</f>
        <v>8286.2520000000004</v>
      </c>
      <c r="P344"/>
      <c r="R344" s="967"/>
    </row>
    <row r="345" spans="1:18">
      <c r="A345" s="773" t="s">
        <v>227</v>
      </c>
      <c r="B345" s="773"/>
      <c r="C345" s="773" t="s">
        <v>736</v>
      </c>
      <c r="D345" s="773"/>
      <c r="E345" s="773"/>
      <c r="F345" s="773"/>
      <c r="G345" s="967" t="s">
        <v>158</v>
      </c>
      <c r="H345" s="967" t="str">
        <f t="shared" si="15"/>
        <v>Project Manager</v>
      </c>
      <c r="I345" t="str">
        <f t="shared" si="16"/>
        <v>IndiaProject Manager</v>
      </c>
      <c r="J345" t="str">
        <f t="shared" si="17"/>
        <v>IndiaEUProject Manager</v>
      </c>
      <c r="K345" cm="1">
        <f t="array" ref="K345">_xlfn.IFS(A345="Canada",4,A345="India",5,A345="UK",6,A345="USA",7,A345="EU",8)</f>
        <v>5</v>
      </c>
      <c r="L345" s="662">
        <f>VLOOKUP(H345,'StdCosts and StdRates'!$A$41:$H$86,K345,FALSE)</f>
        <v>6800</v>
      </c>
      <c r="M345" s="662" cm="1">
        <f t="array" ref="M345">_xlfn.XLOOKUP(C345&amp;A345,FX!$A$2:$A$26&amp;FX!$B$2:$B$26,FX!$C$2:$C$26)</f>
        <v>90.405100000000004</v>
      </c>
      <c r="N345" cm="1">
        <f t="array" ref="N345">_xlfn.IFS(C345="Canada",2,C345="India",3,C345="UK",4,C345="USA",5,C345="EU",6)</f>
        <v>6</v>
      </c>
      <c r="O345" s="662" t="e">
        <f>VLOOKUP(G345,'StdCosts and StdRates'!$A$17:$E$36,N345,FALSE)*M345</f>
        <v>#REF!</v>
      </c>
      <c r="P345"/>
      <c r="R345" s="967"/>
    </row>
    <row r="346" spans="1:18">
      <c r="A346" s="773" t="s">
        <v>227</v>
      </c>
      <c r="B346" s="773" t="s">
        <v>227</v>
      </c>
      <c r="C346" s="773" t="s">
        <v>227</v>
      </c>
      <c r="D346" s="773"/>
      <c r="E346" s="773"/>
      <c r="F346" s="773"/>
      <c r="G346" s="967" t="s">
        <v>158</v>
      </c>
      <c r="H346" s="967" t="str">
        <f t="shared" si="15"/>
        <v>IndiaProject Manager</v>
      </c>
      <c r="I346" t="str">
        <f t="shared" si="16"/>
        <v>IndiaIndiaProject Manager</v>
      </c>
      <c r="J346" t="str">
        <f t="shared" si="17"/>
        <v>IndiaIndiaProject Manager</v>
      </c>
      <c r="K346" cm="1">
        <f t="array" ref="K346">_xlfn.IFS(A346="Canada",4,A346="India",5,A346="UK",6,A346="USA",7,A346="EU",8)</f>
        <v>5</v>
      </c>
      <c r="L346" s="662">
        <f>VLOOKUP(H346,'StdCosts and StdRates'!$A$41:$H$86,K346,FALSE)</f>
        <v>6800</v>
      </c>
      <c r="M346" s="662" cm="1">
        <f t="array" ref="M346">_xlfn.XLOOKUP(C346&amp;A346,FX!$A$2:$A$26&amp;FX!$B$2:$B$26,FX!$C$2:$C$26)</f>
        <v>1</v>
      </c>
      <c r="N346" cm="1">
        <f t="array" ref="N346">_xlfn.IFS(C346="Canada",2,C346="India",3,C346="UK",4,C346="USA",5,C346="EU",6)</f>
        <v>3</v>
      </c>
      <c r="O346" s="662">
        <f>VLOOKUP(G346,'StdCosts and StdRates'!$A$17:$E$36,N346,FALSE)*M346</f>
        <v>1952</v>
      </c>
      <c r="P346"/>
      <c r="R346" s="967"/>
    </row>
    <row r="347" spans="1:18">
      <c r="A347" s="773" t="s">
        <v>736</v>
      </c>
      <c r="B347" s="773"/>
      <c r="C347" s="773" t="s">
        <v>308</v>
      </c>
      <c r="D347" s="773"/>
      <c r="E347" s="773"/>
      <c r="F347" s="773"/>
      <c r="G347" s="967" t="s">
        <v>158</v>
      </c>
      <c r="H347" s="967" t="str">
        <f t="shared" ref="H347:H410" si="18">B347&amp;G347</f>
        <v>Project Manager</v>
      </c>
      <c r="I347" t="str">
        <f t="shared" ref="I347:I410" si="19">A347&amp;B347&amp;D347&amp;E347&amp;F347&amp;G347</f>
        <v>EUProject Manager</v>
      </c>
      <c r="J347" t="str">
        <f t="shared" ref="J347:J410" si="20">A347&amp;C347&amp;D347&amp;E347&amp;F347&amp;G347</f>
        <v>EUUSAProject Manager</v>
      </c>
      <c r="K347" cm="1">
        <f t="array" ref="K347">_xlfn.IFS(A347="Canada",4,A347="India",5,A347="UK",6,A347="USA",7,A347="EU",8)</f>
        <v>8</v>
      </c>
      <c r="L347" s="662">
        <f>VLOOKUP(H347,'StdCosts and StdRates'!$A$41:$H$86,K347,FALSE)</f>
        <v>165</v>
      </c>
      <c r="M347" s="662" cm="1">
        <f t="array" ref="M347">_xlfn.XLOOKUP(C347&amp;A347,FX!$A$2:$A$26&amp;FX!$B$2:$B$26,FX!$C$2:$C$26)</f>
        <v>0.91986999999999997</v>
      </c>
      <c r="N347" cm="1">
        <f t="array" ref="N347">_xlfn.IFS(C347="Canada",2,C347="India",3,C347="UK",4,C347="USA",5,C347="EU",6)</f>
        <v>5</v>
      </c>
      <c r="O347" s="662">
        <f>VLOOKUP(G347,'StdCosts and StdRates'!$A$17:$E$36,N347,FALSE)*M347</f>
        <v>113.14400999999999</v>
      </c>
      <c r="P347"/>
      <c r="R347" s="967"/>
    </row>
    <row r="348" spans="1:18">
      <c r="A348" s="773" t="s">
        <v>736</v>
      </c>
      <c r="B348" s="773"/>
      <c r="C348" s="773" t="s">
        <v>405</v>
      </c>
      <c r="D348" s="773"/>
      <c r="E348" s="773"/>
      <c r="F348" s="773"/>
      <c r="G348" s="967" t="s">
        <v>158</v>
      </c>
      <c r="H348" s="967" t="str">
        <f t="shared" si="18"/>
        <v>Project Manager</v>
      </c>
      <c r="I348" t="str">
        <f t="shared" si="19"/>
        <v>EUProject Manager</v>
      </c>
      <c r="J348" t="str">
        <f t="shared" si="20"/>
        <v>EUCanadaProject Manager</v>
      </c>
      <c r="K348" cm="1">
        <f t="array" ref="K348">_xlfn.IFS(A348="Canada",4,A348="India",5,A348="UK",6,A348="USA",7,A348="EU",8)</f>
        <v>8</v>
      </c>
      <c r="L348" s="662">
        <f>VLOOKUP(H348,'StdCosts and StdRates'!$A$41:$H$86,K348,FALSE)</f>
        <v>165</v>
      </c>
      <c r="M348" s="662" cm="1">
        <f t="array" ref="M348">_xlfn.XLOOKUP(C348&amp;A348,FX!$A$2:$A$26&amp;FX!$B$2:$B$26,FX!$C$2:$C$26)</f>
        <v>0.67474000000000001</v>
      </c>
      <c r="N348" cm="1">
        <f t="array" ref="N348">_xlfn.IFS(C348="Canada",2,C348="India",3,C348="UK",4,C348="USA",5,C348="EU",6)</f>
        <v>2</v>
      </c>
      <c r="O348" s="662">
        <f>VLOOKUP(G348,'StdCosts and StdRates'!$A$17:$E$36,N348,FALSE)*M348</f>
        <v>70.847700000000003</v>
      </c>
      <c r="P348"/>
      <c r="R348" s="967"/>
    </row>
    <row r="349" spans="1:18">
      <c r="A349" s="773" t="s">
        <v>736</v>
      </c>
      <c r="B349" s="773"/>
      <c r="C349" s="773" t="s">
        <v>247</v>
      </c>
      <c r="D349" s="773"/>
      <c r="E349" s="773"/>
      <c r="F349" s="773"/>
      <c r="G349" s="967" t="s">
        <v>158</v>
      </c>
      <c r="H349" s="967" t="str">
        <f t="shared" si="18"/>
        <v>Project Manager</v>
      </c>
      <c r="I349" t="str">
        <f t="shared" si="19"/>
        <v>EUProject Manager</v>
      </c>
      <c r="J349" t="str">
        <f t="shared" si="20"/>
        <v>EUUKProject Manager</v>
      </c>
      <c r="K349" cm="1">
        <f t="array" ref="K349">_xlfn.IFS(A349="Canada",4,A349="India",5,A349="UK",6,A349="USA",7,A349="EU",8)</f>
        <v>8</v>
      </c>
      <c r="L349" s="662">
        <f>VLOOKUP(H349,'StdCosts and StdRates'!$A$41:$H$86,K349,FALSE)</f>
        <v>165</v>
      </c>
      <c r="M349" s="662" cm="1">
        <f t="array" ref="M349">_xlfn.XLOOKUP(C349&amp;A349,FX!$A$2:$A$26&amp;FX!$B$2:$B$26,FX!$C$2:$C$26)</f>
        <v>1.1749799999999999</v>
      </c>
      <c r="N349" cm="1">
        <f t="array" ref="N349">_xlfn.IFS(C349="Canada",2,C349="India",3,C349="UK",4,C349="USA",5,C349="EU",6)</f>
        <v>4</v>
      </c>
      <c r="O349" s="662">
        <f>VLOOKUP(G349,'StdCosts and StdRates'!$A$17:$E$36,N349,FALSE)*M349</f>
        <v>91.648439999999994</v>
      </c>
      <c r="P349"/>
      <c r="R349" s="967"/>
    </row>
    <row r="350" spans="1:18">
      <c r="A350" s="773" t="s">
        <v>736</v>
      </c>
      <c r="B350" s="773"/>
      <c r="C350" s="773" t="s">
        <v>736</v>
      </c>
      <c r="D350" s="773"/>
      <c r="E350" s="773"/>
      <c r="F350" s="773"/>
      <c r="G350" s="967" t="s">
        <v>158</v>
      </c>
      <c r="H350" s="967" t="str">
        <f t="shared" si="18"/>
        <v>Project Manager</v>
      </c>
      <c r="I350" t="str">
        <f t="shared" si="19"/>
        <v>EUProject Manager</v>
      </c>
      <c r="J350" t="str">
        <f t="shared" si="20"/>
        <v>EUEUProject Manager</v>
      </c>
      <c r="K350" cm="1">
        <f t="array" ref="K350">_xlfn.IFS(A350="Canada",4,A350="India",5,A350="UK",6,A350="USA",7,A350="EU",8)</f>
        <v>8</v>
      </c>
      <c r="L350" s="662">
        <f>VLOOKUP(H350,'StdCosts and StdRates'!$A$41:$H$86,K350,FALSE)</f>
        <v>165</v>
      </c>
      <c r="M350" s="662" cm="1">
        <f t="array" ref="M350">_xlfn.XLOOKUP(C350&amp;A350,FX!$A$2:$A$26&amp;FX!$B$2:$B$26,FX!$C$2:$C$26)</f>
        <v>1</v>
      </c>
      <c r="N350" cm="1">
        <f t="array" ref="N350">_xlfn.IFS(C350="Canada",2,C350="India",3,C350="UK",4,C350="USA",5,C350="EU",6)</f>
        <v>6</v>
      </c>
      <c r="O350" s="662" t="e">
        <f>VLOOKUP(G350,'StdCosts and StdRates'!$A$17:$E$36,N350,FALSE)*M350</f>
        <v>#REF!</v>
      </c>
      <c r="P350"/>
    </row>
    <row r="351" spans="1:18">
      <c r="A351" s="773" t="s">
        <v>736</v>
      </c>
      <c r="B351" s="773" t="s">
        <v>227</v>
      </c>
      <c r="C351" s="773" t="s">
        <v>227</v>
      </c>
      <c r="D351" s="773"/>
      <c r="E351" s="773"/>
      <c r="F351" s="773"/>
      <c r="G351" s="967" t="s">
        <v>158</v>
      </c>
      <c r="H351" s="967" t="str">
        <f t="shared" si="18"/>
        <v>IndiaProject Manager</v>
      </c>
      <c r="I351" t="str">
        <f t="shared" si="19"/>
        <v>EUIndiaProject Manager</v>
      </c>
      <c r="J351" t="str">
        <f t="shared" si="20"/>
        <v>EUIndiaProject Manager</v>
      </c>
      <c r="K351" cm="1">
        <f t="array" ref="K351">_xlfn.IFS(A351="Canada",4,A351="India",5,A351="UK",6,A351="USA",7,A351="EU",8)</f>
        <v>8</v>
      </c>
      <c r="L351" s="662">
        <f>VLOOKUP(H351,'StdCosts and StdRates'!$A$41:$H$86,K351,FALSE)</f>
        <v>75</v>
      </c>
      <c r="M351" s="662" cm="1">
        <f t="array" ref="M351">_xlfn.XLOOKUP(C351&amp;A351,FX!$A$2:$A$26&amp;FX!$B$2:$B$26,FX!$C$2:$C$26)</f>
        <v>1.106E-2</v>
      </c>
      <c r="N351" cm="1">
        <f t="array" ref="N351">_xlfn.IFS(C351="Canada",2,C351="India",3,C351="UK",4,C351="USA",5,C351="EU",6)</f>
        <v>3</v>
      </c>
      <c r="O351" s="662">
        <f>VLOOKUP(G351,'StdCosts and StdRates'!$A$17:$E$36,N351,FALSE)*M351</f>
        <v>21.589120000000001</v>
      </c>
      <c r="P351"/>
    </row>
    <row r="352" spans="1:18">
      <c r="A352" s="773" t="s">
        <v>308</v>
      </c>
      <c r="B352" s="773"/>
      <c r="C352" s="773" t="s">
        <v>308</v>
      </c>
      <c r="D352" s="773"/>
      <c r="E352" s="773"/>
      <c r="F352" s="773"/>
      <c r="G352" s="967" t="s">
        <v>379</v>
      </c>
      <c r="H352" s="967" t="str">
        <f t="shared" si="18"/>
        <v>Senior Technical Consultant</v>
      </c>
      <c r="I352" t="str">
        <f t="shared" si="19"/>
        <v>USASenior Technical Consultant</v>
      </c>
      <c r="J352" t="str">
        <f t="shared" si="20"/>
        <v>USAUSASenior Technical Consultant</v>
      </c>
      <c r="K352" cm="1">
        <f t="array" ref="K352">_xlfn.IFS(A352="Canada",4,A352="India",5,A352="UK",6,A352="USA",7,A352="EU",8)</f>
        <v>7</v>
      </c>
      <c r="L352" s="662">
        <f>VLOOKUP(H352,'StdCosts and StdRates'!$A$41:$H$86,K352,FALSE)</f>
        <v>239</v>
      </c>
      <c r="M352" s="662" cm="1">
        <f t="array" ref="M352">_xlfn.XLOOKUP(C352&amp;A352,FX!$A$2:$A$26&amp;FX!$B$2:$B$26,FX!$C$2:$C$26)</f>
        <v>1</v>
      </c>
      <c r="N352" cm="1">
        <f t="array" ref="N352">_xlfn.IFS(C352="Canada",2,C352="India",3,C352="UK",4,C352="USA",5,C352="EU",6)</f>
        <v>5</v>
      </c>
      <c r="O352" s="662">
        <f>VLOOKUP(G352,'StdCosts and StdRates'!$A$17:$E$36,N352,FALSE)*M352</f>
        <v>130</v>
      </c>
      <c r="P352"/>
    </row>
    <row r="353" spans="1:18">
      <c r="A353" s="773" t="s">
        <v>308</v>
      </c>
      <c r="B353" s="773"/>
      <c r="C353" s="773" t="s">
        <v>405</v>
      </c>
      <c r="D353" s="773"/>
      <c r="E353" s="773"/>
      <c r="F353" s="773"/>
      <c r="G353" s="967" t="s">
        <v>379</v>
      </c>
      <c r="H353" s="967" t="str">
        <f t="shared" si="18"/>
        <v>Senior Technical Consultant</v>
      </c>
      <c r="I353" t="str">
        <f t="shared" si="19"/>
        <v>USASenior Technical Consultant</v>
      </c>
      <c r="J353" t="str">
        <f t="shared" si="20"/>
        <v>USACanadaSenior Technical Consultant</v>
      </c>
      <c r="K353" cm="1">
        <f t="array" ref="K353">_xlfn.IFS(A353="Canada",4,A353="India",5,A353="UK",6,A353="USA",7,A353="EU",8)</f>
        <v>7</v>
      </c>
      <c r="L353" s="662">
        <f>VLOOKUP(H353,'StdCosts and StdRates'!$A$41:$H$86,K353,FALSE)</f>
        <v>239</v>
      </c>
      <c r="M353" s="662" cm="1">
        <f t="array" ref="M353">_xlfn.XLOOKUP(C353&amp;A353,FX!$A$2:$A$26&amp;FX!$B$2:$B$26,FX!$C$2:$C$26)</f>
        <v>0.73351999999999995</v>
      </c>
      <c r="N353" cm="1">
        <f t="array" ref="N353">_xlfn.IFS(C353="Canada",2,C353="India",3,C353="UK",4,C353="USA",5,C353="EU",6)</f>
        <v>2</v>
      </c>
      <c r="O353" s="662">
        <f>VLOOKUP(G353,'StdCosts and StdRates'!$A$17:$E$36,N353,FALSE)*M353</f>
        <v>83.621279999999999</v>
      </c>
      <c r="P353"/>
    </row>
    <row r="354" spans="1:18">
      <c r="A354" s="773" t="s">
        <v>308</v>
      </c>
      <c r="B354" s="773"/>
      <c r="C354" s="773" t="s">
        <v>247</v>
      </c>
      <c r="D354" s="773"/>
      <c r="E354" s="773"/>
      <c r="F354" s="773"/>
      <c r="G354" s="967" t="s">
        <v>379</v>
      </c>
      <c r="H354" s="967" t="str">
        <f t="shared" si="18"/>
        <v>Senior Technical Consultant</v>
      </c>
      <c r="I354" t="str">
        <f t="shared" si="19"/>
        <v>USASenior Technical Consultant</v>
      </c>
      <c r="J354" t="str">
        <f t="shared" si="20"/>
        <v>USAUKSenior Technical Consultant</v>
      </c>
      <c r="K354" cm="1">
        <f t="array" ref="K354">_xlfn.IFS(A354="Canada",4,A354="India",5,A354="UK",6,A354="USA",7,A354="EU",8)</f>
        <v>7</v>
      </c>
      <c r="L354" s="662">
        <f>VLOOKUP(H354,'StdCosts and StdRates'!$A$41:$H$86,K354,FALSE)</f>
        <v>239</v>
      </c>
      <c r="M354" s="662" cm="1">
        <f t="array" ref="M354">_xlfn.XLOOKUP(C354&amp;A354,FX!$A$2:$A$26&amp;FX!$B$2:$B$26,FX!$C$2:$C$26)</f>
        <v>1.2772699999999999</v>
      </c>
      <c r="N354" cm="1">
        <f t="array" ref="N354">_xlfn.IFS(C354="Canada",2,C354="India",3,C354="UK",4,C354="USA",5,C354="EU",6)</f>
        <v>4</v>
      </c>
      <c r="O354" s="662">
        <f>VLOOKUP(G354,'StdCosts and StdRates'!$A$17:$E$36,N354,FALSE)*M354</f>
        <v>103.45886999999999</v>
      </c>
      <c r="P354"/>
    </row>
    <row r="355" spans="1:18">
      <c r="A355" s="773" t="s">
        <v>308</v>
      </c>
      <c r="B355" s="773"/>
      <c r="C355" s="773" t="s">
        <v>736</v>
      </c>
      <c r="D355" s="773"/>
      <c r="E355" s="773"/>
      <c r="F355" s="773"/>
      <c r="G355" s="967" t="s">
        <v>379</v>
      </c>
      <c r="H355" s="967" t="str">
        <f t="shared" si="18"/>
        <v>Senior Technical Consultant</v>
      </c>
      <c r="I355" t="str">
        <f t="shared" si="19"/>
        <v>USASenior Technical Consultant</v>
      </c>
      <c r="J355" t="str">
        <f t="shared" si="20"/>
        <v>USAEUSenior Technical Consultant</v>
      </c>
      <c r="K355" cm="1">
        <f t="array" ref="K355">_xlfn.IFS(A355="Canada",4,A355="India",5,A355="UK",6,A355="USA",7,A355="EU",8)</f>
        <v>7</v>
      </c>
      <c r="L355" s="662">
        <f>VLOOKUP(H355,'StdCosts and StdRates'!$A$41:$H$86,K355,FALSE)</f>
        <v>239</v>
      </c>
      <c r="M355" s="662" cm="1">
        <f t="array" ref="M355">_xlfn.XLOOKUP(C355&amp;A355,FX!$A$2:$A$26&amp;FX!$B$2:$B$26,FX!$C$2:$C$26)</f>
        <v>1.0869599999999999</v>
      </c>
      <c r="N355" cm="1">
        <f t="array" ref="N355">_xlfn.IFS(C355="Canada",2,C355="India",3,C355="UK",4,C355="USA",5,C355="EU",6)</f>
        <v>6</v>
      </c>
      <c r="O355" s="662" t="e">
        <f>VLOOKUP(G355,'StdCosts and StdRates'!$A$17:$E$36,N355,FALSE)*M355</f>
        <v>#REF!</v>
      </c>
      <c r="P355"/>
    </row>
    <row r="356" spans="1:18">
      <c r="A356" s="773" t="s">
        <v>308</v>
      </c>
      <c r="B356" s="773" t="s">
        <v>227</v>
      </c>
      <c r="C356" s="773" t="s">
        <v>227</v>
      </c>
      <c r="D356" s="773"/>
      <c r="E356" s="773"/>
      <c r="F356" s="773"/>
      <c r="G356" s="967" t="s">
        <v>379</v>
      </c>
      <c r="H356" s="967" t="str">
        <f t="shared" si="18"/>
        <v>IndiaSenior Technical Consultant</v>
      </c>
      <c r="I356" t="str">
        <f t="shared" si="19"/>
        <v>USAIndiaSenior Technical Consultant</v>
      </c>
      <c r="J356" t="str">
        <f t="shared" si="20"/>
        <v>USAIndiaSenior Technical Consultant</v>
      </c>
      <c r="K356" cm="1">
        <f t="array" ref="K356">_xlfn.IFS(A356="Canada",4,A356="India",5,A356="UK",6,A356="USA",7,A356="EU",8)</f>
        <v>7</v>
      </c>
      <c r="L356" s="662">
        <f>VLOOKUP(H356,'StdCosts and StdRates'!$A$41:$H$86,K356,FALSE)</f>
        <v>95</v>
      </c>
      <c r="M356" s="662" cm="1">
        <f t="array" ref="M356">_xlfn.XLOOKUP(C356&amp;A356,FX!$A$2:$A$26&amp;FX!$B$2:$B$26,FX!$C$2:$C$26)</f>
        <v>1.2019999999999999E-2</v>
      </c>
      <c r="N356" cm="1">
        <f t="array" ref="N356">_xlfn.IFS(C356="Canada",2,C356="India",3,C356="UK",4,C356="USA",5,C356="EU",6)</f>
        <v>3</v>
      </c>
      <c r="O356" s="662">
        <f>VLOOKUP(G356,'StdCosts and StdRates'!$A$17:$E$36,N356,FALSE)*M356</f>
        <v>25.374219999999998</v>
      </c>
      <c r="P356"/>
    </row>
    <row r="357" spans="1:18">
      <c r="A357" s="773" t="s">
        <v>405</v>
      </c>
      <c r="B357" s="773"/>
      <c r="C357" s="773" t="s">
        <v>308</v>
      </c>
      <c r="D357" s="773"/>
      <c r="E357" s="773"/>
      <c r="F357" s="773"/>
      <c r="G357" s="967" t="s">
        <v>379</v>
      </c>
      <c r="H357" s="967" t="str">
        <f t="shared" si="18"/>
        <v>Senior Technical Consultant</v>
      </c>
      <c r="I357" t="str">
        <f t="shared" si="19"/>
        <v>CanadaSenior Technical Consultant</v>
      </c>
      <c r="J357" t="str">
        <f t="shared" si="20"/>
        <v>CanadaUSASenior Technical Consultant</v>
      </c>
      <c r="K357" cm="1">
        <f t="array" ref="K357">_xlfn.IFS(A357="Canada",4,A357="India",5,A357="UK",6,A357="USA",7,A357="EU",8)</f>
        <v>4</v>
      </c>
      <c r="L357" s="662">
        <f>VLOOKUP(H357,'StdCosts and StdRates'!$A$41:$H$86,K357,FALSE)</f>
        <v>259</v>
      </c>
      <c r="M357" s="662" cm="1">
        <f t="array" ref="M357">_xlfn.XLOOKUP(C357&amp;A357,FX!$A$2:$A$26&amp;FX!$B$2:$B$26,FX!$C$2:$C$26)</f>
        <v>1.36311</v>
      </c>
      <c r="N357" cm="1">
        <f t="array" ref="N357">_xlfn.IFS(C357="Canada",2,C357="India",3,C357="UK",4,C357="USA",5,C357="EU",6)</f>
        <v>5</v>
      </c>
      <c r="O357" s="662">
        <f>VLOOKUP(G357,'StdCosts and StdRates'!$A$17:$E$36,N357,FALSE)*M357</f>
        <v>177.20430000000002</v>
      </c>
      <c r="P357"/>
    </row>
    <row r="358" spans="1:18">
      <c r="A358" s="773" t="s">
        <v>405</v>
      </c>
      <c r="B358" s="773"/>
      <c r="C358" s="773" t="s">
        <v>405</v>
      </c>
      <c r="D358" s="773"/>
      <c r="E358" s="773"/>
      <c r="F358" s="773"/>
      <c r="G358" s="967" t="s">
        <v>379</v>
      </c>
      <c r="H358" s="967" t="str">
        <f t="shared" si="18"/>
        <v>Senior Technical Consultant</v>
      </c>
      <c r="I358" t="str">
        <f t="shared" si="19"/>
        <v>CanadaSenior Technical Consultant</v>
      </c>
      <c r="J358" t="str">
        <f t="shared" si="20"/>
        <v>CanadaCanadaSenior Technical Consultant</v>
      </c>
      <c r="K358" cm="1">
        <f t="array" ref="K358">_xlfn.IFS(A358="Canada",4,A358="India",5,A358="UK",6,A358="USA",7,A358="EU",8)</f>
        <v>4</v>
      </c>
      <c r="L358" s="662">
        <f>VLOOKUP(H358,'StdCosts and StdRates'!$A$41:$H$86,K358,FALSE)</f>
        <v>259</v>
      </c>
      <c r="M358" s="662" cm="1">
        <f t="array" ref="M358">_xlfn.XLOOKUP(C358&amp;A358,FX!$A$2:$A$26&amp;FX!$B$2:$B$26,FX!$C$2:$C$26)</f>
        <v>1</v>
      </c>
      <c r="N358" cm="1">
        <f t="array" ref="N358">_xlfn.IFS(C358="Canada",2,C358="India",3,C358="UK",4,C358="USA",5,C358="EU",6)</f>
        <v>2</v>
      </c>
      <c r="O358" s="662">
        <f>VLOOKUP(G358,'StdCosts and StdRates'!$A$17:$E$36,N358,FALSE)*M358</f>
        <v>114</v>
      </c>
      <c r="P358"/>
    </row>
    <row r="359" spans="1:18">
      <c r="A359" s="773" t="s">
        <v>405</v>
      </c>
      <c r="B359" s="773"/>
      <c r="C359" s="773" t="s">
        <v>247</v>
      </c>
      <c r="D359" s="773"/>
      <c r="E359" s="773"/>
      <c r="F359" s="773"/>
      <c r="G359" s="967" t="s">
        <v>379</v>
      </c>
      <c r="H359" s="967" t="str">
        <f t="shared" si="18"/>
        <v>Senior Technical Consultant</v>
      </c>
      <c r="I359" t="str">
        <f t="shared" si="19"/>
        <v>CanadaSenior Technical Consultant</v>
      </c>
      <c r="J359" t="str">
        <f t="shared" si="20"/>
        <v>CanadaUKSenior Technical Consultant</v>
      </c>
      <c r="K359" cm="1">
        <f t="array" ref="K359">_xlfn.IFS(A359="Canada",4,A359="India",5,A359="UK",6,A359="USA",7,A359="EU",8)</f>
        <v>4</v>
      </c>
      <c r="L359" s="662">
        <f>VLOOKUP(H359,'StdCosts and StdRates'!$A$41:$H$86,K359,FALSE)</f>
        <v>259</v>
      </c>
      <c r="M359" s="662" cm="1">
        <f t="array" ref="M359">_xlfn.XLOOKUP(C359&amp;A359,FX!$A$2:$A$26&amp;FX!$B$2:$B$26,FX!$C$2:$C$26)</f>
        <v>1.7410699999999999</v>
      </c>
      <c r="N359" cm="1">
        <f t="array" ref="N359">_xlfn.IFS(C359="Canada",2,C359="India",3,C359="UK",4,C359="USA",5,C359="EU",6)</f>
        <v>4</v>
      </c>
      <c r="O359" s="662">
        <f>VLOOKUP(G359,'StdCosts and StdRates'!$A$17:$E$36,N359,FALSE)*M359</f>
        <v>141.02667</v>
      </c>
      <c r="P359"/>
    </row>
    <row r="360" spans="1:18">
      <c r="A360" s="773" t="s">
        <v>405</v>
      </c>
      <c r="B360" s="773"/>
      <c r="C360" s="773" t="s">
        <v>736</v>
      </c>
      <c r="D360" s="773"/>
      <c r="E360" s="773"/>
      <c r="F360" s="773"/>
      <c r="G360" s="967" t="s">
        <v>379</v>
      </c>
      <c r="H360" s="967" t="str">
        <f t="shared" si="18"/>
        <v>Senior Technical Consultant</v>
      </c>
      <c r="I360" t="str">
        <f t="shared" si="19"/>
        <v>CanadaSenior Technical Consultant</v>
      </c>
      <c r="J360" t="str">
        <f t="shared" si="20"/>
        <v>CanadaEUSenior Technical Consultant</v>
      </c>
      <c r="K360" cm="1">
        <f t="array" ref="K360">_xlfn.IFS(A360="Canada",4,A360="India",5,A360="UK",6,A360="USA",7,A360="EU",8)</f>
        <v>4</v>
      </c>
      <c r="L360" s="662">
        <f>VLOOKUP(H360,'StdCosts and StdRates'!$A$41:$H$86,K360,FALSE)</f>
        <v>259</v>
      </c>
      <c r="M360" s="662" cm="1">
        <f t="array" ref="M360">_xlfn.XLOOKUP(C360&amp;A360,FX!$A$2:$A$26&amp;FX!$B$2:$B$26,FX!$C$2:$C$26)</f>
        <v>1.4816499999999999</v>
      </c>
      <c r="N360" cm="1">
        <f t="array" ref="N360">_xlfn.IFS(C360="Canada",2,C360="India",3,C360="UK",4,C360="USA",5,C360="EU",6)</f>
        <v>6</v>
      </c>
      <c r="O360" s="662" t="e">
        <f>VLOOKUP(G360,'StdCosts and StdRates'!$A$17:$E$36,N360,FALSE)*M360</f>
        <v>#REF!</v>
      </c>
      <c r="P360"/>
    </row>
    <row r="361" spans="1:18">
      <c r="A361" s="773" t="s">
        <v>405</v>
      </c>
      <c r="B361" s="773" t="s">
        <v>227</v>
      </c>
      <c r="C361" s="773" t="s">
        <v>227</v>
      </c>
      <c r="D361" s="773"/>
      <c r="E361" s="773"/>
      <c r="F361" s="773"/>
      <c r="G361" s="967" t="s">
        <v>379</v>
      </c>
      <c r="H361" s="967" t="str">
        <f t="shared" si="18"/>
        <v>IndiaSenior Technical Consultant</v>
      </c>
      <c r="I361" t="str">
        <f t="shared" si="19"/>
        <v>CanadaIndiaSenior Technical Consultant</v>
      </c>
      <c r="J361" t="str">
        <f t="shared" si="20"/>
        <v>CanadaIndiaSenior Technical Consultant</v>
      </c>
      <c r="K361" cm="1">
        <f t="array" ref="K361">_xlfn.IFS(A361="Canada",4,A361="India",5,A361="UK",6,A361="USA",7,A361="EU",8)</f>
        <v>4</v>
      </c>
      <c r="L361" s="662">
        <f>VLOOKUP(H361,'StdCosts and StdRates'!$A$41:$H$86,K361,FALSE)</f>
        <v>119</v>
      </c>
      <c r="M361" s="662" cm="1">
        <f t="array" ref="M361">_xlfn.XLOOKUP(C361&amp;A361,FX!$A$2:$A$26&amp;FX!$B$2:$B$26,FX!$C$2:$C$26)</f>
        <v>1.6389999999999998E-2</v>
      </c>
      <c r="N361" cm="1">
        <f t="array" ref="N361">_xlfn.IFS(C361="Canada",2,C361="India",3,C361="UK",4,C361="USA",5,C361="EU",6)</f>
        <v>3</v>
      </c>
      <c r="O361" s="662">
        <f>VLOOKUP(G361,'StdCosts and StdRates'!$A$17:$E$36,N361,FALSE)*M361</f>
        <v>34.599289999999996</v>
      </c>
      <c r="P361"/>
    </row>
    <row r="362" spans="1:18">
      <c r="A362" s="773" t="s">
        <v>247</v>
      </c>
      <c r="B362" s="773"/>
      <c r="C362" s="773" t="s">
        <v>308</v>
      </c>
      <c r="D362" s="773"/>
      <c r="E362" s="773"/>
      <c r="F362" s="773"/>
      <c r="G362" s="967" t="s">
        <v>379</v>
      </c>
      <c r="H362" s="967" t="str">
        <f t="shared" si="18"/>
        <v>Senior Technical Consultant</v>
      </c>
      <c r="I362" t="str">
        <f t="shared" si="19"/>
        <v>UKSenior Technical Consultant</v>
      </c>
      <c r="J362" t="str">
        <f t="shared" si="20"/>
        <v>UKUSASenior Technical Consultant</v>
      </c>
      <c r="K362" cm="1">
        <f t="array" ref="K362">_xlfn.IFS(A362="Canada",4,A362="India",5,A362="UK",6,A362="USA",7,A362="EU",8)</f>
        <v>6</v>
      </c>
      <c r="L362" s="662">
        <f>VLOOKUP(H362,'StdCosts and StdRates'!$A$41:$H$86,K362,FALSE)</f>
        <v>155</v>
      </c>
      <c r="M362" s="662" cm="1">
        <f t="array" ref="M362">_xlfn.XLOOKUP(C362&amp;A362,FX!$A$2:$A$26&amp;FX!$B$2:$B$26,FX!$C$2:$C$26)</f>
        <v>0.78280000000000005</v>
      </c>
      <c r="N362" cm="1">
        <f t="array" ref="N362">_xlfn.IFS(C362="Canada",2,C362="India",3,C362="UK",4,C362="USA",5,C362="EU",6)</f>
        <v>5</v>
      </c>
      <c r="O362" s="662">
        <f>VLOOKUP(G362,'StdCosts and StdRates'!$A$17:$E$36,N362,FALSE)*M362</f>
        <v>101.76400000000001</v>
      </c>
      <c r="P362"/>
    </row>
    <row r="363" spans="1:18">
      <c r="A363" s="773" t="s">
        <v>247</v>
      </c>
      <c r="B363" s="773"/>
      <c r="C363" s="773" t="s">
        <v>405</v>
      </c>
      <c r="D363" s="773"/>
      <c r="E363" s="773"/>
      <c r="F363" s="773"/>
      <c r="G363" s="967" t="s">
        <v>379</v>
      </c>
      <c r="H363" s="967" t="str">
        <f t="shared" si="18"/>
        <v>Senior Technical Consultant</v>
      </c>
      <c r="I363" t="str">
        <f t="shared" si="19"/>
        <v>UKSenior Technical Consultant</v>
      </c>
      <c r="J363" t="str">
        <f t="shared" si="20"/>
        <v>UKCanadaSenior Technical Consultant</v>
      </c>
      <c r="K363" cm="1">
        <f t="array" ref="K363">_xlfn.IFS(A363="Canada",4,A363="India",5,A363="UK",6,A363="USA",7,A363="EU",8)</f>
        <v>6</v>
      </c>
      <c r="L363" s="662">
        <f>VLOOKUP(H363,'StdCosts and StdRates'!$A$41:$H$86,K363,FALSE)</f>
        <v>155</v>
      </c>
      <c r="M363" s="662" cm="1">
        <f t="array" ref="M363">_xlfn.XLOOKUP(C363&amp;A363,FX!$A$2:$A$26&amp;FX!$B$2:$B$26,FX!$C$2:$C$26)</f>
        <v>0.57420000000000004</v>
      </c>
      <c r="N363" cm="1">
        <f t="array" ref="N363">_xlfn.IFS(C363="Canada",2,C363="India",3,C363="UK",4,C363="USA",5,C363="EU",6)</f>
        <v>2</v>
      </c>
      <c r="O363" s="662">
        <f>VLOOKUP(G363,'StdCosts and StdRates'!$A$17:$E$36,N363,FALSE)*M363</f>
        <v>65.458800000000011</v>
      </c>
      <c r="P363"/>
    </row>
    <row r="364" spans="1:18">
      <c r="A364" s="773" t="s">
        <v>247</v>
      </c>
      <c r="B364" s="773"/>
      <c r="C364" s="773" t="s">
        <v>247</v>
      </c>
      <c r="D364" s="773"/>
      <c r="E364" s="773"/>
      <c r="F364" s="773"/>
      <c r="G364" s="967" t="s">
        <v>379</v>
      </c>
      <c r="H364" s="967" t="str">
        <f t="shared" si="18"/>
        <v>Senior Technical Consultant</v>
      </c>
      <c r="I364" t="str">
        <f t="shared" si="19"/>
        <v>UKSenior Technical Consultant</v>
      </c>
      <c r="J364" t="str">
        <f t="shared" si="20"/>
        <v>UKUKSenior Technical Consultant</v>
      </c>
      <c r="K364" cm="1">
        <f t="array" ref="K364">_xlfn.IFS(A364="Canada",4,A364="India",5,A364="UK",6,A364="USA",7,A364="EU",8)</f>
        <v>6</v>
      </c>
      <c r="L364" s="662">
        <f>VLOOKUP(H364,'StdCosts and StdRates'!$A$41:$H$86,K364,FALSE)</f>
        <v>155</v>
      </c>
      <c r="M364" s="662" cm="1">
        <f t="array" ref="M364">_xlfn.XLOOKUP(C364&amp;A364,FX!$A$2:$A$26&amp;FX!$B$2:$B$26,FX!$C$2:$C$26)</f>
        <v>1</v>
      </c>
      <c r="N364" cm="1">
        <f t="array" ref="N364">_xlfn.IFS(C364="Canada",2,C364="India",3,C364="UK",4,C364="USA",5,C364="EU",6)</f>
        <v>4</v>
      </c>
      <c r="O364" s="662">
        <f>VLOOKUP(G364,'StdCosts and StdRates'!$A$17:$E$36,N364,FALSE)*M364</f>
        <v>81</v>
      </c>
      <c r="P364"/>
    </row>
    <row r="365" spans="1:18">
      <c r="A365" s="773" t="s">
        <v>247</v>
      </c>
      <c r="B365" s="773"/>
      <c r="C365" s="773" t="s">
        <v>736</v>
      </c>
      <c r="D365" s="773"/>
      <c r="E365" s="773"/>
      <c r="F365" s="773"/>
      <c r="G365" s="967" t="s">
        <v>379</v>
      </c>
      <c r="H365" s="967" t="str">
        <f t="shared" si="18"/>
        <v>Senior Technical Consultant</v>
      </c>
      <c r="I365" t="str">
        <f t="shared" si="19"/>
        <v>UKSenior Technical Consultant</v>
      </c>
      <c r="J365" t="str">
        <f t="shared" si="20"/>
        <v>UKEUSenior Technical Consultant</v>
      </c>
      <c r="K365" cm="1">
        <f t="array" ref="K365">_xlfn.IFS(A365="Canada",4,A365="India",5,A365="UK",6,A365="USA",7,A365="EU",8)</f>
        <v>6</v>
      </c>
      <c r="L365" s="662">
        <f>VLOOKUP(H365,'StdCosts and StdRates'!$A$41:$H$86,K365,FALSE)</f>
        <v>155</v>
      </c>
      <c r="M365" s="662" cm="1">
        <f t="array" ref="M365">_xlfn.XLOOKUP(C365&amp;A365,FX!$A$2:$A$26&amp;FX!$B$2:$B$26,FX!$C$2:$C$26)</f>
        <v>0.85092999999999996</v>
      </c>
      <c r="N365" cm="1">
        <f t="array" ref="N365">_xlfn.IFS(C365="Canada",2,C365="India",3,C365="UK",4,C365="USA",5,C365="EU",6)</f>
        <v>6</v>
      </c>
      <c r="O365" s="662" t="e">
        <f>VLOOKUP(G365,'StdCosts and StdRates'!$A$17:$E$36,N365,FALSE)*M365</f>
        <v>#REF!</v>
      </c>
      <c r="P365"/>
    </row>
    <row r="366" spans="1:18">
      <c r="A366" s="773" t="s">
        <v>247</v>
      </c>
      <c r="B366" s="773" t="s">
        <v>227</v>
      </c>
      <c r="C366" s="773" t="s">
        <v>227</v>
      </c>
      <c r="D366" s="773"/>
      <c r="E366" s="773"/>
      <c r="F366" s="773"/>
      <c r="G366" s="967" t="s">
        <v>379</v>
      </c>
      <c r="H366" s="967" t="str">
        <f t="shared" si="18"/>
        <v>IndiaSenior Technical Consultant</v>
      </c>
      <c r="I366" t="str">
        <f t="shared" si="19"/>
        <v>UKIndiaSenior Technical Consultant</v>
      </c>
      <c r="J366" t="str">
        <f t="shared" si="20"/>
        <v>UKIndiaSenior Technical Consultant</v>
      </c>
      <c r="K366" cm="1">
        <f t="array" ref="K366">_xlfn.IFS(A366="Canada",4,A366="India",5,A366="UK",6,A366="USA",7,A366="EU",8)</f>
        <v>6</v>
      </c>
      <c r="L366" s="662">
        <f>VLOOKUP(H366,'StdCosts and StdRates'!$A$41:$H$86,K366,FALSE)</f>
        <v>69</v>
      </c>
      <c r="M366" s="662" cm="1">
        <f t="array" ref="M366">_xlfn.XLOOKUP(C366&amp;A366,FX!$A$2:$A$26&amp;FX!$B$2:$B$26,FX!$C$2:$C$26)</f>
        <v>9.41E-3</v>
      </c>
      <c r="N366" cm="1">
        <f t="array" ref="N366">_xlfn.IFS(C366="Canada",2,C366="India",3,C366="UK",4,C366="USA",5,C366="EU",6)</f>
        <v>3</v>
      </c>
      <c r="O366" s="662">
        <f>VLOOKUP(G366,'StdCosts and StdRates'!$A$17:$E$36,N366,FALSE)*M366</f>
        <v>19.864509999999999</v>
      </c>
      <c r="P366"/>
    </row>
    <row r="367" spans="1:18">
      <c r="A367" s="773" t="s">
        <v>227</v>
      </c>
      <c r="B367" s="773"/>
      <c r="C367" s="773" t="s">
        <v>308</v>
      </c>
      <c r="D367" s="773"/>
      <c r="E367" s="773"/>
      <c r="F367" s="773"/>
      <c r="G367" s="967" t="s">
        <v>379</v>
      </c>
      <c r="H367" s="967" t="str">
        <f t="shared" si="18"/>
        <v>Senior Technical Consultant</v>
      </c>
      <c r="I367" t="str">
        <f t="shared" si="19"/>
        <v>IndiaSenior Technical Consultant</v>
      </c>
      <c r="J367" t="str">
        <f t="shared" si="20"/>
        <v>IndiaUSASenior Technical Consultant</v>
      </c>
      <c r="K367" cm="1">
        <f t="array" ref="K367">_xlfn.IFS(A367="Canada",4,A367="India",5,A367="UK",6,A367="USA",7,A367="EU",8)</f>
        <v>5</v>
      </c>
      <c r="L367" s="662">
        <f>VLOOKUP(H367,'StdCosts and StdRates'!$A$41:$H$86,K367,FALSE)</f>
        <v>7200</v>
      </c>
      <c r="M367" s="662" cm="1">
        <f t="array" ref="M367">_xlfn.XLOOKUP(C367&amp;A367,FX!$A$2:$A$26&amp;FX!$B$2:$B$26,FX!$C$2:$C$26)</f>
        <v>83.1721</v>
      </c>
      <c r="N367" cm="1">
        <f t="array" ref="N367">_xlfn.IFS(C367="Canada",2,C367="India",3,C367="UK",4,C367="USA",5,C367="EU",6)</f>
        <v>5</v>
      </c>
      <c r="O367" s="662">
        <f>VLOOKUP(G367,'StdCosts and StdRates'!$A$17:$E$36,N367,FALSE)*M367</f>
        <v>10812.373</v>
      </c>
      <c r="P367"/>
      <c r="R367" s="967"/>
    </row>
    <row r="368" spans="1:18">
      <c r="A368" s="773" t="s">
        <v>227</v>
      </c>
      <c r="B368" s="773"/>
      <c r="C368" s="773" t="s">
        <v>405</v>
      </c>
      <c r="D368" s="773"/>
      <c r="E368" s="773"/>
      <c r="F368" s="773"/>
      <c r="G368" s="967" t="s">
        <v>379</v>
      </c>
      <c r="H368" s="967" t="str">
        <f t="shared" si="18"/>
        <v>Senior Technical Consultant</v>
      </c>
      <c r="I368" t="str">
        <f t="shared" si="19"/>
        <v>IndiaSenior Technical Consultant</v>
      </c>
      <c r="J368" t="str">
        <f t="shared" si="20"/>
        <v>IndiaCanadaSenior Technical Consultant</v>
      </c>
      <c r="K368" cm="1">
        <f t="array" ref="K368">_xlfn.IFS(A368="Canada",4,A368="India",5,A368="UK",6,A368="USA",7,A368="EU",8)</f>
        <v>5</v>
      </c>
      <c r="L368" s="662">
        <f>VLOOKUP(H368,'StdCosts and StdRates'!$A$41:$H$86,K368,FALSE)</f>
        <v>7200</v>
      </c>
      <c r="M368" s="662" cm="1">
        <f t="array" ref="M368">_xlfn.XLOOKUP(C368&amp;A368,FX!$A$2:$A$26&amp;FX!$B$2:$B$26,FX!$C$2:$C$26)</f>
        <v>61.008200000000002</v>
      </c>
      <c r="N368" cm="1">
        <f t="array" ref="N368">_xlfn.IFS(C368="Canada",2,C368="India",3,C368="UK",4,C368="USA",5,C368="EU",6)</f>
        <v>2</v>
      </c>
      <c r="O368" s="662">
        <f>VLOOKUP(G368,'StdCosts and StdRates'!$A$17:$E$36,N368,FALSE)*M368</f>
        <v>6954.9348</v>
      </c>
      <c r="P368"/>
      <c r="R368" s="967"/>
    </row>
    <row r="369" spans="1:18">
      <c r="A369" s="773" t="s">
        <v>227</v>
      </c>
      <c r="B369" s="773"/>
      <c r="C369" s="773" t="s">
        <v>247</v>
      </c>
      <c r="D369" s="773"/>
      <c r="E369" s="773"/>
      <c r="F369" s="773"/>
      <c r="G369" s="967" t="s">
        <v>379</v>
      </c>
      <c r="H369" s="967" t="str">
        <f t="shared" si="18"/>
        <v>Senior Technical Consultant</v>
      </c>
      <c r="I369" t="str">
        <f t="shared" si="19"/>
        <v>IndiaSenior Technical Consultant</v>
      </c>
      <c r="J369" t="str">
        <f t="shared" si="20"/>
        <v>IndiaUKSenior Technical Consultant</v>
      </c>
      <c r="K369" cm="1">
        <f t="array" ref="K369">_xlfn.IFS(A369="Canada",4,A369="India",5,A369="UK",6,A369="USA",7,A369="EU",8)</f>
        <v>5</v>
      </c>
      <c r="L369" s="662">
        <f>VLOOKUP(H369,'StdCosts and StdRates'!$A$41:$H$86,K369,FALSE)</f>
        <v>7200</v>
      </c>
      <c r="M369" s="662" cm="1">
        <f t="array" ref="M369">_xlfn.XLOOKUP(C369&amp;A369,FX!$A$2:$A$26&amp;FX!$B$2:$B$26,FX!$C$2:$C$26)</f>
        <v>106.23399999999999</v>
      </c>
      <c r="N369" cm="1">
        <f t="array" ref="N369">_xlfn.IFS(C369="Canada",2,C369="India",3,C369="UK",4,C369="USA",5,C369="EU",6)</f>
        <v>4</v>
      </c>
      <c r="O369" s="662">
        <f>VLOOKUP(G369,'StdCosts and StdRates'!$A$17:$E$36,N369,FALSE)*M369</f>
        <v>8604.9539999999997</v>
      </c>
      <c r="P369"/>
      <c r="R369" s="967"/>
    </row>
    <row r="370" spans="1:18">
      <c r="A370" s="773" t="s">
        <v>227</v>
      </c>
      <c r="B370" s="773"/>
      <c r="C370" s="773" t="s">
        <v>736</v>
      </c>
      <c r="D370" s="773"/>
      <c r="E370" s="773"/>
      <c r="F370" s="773"/>
      <c r="G370" s="967" t="s">
        <v>379</v>
      </c>
      <c r="H370" s="967" t="str">
        <f t="shared" si="18"/>
        <v>Senior Technical Consultant</v>
      </c>
      <c r="I370" t="str">
        <f t="shared" si="19"/>
        <v>IndiaSenior Technical Consultant</v>
      </c>
      <c r="J370" t="str">
        <f t="shared" si="20"/>
        <v>IndiaEUSenior Technical Consultant</v>
      </c>
      <c r="K370" cm="1">
        <f t="array" ref="K370">_xlfn.IFS(A370="Canada",4,A370="India",5,A370="UK",6,A370="USA",7,A370="EU",8)</f>
        <v>5</v>
      </c>
      <c r="L370" s="662">
        <f>VLOOKUP(H370,'StdCosts and StdRates'!$A$41:$H$86,K370,FALSE)</f>
        <v>7200</v>
      </c>
      <c r="M370" s="662" cm="1">
        <f t="array" ref="M370">_xlfn.XLOOKUP(C370&amp;A370,FX!$A$2:$A$26&amp;FX!$B$2:$B$26,FX!$C$2:$C$26)</f>
        <v>90.405100000000004</v>
      </c>
      <c r="N370" cm="1">
        <f t="array" ref="N370">_xlfn.IFS(C370="Canada",2,C370="India",3,C370="UK",4,C370="USA",5,C370="EU",6)</f>
        <v>6</v>
      </c>
      <c r="O370" s="662" t="e">
        <f>VLOOKUP(G370,'StdCosts and StdRates'!$A$17:$E$36,N370,FALSE)*M370</f>
        <v>#REF!</v>
      </c>
      <c r="P370"/>
      <c r="R370" s="967"/>
    </row>
    <row r="371" spans="1:18">
      <c r="A371" s="773" t="s">
        <v>227</v>
      </c>
      <c r="B371" s="773" t="s">
        <v>227</v>
      </c>
      <c r="C371" s="773" t="s">
        <v>227</v>
      </c>
      <c r="D371" s="773"/>
      <c r="E371" s="773"/>
      <c r="F371" s="773"/>
      <c r="G371" s="967" t="s">
        <v>379</v>
      </c>
      <c r="H371" s="967" t="str">
        <f t="shared" si="18"/>
        <v>IndiaSenior Technical Consultant</v>
      </c>
      <c r="I371" t="str">
        <f t="shared" si="19"/>
        <v>IndiaIndiaSenior Technical Consultant</v>
      </c>
      <c r="J371" t="str">
        <f t="shared" si="20"/>
        <v>IndiaIndiaSenior Technical Consultant</v>
      </c>
      <c r="K371" cm="1">
        <f t="array" ref="K371">_xlfn.IFS(A371="Canada",4,A371="India",5,A371="UK",6,A371="USA",7,A371="EU",8)</f>
        <v>5</v>
      </c>
      <c r="L371" s="662">
        <f>VLOOKUP(H371,'StdCosts and StdRates'!$A$41:$H$86,K371,FALSE)</f>
        <v>7200</v>
      </c>
      <c r="M371" s="662" cm="1">
        <f t="array" ref="M371">_xlfn.XLOOKUP(C371&amp;A371,FX!$A$2:$A$26&amp;FX!$B$2:$B$26,FX!$C$2:$C$26)</f>
        <v>1</v>
      </c>
      <c r="N371" cm="1">
        <f t="array" ref="N371">_xlfn.IFS(C371="Canada",2,C371="India",3,C371="UK",4,C371="USA",5,C371="EU",6)</f>
        <v>3</v>
      </c>
      <c r="O371" s="662">
        <f>VLOOKUP(G371,'StdCosts and StdRates'!$A$17:$E$36,N371,FALSE)*M371</f>
        <v>2111</v>
      </c>
      <c r="P371"/>
      <c r="R371" s="967"/>
    </row>
    <row r="372" spans="1:18">
      <c r="A372" s="773" t="s">
        <v>736</v>
      </c>
      <c r="B372" s="773"/>
      <c r="C372" s="773" t="s">
        <v>308</v>
      </c>
      <c r="D372" s="773"/>
      <c r="E372" s="773"/>
      <c r="F372" s="773"/>
      <c r="G372" s="967" t="s">
        <v>379</v>
      </c>
      <c r="H372" s="967" t="str">
        <f t="shared" si="18"/>
        <v>Senior Technical Consultant</v>
      </c>
      <c r="I372" t="str">
        <f t="shared" si="19"/>
        <v>EUSenior Technical Consultant</v>
      </c>
      <c r="J372" t="str">
        <f t="shared" si="20"/>
        <v>EUUSASenior Technical Consultant</v>
      </c>
      <c r="K372" cm="1">
        <f t="array" ref="K372">_xlfn.IFS(A372="Canada",4,A372="India",5,A372="UK",6,A372="USA",7,A372="EU",8)</f>
        <v>8</v>
      </c>
      <c r="L372" s="662">
        <f>VLOOKUP(H372,'StdCosts and StdRates'!$A$41:$H$86,K372,FALSE)</f>
        <v>179</v>
      </c>
      <c r="M372" s="662" cm="1">
        <f t="array" ref="M372">_xlfn.XLOOKUP(C372&amp;A372,FX!$A$2:$A$26&amp;FX!$B$2:$B$26,FX!$C$2:$C$26)</f>
        <v>0.91986999999999997</v>
      </c>
      <c r="N372" cm="1">
        <f t="array" ref="N372">_xlfn.IFS(C372="Canada",2,C372="India",3,C372="UK",4,C372="USA",5,C372="EU",6)</f>
        <v>5</v>
      </c>
      <c r="O372" s="662">
        <f>VLOOKUP(G372,'StdCosts and StdRates'!$A$17:$E$36,N372,FALSE)*M372</f>
        <v>119.5831</v>
      </c>
      <c r="P372"/>
      <c r="R372" s="967"/>
    </row>
    <row r="373" spans="1:18">
      <c r="A373" s="773" t="s">
        <v>736</v>
      </c>
      <c r="B373" s="773"/>
      <c r="C373" s="773" t="s">
        <v>405</v>
      </c>
      <c r="D373" s="773"/>
      <c r="E373" s="773"/>
      <c r="F373" s="773"/>
      <c r="G373" s="967" t="s">
        <v>379</v>
      </c>
      <c r="H373" s="967" t="str">
        <f t="shared" si="18"/>
        <v>Senior Technical Consultant</v>
      </c>
      <c r="I373" t="str">
        <f t="shared" si="19"/>
        <v>EUSenior Technical Consultant</v>
      </c>
      <c r="J373" t="str">
        <f t="shared" si="20"/>
        <v>EUCanadaSenior Technical Consultant</v>
      </c>
      <c r="K373" cm="1">
        <f t="array" ref="K373">_xlfn.IFS(A373="Canada",4,A373="India",5,A373="UK",6,A373="USA",7,A373="EU",8)</f>
        <v>8</v>
      </c>
      <c r="L373" s="662">
        <f>VLOOKUP(H373,'StdCosts and StdRates'!$A$41:$H$86,K373,FALSE)</f>
        <v>179</v>
      </c>
      <c r="M373" s="662" cm="1">
        <f t="array" ref="M373">_xlfn.XLOOKUP(C373&amp;A373,FX!$A$2:$A$26&amp;FX!$B$2:$B$26,FX!$C$2:$C$26)</f>
        <v>0.67474000000000001</v>
      </c>
      <c r="N373" cm="1">
        <f t="array" ref="N373">_xlfn.IFS(C373="Canada",2,C373="India",3,C373="UK",4,C373="USA",5,C373="EU",6)</f>
        <v>2</v>
      </c>
      <c r="O373" s="662">
        <f>VLOOKUP(G373,'StdCosts and StdRates'!$A$17:$E$36,N373,FALSE)*M373</f>
        <v>76.920360000000002</v>
      </c>
      <c r="P373"/>
      <c r="R373" s="967"/>
    </row>
    <row r="374" spans="1:18">
      <c r="A374" s="773" t="s">
        <v>736</v>
      </c>
      <c r="B374" s="773"/>
      <c r="C374" s="773" t="s">
        <v>247</v>
      </c>
      <c r="D374" s="773"/>
      <c r="E374" s="773"/>
      <c r="F374" s="773"/>
      <c r="G374" s="967" t="s">
        <v>379</v>
      </c>
      <c r="H374" s="967" t="str">
        <f t="shared" si="18"/>
        <v>Senior Technical Consultant</v>
      </c>
      <c r="I374" t="str">
        <f t="shared" si="19"/>
        <v>EUSenior Technical Consultant</v>
      </c>
      <c r="J374" t="str">
        <f t="shared" si="20"/>
        <v>EUUKSenior Technical Consultant</v>
      </c>
      <c r="K374" cm="1">
        <f t="array" ref="K374">_xlfn.IFS(A374="Canada",4,A374="India",5,A374="UK",6,A374="USA",7,A374="EU",8)</f>
        <v>8</v>
      </c>
      <c r="L374" s="662">
        <f>VLOOKUP(H374,'StdCosts and StdRates'!$A$41:$H$86,K374,FALSE)</f>
        <v>179</v>
      </c>
      <c r="M374" s="662" cm="1">
        <f t="array" ref="M374">_xlfn.XLOOKUP(C374&amp;A374,FX!$A$2:$A$26&amp;FX!$B$2:$B$26,FX!$C$2:$C$26)</f>
        <v>1.1749799999999999</v>
      </c>
      <c r="N374" cm="1">
        <f t="array" ref="N374">_xlfn.IFS(C374="Canada",2,C374="India",3,C374="UK",4,C374="USA",5,C374="EU",6)</f>
        <v>4</v>
      </c>
      <c r="O374" s="662">
        <f>VLOOKUP(G374,'StdCosts and StdRates'!$A$17:$E$36,N374,FALSE)*M374</f>
        <v>95.173379999999995</v>
      </c>
      <c r="P374"/>
      <c r="R374" s="967"/>
    </row>
    <row r="375" spans="1:18">
      <c r="A375" s="773" t="s">
        <v>736</v>
      </c>
      <c r="B375" s="773"/>
      <c r="C375" s="773" t="s">
        <v>736</v>
      </c>
      <c r="D375" s="773"/>
      <c r="E375" s="773"/>
      <c r="F375" s="773"/>
      <c r="G375" s="967" t="s">
        <v>379</v>
      </c>
      <c r="H375" s="967" t="str">
        <f t="shared" si="18"/>
        <v>Senior Technical Consultant</v>
      </c>
      <c r="I375" t="str">
        <f t="shared" si="19"/>
        <v>EUSenior Technical Consultant</v>
      </c>
      <c r="J375" t="str">
        <f t="shared" si="20"/>
        <v>EUEUSenior Technical Consultant</v>
      </c>
      <c r="K375" cm="1">
        <f t="array" ref="K375">_xlfn.IFS(A375="Canada",4,A375="India",5,A375="UK",6,A375="USA",7,A375="EU",8)</f>
        <v>8</v>
      </c>
      <c r="L375" s="662">
        <f>VLOOKUP(H375,'StdCosts and StdRates'!$A$41:$H$86,K375,FALSE)</f>
        <v>179</v>
      </c>
      <c r="M375" s="662" cm="1">
        <f t="array" ref="M375">_xlfn.XLOOKUP(C375&amp;A375,FX!$A$2:$A$26&amp;FX!$B$2:$B$26,FX!$C$2:$C$26)</f>
        <v>1</v>
      </c>
      <c r="N375" cm="1">
        <f t="array" ref="N375">_xlfn.IFS(C375="Canada",2,C375="India",3,C375="UK",4,C375="USA",5,C375="EU",6)</f>
        <v>6</v>
      </c>
      <c r="O375" s="662" t="e">
        <f>VLOOKUP(G375,'StdCosts and StdRates'!$A$17:$E$36,N375,FALSE)*M375</f>
        <v>#REF!</v>
      </c>
      <c r="P375"/>
      <c r="R375" s="967"/>
    </row>
    <row r="376" spans="1:18">
      <c r="A376" s="773" t="s">
        <v>736</v>
      </c>
      <c r="B376" s="773" t="s">
        <v>227</v>
      </c>
      <c r="C376" s="773" t="s">
        <v>227</v>
      </c>
      <c r="D376" s="773"/>
      <c r="E376" s="773"/>
      <c r="F376" s="773"/>
      <c r="G376" s="967" t="s">
        <v>379</v>
      </c>
      <c r="H376" s="967" t="str">
        <f t="shared" si="18"/>
        <v>IndiaSenior Technical Consultant</v>
      </c>
      <c r="I376" t="str">
        <f t="shared" si="19"/>
        <v>EUIndiaSenior Technical Consultant</v>
      </c>
      <c r="J376" t="str">
        <f t="shared" si="20"/>
        <v>EUIndiaSenior Technical Consultant</v>
      </c>
      <c r="K376" cm="1">
        <f t="array" ref="K376">_xlfn.IFS(A376="Canada",4,A376="India",5,A376="UK",6,A376="USA",7,A376="EU",8)</f>
        <v>8</v>
      </c>
      <c r="L376" s="662">
        <f>VLOOKUP(H376,'StdCosts and StdRates'!$A$41:$H$86,K376,FALSE)</f>
        <v>79</v>
      </c>
      <c r="M376" s="662" cm="1">
        <f t="array" ref="M376">_xlfn.XLOOKUP(C376&amp;A376,FX!$A$2:$A$26&amp;FX!$B$2:$B$26,FX!$C$2:$C$26)</f>
        <v>1.106E-2</v>
      </c>
      <c r="N376" cm="1">
        <f t="array" ref="N376">_xlfn.IFS(C376="Canada",2,C376="India",3,C376="UK",4,C376="USA",5,C376="EU",6)</f>
        <v>3</v>
      </c>
      <c r="O376" s="662">
        <f>VLOOKUP(G376,'StdCosts and StdRates'!$A$17:$E$36,N376,FALSE)*M376</f>
        <v>23.347660000000001</v>
      </c>
      <c r="P376"/>
      <c r="R376" s="967"/>
    </row>
    <row r="377" spans="1:18">
      <c r="A377" s="773" t="s">
        <v>308</v>
      </c>
      <c r="B377" s="773"/>
      <c r="C377" s="773" t="s">
        <v>308</v>
      </c>
      <c r="D377" s="773"/>
      <c r="E377" s="773"/>
      <c r="F377" s="773"/>
      <c r="G377" s="967" t="s">
        <v>311</v>
      </c>
      <c r="H377" s="967" t="str">
        <f t="shared" si="18"/>
        <v>Senior Project Manager or Program Manager</v>
      </c>
      <c r="I377" t="str">
        <f t="shared" si="19"/>
        <v>USASenior Project Manager or Program Manager</v>
      </c>
      <c r="J377" t="str">
        <f t="shared" si="20"/>
        <v>USAUSASenior Project Manager or Program Manager</v>
      </c>
      <c r="K377" cm="1">
        <f t="array" ref="K377">_xlfn.IFS(A377="Canada",4,A377="India",5,A377="UK",6,A377="USA",7,A377="EU",8)</f>
        <v>7</v>
      </c>
      <c r="L377" s="662">
        <f>VLOOKUP(H377,'StdCosts and StdRates'!$A$41:$H$86,K377,FALSE)</f>
        <v>259</v>
      </c>
      <c r="M377" s="662" cm="1">
        <f t="array" ref="M377">_xlfn.XLOOKUP(C377&amp;A377,FX!$A$2:$A$26&amp;FX!$B$2:$B$26,FX!$C$2:$C$26)</f>
        <v>1</v>
      </c>
      <c r="N377" cm="1">
        <f t="array" ref="N377">_xlfn.IFS(C377="Canada",2,C377="India",3,C377="UK",4,C377="USA",5,C377="EU",6)</f>
        <v>5</v>
      </c>
      <c r="O377" s="662">
        <f>VLOOKUP(G377,'StdCosts and StdRates'!$A$17:$E$36,N377,FALSE)*M377</f>
        <v>153</v>
      </c>
      <c r="P377"/>
      <c r="R377" s="967"/>
    </row>
    <row r="378" spans="1:18">
      <c r="A378" s="773" t="s">
        <v>308</v>
      </c>
      <c r="B378" s="773"/>
      <c r="C378" s="773" t="s">
        <v>405</v>
      </c>
      <c r="D378" s="773"/>
      <c r="E378" s="773"/>
      <c r="F378" s="773"/>
      <c r="G378" s="967" t="s">
        <v>311</v>
      </c>
      <c r="H378" s="967" t="str">
        <f t="shared" si="18"/>
        <v>Senior Project Manager or Program Manager</v>
      </c>
      <c r="I378" t="str">
        <f t="shared" si="19"/>
        <v>USASenior Project Manager or Program Manager</v>
      </c>
      <c r="J378" t="str">
        <f t="shared" si="20"/>
        <v>USACanadaSenior Project Manager or Program Manager</v>
      </c>
      <c r="K378" cm="1">
        <f t="array" ref="K378">_xlfn.IFS(A378="Canada",4,A378="India",5,A378="UK",6,A378="USA",7,A378="EU",8)</f>
        <v>7</v>
      </c>
      <c r="L378" s="662">
        <f>VLOOKUP(H378,'StdCosts and StdRates'!$A$41:$H$86,K378,FALSE)</f>
        <v>259</v>
      </c>
      <c r="M378" s="662" cm="1">
        <f t="array" ref="M378">_xlfn.XLOOKUP(C378&amp;A378,FX!$A$2:$A$26&amp;FX!$B$2:$B$26,FX!$C$2:$C$26)</f>
        <v>0.73351999999999995</v>
      </c>
      <c r="N378" cm="1">
        <f t="array" ref="N378">_xlfn.IFS(C378="Canada",2,C378="India",3,C378="UK",4,C378="USA",5,C378="EU",6)</f>
        <v>2</v>
      </c>
      <c r="O378" s="662">
        <f>VLOOKUP(G378,'StdCosts and StdRates'!$A$17:$E$36,N378,FALSE)*M378</f>
        <v>93.890559999999994</v>
      </c>
      <c r="P378"/>
      <c r="R378" s="967"/>
    </row>
    <row r="379" spans="1:18">
      <c r="A379" s="773" t="s">
        <v>308</v>
      </c>
      <c r="B379" s="773"/>
      <c r="C379" s="773" t="s">
        <v>247</v>
      </c>
      <c r="D379" s="773"/>
      <c r="E379" s="773"/>
      <c r="F379" s="773"/>
      <c r="G379" s="967" t="s">
        <v>311</v>
      </c>
      <c r="H379" s="967" t="str">
        <f t="shared" si="18"/>
        <v>Senior Project Manager or Program Manager</v>
      </c>
      <c r="I379" t="str">
        <f t="shared" si="19"/>
        <v>USASenior Project Manager or Program Manager</v>
      </c>
      <c r="J379" t="str">
        <f t="shared" si="20"/>
        <v>USAUKSenior Project Manager or Program Manager</v>
      </c>
      <c r="K379" cm="1">
        <f t="array" ref="K379">_xlfn.IFS(A379="Canada",4,A379="India",5,A379="UK",6,A379="USA",7,A379="EU",8)</f>
        <v>7</v>
      </c>
      <c r="L379" s="662">
        <f>VLOOKUP(H379,'StdCosts and StdRates'!$A$41:$H$86,K379,FALSE)</f>
        <v>259</v>
      </c>
      <c r="M379" s="662" cm="1">
        <f t="array" ref="M379">_xlfn.XLOOKUP(C379&amp;A379,FX!$A$2:$A$26&amp;FX!$B$2:$B$26,FX!$C$2:$C$26)</f>
        <v>1.2772699999999999</v>
      </c>
      <c r="N379" cm="1">
        <f t="array" ref="N379">_xlfn.IFS(C379="Canada",2,C379="India",3,C379="UK",4,C379="USA",5,C379="EU",6)</f>
        <v>4</v>
      </c>
      <c r="O379" s="662">
        <f>VLOOKUP(G379,'StdCosts and StdRates'!$A$17:$E$36,N379,FALSE)*M379</f>
        <v>125.17245999999999</v>
      </c>
      <c r="P379"/>
      <c r="R379" s="967"/>
    </row>
    <row r="380" spans="1:18">
      <c r="A380" s="773" t="s">
        <v>308</v>
      </c>
      <c r="B380" s="773"/>
      <c r="C380" s="773" t="s">
        <v>736</v>
      </c>
      <c r="D380" s="773"/>
      <c r="E380" s="773"/>
      <c r="F380" s="773"/>
      <c r="G380" s="967" t="s">
        <v>311</v>
      </c>
      <c r="H380" s="967" t="str">
        <f t="shared" si="18"/>
        <v>Senior Project Manager or Program Manager</v>
      </c>
      <c r="I380" t="str">
        <f t="shared" si="19"/>
        <v>USASenior Project Manager or Program Manager</v>
      </c>
      <c r="J380" t="str">
        <f t="shared" si="20"/>
        <v>USAEUSenior Project Manager or Program Manager</v>
      </c>
      <c r="K380" cm="1">
        <f t="array" ref="K380">_xlfn.IFS(A380="Canada",4,A380="India",5,A380="UK",6,A380="USA",7,A380="EU",8)</f>
        <v>7</v>
      </c>
      <c r="L380" s="662">
        <f>VLOOKUP(H380,'StdCosts and StdRates'!$A$41:$H$86,K380,FALSE)</f>
        <v>259</v>
      </c>
      <c r="M380" s="662" cm="1">
        <f t="array" ref="M380">_xlfn.XLOOKUP(C380&amp;A380,FX!$A$2:$A$26&amp;FX!$B$2:$B$26,FX!$C$2:$C$26)</f>
        <v>1.0869599999999999</v>
      </c>
      <c r="N380" cm="1">
        <f t="array" ref="N380">_xlfn.IFS(C380="Canada",2,C380="India",3,C380="UK",4,C380="USA",5,C380="EU",6)</f>
        <v>6</v>
      </c>
      <c r="O380" s="662" t="e">
        <f>VLOOKUP(G380,'StdCosts and StdRates'!$A$17:$E$36,N380,FALSE)*M380</f>
        <v>#REF!</v>
      </c>
      <c r="P380"/>
      <c r="R380" s="967"/>
    </row>
    <row r="381" spans="1:18">
      <c r="A381" s="773" t="s">
        <v>308</v>
      </c>
      <c r="B381" s="773" t="s">
        <v>227</v>
      </c>
      <c r="C381" s="773" t="s">
        <v>227</v>
      </c>
      <c r="D381" s="773"/>
      <c r="E381" s="773"/>
      <c r="F381" s="773"/>
      <c r="G381" s="967" t="s">
        <v>311</v>
      </c>
      <c r="H381" s="967" t="str">
        <f t="shared" si="18"/>
        <v>IndiaSenior Project Manager or Program Manager</v>
      </c>
      <c r="I381" t="str">
        <f t="shared" si="19"/>
        <v>USAIndiaSenior Project Manager or Program Manager</v>
      </c>
      <c r="J381" t="str">
        <f t="shared" si="20"/>
        <v>USAIndiaSenior Project Manager or Program Manager</v>
      </c>
      <c r="K381" cm="1">
        <f t="array" ref="K381">_xlfn.IFS(A381="Canada",4,A381="India",5,A381="UK",6,A381="USA",7,A381="EU",8)</f>
        <v>7</v>
      </c>
      <c r="L381" s="662">
        <f>VLOOKUP(H381,'StdCosts and StdRates'!$A$41:$H$86,K381,FALSE)</f>
        <v>99</v>
      </c>
      <c r="M381" s="662" cm="1">
        <f t="array" ref="M381">_xlfn.XLOOKUP(C381&amp;A381,FX!$A$2:$A$26&amp;FX!$B$2:$B$26,FX!$C$2:$C$26)</f>
        <v>1.2019999999999999E-2</v>
      </c>
      <c r="N381" cm="1">
        <f t="array" ref="N381">_xlfn.IFS(C381="Canada",2,C381="India",3,C381="UK",4,C381="USA",5,C381="EU",6)</f>
        <v>3</v>
      </c>
      <c r="O381" s="662">
        <f>VLOOKUP(G381,'StdCosts and StdRates'!$A$17:$E$36,N381,FALSE)*M381</f>
        <v>38.764499999999998</v>
      </c>
      <c r="P381"/>
      <c r="R381" s="967"/>
    </row>
    <row r="382" spans="1:18">
      <c r="A382" s="773" t="s">
        <v>405</v>
      </c>
      <c r="B382" s="773"/>
      <c r="C382" s="773" t="s">
        <v>308</v>
      </c>
      <c r="D382" s="773"/>
      <c r="E382" s="773"/>
      <c r="F382" s="773"/>
      <c r="G382" s="967" t="s">
        <v>311</v>
      </c>
      <c r="H382" s="967" t="str">
        <f t="shared" si="18"/>
        <v>Senior Project Manager or Program Manager</v>
      </c>
      <c r="I382" t="str">
        <f t="shared" si="19"/>
        <v>CanadaSenior Project Manager or Program Manager</v>
      </c>
      <c r="J382" t="str">
        <f t="shared" si="20"/>
        <v>CanadaUSASenior Project Manager or Program Manager</v>
      </c>
      <c r="K382" cm="1">
        <f t="array" ref="K382">_xlfn.IFS(A382="Canada",4,A382="India",5,A382="UK",6,A382="USA",7,A382="EU",8)</f>
        <v>4</v>
      </c>
      <c r="L382" s="662">
        <f>VLOOKUP(H382,'StdCosts and StdRates'!$A$41:$H$86,K382,FALSE)</f>
        <v>269</v>
      </c>
      <c r="M382" s="662" cm="1">
        <f t="array" ref="M382">_xlfn.XLOOKUP(C382&amp;A382,FX!$A$2:$A$26&amp;FX!$B$2:$B$26,FX!$C$2:$C$26)</f>
        <v>1.36311</v>
      </c>
      <c r="N382" cm="1">
        <f t="array" ref="N382">_xlfn.IFS(C382="Canada",2,C382="India",3,C382="UK",4,C382="USA",5,C382="EU",6)</f>
        <v>5</v>
      </c>
      <c r="O382" s="662">
        <f>VLOOKUP(G382,'StdCosts and StdRates'!$A$17:$E$36,N382,FALSE)*M382</f>
        <v>208.55583000000001</v>
      </c>
      <c r="P382"/>
      <c r="R382" s="967"/>
    </row>
    <row r="383" spans="1:18">
      <c r="A383" s="773" t="s">
        <v>405</v>
      </c>
      <c r="B383" s="773"/>
      <c r="C383" s="773" t="s">
        <v>405</v>
      </c>
      <c r="D383" s="773"/>
      <c r="E383" s="773"/>
      <c r="F383" s="773"/>
      <c r="G383" s="967" t="s">
        <v>311</v>
      </c>
      <c r="H383" s="967" t="str">
        <f t="shared" si="18"/>
        <v>Senior Project Manager or Program Manager</v>
      </c>
      <c r="I383" t="str">
        <f t="shared" si="19"/>
        <v>CanadaSenior Project Manager or Program Manager</v>
      </c>
      <c r="J383" t="str">
        <f t="shared" si="20"/>
        <v>CanadaCanadaSenior Project Manager or Program Manager</v>
      </c>
      <c r="K383" cm="1">
        <f t="array" ref="K383">_xlfn.IFS(A383="Canada",4,A383="India",5,A383="UK",6,A383="USA",7,A383="EU",8)</f>
        <v>4</v>
      </c>
      <c r="L383" s="662">
        <f>VLOOKUP(H383,'StdCosts and StdRates'!$A$41:$H$86,K383,FALSE)</f>
        <v>269</v>
      </c>
      <c r="M383" s="662" cm="1">
        <f t="array" ref="M383">_xlfn.XLOOKUP(C383&amp;A383,FX!$A$2:$A$26&amp;FX!$B$2:$B$26,FX!$C$2:$C$26)</f>
        <v>1</v>
      </c>
      <c r="N383" cm="1">
        <f t="array" ref="N383">_xlfn.IFS(C383="Canada",2,C383="India",3,C383="UK",4,C383="USA",5,C383="EU",6)</f>
        <v>2</v>
      </c>
      <c r="O383" s="662">
        <f>VLOOKUP(G383,'StdCosts and StdRates'!$A$17:$E$36,N383,FALSE)*M383</f>
        <v>128</v>
      </c>
      <c r="P383"/>
      <c r="R383" s="967"/>
    </row>
    <row r="384" spans="1:18">
      <c r="A384" s="773" t="s">
        <v>405</v>
      </c>
      <c r="B384" s="773"/>
      <c r="C384" s="773" t="s">
        <v>247</v>
      </c>
      <c r="D384" s="773"/>
      <c r="E384" s="773"/>
      <c r="F384" s="773"/>
      <c r="G384" s="967" t="s">
        <v>311</v>
      </c>
      <c r="H384" s="967" t="str">
        <f t="shared" si="18"/>
        <v>Senior Project Manager or Program Manager</v>
      </c>
      <c r="I384" t="str">
        <f t="shared" si="19"/>
        <v>CanadaSenior Project Manager or Program Manager</v>
      </c>
      <c r="J384" t="str">
        <f t="shared" si="20"/>
        <v>CanadaUKSenior Project Manager or Program Manager</v>
      </c>
      <c r="K384" cm="1">
        <f t="array" ref="K384">_xlfn.IFS(A384="Canada",4,A384="India",5,A384="UK",6,A384="USA",7,A384="EU",8)</f>
        <v>4</v>
      </c>
      <c r="L384" s="662">
        <f>VLOOKUP(H384,'StdCosts and StdRates'!$A$41:$H$86,K384,FALSE)</f>
        <v>269</v>
      </c>
      <c r="M384" s="662" cm="1">
        <f t="array" ref="M384">_xlfn.XLOOKUP(C384&amp;A384,FX!$A$2:$A$26&amp;FX!$B$2:$B$26,FX!$C$2:$C$26)</f>
        <v>1.7410699999999999</v>
      </c>
      <c r="N384" cm="1">
        <f t="array" ref="N384">_xlfn.IFS(C384="Canada",2,C384="India",3,C384="UK",4,C384="USA",5,C384="EU",6)</f>
        <v>4</v>
      </c>
      <c r="O384" s="662">
        <f>VLOOKUP(G384,'StdCosts and StdRates'!$A$17:$E$36,N384,FALSE)*M384</f>
        <v>170.62485999999998</v>
      </c>
      <c r="P384"/>
      <c r="R384" s="967"/>
    </row>
    <row r="385" spans="1:18">
      <c r="A385" s="773" t="s">
        <v>405</v>
      </c>
      <c r="B385" s="773"/>
      <c r="C385" s="773" t="s">
        <v>736</v>
      </c>
      <c r="D385" s="773"/>
      <c r="E385" s="773"/>
      <c r="F385" s="773"/>
      <c r="G385" s="967" t="s">
        <v>311</v>
      </c>
      <c r="H385" s="967" t="str">
        <f t="shared" si="18"/>
        <v>Senior Project Manager or Program Manager</v>
      </c>
      <c r="I385" t="str">
        <f t="shared" si="19"/>
        <v>CanadaSenior Project Manager or Program Manager</v>
      </c>
      <c r="J385" t="str">
        <f t="shared" si="20"/>
        <v>CanadaEUSenior Project Manager or Program Manager</v>
      </c>
      <c r="K385" cm="1">
        <f t="array" ref="K385">_xlfn.IFS(A385="Canada",4,A385="India",5,A385="UK",6,A385="USA",7,A385="EU",8)</f>
        <v>4</v>
      </c>
      <c r="L385" s="662">
        <f>VLOOKUP(H385,'StdCosts and StdRates'!$A$41:$H$86,K385,FALSE)</f>
        <v>269</v>
      </c>
      <c r="M385" s="662" cm="1">
        <f t="array" ref="M385">_xlfn.XLOOKUP(C385&amp;A385,FX!$A$2:$A$26&amp;FX!$B$2:$B$26,FX!$C$2:$C$26)</f>
        <v>1.4816499999999999</v>
      </c>
      <c r="N385" cm="1">
        <f t="array" ref="N385">_xlfn.IFS(C385="Canada",2,C385="India",3,C385="UK",4,C385="USA",5,C385="EU",6)</f>
        <v>6</v>
      </c>
      <c r="O385" s="662" t="e">
        <f>VLOOKUP(G385,'StdCosts and StdRates'!$A$17:$E$36,N385,FALSE)*M385</f>
        <v>#REF!</v>
      </c>
      <c r="P385"/>
      <c r="R385" s="967"/>
    </row>
    <row r="386" spans="1:18">
      <c r="A386" s="773" t="s">
        <v>405</v>
      </c>
      <c r="B386" s="773" t="s">
        <v>227</v>
      </c>
      <c r="C386" s="773" t="s">
        <v>227</v>
      </c>
      <c r="D386" s="773"/>
      <c r="E386" s="773"/>
      <c r="F386" s="773"/>
      <c r="G386" s="967" t="s">
        <v>311</v>
      </c>
      <c r="H386" s="967" t="str">
        <f t="shared" si="18"/>
        <v>IndiaSenior Project Manager or Program Manager</v>
      </c>
      <c r="I386" t="str">
        <f t="shared" si="19"/>
        <v>CanadaIndiaSenior Project Manager or Program Manager</v>
      </c>
      <c r="J386" t="str">
        <f t="shared" si="20"/>
        <v>CanadaIndiaSenior Project Manager or Program Manager</v>
      </c>
      <c r="K386" cm="1">
        <f t="array" ref="K386">_xlfn.IFS(A386="Canada",4,A386="India",5,A386="UK",6,A386="USA",7,A386="EU",8)</f>
        <v>4</v>
      </c>
      <c r="L386" s="662">
        <f>VLOOKUP(H386,'StdCosts and StdRates'!$A$41:$H$86,K386,FALSE)</f>
        <v>125</v>
      </c>
      <c r="M386" s="662" cm="1">
        <f t="array" ref="M386">_xlfn.XLOOKUP(C386&amp;A386,FX!$A$2:$A$26&amp;FX!$B$2:$B$26,FX!$C$2:$C$26)</f>
        <v>1.6389999999999998E-2</v>
      </c>
      <c r="N386" cm="1">
        <f t="array" ref="N386">_xlfn.IFS(C386="Canada",2,C386="India",3,C386="UK",4,C386="USA",5,C386="EU",6)</f>
        <v>3</v>
      </c>
      <c r="O386" s="662">
        <f>VLOOKUP(G386,'StdCosts and StdRates'!$A$17:$E$36,N386,FALSE)*M386</f>
        <v>52.857749999999996</v>
      </c>
      <c r="P386"/>
      <c r="R386" s="967"/>
    </row>
    <row r="387" spans="1:18">
      <c r="A387" s="773" t="s">
        <v>247</v>
      </c>
      <c r="B387" s="773"/>
      <c r="C387" s="773" t="s">
        <v>308</v>
      </c>
      <c r="D387" s="773"/>
      <c r="E387" s="773"/>
      <c r="F387" s="773"/>
      <c r="G387" s="967" t="s">
        <v>311</v>
      </c>
      <c r="H387" s="967" t="str">
        <f t="shared" si="18"/>
        <v>Senior Project Manager or Program Manager</v>
      </c>
      <c r="I387" t="str">
        <f t="shared" si="19"/>
        <v>UKSenior Project Manager or Program Manager</v>
      </c>
      <c r="J387" t="str">
        <f t="shared" si="20"/>
        <v>UKUSASenior Project Manager or Program Manager</v>
      </c>
      <c r="K387" cm="1">
        <f t="array" ref="K387">_xlfn.IFS(A387="Canada",4,A387="India",5,A387="UK",6,A387="USA",7,A387="EU",8)</f>
        <v>6</v>
      </c>
      <c r="L387" s="662">
        <f>VLOOKUP(H387,'StdCosts and StdRates'!$A$41:$H$86,K387,FALSE)</f>
        <v>169</v>
      </c>
      <c r="M387" s="662" cm="1">
        <f t="array" ref="M387">_xlfn.XLOOKUP(C387&amp;A387,FX!$A$2:$A$26&amp;FX!$B$2:$B$26,FX!$C$2:$C$26)</f>
        <v>0.78280000000000005</v>
      </c>
      <c r="N387" cm="1">
        <f t="array" ref="N387">_xlfn.IFS(C387="Canada",2,C387="India",3,C387="UK",4,C387="USA",5,C387="EU",6)</f>
        <v>5</v>
      </c>
      <c r="O387" s="662">
        <f>VLOOKUP(G387,'StdCosts and StdRates'!$A$17:$E$36,N387,FALSE)*M387</f>
        <v>119.76840000000001</v>
      </c>
      <c r="P387"/>
      <c r="R387" s="967"/>
    </row>
    <row r="388" spans="1:18">
      <c r="A388" s="773" t="s">
        <v>247</v>
      </c>
      <c r="B388" s="773"/>
      <c r="C388" s="773" t="s">
        <v>405</v>
      </c>
      <c r="D388" s="773"/>
      <c r="E388" s="773"/>
      <c r="F388" s="773"/>
      <c r="G388" s="967" t="s">
        <v>311</v>
      </c>
      <c r="H388" s="967" t="str">
        <f t="shared" si="18"/>
        <v>Senior Project Manager or Program Manager</v>
      </c>
      <c r="I388" t="str">
        <f t="shared" si="19"/>
        <v>UKSenior Project Manager or Program Manager</v>
      </c>
      <c r="J388" t="str">
        <f t="shared" si="20"/>
        <v>UKCanadaSenior Project Manager or Program Manager</v>
      </c>
      <c r="K388" cm="1">
        <f t="array" ref="K388">_xlfn.IFS(A388="Canada",4,A388="India",5,A388="UK",6,A388="USA",7,A388="EU",8)</f>
        <v>6</v>
      </c>
      <c r="L388" s="662">
        <f>VLOOKUP(H388,'StdCosts and StdRates'!$A$41:$H$86,K388,FALSE)</f>
        <v>169</v>
      </c>
      <c r="M388" s="662" cm="1">
        <f t="array" ref="M388">_xlfn.XLOOKUP(C388&amp;A388,FX!$A$2:$A$26&amp;FX!$B$2:$B$26,FX!$C$2:$C$26)</f>
        <v>0.57420000000000004</v>
      </c>
      <c r="N388" cm="1">
        <f t="array" ref="N388">_xlfn.IFS(C388="Canada",2,C388="India",3,C388="UK",4,C388="USA",5,C388="EU",6)</f>
        <v>2</v>
      </c>
      <c r="O388" s="662">
        <f>VLOOKUP(G388,'StdCosts and StdRates'!$A$17:$E$36,N388,FALSE)*M388</f>
        <v>73.497600000000006</v>
      </c>
      <c r="P388"/>
      <c r="R388" s="967"/>
    </row>
    <row r="389" spans="1:18">
      <c r="A389" s="773" t="s">
        <v>247</v>
      </c>
      <c r="B389" s="773"/>
      <c r="C389" s="773" t="s">
        <v>247</v>
      </c>
      <c r="D389" s="773"/>
      <c r="E389" s="773"/>
      <c r="F389" s="773"/>
      <c r="G389" s="967" t="s">
        <v>311</v>
      </c>
      <c r="H389" s="967" t="str">
        <f t="shared" si="18"/>
        <v>Senior Project Manager or Program Manager</v>
      </c>
      <c r="I389" t="str">
        <f t="shared" si="19"/>
        <v>UKSenior Project Manager or Program Manager</v>
      </c>
      <c r="J389" t="str">
        <f t="shared" si="20"/>
        <v>UKUKSenior Project Manager or Program Manager</v>
      </c>
      <c r="K389" cm="1">
        <f t="array" ref="K389">_xlfn.IFS(A389="Canada",4,A389="India",5,A389="UK",6,A389="USA",7,A389="EU",8)</f>
        <v>6</v>
      </c>
      <c r="L389" s="662">
        <f>VLOOKUP(H389,'StdCosts and StdRates'!$A$41:$H$86,K389,FALSE)</f>
        <v>169</v>
      </c>
      <c r="M389" s="662" cm="1">
        <f t="array" ref="M389">_xlfn.XLOOKUP(C389&amp;A389,FX!$A$2:$A$26&amp;FX!$B$2:$B$26,FX!$C$2:$C$26)</f>
        <v>1</v>
      </c>
      <c r="N389" cm="1">
        <f t="array" ref="N389">_xlfn.IFS(C389="Canada",2,C389="India",3,C389="UK",4,C389="USA",5,C389="EU",6)</f>
        <v>4</v>
      </c>
      <c r="O389" s="662">
        <f>VLOOKUP(G389,'StdCosts and StdRates'!$A$17:$E$36,N389,FALSE)*M389</f>
        <v>98</v>
      </c>
      <c r="P389"/>
      <c r="R389" s="967"/>
    </row>
    <row r="390" spans="1:18">
      <c r="A390" s="773" t="s">
        <v>247</v>
      </c>
      <c r="B390" s="773"/>
      <c r="C390" s="773" t="s">
        <v>736</v>
      </c>
      <c r="D390" s="773"/>
      <c r="E390" s="773"/>
      <c r="F390" s="773"/>
      <c r="G390" s="967" t="s">
        <v>311</v>
      </c>
      <c r="H390" s="967" t="str">
        <f t="shared" si="18"/>
        <v>Senior Project Manager or Program Manager</v>
      </c>
      <c r="I390" t="str">
        <f t="shared" si="19"/>
        <v>UKSenior Project Manager or Program Manager</v>
      </c>
      <c r="J390" t="str">
        <f t="shared" si="20"/>
        <v>UKEUSenior Project Manager or Program Manager</v>
      </c>
      <c r="K390" cm="1">
        <f t="array" ref="K390">_xlfn.IFS(A390="Canada",4,A390="India",5,A390="UK",6,A390="USA",7,A390="EU",8)</f>
        <v>6</v>
      </c>
      <c r="L390" s="662">
        <f>VLOOKUP(H390,'StdCosts and StdRates'!$A$41:$H$86,K390,FALSE)</f>
        <v>169</v>
      </c>
      <c r="M390" s="662" cm="1">
        <f t="array" ref="M390">_xlfn.XLOOKUP(C390&amp;A390,FX!$A$2:$A$26&amp;FX!$B$2:$B$26,FX!$C$2:$C$26)</f>
        <v>0.85092999999999996</v>
      </c>
      <c r="N390" cm="1">
        <f t="array" ref="N390">_xlfn.IFS(C390="Canada",2,C390="India",3,C390="UK",4,C390="USA",5,C390="EU",6)</f>
        <v>6</v>
      </c>
      <c r="O390" s="662" t="e">
        <f>VLOOKUP(G390,'StdCosts and StdRates'!$A$17:$E$36,N390,FALSE)*M390</f>
        <v>#REF!</v>
      </c>
      <c r="P390"/>
      <c r="R390" s="967"/>
    </row>
    <row r="391" spans="1:18">
      <c r="A391" s="773" t="s">
        <v>247</v>
      </c>
      <c r="B391" s="773" t="s">
        <v>227</v>
      </c>
      <c r="C391" s="773" t="s">
        <v>227</v>
      </c>
      <c r="D391" s="773"/>
      <c r="E391" s="773"/>
      <c r="F391" s="773"/>
      <c r="G391" s="967" t="s">
        <v>311</v>
      </c>
      <c r="H391" s="967" t="str">
        <f t="shared" si="18"/>
        <v>IndiaSenior Project Manager or Program Manager</v>
      </c>
      <c r="I391" t="str">
        <f t="shared" si="19"/>
        <v>UKIndiaSenior Project Manager or Program Manager</v>
      </c>
      <c r="J391" t="str">
        <f t="shared" si="20"/>
        <v>UKIndiaSenior Project Manager or Program Manager</v>
      </c>
      <c r="K391" cm="1">
        <f t="array" ref="K391">_xlfn.IFS(A391="Canada",4,A391="India",5,A391="UK",6,A391="USA",7,A391="EU",8)</f>
        <v>6</v>
      </c>
      <c r="L391" s="662">
        <f>VLOOKUP(H391,'StdCosts and StdRates'!$A$41:$H$86,K391,FALSE)</f>
        <v>75</v>
      </c>
      <c r="M391" s="662" cm="1">
        <f t="array" ref="M391">_xlfn.XLOOKUP(C391&amp;A391,FX!$A$2:$A$26&amp;FX!$B$2:$B$26,FX!$C$2:$C$26)</f>
        <v>9.41E-3</v>
      </c>
      <c r="N391" cm="1">
        <f t="array" ref="N391">_xlfn.IFS(C391="Canada",2,C391="India",3,C391="UK",4,C391="USA",5,C391="EU",6)</f>
        <v>3</v>
      </c>
      <c r="O391" s="662">
        <f>VLOOKUP(G391,'StdCosts and StdRates'!$A$17:$E$36,N391,FALSE)*M391</f>
        <v>30.347249999999999</v>
      </c>
      <c r="P391"/>
      <c r="R391" s="967"/>
    </row>
    <row r="392" spans="1:18">
      <c r="A392" s="773" t="s">
        <v>227</v>
      </c>
      <c r="B392" s="773"/>
      <c r="C392" s="773" t="s">
        <v>308</v>
      </c>
      <c r="D392" s="773"/>
      <c r="E392" s="773"/>
      <c r="F392" s="773"/>
      <c r="G392" s="967" t="s">
        <v>311</v>
      </c>
      <c r="H392" s="967" t="str">
        <f t="shared" si="18"/>
        <v>Senior Project Manager or Program Manager</v>
      </c>
      <c r="I392" t="str">
        <f t="shared" si="19"/>
        <v>IndiaSenior Project Manager or Program Manager</v>
      </c>
      <c r="J392" t="str">
        <f t="shared" si="20"/>
        <v>IndiaUSASenior Project Manager or Program Manager</v>
      </c>
      <c r="K392" cm="1">
        <f t="array" ref="K392">_xlfn.IFS(A392="Canada",4,A392="India",5,A392="UK",6,A392="USA",7,A392="EU",8)</f>
        <v>5</v>
      </c>
      <c r="L392" s="662">
        <f>VLOOKUP(H392,'StdCosts and StdRates'!$A$41:$H$86,K392,FALSE)</f>
        <v>7500</v>
      </c>
      <c r="M392" s="662" cm="1">
        <f t="array" ref="M392">_xlfn.XLOOKUP(C392&amp;A392,FX!$A$2:$A$26&amp;FX!$B$2:$B$26,FX!$C$2:$C$26)</f>
        <v>83.1721</v>
      </c>
      <c r="N392" cm="1">
        <f t="array" ref="N392">_xlfn.IFS(C392="Canada",2,C392="India",3,C392="UK",4,C392="USA",5,C392="EU",6)</f>
        <v>5</v>
      </c>
      <c r="O392" s="662">
        <f>VLOOKUP(G392,'StdCosts and StdRates'!$A$17:$E$36,N392,FALSE)*M392</f>
        <v>12725.3313</v>
      </c>
      <c r="P392"/>
      <c r="R392" s="967"/>
    </row>
    <row r="393" spans="1:18">
      <c r="A393" s="773" t="s">
        <v>227</v>
      </c>
      <c r="B393" s="773"/>
      <c r="C393" s="773" t="s">
        <v>405</v>
      </c>
      <c r="D393" s="773"/>
      <c r="E393" s="773"/>
      <c r="F393" s="773"/>
      <c r="G393" s="967" t="s">
        <v>311</v>
      </c>
      <c r="H393" s="967" t="str">
        <f t="shared" si="18"/>
        <v>Senior Project Manager or Program Manager</v>
      </c>
      <c r="I393" t="str">
        <f t="shared" si="19"/>
        <v>IndiaSenior Project Manager or Program Manager</v>
      </c>
      <c r="J393" t="str">
        <f t="shared" si="20"/>
        <v>IndiaCanadaSenior Project Manager or Program Manager</v>
      </c>
      <c r="K393" cm="1">
        <f t="array" ref="K393">_xlfn.IFS(A393="Canada",4,A393="India",5,A393="UK",6,A393="USA",7,A393="EU",8)</f>
        <v>5</v>
      </c>
      <c r="L393" s="662">
        <f>VLOOKUP(H393,'StdCosts and StdRates'!$A$41:$H$86,K393,FALSE)</f>
        <v>7500</v>
      </c>
      <c r="M393" s="662" cm="1">
        <f t="array" ref="M393">_xlfn.XLOOKUP(C393&amp;A393,FX!$A$2:$A$26&amp;FX!$B$2:$B$26,FX!$C$2:$C$26)</f>
        <v>61.008200000000002</v>
      </c>
      <c r="N393" cm="1">
        <f t="array" ref="N393">_xlfn.IFS(C393="Canada",2,C393="India",3,C393="UK",4,C393="USA",5,C393="EU",6)</f>
        <v>2</v>
      </c>
      <c r="O393" s="662">
        <f>VLOOKUP(G393,'StdCosts and StdRates'!$A$17:$E$36,N393,FALSE)*M393</f>
        <v>7809.0496000000003</v>
      </c>
      <c r="P393"/>
      <c r="R393" s="967"/>
    </row>
    <row r="394" spans="1:18">
      <c r="A394" s="773" t="s">
        <v>227</v>
      </c>
      <c r="B394" s="773"/>
      <c r="C394" s="773" t="s">
        <v>247</v>
      </c>
      <c r="D394" s="773"/>
      <c r="E394" s="773"/>
      <c r="F394" s="773"/>
      <c r="G394" s="967" t="s">
        <v>311</v>
      </c>
      <c r="H394" s="967" t="str">
        <f t="shared" si="18"/>
        <v>Senior Project Manager or Program Manager</v>
      </c>
      <c r="I394" t="str">
        <f t="shared" si="19"/>
        <v>IndiaSenior Project Manager or Program Manager</v>
      </c>
      <c r="J394" t="str">
        <f t="shared" si="20"/>
        <v>IndiaUKSenior Project Manager or Program Manager</v>
      </c>
      <c r="K394" cm="1">
        <f t="array" ref="K394">_xlfn.IFS(A394="Canada",4,A394="India",5,A394="UK",6,A394="USA",7,A394="EU",8)</f>
        <v>5</v>
      </c>
      <c r="L394" s="662">
        <f>VLOOKUP(H394,'StdCosts and StdRates'!$A$41:$H$86,K394,FALSE)</f>
        <v>7500</v>
      </c>
      <c r="M394" s="662" cm="1">
        <f t="array" ref="M394">_xlfn.XLOOKUP(C394&amp;A394,FX!$A$2:$A$26&amp;FX!$B$2:$B$26,FX!$C$2:$C$26)</f>
        <v>106.23399999999999</v>
      </c>
      <c r="N394" cm="1">
        <f t="array" ref="N394">_xlfn.IFS(C394="Canada",2,C394="India",3,C394="UK",4,C394="USA",5,C394="EU",6)</f>
        <v>4</v>
      </c>
      <c r="O394" s="662">
        <f>VLOOKUP(G394,'StdCosts and StdRates'!$A$17:$E$36,N394,FALSE)*M394</f>
        <v>10410.931999999999</v>
      </c>
      <c r="P394"/>
      <c r="R394" s="967"/>
    </row>
    <row r="395" spans="1:18">
      <c r="A395" s="773" t="s">
        <v>227</v>
      </c>
      <c r="B395" s="773"/>
      <c r="C395" s="773" t="s">
        <v>736</v>
      </c>
      <c r="D395" s="773"/>
      <c r="E395" s="773"/>
      <c r="F395" s="773"/>
      <c r="G395" s="967" t="s">
        <v>311</v>
      </c>
      <c r="H395" s="967" t="str">
        <f t="shared" si="18"/>
        <v>Senior Project Manager or Program Manager</v>
      </c>
      <c r="I395" t="str">
        <f t="shared" si="19"/>
        <v>IndiaSenior Project Manager or Program Manager</v>
      </c>
      <c r="J395" t="str">
        <f t="shared" si="20"/>
        <v>IndiaEUSenior Project Manager or Program Manager</v>
      </c>
      <c r="K395" cm="1">
        <f t="array" ref="K395">_xlfn.IFS(A395="Canada",4,A395="India",5,A395="UK",6,A395="USA",7,A395="EU",8)</f>
        <v>5</v>
      </c>
      <c r="L395" s="662">
        <f>VLOOKUP(H395,'StdCosts and StdRates'!$A$41:$H$86,K395,FALSE)</f>
        <v>7500</v>
      </c>
      <c r="M395" s="662" cm="1">
        <f t="array" ref="M395">_xlfn.XLOOKUP(C395&amp;A395,FX!$A$2:$A$26&amp;FX!$B$2:$B$26,FX!$C$2:$C$26)</f>
        <v>90.405100000000004</v>
      </c>
      <c r="N395" cm="1">
        <f t="array" ref="N395">_xlfn.IFS(C395="Canada",2,C395="India",3,C395="UK",4,C395="USA",5,C395="EU",6)</f>
        <v>6</v>
      </c>
      <c r="O395" s="662" t="e">
        <f>VLOOKUP(G395,'StdCosts and StdRates'!$A$17:$E$36,N395,FALSE)*M395</f>
        <v>#REF!</v>
      </c>
      <c r="P395"/>
      <c r="R395" s="967"/>
    </row>
    <row r="396" spans="1:18">
      <c r="A396" s="773" t="s">
        <v>227</v>
      </c>
      <c r="B396" s="773" t="s">
        <v>227</v>
      </c>
      <c r="C396" s="773" t="s">
        <v>227</v>
      </c>
      <c r="D396" s="773"/>
      <c r="E396" s="773"/>
      <c r="F396" s="773"/>
      <c r="G396" s="967" t="s">
        <v>311</v>
      </c>
      <c r="H396" s="967" t="str">
        <f t="shared" si="18"/>
        <v>IndiaSenior Project Manager or Program Manager</v>
      </c>
      <c r="I396" t="str">
        <f t="shared" si="19"/>
        <v>IndiaIndiaSenior Project Manager or Program Manager</v>
      </c>
      <c r="J396" t="str">
        <f t="shared" si="20"/>
        <v>IndiaIndiaSenior Project Manager or Program Manager</v>
      </c>
      <c r="K396" cm="1">
        <f t="array" ref="K396">_xlfn.IFS(A396="Canada",4,A396="India",5,A396="UK",6,A396="USA",7,A396="EU",8)</f>
        <v>5</v>
      </c>
      <c r="L396" s="662">
        <f>VLOOKUP(H396,'StdCosts and StdRates'!$A$41:$H$86,K396,FALSE)</f>
        <v>7500</v>
      </c>
      <c r="M396" s="662" cm="1">
        <f t="array" ref="M396">_xlfn.XLOOKUP(C396&amp;A396,FX!$A$2:$A$26&amp;FX!$B$2:$B$26,FX!$C$2:$C$26)</f>
        <v>1</v>
      </c>
      <c r="N396" cm="1">
        <f t="array" ref="N396">_xlfn.IFS(C396="Canada",2,C396="India",3,C396="UK",4,C396="USA",5,C396="EU",6)</f>
        <v>3</v>
      </c>
      <c r="O396" s="662">
        <f>VLOOKUP(G396,'StdCosts and StdRates'!$A$17:$E$36,N396,FALSE)*M396</f>
        <v>3225</v>
      </c>
      <c r="P396"/>
      <c r="R396" s="967"/>
    </row>
    <row r="397" spans="1:18">
      <c r="A397" s="773" t="s">
        <v>736</v>
      </c>
      <c r="B397" s="773"/>
      <c r="C397" s="773" t="s">
        <v>308</v>
      </c>
      <c r="D397" s="773"/>
      <c r="E397" s="773"/>
      <c r="F397" s="773"/>
      <c r="G397" s="967" t="s">
        <v>311</v>
      </c>
      <c r="H397" s="967" t="str">
        <f t="shared" si="18"/>
        <v>Senior Project Manager or Program Manager</v>
      </c>
      <c r="I397" t="str">
        <f t="shared" si="19"/>
        <v>EUSenior Project Manager or Program Manager</v>
      </c>
      <c r="J397" t="str">
        <f t="shared" si="20"/>
        <v>EUUSASenior Project Manager or Program Manager</v>
      </c>
      <c r="K397" cm="1">
        <f t="array" ref="K397">_xlfn.IFS(A397="Canada",4,A397="India",5,A397="UK",6,A397="USA",7,A397="EU",8)</f>
        <v>8</v>
      </c>
      <c r="L397" s="662">
        <f>VLOOKUP(H397,'StdCosts and StdRates'!$A$41:$H$86,K397,FALSE)</f>
        <v>199</v>
      </c>
      <c r="M397" s="662" cm="1">
        <f t="array" ref="M397">_xlfn.XLOOKUP(C397&amp;A397,FX!$A$2:$A$26&amp;FX!$B$2:$B$26,FX!$C$2:$C$26)</f>
        <v>0.91986999999999997</v>
      </c>
      <c r="N397" cm="1">
        <f t="array" ref="N397">_xlfn.IFS(C397="Canada",2,C397="India",3,C397="UK",4,C397="USA",5,C397="EU",6)</f>
        <v>5</v>
      </c>
      <c r="O397" s="662">
        <f>VLOOKUP(G397,'StdCosts and StdRates'!$A$17:$E$36,N397,FALSE)*M397</f>
        <v>140.74010999999999</v>
      </c>
      <c r="P397"/>
      <c r="R397" s="967"/>
    </row>
    <row r="398" spans="1:18">
      <c r="A398" s="773" t="s">
        <v>736</v>
      </c>
      <c r="B398" s="773"/>
      <c r="C398" s="773" t="s">
        <v>405</v>
      </c>
      <c r="D398" s="773"/>
      <c r="E398" s="773"/>
      <c r="F398" s="773"/>
      <c r="G398" s="967" t="s">
        <v>311</v>
      </c>
      <c r="H398" s="967" t="str">
        <f t="shared" si="18"/>
        <v>Senior Project Manager or Program Manager</v>
      </c>
      <c r="I398" t="str">
        <f t="shared" si="19"/>
        <v>EUSenior Project Manager or Program Manager</v>
      </c>
      <c r="J398" t="str">
        <f t="shared" si="20"/>
        <v>EUCanadaSenior Project Manager or Program Manager</v>
      </c>
      <c r="K398" cm="1">
        <f t="array" ref="K398">_xlfn.IFS(A398="Canada",4,A398="India",5,A398="UK",6,A398="USA",7,A398="EU",8)</f>
        <v>8</v>
      </c>
      <c r="L398" s="662">
        <f>VLOOKUP(H398,'StdCosts and StdRates'!$A$41:$H$86,K398,FALSE)</f>
        <v>199</v>
      </c>
      <c r="M398" s="662" cm="1">
        <f t="array" ref="M398">_xlfn.XLOOKUP(C398&amp;A398,FX!$A$2:$A$26&amp;FX!$B$2:$B$26,FX!$C$2:$C$26)</f>
        <v>0.67474000000000001</v>
      </c>
      <c r="N398" cm="1">
        <f t="array" ref="N398">_xlfn.IFS(C398="Canada",2,C398="India",3,C398="UK",4,C398="USA",5,C398="EU",6)</f>
        <v>2</v>
      </c>
      <c r="O398" s="662">
        <f>VLOOKUP(G398,'StdCosts and StdRates'!$A$17:$E$36,N398,FALSE)*M398</f>
        <v>86.366720000000001</v>
      </c>
      <c r="P398"/>
      <c r="R398" s="967"/>
    </row>
    <row r="399" spans="1:18">
      <c r="A399" s="773" t="s">
        <v>736</v>
      </c>
      <c r="B399" s="773"/>
      <c r="C399" s="773" t="s">
        <v>247</v>
      </c>
      <c r="D399" s="773"/>
      <c r="E399" s="773"/>
      <c r="F399" s="773"/>
      <c r="G399" s="967" t="s">
        <v>311</v>
      </c>
      <c r="H399" s="967" t="str">
        <f t="shared" si="18"/>
        <v>Senior Project Manager or Program Manager</v>
      </c>
      <c r="I399" t="str">
        <f t="shared" si="19"/>
        <v>EUSenior Project Manager or Program Manager</v>
      </c>
      <c r="J399" t="str">
        <f t="shared" si="20"/>
        <v>EUUKSenior Project Manager or Program Manager</v>
      </c>
      <c r="K399" cm="1">
        <f t="array" ref="K399">_xlfn.IFS(A399="Canada",4,A399="India",5,A399="UK",6,A399="USA",7,A399="EU",8)</f>
        <v>8</v>
      </c>
      <c r="L399" s="662">
        <f>VLOOKUP(H399,'StdCosts and StdRates'!$A$41:$H$86,K399,FALSE)</f>
        <v>199</v>
      </c>
      <c r="M399" s="662" cm="1">
        <f t="array" ref="M399">_xlfn.XLOOKUP(C399&amp;A399,FX!$A$2:$A$26&amp;FX!$B$2:$B$26,FX!$C$2:$C$26)</f>
        <v>1.1749799999999999</v>
      </c>
      <c r="N399" cm="1">
        <f t="array" ref="N399">_xlfn.IFS(C399="Canada",2,C399="India",3,C399="UK",4,C399="USA",5,C399="EU",6)</f>
        <v>4</v>
      </c>
      <c r="O399" s="662">
        <f>VLOOKUP(G399,'StdCosts and StdRates'!$A$17:$E$36,N399,FALSE)*M399</f>
        <v>115.14803999999999</v>
      </c>
      <c r="P399"/>
      <c r="R399" s="967"/>
    </row>
    <row r="400" spans="1:18">
      <c r="A400" s="773" t="s">
        <v>736</v>
      </c>
      <c r="B400" s="773"/>
      <c r="C400" s="773" t="s">
        <v>736</v>
      </c>
      <c r="D400" s="773"/>
      <c r="E400" s="773"/>
      <c r="F400" s="773"/>
      <c r="G400" s="967" t="s">
        <v>311</v>
      </c>
      <c r="H400" s="967" t="str">
        <f t="shared" si="18"/>
        <v>Senior Project Manager or Program Manager</v>
      </c>
      <c r="I400" t="str">
        <f t="shared" si="19"/>
        <v>EUSenior Project Manager or Program Manager</v>
      </c>
      <c r="J400" t="str">
        <f t="shared" si="20"/>
        <v>EUEUSenior Project Manager or Program Manager</v>
      </c>
      <c r="K400" cm="1">
        <f t="array" ref="K400">_xlfn.IFS(A400="Canada",4,A400="India",5,A400="UK",6,A400="USA",7,A400="EU",8)</f>
        <v>8</v>
      </c>
      <c r="L400" s="662">
        <f>VLOOKUP(H400,'StdCosts and StdRates'!$A$41:$H$86,K400,FALSE)</f>
        <v>199</v>
      </c>
      <c r="M400" s="662" cm="1">
        <f t="array" ref="M400">_xlfn.XLOOKUP(C400&amp;A400,FX!$A$2:$A$26&amp;FX!$B$2:$B$26,FX!$C$2:$C$26)</f>
        <v>1</v>
      </c>
      <c r="N400" cm="1">
        <f t="array" ref="N400">_xlfn.IFS(C400="Canada",2,C400="India",3,C400="UK",4,C400="USA",5,C400="EU",6)</f>
        <v>6</v>
      </c>
      <c r="O400" s="662" t="e">
        <f>VLOOKUP(G400,'StdCosts and StdRates'!$A$17:$E$36,N400,FALSE)*M400</f>
        <v>#REF!</v>
      </c>
      <c r="P400"/>
      <c r="R400" s="967"/>
    </row>
    <row r="401" spans="1:18">
      <c r="A401" s="773" t="s">
        <v>736</v>
      </c>
      <c r="B401" s="773" t="s">
        <v>227</v>
      </c>
      <c r="C401" s="773" t="s">
        <v>227</v>
      </c>
      <c r="D401" s="773"/>
      <c r="E401" s="773"/>
      <c r="F401" s="773"/>
      <c r="G401" s="967" t="s">
        <v>311</v>
      </c>
      <c r="H401" s="967" t="str">
        <f t="shared" si="18"/>
        <v>IndiaSenior Project Manager or Program Manager</v>
      </c>
      <c r="I401" t="str">
        <f t="shared" si="19"/>
        <v>EUIndiaSenior Project Manager or Program Manager</v>
      </c>
      <c r="J401" t="str">
        <f t="shared" si="20"/>
        <v>EUIndiaSenior Project Manager or Program Manager</v>
      </c>
      <c r="K401" cm="1">
        <f t="array" ref="K401">_xlfn.IFS(A401="Canada",4,A401="India",5,A401="UK",6,A401="USA",7,A401="EU",8)</f>
        <v>8</v>
      </c>
      <c r="L401" s="662">
        <f>VLOOKUP(H401,'StdCosts and StdRates'!$A$41:$H$86,K401,FALSE)</f>
        <v>89</v>
      </c>
      <c r="M401" s="662" cm="1">
        <f t="array" ref="M401">_xlfn.XLOOKUP(C401&amp;A401,FX!$A$2:$A$26&amp;FX!$B$2:$B$26,FX!$C$2:$C$26)</f>
        <v>1.106E-2</v>
      </c>
      <c r="N401" cm="1">
        <f t="array" ref="N401">_xlfn.IFS(C401="Canada",2,C401="India",3,C401="UK",4,C401="USA",5,C401="EU",6)</f>
        <v>3</v>
      </c>
      <c r="O401" s="662">
        <f>VLOOKUP(G401,'StdCosts and StdRates'!$A$17:$E$36,N401,FALSE)*M401</f>
        <v>35.668500000000002</v>
      </c>
      <c r="P401"/>
      <c r="R401" s="967"/>
    </row>
    <row r="402" spans="1:18">
      <c r="A402" s="773" t="s">
        <v>308</v>
      </c>
      <c r="B402" s="773"/>
      <c r="C402" s="773" t="s">
        <v>308</v>
      </c>
      <c r="D402" s="773"/>
      <c r="E402" s="773"/>
      <c r="F402" s="773"/>
      <c r="G402" s="967" t="s">
        <v>381</v>
      </c>
      <c r="H402" s="967" t="str">
        <f t="shared" si="18"/>
        <v>Tester</v>
      </c>
      <c r="I402" t="str">
        <f t="shared" si="19"/>
        <v>USATester</v>
      </c>
      <c r="J402" t="str">
        <f t="shared" si="20"/>
        <v>USAUSATester</v>
      </c>
      <c r="K402" cm="1">
        <f t="array" ref="K402">_xlfn.IFS(A402="Canada",4,A402="India",5,A402="UK",6,A402="USA",7,A402="EU",8)</f>
        <v>7</v>
      </c>
      <c r="L402" s="662">
        <f>VLOOKUP(H402,'StdCosts and StdRates'!$A$41:$H$86,K402,FALSE)</f>
        <v>219</v>
      </c>
      <c r="M402" s="662" cm="1">
        <f t="array" ref="M402">_xlfn.XLOOKUP(C402&amp;A402,FX!$A$2:$A$26&amp;FX!$B$2:$B$26,FX!$C$2:$C$26)</f>
        <v>1</v>
      </c>
      <c r="N402" cm="1">
        <f t="array" ref="N402">_xlfn.IFS(C402="Canada",2,C402="India",3,C402="UK",4,C402="USA",5,C402="EU",6)</f>
        <v>5</v>
      </c>
      <c r="O402" s="662">
        <f>VLOOKUP(G402,'StdCosts and StdRates'!$A$17:$E$36,N402,FALSE)*M402</f>
        <v>92</v>
      </c>
      <c r="P402"/>
      <c r="R402" s="967"/>
    </row>
    <row r="403" spans="1:18">
      <c r="A403" s="773" t="s">
        <v>308</v>
      </c>
      <c r="B403" s="773"/>
      <c r="C403" s="773" t="s">
        <v>405</v>
      </c>
      <c r="D403" s="773"/>
      <c r="E403" s="773"/>
      <c r="F403" s="773"/>
      <c r="G403" s="967" t="s">
        <v>381</v>
      </c>
      <c r="H403" s="967" t="str">
        <f t="shared" si="18"/>
        <v>Tester</v>
      </c>
      <c r="I403" t="str">
        <f t="shared" si="19"/>
        <v>USATester</v>
      </c>
      <c r="J403" t="str">
        <f t="shared" si="20"/>
        <v>USACanadaTester</v>
      </c>
      <c r="K403" cm="1">
        <f t="array" ref="K403">_xlfn.IFS(A403="Canada",4,A403="India",5,A403="UK",6,A403="USA",7,A403="EU",8)</f>
        <v>7</v>
      </c>
      <c r="L403" s="662">
        <f>VLOOKUP(H403,'StdCosts and StdRates'!$A$41:$H$86,K403,FALSE)</f>
        <v>219</v>
      </c>
      <c r="M403" s="662" cm="1">
        <f t="array" ref="M403">_xlfn.XLOOKUP(C403&amp;A403,FX!$A$2:$A$26&amp;FX!$B$2:$B$26,FX!$C$2:$C$26)</f>
        <v>0.73351999999999995</v>
      </c>
      <c r="N403" cm="1">
        <f t="array" ref="N403">_xlfn.IFS(C403="Canada",2,C403="India",3,C403="UK",4,C403="USA",5,C403="EU",6)</f>
        <v>2</v>
      </c>
      <c r="O403" s="662">
        <f>VLOOKUP(G403,'StdCosts and StdRates'!$A$17:$E$36,N403,FALSE)*M403</f>
        <v>66.750320000000002</v>
      </c>
      <c r="P403"/>
      <c r="R403" s="967"/>
    </row>
    <row r="404" spans="1:18">
      <c r="A404" s="773" t="s">
        <v>308</v>
      </c>
      <c r="B404" s="773"/>
      <c r="C404" s="773" t="s">
        <v>247</v>
      </c>
      <c r="D404" s="773"/>
      <c r="E404" s="773"/>
      <c r="F404" s="773"/>
      <c r="G404" s="967" t="s">
        <v>381</v>
      </c>
      <c r="H404" s="967" t="str">
        <f t="shared" si="18"/>
        <v>Tester</v>
      </c>
      <c r="I404" t="str">
        <f t="shared" si="19"/>
        <v>USATester</v>
      </c>
      <c r="J404" t="str">
        <f t="shared" si="20"/>
        <v>USAUKTester</v>
      </c>
      <c r="K404" cm="1">
        <f t="array" ref="K404">_xlfn.IFS(A404="Canada",4,A404="India",5,A404="UK",6,A404="USA",7,A404="EU",8)</f>
        <v>7</v>
      </c>
      <c r="L404" s="662">
        <f>VLOOKUP(H404,'StdCosts and StdRates'!$A$41:$H$86,K404,FALSE)</f>
        <v>219</v>
      </c>
      <c r="M404" s="662" cm="1">
        <f t="array" ref="M404">_xlfn.XLOOKUP(C404&amp;A404,FX!$A$2:$A$26&amp;FX!$B$2:$B$26,FX!$C$2:$C$26)</f>
        <v>1.2772699999999999</v>
      </c>
      <c r="N404" cm="1">
        <f t="array" ref="N404">_xlfn.IFS(C404="Canada",2,C404="India",3,C404="UK",4,C404="USA",5,C404="EU",6)</f>
        <v>4</v>
      </c>
      <c r="O404" s="662">
        <f>VLOOKUP(G404,'StdCosts and StdRates'!$A$17:$E$36,N404,FALSE)*M404</f>
        <v>38.318099999999994</v>
      </c>
      <c r="P404"/>
      <c r="R404" s="967"/>
    </row>
    <row r="405" spans="1:18">
      <c r="A405" s="773" t="s">
        <v>308</v>
      </c>
      <c r="B405" s="773"/>
      <c r="C405" s="773" t="s">
        <v>736</v>
      </c>
      <c r="D405" s="773"/>
      <c r="E405" s="773"/>
      <c r="F405" s="773"/>
      <c r="G405" s="967" t="s">
        <v>381</v>
      </c>
      <c r="H405" s="967" t="str">
        <f t="shared" si="18"/>
        <v>Tester</v>
      </c>
      <c r="I405" t="str">
        <f t="shared" si="19"/>
        <v>USATester</v>
      </c>
      <c r="J405" t="str">
        <f t="shared" si="20"/>
        <v>USAEUTester</v>
      </c>
      <c r="K405" cm="1">
        <f t="array" ref="K405">_xlfn.IFS(A405="Canada",4,A405="India",5,A405="UK",6,A405="USA",7,A405="EU",8)</f>
        <v>7</v>
      </c>
      <c r="L405" s="662">
        <f>VLOOKUP(H405,'StdCosts and StdRates'!$A$41:$H$86,K405,FALSE)</f>
        <v>219</v>
      </c>
      <c r="M405" s="662" cm="1">
        <f t="array" ref="M405">_xlfn.XLOOKUP(C405&amp;A405,FX!$A$2:$A$26&amp;FX!$B$2:$B$26,FX!$C$2:$C$26)</f>
        <v>1.0869599999999999</v>
      </c>
      <c r="N405" cm="1">
        <f t="array" ref="N405">_xlfn.IFS(C405="Canada",2,C405="India",3,C405="UK",4,C405="USA",5,C405="EU",6)</f>
        <v>6</v>
      </c>
      <c r="O405" s="662" t="e">
        <f>VLOOKUP(G405,'StdCosts and StdRates'!$A$17:$E$36,N405,FALSE)*M405</f>
        <v>#REF!</v>
      </c>
      <c r="P405"/>
      <c r="R405" s="967"/>
    </row>
    <row r="406" spans="1:18">
      <c r="A406" s="773" t="s">
        <v>308</v>
      </c>
      <c r="B406" s="773" t="s">
        <v>227</v>
      </c>
      <c r="C406" s="773" t="s">
        <v>227</v>
      </c>
      <c r="D406" s="773"/>
      <c r="E406" s="773"/>
      <c r="F406" s="773"/>
      <c r="G406" s="967" t="s">
        <v>381</v>
      </c>
      <c r="H406" s="967" t="str">
        <f t="shared" si="18"/>
        <v>IndiaTester</v>
      </c>
      <c r="I406" t="str">
        <f t="shared" si="19"/>
        <v>USAIndiaTester</v>
      </c>
      <c r="J406" t="str">
        <f t="shared" si="20"/>
        <v>USAIndiaTester</v>
      </c>
      <c r="K406" cm="1">
        <f t="array" ref="K406">_xlfn.IFS(A406="Canada",4,A406="India",5,A406="UK",6,A406="USA",7,A406="EU",8)</f>
        <v>7</v>
      </c>
      <c r="L406" s="662">
        <f>VLOOKUP(H406,'StdCosts and StdRates'!$A$41:$H$86,K406,FALSE)</f>
        <v>89</v>
      </c>
      <c r="M406" s="662" cm="1">
        <f t="array" ref="M406">_xlfn.XLOOKUP(C406&amp;A406,FX!$A$2:$A$26&amp;FX!$B$2:$B$26,FX!$C$2:$C$26)</f>
        <v>1.2019999999999999E-2</v>
      </c>
      <c r="N406" cm="1">
        <f t="array" ref="N406">_xlfn.IFS(C406="Canada",2,C406="India",3,C406="UK",4,C406="USA",5,C406="EU",6)</f>
        <v>3</v>
      </c>
      <c r="O406" s="662">
        <f>VLOOKUP(G406,'StdCosts and StdRates'!$A$17:$E$36,N406,FALSE)*M406</f>
        <v>17.044359999999998</v>
      </c>
      <c r="P406"/>
      <c r="R406" s="967"/>
    </row>
    <row r="407" spans="1:18">
      <c r="A407" s="773" t="s">
        <v>405</v>
      </c>
      <c r="B407" s="773"/>
      <c r="C407" s="773" t="s">
        <v>308</v>
      </c>
      <c r="D407" s="773"/>
      <c r="E407" s="773"/>
      <c r="F407" s="773"/>
      <c r="G407" s="967" t="s">
        <v>381</v>
      </c>
      <c r="H407" s="967" t="str">
        <f t="shared" si="18"/>
        <v>Tester</v>
      </c>
      <c r="I407" t="str">
        <f t="shared" si="19"/>
        <v>CanadaTester</v>
      </c>
      <c r="J407" t="str">
        <f t="shared" si="20"/>
        <v>CanadaUSATester</v>
      </c>
      <c r="K407" cm="1">
        <f t="array" ref="K407">_xlfn.IFS(A407="Canada",4,A407="India",5,A407="UK",6,A407="USA",7,A407="EU",8)</f>
        <v>4</v>
      </c>
      <c r="L407" s="662">
        <f>VLOOKUP(H407,'StdCosts and StdRates'!$A$41:$H$86,K407,FALSE)</f>
        <v>239</v>
      </c>
      <c r="M407" s="662" cm="1">
        <f t="array" ref="M407">_xlfn.XLOOKUP(C407&amp;A407,FX!$A$2:$A$26&amp;FX!$B$2:$B$26,FX!$C$2:$C$26)</f>
        <v>1.36311</v>
      </c>
      <c r="N407" cm="1">
        <f t="array" ref="N407">_xlfn.IFS(C407="Canada",2,C407="India",3,C407="UK",4,C407="USA",5,C407="EU",6)</f>
        <v>5</v>
      </c>
      <c r="O407" s="662">
        <f>VLOOKUP(G407,'StdCosts and StdRates'!$A$17:$E$36,N407,FALSE)*M407</f>
        <v>125.40612</v>
      </c>
      <c r="P407"/>
      <c r="R407" s="967"/>
    </row>
    <row r="408" spans="1:18">
      <c r="A408" s="773" t="s">
        <v>405</v>
      </c>
      <c r="B408" s="773"/>
      <c r="C408" s="773" t="s">
        <v>405</v>
      </c>
      <c r="D408" s="773"/>
      <c r="E408" s="773"/>
      <c r="F408" s="773"/>
      <c r="G408" s="967" t="s">
        <v>381</v>
      </c>
      <c r="H408" s="967" t="str">
        <f t="shared" si="18"/>
        <v>Tester</v>
      </c>
      <c r="I408" t="str">
        <f t="shared" si="19"/>
        <v>CanadaTester</v>
      </c>
      <c r="J408" t="str">
        <f t="shared" si="20"/>
        <v>CanadaCanadaTester</v>
      </c>
      <c r="K408" cm="1">
        <f t="array" ref="K408">_xlfn.IFS(A408="Canada",4,A408="India",5,A408="UK",6,A408="USA",7,A408="EU",8)</f>
        <v>4</v>
      </c>
      <c r="L408" s="662">
        <f>VLOOKUP(H408,'StdCosts and StdRates'!$A$41:$H$86,K408,FALSE)</f>
        <v>239</v>
      </c>
      <c r="M408" s="662" cm="1">
        <f t="array" ref="M408">_xlfn.XLOOKUP(C408&amp;A408,FX!$A$2:$A$26&amp;FX!$B$2:$B$26,FX!$C$2:$C$26)</f>
        <v>1</v>
      </c>
      <c r="N408" cm="1">
        <f t="array" ref="N408">_xlfn.IFS(C408="Canada",2,C408="India",3,C408="UK",4,C408="USA",5,C408="EU",6)</f>
        <v>2</v>
      </c>
      <c r="O408" s="662">
        <f>VLOOKUP(G408,'StdCosts and StdRates'!$A$17:$E$36,N408,FALSE)*M408</f>
        <v>91</v>
      </c>
      <c r="P408"/>
      <c r="R408" s="967"/>
    </row>
    <row r="409" spans="1:18">
      <c r="A409" s="773" t="s">
        <v>405</v>
      </c>
      <c r="B409" s="773"/>
      <c r="C409" s="773" t="s">
        <v>247</v>
      </c>
      <c r="D409" s="773"/>
      <c r="E409" s="773"/>
      <c r="F409" s="773"/>
      <c r="G409" s="967" t="s">
        <v>381</v>
      </c>
      <c r="H409" s="967" t="str">
        <f t="shared" si="18"/>
        <v>Tester</v>
      </c>
      <c r="I409" t="str">
        <f t="shared" si="19"/>
        <v>CanadaTester</v>
      </c>
      <c r="J409" t="str">
        <f t="shared" si="20"/>
        <v>CanadaUKTester</v>
      </c>
      <c r="K409" cm="1">
        <f t="array" ref="K409">_xlfn.IFS(A409="Canada",4,A409="India",5,A409="UK",6,A409="USA",7,A409="EU",8)</f>
        <v>4</v>
      </c>
      <c r="L409" s="662">
        <f>VLOOKUP(H409,'StdCosts and StdRates'!$A$41:$H$86,K409,FALSE)</f>
        <v>239</v>
      </c>
      <c r="M409" s="662" cm="1">
        <f t="array" ref="M409">_xlfn.XLOOKUP(C409&amp;A409,FX!$A$2:$A$26&amp;FX!$B$2:$B$26,FX!$C$2:$C$26)</f>
        <v>1.7410699999999999</v>
      </c>
      <c r="N409" cm="1">
        <f t="array" ref="N409">_xlfn.IFS(C409="Canada",2,C409="India",3,C409="UK",4,C409="USA",5,C409="EU",6)</f>
        <v>4</v>
      </c>
      <c r="O409" s="662">
        <f>VLOOKUP(G409,'StdCosts and StdRates'!$A$17:$E$36,N409,FALSE)*M409</f>
        <v>52.232099999999996</v>
      </c>
      <c r="P409"/>
      <c r="R409" s="967"/>
    </row>
    <row r="410" spans="1:18">
      <c r="A410" s="773" t="s">
        <v>405</v>
      </c>
      <c r="B410" s="773"/>
      <c r="C410" s="773" t="s">
        <v>736</v>
      </c>
      <c r="D410" s="773"/>
      <c r="E410" s="773"/>
      <c r="F410" s="773"/>
      <c r="G410" s="967" t="s">
        <v>381</v>
      </c>
      <c r="H410" s="967" t="str">
        <f t="shared" si="18"/>
        <v>Tester</v>
      </c>
      <c r="I410" t="str">
        <f t="shared" si="19"/>
        <v>CanadaTester</v>
      </c>
      <c r="J410" t="str">
        <f t="shared" si="20"/>
        <v>CanadaEUTester</v>
      </c>
      <c r="K410" cm="1">
        <f t="array" ref="K410">_xlfn.IFS(A410="Canada",4,A410="India",5,A410="UK",6,A410="USA",7,A410="EU",8)</f>
        <v>4</v>
      </c>
      <c r="L410" s="662">
        <f>VLOOKUP(H410,'StdCosts and StdRates'!$A$41:$H$86,K410,FALSE)</f>
        <v>239</v>
      </c>
      <c r="M410" s="662" cm="1">
        <f t="array" ref="M410">_xlfn.XLOOKUP(C410&amp;A410,FX!$A$2:$A$26&amp;FX!$B$2:$B$26,FX!$C$2:$C$26)</f>
        <v>1.4816499999999999</v>
      </c>
      <c r="N410" cm="1">
        <f t="array" ref="N410">_xlfn.IFS(C410="Canada",2,C410="India",3,C410="UK",4,C410="USA",5,C410="EU",6)</f>
        <v>6</v>
      </c>
      <c r="O410" s="662" t="e">
        <f>VLOOKUP(G410,'StdCosts and StdRates'!$A$17:$E$36,N410,FALSE)*M410</f>
        <v>#REF!</v>
      </c>
      <c r="P410"/>
      <c r="R410" s="967"/>
    </row>
    <row r="411" spans="1:18">
      <c r="A411" s="773" t="s">
        <v>405</v>
      </c>
      <c r="B411" s="773" t="s">
        <v>227</v>
      </c>
      <c r="C411" s="773" t="s">
        <v>227</v>
      </c>
      <c r="D411" s="773"/>
      <c r="E411" s="773"/>
      <c r="F411" s="773"/>
      <c r="G411" s="967" t="s">
        <v>381</v>
      </c>
      <c r="H411" s="967" t="str">
        <f t="shared" ref="H411:H450" si="21">B411&amp;G411</f>
        <v>IndiaTester</v>
      </c>
      <c r="I411" t="str">
        <f t="shared" ref="I411:I450" si="22">A411&amp;B411&amp;D411&amp;E411&amp;F411&amp;G411</f>
        <v>CanadaIndiaTester</v>
      </c>
      <c r="J411" t="str">
        <f t="shared" ref="J411:J451" si="23">A411&amp;C411&amp;D411&amp;E411&amp;F411&amp;G411</f>
        <v>CanadaIndiaTester</v>
      </c>
      <c r="K411" cm="1">
        <f t="array" ref="K411">_xlfn.IFS(A411="Canada",4,A411="India",5,A411="UK",6,A411="USA",7,A411="EU",8)</f>
        <v>4</v>
      </c>
      <c r="L411" s="662">
        <f>VLOOKUP(H411,'StdCosts and StdRates'!$A$41:$H$86,K411,FALSE)</f>
        <v>115</v>
      </c>
      <c r="M411" s="662" cm="1">
        <f t="array" ref="M411">_xlfn.XLOOKUP(C411&amp;A411,FX!$A$2:$A$26&amp;FX!$B$2:$B$26,FX!$C$2:$C$26)</f>
        <v>1.6389999999999998E-2</v>
      </c>
      <c r="N411" cm="1">
        <f t="array" ref="N411">_xlfn.IFS(C411="Canada",2,C411="India",3,C411="UK",4,C411="USA",5,C411="EU",6)</f>
        <v>3</v>
      </c>
      <c r="O411" s="662">
        <f>VLOOKUP(G411,'StdCosts and StdRates'!$A$17:$E$36,N411,FALSE)*M411</f>
        <v>23.241019999999999</v>
      </c>
      <c r="P411"/>
      <c r="R411" s="967"/>
    </row>
    <row r="412" spans="1:18">
      <c r="A412" s="773" t="s">
        <v>247</v>
      </c>
      <c r="B412" s="773"/>
      <c r="C412" s="773" t="s">
        <v>308</v>
      </c>
      <c r="D412" s="773"/>
      <c r="E412" s="773"/>
      <c r="F412" s="773"/>
      <c r="G412" s="967" t="s">
        <v>381</v>
      </c>
      <c r="H412" s="967" t="str">
        <f t="shared" si="21"/>
        <v>Tester</v>
      </c>
      <c r="I412" t="str">
        <f t="shared" si="22"/>
        <v>UKTester</v>
      </c>
      <c r="J412" t="str">
        <f t="shared" si="23"/>
        <v>UKUSATester</v>
      </c>
      <c r="K412" cm="1">
        <f t="array" ref="K412">_xlfn.IFS(A412="Canada",4,A412="India",5,A412="UK",6,A412="USA",7,A412="EU",8)</f>
        <v>6</v>
      </c>
      <c r="L412" s="662">
        <f>VLOOKUP(H412,'StdCosts and StdRates'!$A$41:$H$86,K412,FALSE)</f>
        <v>139</v>
      </c>
      <c r="M412" s="662" cm="1">
        <f t="array" ref="M412">_xlfn.XLOOKUP(C412&amp;A412,FX!$A$2:$A$26&amp;FX!$B$2:$B$26,FX!$C$2:$C$26)</f>
        <v>0.78280000000000005</v>
      </c>
      <c r="N412" cm="1">
        <f t="array" ref="N412">_xlfn.IFS(C412="Canada",2,C412="India",3,C412="UK",4,C412="USA",5,C412="EU",6)</f>
        <v>5</v>
      </c>
      <c r="O412" s="662">
        <f>VLOOKUP(G412,'StdCosts and StdRates'!$A$17:$E$36,N412,FALSE)*M412</f>
        <v>72.017600000000002</v>
      </c>
      <c r="P412"/>
      <c r="R412" s="967"/>
    </row>
    <row r="413" spans="1:18">
      <c r="A413" s="773" t="s">
        <v>247</v>
      </c>
      <c r="B413" s="773"/>
      <c r="C413" s="773" t="s">
        <v>405</v>
      </c>
      <c r="D413" s="773"/>
      <c r="E413" s="773"/>
      <c r="F413" s="773"/>
      <c r="G413" s="967" t="s">
        <v>381</v>
      </c>
      <c r="H413" s="967" t="str">
        <f t="shared" si="21"/>
        <v>Tester</v>
      </c>
      <c r="I413" t="str">
        <f t="shared" si="22"/>
        <v>UKTester</v>
      </c>
      <c r="J413" t="str">
        <f t="shared" si="23"/>
        <v>UKCanadaTester</v>
      </c>
      <c r="K413" cm="1">
        <f t="array" ref="K413">_xlfn.IFS(A413="Canada",4,A413="India",5,A413="UK",6,A413="USA",7,A413="EU",8)</f>
        <v>6</v>
      </c>
      <c r="L413" s="662">
        <f>VLOOKUP(H413,'StdCosts and StdRates'!$A$41:$H$86,K413,FALSE)</f>
        <v>139</v>
      </c>
      <c r="M413" s="662" cm="1">
        <f t="array" ref="M413">_xlfn.XLOOKUP(C413&amp;A413,FX!$A$2:$A$26&amp;FX!$B$2:$B$26,FX!$C$2:$C$26)</f>
        <v>0.57420000000000004</v>
      </c>
      <c r="N413" cm="1">
        <f t="array" ref="N413">_xlfn.IFS(C413="Canada",2,C413="India",3,C413="UK",4,C413="USA",5,C413="EU",6)</f>
        <v>2</v>
      </c>
      <c r="O413" s="662">
        <f>VLOOKUP(G413,'StdCosts and StdRates'!$A$17:$E$36,N413,FALSE)*M413</f>
        <v>52.252200000000002</v>
      </c>
      <c r="P413"/>
      <c r="R413" s="967"/>
    </row>
    <row r="414" spans="1:18">
      <c r="A414" s="773" t="s">
        <v>247</v>
      </c>
      <c r="B414" s="773"/>
      <c r="C414" s="773" t="s">
        <v>247</v>
      </c>
      <c r="D414" s="773"/>
      <c r="E414" s="773"/>
      <c r="F414" s="773"/>
      <c r="G414" s="967" t="s">
        <v>381</v>
      </c>
      <c r="H414" s="967" t="str">
        <f t="shared" si="21"/>
        <v>Tester</v>
      </c>
      <c r="I414" t="str">
        <f t="shared" si="22"/>
        <v>UKTester</v>
      </c>
      <c r="J414" t="str">
        <f t="shared" si="23"/>
        <v>UKUKTester</v>
      </c>
      <c r="K414" cm="1">
        <f t="array" ref="K414">_xlfn.IFS(A414="Canada",4,A414="India",5,A414="UK",6,A414="USA",7,A414="EU",8)</f>
        <v>6</v>
      </c>
      <c r="L414" s="662">
        <f>VLOOKUP(H414,'StdCosts and StdRates'!$A$41:$H$86,K414,FALSE)</f>
        <v>139</v>
      </c>
      <c r="M414" s="662" cm="1">
        <f t="array" ref="M414">_xlfn.XLOOKUP(C414&amp;A414,FX!$A$2:$A$26&amp;FX!$B$2:$B$26,FX!$C$2:$C$26)</f>
        <v>1</v>
      </c>
      <c r="N414" cm="1">
        <f t="array" ref="N414">_xlfn.IFS(C414="Canada",2,C414="India",3,C414="UK",4,C414="USA",5,C414="EU",6)</f>
        <v>4</v>
      </c>
      <c r="O414" s="662">
        <f>VLOOKUP(G414,'StdCosts and StdRates'!$A$17:$E$36,N414,FALSE)*M414</f>
        <v>30</v>
      </c>
      <c r="P414"/>
      <c r="R414" s="967"/>
    </row>
    <row r="415" spans="1:18">
      <c r="A415" s="773" t="s">
        <v>247</v>
      </c>
      <c r="B415" s="773"/>
      <c r="C415" s="773" t="s">
        <v>736</v>
      </c>
      <c r="D415" s="773"/>
      <c r="E415" s="773"/>
      <c r="F415" s="773"/>
      <c r="G415" s="967" t="s">
        <v>381</v>
      </c>
      <c r="H415" s="967" t="str">
        <f t="shared" si="21"/>
        <v>Tester</v>
      </c>
      <c r="I415" t="str">
        <f t="shared" si="22"/>
        <v>UKTester</v>
      </c>
      <c r="J415" t="str">
        <f t="shared" si="23"/>
        <v>UKEUTester</v>
      </c>
      <c r="K415" cm="1">
        <f t="array" ref="K415">_xlfn.IFS(A415="Canada",4,A415="India",5,A415="UK",6,A415="USA",7,A415="EU",8)</f>
        <v>6</v>
      </c>
      <c r="L415" s="662">
        <f>VLOOKUP(H415,'StdCosts and StdRates'!$A$41:$H$86,K415,FALSE)</f>
        <v>139</v>
      </c>
      <c r="M415" s="662" cm="1">
        <f t="array" ref="M415">_xlfn.XLOOKUP(C415&amp;A415,FX!$A$2:$A$26&amp;FX!$B$2:$B$26,FX!$C$2:$C$26)</f>
        <v>0.85092999999999996</v>
      </c>
      <c r="N415" cm="1">
        <f t="array" ref="N415">_xlfn.IFS(C415="Canada",2,C415="India",3,C415="UK",4,C415="USA",5,C415="EU",6)</f>
        <v>6</v>
      </c>
      <c r="O415" s="662" t="e">
        <f>VLOOKUP(G415,'StdCosts and StdRates'!$A$17:$E$36,N415,FALSE)*M415</f>
        <v>#REF!</v>
      </c>
      <c r="P415"/>
      <c r="R415" s="967"/>
    </row>
    <row r="416" spans="1:18">
      <c r="A416" s="773" t="s">
        <v>247</v>
      </c>
      <c r="B416" s="773" t="s">
        <v>227</v>
      </c>
      <c r="C416" s="773" t="s">
        <v>227</v>
      </c>
      <c r="D416" s="773"/>
      <c r="E416" s="773"/>
      <c r="F416" s="773"/>
      <c r="G416" s="967" t="s">
        <v>381</v>
      </c>
      <c r="H416" s="967" t="str">
        <f t="shared" si="21"/>
        <v>IndiaTester</v>
      </c>
      <c r="I416" t="str">
        <f t="shared" si="22"/>
        <v>UKIndiaTester</v>
      </c>
      <c r="J416" t="str">
        <f t="shared" si="23"/>
        <v>UKIndiaTester</v>
      </c>
      <c r="K416" cm="1">
        <f t="array" ref="K416">_xlfn.IFS(A416="Canada",4,A416="India",5,A416="UK",6,A416="USA",7,A416="EU",8)</f>
        <v>6</v>
      </c>
      <c r="L416" s="662">
        <f>VLOOKUP(H416,'StdCosts and StdRates'!$A$41:$H$86,K416,FALSE)</f>
        <v>65</v>
      </c>
      <c r="M416" s="662" cm="1">
        <f t="array" ref="M416">_xlfn.XLOOKUP(C416&amp;A416,FX!$A$2:$A$26&amp;FX!$B$2:$B$26,FX!$C$2:$C$26)</f>
        <v>9.41E-3</v>
      </c>
      <c r="N416" cm="1">
        <f t="array" ref="N416">_xlfn.IFS(C416="Canada",2,C416="India",3,C416="UK",4,C416="USA",5,C416="EU",6)</f>
        <v>3</v>
      </c>
      <c r="O416" s="662">
        <f>VLOOKUP(G416,'StdCosts and StdRates'!$A$17:$E$36,N416,FALSE)*M416</f>
        <v>13.34338</v>
      </c>
      <c r="P416"/>
      <c r="R416" s="967"/>
    </row>
    <row r="417" spans="1:18">
      <c r="A417" s="773" t="s">
        <v>227</v>
      </c>
      <c r="B417" s="773"/>
      <c r="C417" s="773" t="s">
        <v>308</v>
      </c>
      <c r="D417" s="773"/>
      <c r="E417" s="773"/>
      <c r="F417" s="773"/>
      <c r="G417" s="967" t="s">
        <v>381</v>
      </c>
      <c r="H417" s="967" t="str">
        <f t="shared" si="21"/>
        <v>Tester</v>
      </c>
      <c r="I417" t="str">
        <f t="shared" si="22"/>
        <v>IndiaTester</v>
      </c>
      <c r="J417" t="str">
        <f t="shared" si="23"/>
        <v>IndiaUSATester</v>
      </c>
      <c r="K417" cm="1">
        <f t="array" ref="K417">_xlfn.IFS(A417="Canada",4,A417="India",5,A417="UK",6,A417="USA",7,A417="EU",8)</f>
        <v>5</v>
      </c>
      <c r="L417" s="662">
        <f>VLOOKUP(H417,'StdCosts and StdRates'!$A$41:$H$86,K417,FALSE)</f>
        <v>6800</v>
      </c>
      <c r="M417" s="662" cm="1">
        <f t="array" ref="M417">_xlfn.XLOOKUP(C417&amp;A417,FX!$A$2:$A$26&amp;FX!$B$2:$B$26,FX!$C$2:$C$26)</f>
        <v>83.1721</v>
      </c>
      <c r="N417" cm="1">
        <f t="array" ref="N417">_xlfn.IFS(C417="Canada",2,C417="India",3,C417="UK",4,C417="USA",5,C417="EU",6)</f>
        <v>5</v>
      </c>
      <c r="O417" s="662">
        <f>VLOOKUP(G417,'StdCosts and StdRates'!$A$17:$E$36,N417,FALSE)*M417</f>
        <v>7651.8332</v>
      </c>
      <c r="P417"/>
      <c r="R417" s="967"/>
    </row>
    <row r="418" spans="1:18">
      <c r="A418" s="773" t="s">
        <v>227</v>
      </c>
      <c r="B418" s="773"/>
      <c r="C418" s="773" t="s">
        <v>405</v>
      </c>
      <c r="D418" s="773"/>
      <c r="E418" s="773"/>
      <c r="F418" s="773"/>
      <c r="G418" s="967" t="s">
        <v>381</v>
      </c>
      <c r="H418" s="967" t="str">
        <f t="shared" si="21"/>
        <v>Tester</v>
      </c>
      <c r="I418" t="str">
        <f t="shared" si="22"/>
        <v>IndiaTester</v>
      </c>
      <c r="J418" t="str">
        <f t="shared" si="23"/>
        <v>IndiaCanadaTester</v>
      </c>
      <c r="K418" cm="1">
        <f t="array" ref="K418">_xlfn.IFS(A418="Canada",4,A418="India",5,A418="UK",6,A418="USA",7,A418="EU",8)</f>
        <v>5</v>
      </c>
      <c r="L418" s="662">
        <f>VLOOKUP(H418,'StdCosts and StdRates'!$A$41:$H$86,K418,FALSE)</f>
        <v>6800</v>
      </c>
      <c r="M418" s="662" cm="1">
        <f t="array" ref="M418">_xlfn.XLOOKUP(C418&amp;A418,FX!$A$2:$A$26&amp;FX!$B$2:$B$26,FX!$C$2:$C$26)</f>
        <v>61.008200000000002</v>
      </c>
      <c r="N418" cm="1">
        <f t="array" ref="N418">_xlfn.IFS(C418="Canada",2,C418="India",3,C418="UK",4,C418="USA",5,C418="EU",6)</f>
        <v>2</v>
      </c>
      <c r="O418" s="662">
        <f>VLOOKUP(G418,'StdCosts and StdRates'!$A$17:$E$36,N418,FALSE)*M418</f>
        <v>5551.7462000000005</v>
      </c>
      <c r="P418"/>
      <c r="R418" s="967"/>
    </row>
    <row r="419" spans="1:18">
      <c r="A419" s="773" t="s">
        <v>227</v>
      </c>
      <c r="B419" s="773"/>
      <c r="C419" s="773" t="s">
        <v>247</v>
      </c>
      <c r="D419" s="773"/>
      <c r="E419" s="773"/>
      <c r="F419" s="773"/>
      <c r="G419" s="967" t="s">
        <v>381</v>
      </c>
      <c r="H419" s="967" t="str">
        <f t="shared" si="21"/>
        <v>Tester</v>
      </c>
      <c r="I419" t="str">
        <f t="shared" si="22"/>
        <v>IndiaTester</v>
      </c>
      <c r="J419" t="str">
        <f t="shared" si="23"/>
        <v>IndiaUKTester</v>
      </c>
      <c r="K419" cm="1">
        <f t="array" ref="K419">_xlfn.IFS(A419="Canada",4,A419="India",5,A419="UK",6,A419="USA",7,A419="EU",8)</f>
        <v>5</v>
      </c>
      <c r="L419" s="662">
        <f>VLOOKUP(H419,'StdCosts and StdRates'!$A$41:$H$86,K419,FALSE)</f>
        <v>6800</v>
      </c>
      <c r="M419" s="662" cm="1">
        <f t="array" ref="M419">_xlfn.XLOOKUP(C419&amp;A419,FX!$A$2:$A$26&amp;FX!$B$2:$B$26,FX!$C$2:$C$26)</f>
        <v>106.23399999999999</v>
      </c>
      <c r="N419" cm="1">
        <f t="array" ref="N419">_xlfn.IFS(C419="Canada",2,C419="India",3,C419="UK",4,C419="USA",5,C419="EU",6)</f>
        <v>4</v>
      </c>
      <c r="O419" s="662">
        <f>VLOOKUP(G419,'StdCosts and StdRates'!$A$17:$E$36,N419,FALSE)*M419</f>
        <v>3187.02</v>
      </c>
      <c r="P419"/>
      <c r="R419" s="967"/>
    </row>
    <row r="420" spans="1:18">
      <c r="A420" s="773" t="s">
        <v>227</v>
      </c>
      <c r="B420" s="773"/>
      <c r="C420" s="773" t="s">
        <v>736</v>
      </c>
      <c r="D420" s="773"/>
      <c r="E420" s="773"/>
      <c r="F420" s="773"/>
      <c r="G420" s="967" t="s">
        <v>381</v>
      </c>
      <c r="H420" s="967" t="str">
        <f t="shared" si="21"/>
        <v>Tester</v>
      </c>
      <c r="I420" t="str">
        <f t="shared" si="22"/>
        <v>IndiaTester</v>
      </c>
      <c r="J420" t="str">
        <f t="shared" si="23"/>
        <v>IndiaEUTester</v>
      </c>
      <c r="K420" cm="1">
        <f t="array" ref="K420">_xlfn.IFS(A420="Canada",4,A420="India",5,A420="UK",6,A420="USA",7,A420="EU",8)</f>
        <v>5</v>
      </c>
      <c r="L420" s="662">
        <f>VLOOKUP(H420,'StdCosts and StdRates'!$A$41:$H$86,K420,FALSE)</f>
        <v>6800</v>
      </c>
      <c r="M420" s="662" cm="1">
        <f t="array" ref="M420">_xlfn.XLOOKUP(C420&amp;A420,FX!$A$2:$A$26&amp;FX!$B$2:$B$26,FX!$C$2:$C$26)</f>
        <v>90.405100000000004</v>
      </c>
      <c r="N420" cm="1">
        <f t="array" ref="N420">_xlfn.IFS(C420="Canada",2,C420="India",3,C420="UK",4,C420="USA",5,C420="EU",6)</f>
        <v>6</v>
      </c>
      <c r="O420" s="662" t="e">
        <f>VLOOKUP(G420,'StdCosts and StdRates'!$A$17:$E$36,N420,FALSE)*M420</f>
        <v>#REF!</v>
      </c>
      <c r="P420"/>
      <c r="R420" s="967"/>
    </row>
    <row r="421" spans="1:18">
      <c r="A421" s="773" t="s">
        <v>227</v>
      </c>
      <c r="B421" s="773" t="s">
        <v>227</v>
      </c>
      <c r="C421" s="773" t="s">
        <v>227</v>
      </c>
      <c r="D421" s="773"/>
      <c r="E421" s="773"/>
      <c r="F421" s="773"/>
      <c r="G421" s="967" t="s">
        <v>381</v>
      </c>
      <c r="H421" s="967" t="str">
        <f t="shared" si="21"/>
        <v>IndiaTester</v>
      </c>
      <c r="I421" t="str">
        <f t="shared" si="22"/>
        <v>IndiaIndiaTester</v>
      </c>
      <c r="J421" t="str">
        <f t="shared" si="23"/>
        <v>IndiaIndiaTester</v>
      </c>
      <c r="K421" cm="1">
        <f t="array" ref="K421">_xlfn.IFS(A421="Canada",4,A421="India",5,A421="UK",6,A421="USA",7,A421="EU",8)</f>
        <v>5</v>
      </c>
      <c r="L421" s="662">
        <f>VLOOKUP(H421,'StdCosts and StdRates'!$A$41:$H$86,K421,FALSE)</f>
        <v>6800</v>
      </c>
      <c r="M421" s="662" cm="1">
        <f t="array" ref="M421">_xlfn.XLOOKUP(C421&amp;A421,FX!$A$2:$A$26&amp;FX!$B$2:$B$26,FX!$C$2:$C$26)</f>
        <v>1</v>
      </c>
      <c r="N421" cm="1">
        <f t="array" ref="N421">_xlfn.IFS(C421="Canada",2,C421="India",3,C421="UK",4,C421="USA",5,C421="EU",6)</f>
        <v>3</v>
      </c>
      <c r="O421" s="662">
        <f>VLOOKUP(G421,'StdCosts and StdRates'!$A$17:$E$36,N421,FALSE)*M421</f>
        <v>1418</v>
      </c>
      <c r="P421"/>
      <c r="R421" s="967"/>
    </row>
    <row r="422" spans="1:18">
      <c r="A422" s="773" t="s">
        <v>736</v>
      </c>
      <c r="B422" s="773"/>
      <c r="C422" s="773" t="s">
        <v>308</v>
      </c>
      <c r="D422" s="773"/>
      <c r="E422" s="773"/>
      <c r="F422" s="773"/>
      <c r="G422" s="967" t="s">
        <v>381</v>
      </c>
      <c r="H422" s="967" t="str">
        <f t="shared" si="21"/>
        <v>Tester</v>
      </c>
      <c r="I422" t="str">
        <f t="shared" si="22"/>
        <v>EUTester</v>
      </c>
      <c r="J422" t="str">
        <f t="shared" si="23"/>
        <v>EUUSATester</v>
      </c>
      <c r="K422" cm="1">
        <f t="array" ref="K422">_xlfn.IFS(A422="Canada",4,A422="India",5,A422="UK",6,A422="USA",7,A422="EU",8)</f>
        <v>8</v>
      </c>
      <c r="L422" s="662">
        <f>VLOOKUP(H422,'StdCosts and StdRates'!$A$41:$H$86,K422,FALSE)</f>
        <v>165</v>
      </c>
      <c r="M422" s="662" cm="1">
        <f t="array" ref="M422">_xlfn.XLOOKUP(C422&amp;A422,FX!$A$2:$A$26&amp;FX!$B$2:$B$26,FX!$C$2:$C$26)</f>
        <v>0.91986999999999997</v>
      </c>
      <c r="N422" cm="1">
        <f t="array" ref="N422">_xlfn.IFS(C422="Canada",2,C422="India",3,C422="UK",4,C422="USA",5,C422="EU",6)</f>
        <v>5</v>
      </c>
      <c r="O422" s="662">
        <f>VLOOKUP(G422,'StdCosts and StdRates'!$A$17:$E$36,N422,FALSE)*M422</f>
        <v>84.628039999999999</v>
      </c>
      <c r="P422"/>
      <c r="R422" s="967"/>
    </row>
    <row r="423" spans="1:18">
      <c r="A423" s="773" t="s">
        <v>736</v>
      </c>
      <c r="B423" s="773"/>
      <c r="C423" s="773" t="s">
        <v>405</v>
      </c>
      <c r="D423" s="773"/>
      <c r="E423" s="773"/>
      <c r="F423" s="773"/>
      <c r="G423" s="967" t="s">
        <v>381</v>
      </c>
      <c r="H423" s="967" t="str">
        <f t="shared" si="21"/>
        <v>Tester</v>
      </c>
      <c r="I423" t="str">
        <f t="shared" si="22"/>
        <v>EUTester</v>
      </c>
      <c r="J423" t="str">
        <f t="shared" si="23"/>
        <v>EUCanadaTester</v>
      </c>
      <c r="K423" cm="1">
        <f t="array" ref="K423">_xlfn.IFS(A423="Canada",4,A423="India",5,A423="UK",6,A423="USA",7,A423="EU",8)</f>
        <v>8</v>
      </c>
      <c r="L423" s="662">
        <f>VLOOKUP(H423,'StdCosts and StdRates'!$A$41:$H$86,K423,FALSE)</f>
        <v>165</v>
      </c>
      <c r="M423" s="662" cm="1">
        <f t="array" ref="M423">_xlfn.XLOOKUP(C423&amp;A423,FX!$A$2:$A$26&amp;FX!$B$2:$B$26,FX!$C$2:$C$26)</f>
        <v>0.67474000000000001</v>
      </c>
      <c r="N423" cm="1">
        <f t="array" ref="N423">_xlfn.IFS(C423="Canada",2,C423="India",3,C423="UK",4,C423="USA",5,C423="EU",6)</f>
        <v>2</v>
      </c>
      <c r="O423" s="662">
        <f>VLOOKUP(G423,'StdCosts and StdRates'!$A$17:$E$36,N423,FALSE)*M423</f>
        <v>61.401339999999998</v>
      </c>
      <c r="P423"/>
      <c r="R423" s="967"/>
    </row>
    <row r="424" spans="1:18">
      <c r="A424" s="773" t="s">
        <v>736</v>
      </c>
      <c r="B424" s="773"/>
      <c r="C424" s="773" t="s">
        <v>247</v>
      </c>
      <c r="D424" s="773"/>
      <c r="E424" s="773"/>
      <c r="F424" s="773"/>
      <c r="G424" s="967" t="s">
        <v>381</v>
      </c>
      <c r="H424" s="967" t="str">
        <f t="shared" si="21"/>
        <v>Tester</v>
      </c>
      <c r="I424" t="str">
        <f t="shared" si="22"/>
        <v>EUTester</v>
      </c>
      <c r="J424" t="str">
        <f t="shared" si="23"/>
        <v>EUUKTester</v>
      </c>
      <c r="K424" cm="1">
        <f t="array" ref="K424">_xlfn.IFS(A424="Canada",4,A424="India",5,A424="UK",6,A424="USA",7,A424="EU",8)</f>
        <v>8</v>
      </c>
      <c r="L424" s="662">
        <f>VLOOKUP(H424,'StdCosts and StdRates'!$A$41:$H$86,K424,FALSE)</f>
        <v>165</v>
      </c>
      <c r="M424" s="662" cm="1">
        <f t="array" ref="M424">_xlfn.XLOOKUP(C424&amp;A424,FX!$A$2:$A$26&amp;FX!$B$2:$B$26,FX!$C$2:$C$26)</f>
        <v>1.1749799999999999</v>
      </c>
      <c r="N424" cm="1">
        <f t="array" ref="N424">_xlfn.IFS(C424="Canada",2,C424="India",3,C424="UK",4,C424="USA",5,C424="EU",6)</f>
        <v>4</v>
      </c>
      <c r="O424" s="662">
        <f>VLOOKUP(G424,'StdCosts and StdRates'!$A$17:$E$36,N424,FALSE)*M424</f>
        <v>35.249399999999994</v>
      </c>
      <c r="P424"/>
      <c r="R424" s="967"/>
    </row>
    <row r="425" spans="1:18">
      <c r="A425" s="773" t="s">
        <v>736</v>
      </c>
      <c r="B425" s="773"/>
      <c r="C425" s="773" t="s">
        <v>736</v>
      </c>
      <c r="D425" s="773"/>
      <c r="E425" s="773"/>
      <c r="F425" s="773"/>
      <c r="G425" s="967" t="s">
        <v>381</v>
      </c>
      <c r="H425" s="967" t="str">
        <f t="shared" si="21"/>
        <v>Tester</v>
      </c>
      <c r="I425" t="str">
        <f t="shared" si="22"/>
        <v>EUTester</v>
      </c>
      <c r="J425" t="str">
        <f t="shared" si="23"/>
        <v>EUEUTester</v>
      </c>
      <c r="K425" cm="1">
        <f t="array" ref="K425">_xlfn.IFS(A425="Canada",4,A425="India",5,A425="UK",6,A425="USA",7,A425="EU",8)</f>
        <v>8</v>
      </c>
      <c r="L425" s="662">
        <f>VLOOKUP(H425,'StdCosts and StdRates'!$A$41:$H$86,K425,FALSE)</f>
        <v>165</v>
      </c>
      <c r="M425" s="662" cm="1">
        <f t="array" ref="M425">_xlfn.XLOOKUP(C425&amp;A425,FX!$A$2:$A$26&amp;FX!$B$2:$B$26,FX!$C$2:$C$26)</f>
        <v>1</v>
      </c>
      <c r="N425" cm="1">
        <f t="array" ref="N425">_xlfn.IFS(C425="Canada",2,C425="India",3,C425="UK",4,C425="USA",5,C425="EU",6)</f>
        <v>6</v>
      </c>
      <c r="O425" s="662" t="e">
        <f>VLOOKUP(G425,'StdCosts and StdRates'!$A$17:$E$36,N425,FALSE)*M425</f>
        <v>#REF!</v>
      </c>
      <c r="P425"/>
      <c r="R425" s="967"/>
    </row>
    <row r="426" spans="1:18">
      <c r="A426" s="773" t="s">
        <v>736</v>
      </c>
      <c r="B426" s="773" t="s">
        <v>227</v>
      </c>
      <c r="C426" s="773" t="s">
        <v>227</v>
      </c>
      <c r="D426" s="773"/>
      <c r="E426" s="773"/>
      <c r="F426" s="773"/>
      <c r="G426" s="967" t="s">
        <v>381</v>
      </c>
      <c r="H426" s="967" t="str">
        <f t="shared" si="21"/>
        <v>IndiaTester</v>
      </c>
      <c r="I426" t="str">
        <f t="shared" si="22"/>
        <v>EUIndiaTester</v>
      </c>
      <c r="J426" t="str">
        <f t="shared" si="23"/>
        <v>EUIndiaTester</v>
      </c>
      <c r="K426" cm="1">
        <f t="array" ref="K426">_xlfn.IFS(A426="Canada",4,A426="India",5,A426="UK",6,A426="USA",7,A426="EU",8)</f>
        <v>8</v>
      </c>
      <c r="L426" s="662">
        <f>VLOOKUP(H426,'StdCosts and StdRates'!$A$41:$H$86,K426,FALSE)</f>
        <v>75</v>
      </c>
      <c r="M426" s="662" cm="1">
        <f t="array" ref="M426">_xlfn.XLOOKUP(C426&amp;A426,FX!$A$2:$A$26&amp;FX!$B$2:$B$26,FX!$C$2:$C$26)</f>
        <v>1.106E-2</v>
      </c>
      <c r="N426" cm="1">
        <f t="array" ref="N426">_xlfn.IFS(C426="Canada",2,C426="India",3,C426="UK",4,C426="USA",5,C426="EU",6)</f>
        <v>3</v>
      </c>
      <c r="O426" s="662">
        <f>VLOOKUP(G426,'StdCosts and StdRates'!$A$17:$E$36,N426,FALSE)*M426</f>
        <v>15.68308</v>
      </c>
      <c r="P426"/>
      <c r="R426" s="967"/>
    </row>
    <row r="427" spans="1:18">
      <c r="A427" s="773" t="s">
        <v>308</v>
      </c>
      <c r="B427" s="773"/>
      <c r="C427" s="773" t="s">
        <v>308</v>
      </c>
      <c r="D427" s="773"/>
      <c r="E427" s="773"/>
      <c r="F427" s="773"/>
      <c r="G427" s="967" t="s">
        <v>383</v>
      </c>
      <c r="H427" s="967" t="str">
        <f t="shared" si="21"/>
        <v>Trainer</v>
      </c>
      <c r="I427" t="str">
        <f t="shared" si="22"/>
        <v>USATrainer</v>
      </c>
      <c r="J427" t="str">
        <f t="shared" si="23"/>
        <v>USAUSATrainer</v>
      </c>
      <c r="K427" cm="1">
        <f t="array" ref="K427">_xlfn.IFS(A427="Canada",4,A427="India",5,A427="UK",6,A427="USA",7,A427="EU",8)</f>
        <v>7</v>
      </c>
      <c r="L427" s="662">
        <f>VLOOKUP(H427,'StdCosts and StdRates'!$A$41:$H$86,K427,FALSE)</f>
        <v>219</v>
      </c>
      <c r="M427" s="662" cm="1">
        <f t="array" ref="M427">_xlfn.XLOOKUP(C427&amp;A427,FX!$A$2:$A$26&amp;FX!$B$2:$B$26,FX!$C$2:$C$26)</f>
        <v>1</v>
      </c>
      <c r="N427" cm="1">
        <f t="array" ref="N427">_xlfn.IFS(C427="Canada",2,C427="India",3,C427="UK",4,C427="USA",5,C427="EU",6)</f>
        <v>5</v>
      </c>
      <c r="O427" s="662">
        <f>VLOOKUP(G427,'StdCosts and StdRates'!$A$17:$E$36,N427,FALSE)*M427</f>
        <v>104</v>
      </c>
      <c r="P427"/>
      <c r="R427" s="967"/>
    </row>
    <row r="428" spans="1:18">
      <c r="A428" s="773" t="s">
        <v>308</v>
      </c>
      <c r="B428" s="773"/>
      <c r="C428" s="773" t="s">
        <v>405</v>
      </c>
      <c r="D428" s="773"/>
      <c r="E428" s="773"/>
      <c r="F428" s="773"/>
      <c r="G428" s="967" t="s">
        <v>383</v>
      </c>
      <c r="H428" s="967" t="str">
        <f t="shared" si="21"/>
        <v>Trainer</v>
      </c>
      <c r="I428" t="str">
        <f t="shared" si="22"/>
        <v>USATrainer</v>
      </c>
      <c r="J428" t="str">
        <f t="shared" si="23"/>
        <v>USACanadaTrainer</v>
      </c>
      <c r="K428" cm="1">
        <f t="array" ref="K428">_xlfn.IFS(A428="Canada",4,A428="India",5,A428="UK",6,A428="USA",7,A428="EU",8)</f>
        <v>7</v>
      </c>
      <c r="L428" s="662">
        <f>VLOOKUP(H428,'StdCosts and StdRates'!$A$41:$H$86,K428,FALSE)</f>
        <v>219</v>
      </c>
      <c r="M428" s="662" cm="1">
        <f t="array" ref="M428">_xlfn.XLOOKUP(C428&amp;A428,FX!$A$2:$A$26&amp;FX!$B$2:$B$26,FX!$C$2:$C$26)</f>
        <v>0.73351999999999995</v>
      </c>
      <c r="N428" cm="1">
        <f t="array" ref="N428">_xlfn.IFS(C428="Canada",2,C428="India",3,C428="UK",4,C428="USA",5,C428="EU",6)</f>
        <v>2</v>
      </c>
      <c r="O428" s="662">
        <f>VLOOKUP(G428,'StdCosts and StdRates'!$A$17:$E$36,N428,FALSE)*M428</f>
        <v>81.420719999999989</v>
      </c>
      <c r="P428"/>
      <c r="R428" s="967"/>
    </row>
    <row r="429" spans="1:18">
      <c r="A429" s="773" t="s">
        <v>308</v>
      </c>
      <c r="B429" s="773"/>
      <c r="C429" s="773" t="s">
        <v>247</v>
      </c>
      <c r="D429" s="773"/>
      <c r="E429" s="773"/>
      <c r="F429" s="773"/>
      <c r="G429" s="967" t="s">
        <v>383</v>
      </c>
      <c r="H429" s="967" t="str">
        <f t="shared" si="21"/>
        <v>Trainer</v>
      </c>
      <c r="I429" t="str">
        <f t="shared" si="22"/>
        <v>USATrainer</v>
      </c>
      <c r="J429" t="str">
        <f t="shared" si="23"/>
        <v>USAUKTrainer</v>
      </c>
      <c r="K429" cm="1">
        <f t="array" ref="K429">_xlfn.IFS(A429="Canada",4,A429="India",5,A429="UK",6,A429="USA",7,A429="EU",8)</f>
        <v>7</v>
      </c>
      <c r="L429" s="662">
        <f>VLOOKUP(H429,'StdCosts and StdRates'!$A$41:$H$86,K429,FALSE)</f>
        <v>219</v>
      </c>
      <c r="M429" s="662" cm="1">
        <f t="array" ref="M429">_xlfn.XLOOKUP(C429&amp;A429,FX!$A$2:$A$26&amp;FX!$B$2:$B$26,FX!$C$2:$C$26)</f>
        <v>1.2772699999999999</v>
      </c>
      <c r="N429" cm="1">
        <f t="array" ref="N429">_xlfn.IFS(C429="Canada",2,C429="India",3,C429="UK",4,C429="USA",5,C429="EU",6)</f>
        <v>4</v>
      </c>
      <c r="O429" s="662">
        <f>VLOOKUP(G429,'StdCosts and StdRates'!$A$17:$E$36,N429,FALSE)*M429</f>
        <v>103.45886999999999</v>
      </c>
      <c r="P429"/>
      <c r="R429" s="967"/>
    </row>
    <row r="430" spans="1:18">
      <c r="A430" s="773" t="s">
        <v>308</v>
      </c>
      <c r="B430" s="773"/>
      <c r="C430" s="773" t="s">
        <v>736</v>
      </c>
      <c r="D430" s="773"/>
      <c r="E430" s="773"/>
      <c r="F430" s="773"/>
      <c r="G430" s="967" t="s">
        <v>383</v>
      </c>
      <c r="H430" s="967" t="str">
        <f t="shared" si="21"/>
        <v>Trainer</v>
      </c>
      <c r="I430" t="str">
        <f t="shared" si="22"/>
        <v>USATrainer</v>
      </c>
      <c r="J430" t="str">
        <f t="shared" si="23"/>
        <v>USAEUTrainer</v>
      </c>
      <c r="K430" cm="1">
        <f t="array" ref="K430">_xlfn.IFS(A430="Canada",4,A430="India",5,A430="UK",6,A430="USA",7,A430="EU",8)</f>
        <v>7</v>
      </c>
      <c r="L430" s="662">
        <f>VLOOKUP(H430,'StdCosts and StdRates'!$A$41:$H$86,K430,FALSE)</f>
        <v>219</v>
      </c>
      <c r="M430" s="662" cm="1">
        <f t="array" ref="M430">_xlfn.XLOOKUP(C430&amp;A430,FX!$A$2:$A$26&amp;FX!$B$2:$B$26,FX!$C$2:$C$26)</f>
        <v>1.0869599999999999</v>
      </c>
      <c r="N430" cm="1">
        <f t="array" ref="N430">_xlfn.IFS(C430="Canada",2,C430="India",3,C430="UK",4,C430="USA",5,C430="EU",6)</f>
        <v>6</v>
      </c>
      <c r="O430" s="662" t="e">
        <f>VLOOKUP(G430,'StdCosts and StdRates'!$A$17:$E$36,N430,FALSE)*M430</f>
        <v>#REF!</v>
      </c>
      <c r="P430"/>
      <c r="R430" s="967"/>
    </row>
    <row r="431" spans="1:18">
      <c r="A431" s="773" t="s">
        <v>308</v>
      </c>
      <c r="B431" s="773" t="s">
        <v>227</v>
      </c>
      <c r="C431" s="773" t="s">
        <v>227</v>
      </c>
      <c r="D431" s="773"/>
      <c r="E431" s="773"/>
      <c r="F431" s="773"/>
      <c r="G431" s="967" t="s">
        <v>383</v>
      </c>
      <c r="H431" s="967" t="str">
        <f t="shared" si="21"/>
        <v>IndiaTrainer</v>
      </c>
      <c r="I431" t="str">
        <f t="shared" si="22"/>
        <v>USAIndiaTrainer</v>
      </c>
      <c r="J431" t="str">
        <f t="shared" si="23"/>
        <v>USAIndiaTrainer</v>
      </c>
      <c r="K431" cm="1">
        <f t="array" ref="K431">_xlfn.IFS(A431="Canada",4,A431="India",5,A431="UK",6,A431="USA",7,A431="EU",8)</f>
        <v>7</v>
      </c>
      <c r="L431" s="662">
        <f>VLOOKUP(H431,'StdCosts and StdRates'!$A$41:$H$86,K431,FALSE)</f>
        <v>89</v>
      </c>
      <c r="M431" s="662" cm="1">
        <f t="array" ref="M431">_xlfn.XLOOKUP(C431&amp;A431,FX!$A$2:$A$26&amp;FX!$B$2:$B$26,FX!$C$2:$C$26)</f>
        <v>1.2019999999999999E-2</v>
      </c>
      <c r="N431" cm="1">
        <f t="array" ref="N431">_xlfn.IFS(C431="Canada",2,C431="India",3,C431="UK",4,C431="USA",5,C431="EU",6)</f>
        <v>3</v>
      </c>
      <c r="O431" s="662">
        <f>VLOOKUP(G431,'StdCosts and StdRates'!$A$17:$E$36,N431,FALSE)*M431</f>
        <v>23.463039999999999</v>
      </c>
      <c r="P431"/>
      <c r="R431" s="967"/>
    </row>
    <row r="432" spans="1:18">
      <c r="A432" s="773" t="s">
        <v>405</v>
      </c>
      <c r="B432" s="773"/>
      <c r="C432" s="773" t="s">
        <v>308</v>
      </c>
      <c r="D432" s="773"/>
      <c r="E432" s="773"/>
      <c r="F432" s="773"/>
      <c r="G432" s="967" t="s">
        <v>383</v>
      </c>
      <c r="H432" s="967" t="str">
        <f t="shared" si="21"/>
        <v>Trainer</v>
      </c>
      <c r="I432" t="str">
        <f t="shared" si="22"/>
        <v>CanadaTrainer</v>
      </c>
      <c r="J432" t="str">
        <f t="shared" si="23"/>
        <v>CanadaUSATrainer</v>
      </c>
      <c r="K432" cm="1">
        <f t="array" ref="K432">_xlfn.IFS(A432="Canada",4,A432="India",5,A432="UK",6,A432="USA",7,A432="EU",8)</f>
        <v>4</v>
      </c>
      <c r="L432" s="662">
        <f>VLOOKUP(H432,'StdCosts and StdRates'!$A$41:$H$86,K432,FALSE)</f>
        <v>239</v>
      </c>
      <c r="M432" s="662" cm="1">
        <f t="array" ref="M432">_xlfn.XLOOKUP(C432&amp;A432,FX!$A$2:$A$26&amp;FX!$B$2:$B$26,FX!$C$2:$C$26)</f>
        <v>1.36311</v>
      </c>
      <c r="N432" cm="1">
        <f t="array" ref="N432">_xlfn.IFS(C432="Canada",2,C432="India",3,C432="UK",4,C432="USA",5,C432="EU",6)</f>
        <v>5</v>
      </c>
      <c r="O432" s="662">
        <f>VLOOKUP(G432,'StdCosts and StdRates'!$A$17:$E$36,N432,FALSE)*M432</f>
        <v>141.76344</v>
      </c>
      <c r="P432"/>
      <c r="R432" s="967"/>
    </row>
    <row r="433" spans="1:18">
      <c r="A433" s="773" t="s">
        <v>405</v>
      </c>
      <c r="B433" s="773"/>
      <c r="C433" s="773" t="s">
        <v>405</v>
      </c>
      <c r="D433" s="773"/>
      <c r="E433" s="773"/>
      <c r="F433" s="773"/>
      <c r="G433" s="967" t="s">
        <v>383</v>
      </c>
      <c r="H433" s="967" t="str">
        <f t="shared" si="21"/>
        <v>Trainer</v>
      </c>
      <c r="I433" t="str">
        <f t="shared" si="22"/>
        <v>CanadaTrainer</v>
      </c>
      <c r="J433" t="str">
        <f t="shared" si="23"/>
        <v>CanadaCanadaTrainer</v>
      </c>
      <c r="K433" cm="1">
        <f t="array" ref="K433">_xlfn.IFS(A433="Canada",4,A433="India",5,A433="UK",6,A433="USA",7,A433="EU",8)</f>
        <v>4</v>
      </c>
      <c r="L433" s="662">
        <f>VLOOKUP(H433,'StdCosts and StdRates'!$A$41:$H$86,K433,FALSE)</f>
        <v>239</v>
      </c>
      <c r="M433" s="662" cm="1">
        <f t="array" ref="M433">_xlfn.XLOOKUP(C433&amp;A433,FX!$A$2:$A$26&amp;FX!$B$2:$B$26,FX!$C$2:$C$26)</f>
        <v>1</v>
      </c>
      <c r="N433" cm="1">
        <f t="array" ref="N433">_xlfn.IFS(C433="Canada",2,C433="India",3,C433="UK",4,C433="USA",5,C433="EU",6)</f>
        <v>2</v>
      </c>
      <c r="O433" s="662">
        <f>VLOOKUP(G433,'StdCosts and StdRates'!$A$17:$E$36,N433,FALSE)*M433</f>
        <v>111</v>
      </c>
      <c r="P433"/>
      <c r="R433" s="967"/>
    </row>
    <row r="434" spans="1:18">
      <c r="A434" s="773" t="s">
        <v>405</v>
      </c>
      <c r="B434" s="773"/>
      <c r="C434" s="773" t="s">
        <v>247</v>
      </c>
      <c r="D434" s="773"/>
      <c r="E434" s="773"/>
      <c r="F434" s="773"/>
      <c r="G434" s="967" t="s">
        <v>383</v>
      </c>
      <c r="H434" s="967" t="str">
        <f t="shared" si="21"/>
        <v>Trainer</v>
      </c>
      <c r="I434" t="str">
        <f t="shared" si="22"/>
        <v>CanadaTrainer</v>
      </c>
      <c r="J434" t="str">
        <f t="shared" si="23"/>
        <v>CanadaUKTrainer</v>
      </c>
      <c r="K434" cm="1">
        <f t="array" ref="K434">_xlfn.IFS(A434="Canada",4,A434="India",5,A434="UK",6,A434="USA",7,A434="EU",8)</f>
        <v>4</v>
      </c>
      <c r="L434" s="662">
        <f>VLOOKUP(H434,'StdCosts and StdRates'!$A$41:$H$86,K434,FALSE)</f>
        <v>239</v>
      </c>
      <c r="M434" s="662" cm="1">
        <f t="array" ref="M434">_xlfn.XLOOKUP(C434&amp;A434,FX!$A$2:$A$26&amp;FX!$B$2:$B$26,FX!$C$2:$C$26)</f>
        <v>1.7410699999999999</v>
      </c>
      <c r="N434" cm="1">
        <f t="array" ref="N434">_xlfn.IFS(C434="Canada",2,C434="India",3,C434="UK",4,C434="USA",5,C434="EU",6)</f>
        <v>4</v>
      </c>
      <c r="O434" s="662">
        <f>VLOOKUP(G434,'StdCosts and StdRates'!$A$17:$E$36,N434,FALSE)*M434</f>
        <v>141.02667</v>
      </c>
      <c r="P434"/>
      <c r="R434" s="967"/>
    </row>
    <row r="435" spans="1:18">
      <c r="A435" s="773" t="s">
        <v>405</v>
      </c>
      <c r="B435" s="773"/>
      <c r="C435" s="773" t="s">
        <v>736</v>
      </c>
      <c r="D435" s="773"/>
      <c r="E435" s="773"/>
      <c r="F435" s="773"/>
      <c r="G435" s="967" t="s">
        <v>383</v>
      </c>
      <c r="H435" s="967" t="str">
        <f t="shared" si="21"/>
        <v>Trainer</v>
      </c>
      <c r="I435" t="str">
        <f t="shared" si="22"/>
        <v>CanadaTrainer</v>
      </c>
      <c r="J435" t="str">
        <f t="shared" si="23"/>
        <v>CanadaEUTrainer</v>
      </c>
      <c r="K435" cm="1">
        <f t="array" ref="K435">_xlfn.IFS(A435="Canada",4,A435="India",5,A435="UK",6,A435="USA",7,A435="EU",8)</f>
        <v>4</v>
      </c>
      <c r="L435" s="662">
        <f>VLOOKUP(H435,'StdCosts and StdRates'!$A$41:$H$86,K435,FALSE)</f>
        <v>239</v>
      </c>
      <c r="M435" s="662" cm="1">
        <f t="array" ref="M435">_xlfn.XLOOKUP(C435&amp;A435,FX!$A$2:$A$26&amp;FX!$B$2:$B$26,FX!$C$2:$C$26)</f>
        <v>1.4816499999999999</v>
      </c>
      <c r="N435" cm="1">
        <f t="array" ref="N435">_xlfn.IFS(C435="Canada",2,C435="India",3,C435="UK",4,C435="USA",5,C435="EU",6)</f>
        <v>6</v>
      </c>
      <c r="O435" s="662" t="e">
        <f>VLOOKUP(G435,'StdCosts and StdRates'!$A$17:$E$36,N435,FALSE)*M435</f>
        <v>#REF!</v>
      </c>
      <c r="P435"/>
    </row>
    <row r="436" spans="1:18">
      <c r="A436" s="773" t="s">
        <v>405</v>
      </c>
      <c r="B436" s="773" t="s">
        <v>227</v>
      </c>
      <c r="C436" s="773" t="s">
        <v>227</v>
      </c>
      <c r="D436" s="773"/>
      <c r="E436" s="773"/>
      <c r="F436" s="773"/>
      <c r="G436" s="967" t="s">
        <v>383</v>
      </c>
      <c r="H436" s="967" t="str">
        <f t="shared" si="21"/>
        <v>IndiaTrainer</v>
      </c>
      <c r="I436" t="str">
        <f t="shared" si="22"/>
        <v>CanadaIndiaTrainer</v>
      </c>
      <c r="J436" t="str">
        <f t="shared" si="23"/>
        <v>CanadaIndiaTrainer</v>
      </c>
      <c r="K436" cm="1">
        <f t="array" ref="K436">_xlfn.IFS(A436="Canada",4,A436="India",5,A436="UK",6,A436="USA",7,A436="EU",8)</f>
        <v>4</v>
      </c>
      <c r="L436" s="662">
        <f>VLOOKUP(H436,'StdCosts and StdRates'!$A$41:$H$86,K436,FALSE)</f>
        <v>115</v>
      </c>
      <c r="M436" s="662" cm="1">
        <f t="array" ref="M436">_xlfn.XLOOKUP(C436&amp;A436,FX!$A$2:$A$26&amp;FX!$B$2:$B$26,FX!$C$2:$C$26)</f>
        <v>1.6389999999999998E-2</v>
      </c>
      <c r="N436" cm="1">
        <f t="array" ref="N436">_xlfn.IFS(C436="Canada",2,C436="India",3,C436="UK",4,C436="USA",5,C436="EU",6)</f>
        <v>3</v>
      </c>
      <c r="O436" s="662">
        <f>VLOOKUP(G436,'StdCosts and StdRates'!$A$17:$E$36,N436,FALSE)*M436</f>
        <v>31.993279999999995</v>
      </c>
      <c r="P436"/>
    </row>
    <row r="437" spans="1:18">
      <c r="A437" s="773" t="s">
        <v>247</v>
      </c>
      <c r="B437" s="773"/>
      <c r="C437" s="773" t="s">
        <v>308</v>
      </c>
      <c r="D437" s="773"/>
      <c r="E437" s="773"/>
      <c r="F437" s="773"/>
      <c r="G437" s="967" t="s">
        <v>383</v>
      </c>
      <c r="H437" s="967" t="str">
        <f t="shared" si="21"/>
        <v>Trainer</v>
      </c>
      <c r="I437" t="str">
        <f t="shared" si="22"/>
        <v>UKTrainer</v>
      </c>
      <c r="J437" t="str">
        <f t="shared" si="23"/>
        <v>UKUSATrainer</v>
      </c>
      <c r="K437" cm="1">
        <f t="array" ref="K437">_xlfn.IFS(A437="Canada",4,A437="India",5,A437="UK",6,A437="USA",7,A437="EU",8)</f>
        <v>6</v>
      </c>
      <c r="L437" s="662">
        <f>VLOOKUP(H437,'StdCosts and StdRates'!$A$41:$H$86,K437,FALSE)</f>
        <v>139</v>
      </c>
      <c r="M437" s="662" cm="1">
        <f t="array" ref="M437">_xlfn.XLOOKUP(C437&amp;A437,FX!$A$2:$A$26&amp;FX!$B$2:$B$26,FX!$C$2:$C$26)</f>
        <v>0.78280000000000005</v>
      </c>
      <c r="N437" cm="1">
        <f t="array" ref="N437">_xlfn.IFS(C437="Canada",2,C437="India",3,C437="UK",4,C437="USA",5,C437="EU",6)</f>
        <v>5</v>
      </c>
      <c r="O437" s="662">
        <f>VLOOKUP(G437,'StdCosts and StdRates'!$A$17:$E$36,N437,FALSE)*M437</f>
        <v>81.411200000000008</v>
      </c>
      <c r="P437"/>
    </row>
    <row r="438" spans="1:18">
      <c r="A438" s="773" t="s">
        <v>247</v>
      </c>
      <c r="B438" s="773"/>
      <c r="C438" s="773" t="s">
        <v>405</v>
      </c>
      <c r="D438" s="773"/>
      <c r="E438" s="773"/>
      <c r="F438" s="773"/>
      <c r="G438" s="967" t="s">
        <v>383</v>
      </c>
      <c r="H438" s="967" t="str">
        <f t="shared" si="21"/>
        <v>Trainer</v>
      </c>
      <c r="I438" t="str">
        <f t="shared" si="22"/>
        <v>UKTrainer</v>
      </c>
      <c r="J438" t="str">
        <f t="shared" si="23"/>
        <v>UKCanadaTrainer</v>
      </c>
      <c r="K438" cm="1">
        <f t="array" ref="K438">_xlfn.IFS(A438="Canada",4,A438="India",5,A438="UK",6,A438="USA",7,A438="EU",8)</f>
        <v>6</v>
      </c>
      <c r="L438" s="662">
        <f>VLOOKUP(H438,'StdCosts and StdRates'!$A$41:$H$86,K438,FALSE)</f>
        <v>139</v>
      </c>
      <c r="M438" s="662" cm="1">
        <f t="array" ref="M438">_xlfn.XLOOKUP(C438&amp;A438,FX!$A$2:$A$26&amp;FX!$B$2:$B$26,FX!$C$2:$C$26)</f>
        <v>0.57420000000000004</v>
      </c>
      <c r="N438" cm="1">
        <f t="array" ref="N438">_xlfn.IFS(C438="Canada",2,C438="India",3,C438="UK",4,C438="USA",5,C438="EU",6)</f>
        <v>2</v>
      </c>
      <c r="O438" s="662">
        <f>VLOOKUP(G438,'StdCosts and StdRates'!$A$17:$E$36,N438,FALSE)*M438</f>
        <v>63.736200000000004</v>
      </c>
      <c r="P438"/>
    </row>
    <row r="439" spans="1:18">
      <c r="A439" s="773" t="s">
        <v>247</v>
      </c>
      <c r="B439" s="773"/>
      <c r="C439" s="773" t="s">
        <v>247</v>
      </c>
      <c r="D439" s="773"/>
      <c r="E439" s="773"/>
      <c r="F439" s="773"/>
      <c r="G439" s="967" t="s">
        <v>383</v>
      </c>
      <c r="H439" s="967" t="str">
        <f t="shared" si="21"/>
        <v>Trainer</v>
      </c>
      <c r="I439" t="str">
        <f t="shared" si="22"/>
        <v>UKTrainer</v>
      </c>
      <c r="J439" t="str">
        <f t="shared" si="23"/>
        <v>UKUKTrainer</v>
      </c>
      <c r="K439" cm="1">
        <f t="array" ref="K439">_xlfn.IFS(A439="Canada",4,A439="India",5,A439="UK",6,A439="USA",7,A439="EU",8)</f>
        <v>6</v>
      </c>
      <c r="L439" s="662">
        <f>VLOOKUP(H439,'StdCosts and StdRates'!$A$41:$H$86,K439,FALSE)</f>
        <v>139</v>
      </c>
      <c r="M439" s="662" cm="1">
        <f t="array" ref="M439">_xlfn.XLOOKUP(C439&amp;A439,FX!$A$2:$A$26&amp;FX!$B$2:$B$26,FX!$C$2:$C$26)</f>
        <v>1</v>
      </c>
      <c r="N439" cm="1">
        <f t="array" ref="N439">_xlfn.IFS(C439="Canada",2,C439="India",3,C439="UK",4,C439="USA",5,C439="EU",6)</f>
        <v>4</v>
      </c>
      <c r="O439" s="662">
        <f>VLOOKUP(G439,'StdCosts and StdRates'!$A$17:$E$36,N439,FALSE)*M439</f>
        <v>81</v>
      </c>
      <c r="P439"/>
    </row>
    <row r="440" spans="1:18">
      <c r="A440" s="773" t="s">
        <v>247</v>
      </c>
      <c r="B440" s="773"/>
      <c r="C440" s="773" t="s">
        <v>736</v>
      </c>
      <c r="D440" s="773"/>
      <c r="E440" s="773"/>
      <c r="F440" s="773"/>
      <c r="G440" s="967" t="s">
        <v>383</v>
      </c>
      <c r="H440" s="967" t="str">
        <f t="shared" si="21"/>
        <v>Trainer</v>
      </c>
      <c r="I440" t="str">
        <f t="shared" si="22"/>
        <v>UKTrainer</v>
      </c>
      <c r="J440" t="str">
        <f t="shared" si="23"/>
        <v>UKEUTrainer</v>
      </c>
      <c r="K440" cm="1">
        <f t="array" ref="K440">_xlfn.IFS(A440="Canada",4,A440="India",5,A440="UK",6,A440="USA",7,A440="EU",8)</f>
        <v>6</v>
      </c>
      <c r="L440" s="662">
        <f>VLOOKUP(H440,'StdCosts and StdRates'!$A$41:$H$86,K440,FALSE)</f>
        <v>139</v>
      </c>
      <c r="M440" s="662" cm="1">
        <f t="array" ref="M440">_xlfn.XLOOKUP(C440&amp;A440,FX!$A$2:$A$26&amp;FX!$B$2:$B$26,FX!$C$2:$C$26)</f>
        <v>0.85092999999999996</v>
      </c>
      <c r="N440" cm="1">
        <f t="array" ref="N440">_xlfn.IFS(C440="Canada",2,C440="India",3,C440="UK",4,C440="USA",5,C440="EU",6)</f>
        <v>6</v>
      </c>
      <c r="O440" s="662" t="e">
        <f>VLOOKUP(G440,'StdCosts and StdRates'!$A$17:$E$36,N440,FALSE)*M440</f>
        <v>#REF!</v>
      </c>
      <c r="P440"/>
    </row>
    <row r="441" spans="1:18">
      <c r="A441" s="773" t="s">
        <v>247</v>
      </c>
      <c r="B441" s="773" t="s">
        <v>227</v>
      </c>
      <c r="C441" s="773" t="s">
        <v>227</v>
      </c>
      <c r="D441" s="773"/>
      <c r="E441" s="773"/>
      <c r="F441" s="773"/>
      <c r="G441" s="967" t="s">
        <v>383</v>
      </c>
      <c r="H441" s="967" t="str">
        <f t="shared" si="21"/>
        <v>IndiaTrainer</v>
      </c>
      <c r="I441" t="str">
        <f t="shared" si="22"/>
        <v>UKIndiaTrainer</v>
      </c>
      <c r="J441" t="str">
        <f t="shared" si="23"/>
        <v>UKIndiaTrainer</v>
      </c>
      <c r="K441" cm="1">
        <f t="array" ref="K441">_xlfn.IFS(A441="Canada",4,A441="India",5,A441="UK",6,A441="USA",7,A441="EU",8)</f>
        <v>6</v>
      </c>
      <c r="L441" s="662">
        <f>VLOOKUP(H441,'StdCosts and StdRates'!$A$41:$H$86,K441,FALSE)</f>
        <v>65</v>
      </c>
      <c r="M441" s="662" cm="1">
        <f t="array" ref="M441">_xlfn.XLOOKUP(C441&amp;A441,FX!$A$2:$A$26&amp;FX!$B$2:$B$26,FX!$C$2:$C$26)</f>
        <v>9.41E-3</v>
      </c>
      <c r="N441" cm="1">
        <f t="array" ref="N441">_xlfn.IFS(C441="Canada",2,C441="India",3,C441="UK",4,C441="USA",5,C441="EU",6)</f>
        <v>3</v>
      </c>
      <c r="O441" s="662">
        <f>VLOOKUP(G441,'StdCosts and StdRates'!$A$17:$E$36,N441,FALSE)*M441</f>
        <v>18.368320000000001</v>
      </c>
      <c r="P441"/>
    </row>
    <row r="442" spans="1:18">
      <c r="A442" s="773" t="s">
        <v>227</v>
      </c>
      <c r="B442" s="773"/>
      <c r="C442" s="773" t="s">
        <v>308</v>
      </c>
      <c r="D442" s="773"/>
      <c r="E442" s="773"/>
      <c r="F442" s="773"/>
      <c r="G442" s="967" t="s">
        <v>383</v>
      </c>
      <c r="H442" s="967" t="str">
        <f t="shared" si="21"/>
        <v>Trainer</v>
      </c>
      <c r="I442" t="str">
        <f t="shared" si="22"/>
        <v>IndiaTrainer</v>
      </c>
      <c r="J442" t="str">
        <f t="shared" si="23"/>
        <v>IndiaUSATrainer</v>
      </c>
      <c r="K442" cm="1">
        <f t="array" ref="K442">_xlfn.IFS(A442="Canada",4,A442="India",5,A442="UK",6,A442="USA",7,A442="EU",8)</f>
        <v>5</v>
      </c>
      <c r="L442" s="662">
        <f>VLOOKUP(H442,'StdCosts and StdRates'!$A$41:$H$86,K442,FALSE)</f>
        <v>6800</v>
      </c>
      <c r="M442" s="662" cm="1">
        <f t="array" ref="M442">_xlfn.XLOOKUP(C442&amp;A442,FX!$A$2:$A$26&amp;FX!$B$2:$B$26,FX!$C$2:$C$26)</f>
        <v>83.1721</v>
      </c>
      <c r="N442" cm="1">
        <f t="array" ref="N442">_xlfn.IFS(C442="Canada",2,C442="India",3,C442="UK",4,C442="USA",5,C442="EU",6)</f>
        <v>5</v>
      </c>
      <c r="O442" s="662">
        <f>VLOOKUP(G442,'StdCosts and StdRates'!$A$17:$E$36,N442,FALSE)*M442</f>
        <v>8649.8984</v>
      </c>
      <c r="P442"/>
    </row>
    <row r="443" spans="1:18">
      <c r="A443" s="773" t="s">
        <v>227</v>
      </c>
      <c r="B443" s="773"/>
      <c r="C443" s="773" t="s">
        <v>405</v>
      </c>
      <c r="D443" s="773"/>
      <c r="E443" s="773"/>
      <c r="F443" s="773"/>
      <c r="G443" s="967" t="s">
        <v>383</v>
      </c>
      <c r="H443" s="967" t="str">
        <f t="shared" si="21"/>
        <v>Trainer</v>
      </c>
      <c r="I443" t="str">
        <f t="shared" si="22"/>
        <v>IndiaTrainer</v>
      </c>
      <c r="J443" t="str">
        <f t="shared" si="23"/>
        <v>IndiaCanadaTrainer</v>
      </c>
      <c r="K443" cm="1">
        <f t="array" ref="K443">_xlfn.IFS(A443="Canada",4,A443="India",5,A443="UK",6,A443="USA",7,A443="EU",8)</f>
        <v>5</v>
      </c>
      <c r="L443" s="662">
        <f>VLOOKUP(H443,'StdCosts and StdRates'!$A$41:$H$86,K443,FALSE)</f>
        <v>6800</v>
      </c>
      <c r="M443" s="662" cm="1">
        <f t="array" ref="M443">_xlfn.XLOOKUP(C443&amp;A443,FX!$A$2:$A$26&amp;FX!$B$2:$B$26,FX!$C$2:$C$26)</f>
        <v>61.008200000000002</v>
      </c>
      <c r="N443" cm="1">
        <f t="array" ref="N443">_xlfn.IFS(C443="Canada",2,C443="India",3,C443="UK",4,C443="USA",5,C443="EU",6)</f>
        <v>2</v>
      </c>
      <c r="O443" s="662">
        <f>VLOOKUP(G443,'StdCosts and StdRates'!$A$17:$E$36,N443,FALSE)*M443</f>
        <v>6771.9102000000003</v>
      </c>
      <c r="P443"/>
    </row>
    <row r="444" spans="1:18">
      <c r="A444" s="773" t="s">
        <v>227</v>
      </c>
      <c r="B444" s="773"/>
      <c r="C444" s="773" t="s">
        <v>247</v>
      </c>
      <c r="D444" s="773"/>
      <c r="E444" s="773"/>
      <c r="F444" s="773"/>
      <c r="G444" s="967" t="s">
        <v>383</v>
      </c>
      <c r="H444" s="967" t="str">
        <f t="shared" si="21"/>
        <v>Trainer</v>
      </c>
      <c r="I444" t="str">
        <f t="shared" si="22"/>
        <v>IndiaTrainer</v>
      </c>
      <c r="J444" t="str">
        <f t="shared" si="23"/>
        <v>IndiaUKTrainer</v>
      </c>
      <c r="K444" cm="1">
        <f t="array" ref="K444">_xlfn.IFS(A444="Canada",4,A444="India",5,A444="UK",6,A444="USA",7,A444="EU",8)</f>
        <v>5</v>
      </c>
      <c r="L444" s="662">
        <f>VLOOKUP(H444,'StdCosts and StdRates'!$A$41:$H$86,K444,FALSE)</f>
        <v>6800</v>
      </c>
      <c r="M444" s="662" cm="1">
        <f t="array" ref="M444">_xlfn.XLOOKUP(C444&amp;A444,FX!$A$2:$A$26&amp;FX!$B$2:$B$26,FX!$C$2:$C$26)</f>
        <v>106.23399999999999</v>
      </c>
      <c r="N444" cm="1">
        <f t="array" ref="N444">_xlfn.IFS(C444="Canada",2,C444="India",3,C444="UK",4,C444="USA",5,C444="EU",6)</f>
        <v>4</v>
      </c>
      <c r="O444" s="662">
        <f>VLOOKUP(G444,'StdCosts and StdRates'!$A$17:$E$36,N444,FALSE)*M444</f>
        <v>8604.9539999999997</v>
      </c>
      <c r="P444"/>
    </row>
    <row r="445" spans="1:18">
      <c r="A445" s="773" t="s">
        <v>227</v>
      </c>
      <c r="B445" s="773"/>
      <c r="C445" s="773" t="s">
        <v>736</v>
      </c>
      <c r="D445" s="773"/>
      <c r="E445" s="773"/>
      <c r="F445" s="773"/>
      <c r="G445" s="967" t="s">
        <v>383</v>
      </c>
      <c r="H445" s="967" t="str">
        <f t="shared" si="21"/>
        <v>Trainer</v>
      </c>
      <c r="I445" t="str">
        <f t="shared" si="22"/>
        <v>IndiaTrainer</v>
      </c>
      <c r="J445" t="str">
        <f t="shared" si="23"/>
        <v>IndiaEUTrainer</v>
      </c>
      <c r="K445" cm="1">
        <f t="array" ref="K445">_xlfn.IFS(A445="Canada",4,A445="India",5,A445="UK",6,A445="USA",7,A445="EU",8)</f>
        <v>5</v>
      </c>
      <c r="L445" s="662">
        <f>VLOOKUP(H445,'StdCosts and StdRates'!$A$41:$H$86,K445,FALSE)</f>
        <v>6800</v>
      </c>
      <c r="M445" s="662" cm="1">
        <f t="array" ref="M445">_xlfn.XLOOKUP(C445&amp;A445,FX!$A$2:$A$26&amp;FX!$B$2:$B$26,FX!$C$2:$C$26)</f>
        <v>90.405100000000004</v>
      </c>
      <c r="N445" cm="1">
        <f t="array" ref="N445">_xlfn.IFS(C445="Canada",2,C445="India",3,C445="UK",4,C445="USA",5,C445="EU",6)</f>
        <v>6</v>
      </c>
      <c r="O445" s="662" t="e">
        <f>VLOOKUP(G445,'StdCosts and StdRates'!$A$17:$E$36,N445,FALSE)*M445</f>
        <v>#REF!</v>
      </c>
      <c r="P445"/>
    </row>
    <row r="446" spans="1:18">
      <c r="A446" s="773" t="s">
        <v>227</v>
      </c>
      <c r="B446" s="773" t="s">
        <v>227</v>
      </c>
      <c r="C446" s="773" t="s">
        <v>227</v>
      </c>
      <c r="D446" s="773"/>
      <c r="E446" s="773"/>
      <c r="F446" s="773"/>
      <c r="G446" s="967" t="s">
        <v>383</v>
      </c>
      <c r="H446" s="967" t="str">
        <f t="shared" si="21"/>
        <v>IndiaTrainer</v>
      </c>
      <c r="I446" t="str">
        <f t="shared" si="22"/>
        <v>IndiaIndiaTrainer</v>
      </c>
      <c r="J446" t="str">
        <f t="shared" si="23"/>
        <v>IndiaIndiaTrainer</v>
      </c>
      <c r="K446" cm="1">
        <f t="array" ref="K446">_xlfn.IFS(A446="Canada",4,A446="India",5,A446="UK",6,A446="USA",7,A446="EU",8)</f>
        <v>5</v>
      </c>
      <c r="L446" s="662">
        <f>VLOOKUP(H446,'StdCosts and StdRates'!$A$41:$H$86,K446,FALSE)</f>
        <v>6800</v>
      </c>
      <c r="M446" s="662" cm="1">
        <f t="array" ref="M446">_xlfn.XLOOKUP(C446&amp;A446,FX!$A$2:$A$26&amp;FX!$B$2:$B$26,FX!$C$2:$C$26)</f>
        <v>1</v>
      </c>
      <c r="N446" cm="1">
        <f t="array" ref="N446">_xlfn.IFS(C446="Canada",2,C446="India",3,C446="UK",4,C446="USA",5,C446="EU",6)</f>
        <v>3</v>
      </c>
      <c r="O446" s="662">
        <f>VLOOKUP(G446,'StdCosts and StdRates'!$A$17:$E$36,N446,FALSE)*M446</f>
        <v>1952</v>
      </c>
      <c r="P446"/>
    </row>
    <row r="447" spans="1:18">
      <c r="A447" s="773" t="s">
        <v>736</v>
      </c>
      <c r="B447" s="773"/>
      <c r="C447" s="773" t="s">
        <v>308</v>
      </c>
      <c r="D447" s="773"/>
      <c r="E447" s="773"/>
      <c r="F447" s="773"/>
      <c r="G447" s="967" t="s">
        <v>383</v>
      </c>
      <c r="H447" s="967" t="str">
        <f t="shared" si="21"/>
        <v>Trainer</v>
      </c>
      <c r="I447" t="str">
        <f t="shared" si="22"/>
        <v>EUTrainer</v>
      </c>
      <c r="J447" t="str">
        <f t="shared" si="23"/>
        <v>EUUSATrainer</v>
      </c>
      <c r="K447" cm="1">
        <f t="array" ref="K447">_xlfn.IFS(A447="Canada",4,A447="India",5,A447="UK",6,A447="USA",7,A447="EU",8)</f>
        <v>8</v>
      </c>
      <c r="L447" s="662">
        <f>VLOOKUP(H447,'StdCosts and StdRates'!$A$41:$H$86,K447,FALSE)</f>
        <v>165</v>
      </c>
      <c r="M447" s="662" cm="1">
        <f t="array" ref="M447">_xlfn.XLOOKUP(C447&amp;A447,FX!$A$2:$A$26&amp;FX!$B$2:$B$26,FX!$C$2:$C$26)</f>
        <v>0.91986999999999997</v>
      </c>
      <c r="N447" cm="1">
        <f t="array" ref="N447">_xlfn.IFS(C447="Canada",2,C447="India",3,C447="UK",4,C447="USA",5,C447="EU",6)</f>
        <v>5</v>
      </c>
      <c r="O447" s="662">
        <f>VLOOKUP(G447,'StdCosts and StdRates'!$A$17:$E$36,N447,FALSE)*M447</f>
        <v>95.666479999999993</v>
      </c>
      <c r="P447"/>
    </row>
    <row r="448" spans="1:18">
      <c r="A448" s="773" t="s">
        <v>736</v>
      </c>
      <c r="B448" s="773"/>
      <c r="C448" s="773" t="s">
        <v>405</v>
      </c>
      <c r="D448" s="773"/>
      <c r="E448" s="773"/>
      <c r="F448" s="773"/>
      <c r="G448" s="967" t="s">
        <v>383</v>
      </c>
      <c r="H448" s="967" t="str">
        <f t="shared" si="21"/>
        <v>Trainer</v>
      </c>
      <c r="I448" t="str">
        <f t="shared" si="22"/>
        <v>EUTrainer</v>
      </c>
      <c r="J448" t="str">
        <f t="shared" si="23"/>
        <v>EUCanadaTrainer</v>
      </c>
      <c r="K448" cm="1">
        <f t="array" ref="K448">_xlfn.IFS(A448="Canada",4,A448="India",5,A448="UK",6,A448="USA",7,A448="EU",8)</f>
        <v>8</v>
      </c>
      <c r="L448" s="662">
        <f>VLOOKUP(H448,'StdCosts and StdRates'!$A$41:$H$86,K448,FALSE)</f>
        <v>165</v>
      </c>
      <c r="M448" s="662" cm="1">
        <f t="array" ref="M448">_xlfn.XLOOKUP(C448&amp;A448,FX!$A$2:$A$26&amp;FX!$B$2:$B$26,FX!$C$2:$C$26)</f>
        <v>0.67474000000000001</v>
      </c>
      <c r="N448" cm="1">
        <f t="array" ref="N448">_xlfn.IFS(C448="Canada",2,C448="India",3,C448="UK",4,C448="USA",5,C448="EU",6)</f>
        <v>2</v>
      </c>
      <c r="O448" s="662">
        <f>VLOOKUP(G448,'StdCosts and StdRates'!$A$17:$E$36,N448,FALSE)*M448</f>
        <v>74.896140000000003</v>
      </c>
      <c r="P448"/>
    </row>
    <row r="449" spans="1:16">
      <c r="A449" s="773" t="s">
        <v>736</v>
      </c>
      <c r="B449" s="773"/>
      <c r="C449" s="773" t="s">
        <v>247</v>
      </c>
      <c r="D449" s="773"/>
      <c r="E449" s="773"/>
      <c r="F449" s="773"/>
      <c r="G449" s="967" t="s">
        <v>383</v>
      </c>
      <c r="H449" s="967" t="str">
        <f t="shared" si="21"/>
        <v>Trainer</v>
      </c>
      <c r="I449" t="str">
        <f t="shared" si="22"/>
        <v>EUTrainer</v>
      </c>
      <c r="J449" t="str">
        <f t="shared" si="23"/>
        <v>EUUKTrainer</v>
      </c>
      <c r="K449" cm="1">
        <f t="array" ref="K449">_xlfn.IFS(A449="Canada",4,A449="India",5,A449="UK",6,A449="USA",7,A449="EU",8)</f>
        <v>8</v>
      </c>
      <c r="L449" s="662">
        <f>VLOOKUP(H449,'StdCosts and StdRates'!$A$41:$H$86,K449,FALSE)</f>
        <v>165</v>
      </c>
      <c r="M449" s="662" cm="1">
        <f t="array" ref="M449">_xlfn.XLOOKUP(C449&amp;A449,FX!$A$2:$A$26&amp;FX!$B$2:$B$26,FX!$C$2:$C$26)</f>
        <v>1.1749799999999999</v>
      </c>
      <c r="N449" cm="1">
        <f t="array" ref="N449">_xlfn.IFS(C449="Canada",2,C449="India",3,C449="UK",4,C449="USA",5,C449="EU",6)</f>
        <v>4</v>
      </c>
      <c r="O449" s="662">
        <f>VLOOKUP(G449,'StdCosts and StdRates'!$A$17:$E$36,N449,FALSE)*M449</f>
        <v>95.173379999999995</v>
      </c>
      <c r="P449"/>
    </row>
    <row r="450" spans="1:16">
      <c r="A450" s="773" t="s">
        <v>736</v>
      </c>
      <c r="B450" s="773"/>
      <c r="C450" s="773" t="s">
        <v>736</v>
      </c>
      <c r="D450" s="773"/>
      <c r="E450" s="773"/>
      <c r="F450" s="773"/>
      <c r="G450" s="967" t="s">
        <v>383</v>
      </c>
      <c r="H450" s="967" t="str">
        <f t="shared" si="21"/>
        <v>Trainer</v>
      </c>
      <c r="I450" t="str">
        <f t="shared" si="22"/>
        <v>EUTrainer</v>
      </c>
      <c r="J450" t="str">
        <f t="shared" si="23"/>
        <v>EUEUTrainer</v>
      </c>
      <c r="K450" cm="1">
        <f t="array" ref="K450">_xlfn.IFS(A450="Canada",4,A450="India",5,A450="UK",6,A450="USA",7,A450="EU",8)</f>
        <v>8</v>
      </c>
      <c r="L450" s="662">
        <f>VLOOKUP(H450,'StdCosts and StdRates'!$A$41:$H$86,K450,FALSE)</f>
        <v>165</v>
      </c>
      <c r="M450" s="662" cm="1">
        <f t="array" ref="M450">_xlfn.XLOOKUP(C450&amp;A450,FX!$A$2:$A$26&amp;FX!$B$2:$B$26,FX!$C$2:$C$26)</f>
        <v>1</v>
      </c>
      <c r="N450" cm="1">
        <f t="array" ref="N450">_xlfn.IFS(C450="Canada",2,C450="India",3,C450="UK",4,C450="USA",5,C450="EU",6)</f>
        <v>6</v>
      </c>
      <c r="O450" s="662" t="e">
        <f>VLOOKUP(G450,'StdCosts and StdRates'!$A$17:$E$36,N450,FALSE)*M450</f>
        <v>#REF!</v>
      </c>
      <c r="P450"/>
    </row>
    <row r="451" spans="1:16">
      <c r="A451" s="773" t="s">
        <v>736</v>
      </c>
      <c r="B451" s="773" t="s">
        <v>227</v>
      </c>
      <c r="C451" s="773" t="s">
        <v>227</v>
      </c>
      <c r="D451" s="773"/>
      <c r="E451" s="773"/>
      <c r="F451" s="773"/>
      <c r="G451" s="967" t="s">
        <v>383</v>
      </c>
      <c r="H451" s="967" t="str">
        <f>B451&amp;G451</f>
        <v>IndiaTrainer</v>
      </c>
      <c r="I451" t="str">
        <f>A451&amp;B451&amp;D451&amp;E451&amp;F451&amp;G451</f>
        <v>EUIndiaTrainer</v>
      </c>
      <c r="J451" t="str">
        <f t="shared" si="23"/>
        <v>EUIndiaTrainer</v>
      </c>
      <c r="K451" cm="1">
        <f t="array" ref="K451">_xlfn.IFS(A451="Canada",4,A451="India",5,A451="UK",6,A451="USA",7,A451="EU",8)</f>
        <v>8</v>
      </c>
      <c r="L451" s="662">
        <f>VLOOKUP(H451,'StdCosts and StdRates'!$A$41:$H$86,K451,FALSE)</f>
        <v>75</v>
      </c>
      <c r="M451" s="662" cm="1">
        <f t="array" ref="M451">_xlfn.XLOOKUP(C451&amp;A451,FX!$A$2:$A$26&amp;FX!$B$2:$B$26,FX!$C$2:$C$26)</f>
        <v>1.106E-2</v>
      </c>
      <c r="N451" cm="1">
        <f t="array" ref="N451">_xlfn.IFS(C451="Canada",2,C451="India",3,C451="UK",4,C451="USA",5,C451="EU",6)</f>
        <v>3</v>
      </c>
      <c r="O451" s="662">
        <f>VLOOKUP(G451,'StdCosts and StdRates'!$A$17:$E$36,N451,FALSE)*M451</f>
        <v>21.589120000000001</v>
      </c>
      <c r="P451"/>
    </row>
    <row r="452" spans="1:16">
      <c r="A452" s="773" t="s">
        <v>308</v>
      </c>
      <c r="B452" s="773"/>
      <c r="C452" s="773" t="s">
        <v>308</v>
      </c>
      <c r="G452" s="580" t="s">
        <v>738</v>
      </c>
      <c r="H452" s="967" t="str">
        <f t="shared" ref="H452:H501" si="24">B452&amp;G452</f>
        <v>Client Partner</v>
      </c>
      <c r="I452" t="str">
        <f t="shared" ref="I452:I501" si="25">A452&amp;B452&amp;D452&amp;E452&amp;F452&amp;G452</f>
        <v>USAClient Partner</v>
      </c>
      <c r="J452" t="str">
        <f t="shared" ref="J452:J501" si="26">A452&amp;C452&amp;D452&amp;E452&amp;F452&amp;G452</f>
        <v>USAUSAClient Partner</v>
      </c>
      <c r="K452" cm="1">
        <f t="array" ref="K452">_xlfn.IFS(A452="Canada",4,A452="India",5,A452="UK",6,A452="USA",7,A452="EU",8)</f>
        <v>7</v>
      </c>
      <c r="L452" s="662">
        <f>VLOOKUP(H452,'StdCosts and StdRates'!$A$41:$H$86,K452,FALSE)</f>
        <v>442</v>
      </c>
      <c r="M452" s="662" cm="1">
        <f t="array" ref="M452">_xlfn.XLOOKUP(C452&amp;A452,FX!$A$2:$A$26&amp;FX!$B$2:$B$26,FX!$C$2:$C$26)</f>
        <v>1</v>
      </c>
      <c r="N452" cm="1">
        <f t="array" ref="N452">_xlfn.IFS(C452="Canada",2,C452="India",3,C452="UK",4,C452="USA",5,C452="EU",6)</f>
        <v>5</v>
      </c>
      <c r="O452" s="662">
        <f>VLOOKUP(G452,'StdCosts and StdRates'!$A$17:$E$36,N452,FALSE)*M452</f>
        <v>199</v>
      </c>
    </row>
    <row r="453" spans="1:16">
      <c r="A453" s="773" t="s">
        <v>308</v>
      </c>
      <c r="B453" s="773"/>
      <c r="C453" s="773" t="s">
        <v>405</v>
      </c>
      <c r="G453" s="580" t="s">
        <v>738</v>
      </c>
      <c r="H453" s="967" t="str">
        <f t="shared" si="24"/>
        <v>Client Partner</v>
      </c>
      <c r="I453" t="str">
        <f t="shared" si="25"/>
        <v>USAClient Partner</v>
      </c>
      <c r="J453" t="str">
        <f t="shared" si="26"/>
        <v>USACanadaClient Partner</v>
      </c>
      <c r="K453" cm="1">
        <f t="array" ref="K453">_xlfn.IFS(A453="Canada",4,A453="India",5,A453="UK",6,A453="USA",7,A453="EU",8)</f>
        <v>7</v>
      </c>
      <c r="L453" s="662">
        <f>VLOOKUP(H453,'StdCosts and StdRates'!$A$41:$H$86,K453,FALSE)</f>
        <v>442</v>
      </c>
      <c r="M453" s="662" cm="1">
        <f t="array" ref="M453">_xlfn.XLOOKUP(C453&amp;A453,FX!$A$2:$A$26&amp;FX!$B$2:$B$26,FX!$C$2:$C$26)</f>
        <v>0.73351999999999995</v>
      </c>
      <c r="N453" cm="1">
        <f t="array" ref="N453">_xlfn.IFS(C453="Canada",2,C453="India",3,C453="UK",4,C453="USA",5,C453="EU",6)</f>
        <v>2</v>
      </c>
      <c r="O453" s="662">
        <f>VLOOKUP(G453,'StdCosts and StdRates'!$A$17:$E$36,N453,FALSE)*M453</f>
        <v>151.10512</v>
      </c>
    </row>
    <row r="454" spans="1:16">
      <c r="A454" s="773" t="s">
        <v>308</v>
      </c>
      <c r="B454" s="773"/>
      <c r="C454" s="773" t="s">
        <v>247</v>
      </c>
      <c r="G454" s="580" t="s">
        <v>738</v>
      </c>
      <c r="H454" s="967" t="str">
        <f t="shared" si="24"/>
        <v>Client Partner</v>
      </c>
      <c r="I454" t="str">
        <f t="shared" si="25"/>
        <v>USAClient Partner</v>
      </c>
      <c r="J454" t="str">
        <f t="shared" si="26"/>
        <v>USAUKClient Partner</v>
      </c>
      <c r="K454" cm="1">
        <f t="array" ref="K454">_xlfn.IFS(A454="Canada",4,A454="India",5,A454="UK",6,A454="USA",7,A454="EU",8)</f>
        <v>7</v>
      </c>
      <c r="L454" s="662">
        <f>VLOOKUP(H454,'StdCosts and StdRates'!$A$41:$H$86,K454,FALSE)</f>
        <v>442</v>
      </c>
      <c r="M454" s="662" cm="1">
        <f t="array" ref="M454">_xlfn.XLOOKUP(C454&amp;A454,FX!$A$2:$A$26&amp;FX!$B$2:$B$26,FX!$C$2:$C$26)</f>
        <v>1.2772699999999999</v>
      </c>
      <c r="N454" cm="1">
        <f t="array" ref="N454">_xlfn.IFS(C454="Canada",2,C454="India",3,C454="UK",4,C454="USA",5,C454="EU",6)</f>
        <v>4</v>
      </c>
      <c r="O454" s="662">
        <f>VLOOKUP(G454,'StdCosts and StdRates'!$A$17:$E$36,N454,FALSE)*M454</f>
        <v>187.75868999999997</v>
      </c>
    </row>
    <row r="455" spans="1:16">
      <c r="A455" s="773" t="s">
        <v>308</v>
      </c>
      <c r="B455" s="773"/>
      <c r="C455" s="773" t="s">
        <v>736</v>
      </c>
      <c r="G455" s="580" t="s">
        <v>738</v>
      </c>
      <c r="H455" s="967" t="str">
        <f t="shared" si="24"/>
        <v>Client Partner</v>
      </c>
      <c r="I455" t="str">
        <f t="shared" si="25"/>
        <v>USAClient Partner</v>
      </c>
      <c r="J455" t="str">
        <f t="shared" si="26"/>
        <v>USAEUClient Partner</v>
      </c>
      <c r="K455" cm="1">
        <f t="array" ref="K455">_xlfn.IFS(A455="Canada",4,A455="India",5,A455="UK",6,A455="USA",7,A455="EU",8)</f>
        <v>7</v>
      </c>
      <c r="L455" s="662">
        <f>VLOOKUP(H455,'StdCosts and StdRates'!$A$41:$H$86,K455,FALSE)</f>
        <v>442</v>
      </c>
      <c r="M455" s="662" cm="1">
        <f t="array" ref="M455">_xlfn.XLOOKUP(C455&amp;A455,FX!$A$2:$A$26&amp;FX!$B$2:$B$26,FX!$C$2:$C$26)</f>
        <v>1.0869599999999999</v>
      </c>
      <c r="N455" cm="1">
        <f t="array" ref="N455">_xlfn.IFS(C455="Canada",2,C455="India",3,C455="UK",4,C455="USA",5,C455="EU",6)</f>
        <v>6</v>
      </c>
      <c r="O455" s="662" t="e">
        <f>VLOOKUP(G455,'StdCosts and StdRates'!$A$17:$E$36,N455,FALSE)*M455</f>
        <v>#REF!</v>
      </c>
    </row>
    <row r="456" spans="1:16">
      <c r="A456" s="773" t="s">
        <v>308</v>
      </c>
      <c r="B456" s="773" t="s">
        <v>227</v>
      </c>
      <c r="C456" s="773" t="s">
        <v>227</v>
      </c>
      <c r="G456" s="580" t="s">
        <v>738</v>
      </c>
      <c r="H456" s="967" t="str">
        <f t="shared" si="24"/>
        <v>IndiaClient Partner</v>
      </c>
      <c r="I456" t="str">
        <f t="shared" si="25"/>
        <v>USAIndiaClient Partner</v>
      </c>
      <c r="J456" t="str">
        <f t="shared" si="26"/>
        <v>USAIndiaClient Partner</v>
      </c>
      <c r="K456" cm="1">
        <f t="array" ref="K456">_xlfn.IFS(A456="Canada",4,A456="India",5,A456="UK",6,A456="USA",7,A456="EU",8)</f>
        <v>7</v>
      </c>
      <c r="L456" s="662">
        <f>VLOOKUP(H456,'StdCosts and StdRates'!$A$41:$H$86,K456,FALSE)</f>
        <v>218</v>
      </c>
      <c r="M456" s="662" cm="1">
        <f t="array" ref="M456">_xlfn.XLOOKUP(C456&amp;A456,FX!$A$2:$A$26&amp;FX!$B$2:$B$26,FX!$C$2:$C$26)</f>
        <v>1.2019999999999999E-2</v>
      </c>
      <c r="N456" cm="1">
        <f t="array" ref="N456">_xlfn.IFS(C456="Canada",2,C456="India",3,C456="UK",4,C456="USA",5,C456="EU",6)</f>
        <v>3</v>
      </c>
      <c r="O456" s="662">
        <f>VLOOKUP(G456,'StdCosts and StdRates'!$A$17:$E$36,N456,FALSE)*M456</f>
        <v>0</v>
      </c>
    </row>
    <row r="457" spans="1:16">
      <c r="A457" s="773" t="s">
        <v>405</v>
      </c>
      <c r="B457" s="773"/>
      <c r="C457" s="773" t="s">
        <v>308</v>
      </c>
      <c r="G457" s="580" t="s">
        <v>738</v>
      </c>
      <c r="H457" s="967" t="str">
        <f t="shared" si="24"/>
        <v>Client Partner</v>
      </c>
      <c r="I457" t="str">
        <f t="shared" si="25"/>
        <v>CanadaClient Partner</v>
      </c>
      <c r="J457" t="str">
        <f t="shared" si="26"/>
        <v>CanadaUSAClient Partner</v>
      </c>
      <c r="K457" cm="1">
        <f t="array" ref="K457">_xlfn.IFS(A457="Canada",4,A457="India",5,A457="UK",6,A457="USA",7,A457="EU",8)</f>
        <v>4</v>
      </c>
      <c r="L457" s="662">
        <f>VLOOKUP(H457,'StdCosts and StdRates'!$A$41:$H$86,K457,FALSE)</f>
        <v>458</v>
      </c>
      <c r="M457" s="662" cm="1">
        <f t="array" ref="M457">_xlfn.XLOOKUP(C457&amp;A457,FX!$A$2:$A$26&amp;FX!$B$2:$B$26,FX!$C$2:$C$26)</f>
        <v>1.36311</v>
      </c>
      <c r="N457" cm="1">
        <f t="array" ref="N457">_xlfn.IFS(C457="Canada",2,C457="India",3,C457="UK",4,C457="USA",5,C457="EU",6)</f>
        <v>5</v>
      </c>
      <c r="O457" s="662">
        <f>VLOOKUP(G457,'StdCosts and StdRates'!$A$17:$E$36,N457,FALSE)*M457</f>
        <v>271.25889000000001</v>
      </c>
    </row>
    <row r="458" spans="1:16">
      <c r="A458" s="773" t="s">
        <v>405</v>
      </c>
      <c r="B458" s="773"/>
      <c r="C458" s="773" t="s">
        <v>405</v>
      </c>
      <c r="G458" s="580" t="s">
        <v>738</v>
      </c>
      <c r="H458" s="967" t="str">
        <f t="shared" si="24"/>
        <v>Client Partner</v>
      </c>
      <c r="I458" t="str">
        <f t="shared" si="25"/>
        <v>CanadaClient Partner</v>
      </c>
      <c r="J458" t="str">
        <f t="shared" si="26"/>
        <v>CanadaCanadaClient Partner</v>
      </c>
      <c r="K458" cm="1">
        <f t="array" ref="K458">_xlfn.IFS(A458="Canada",4,A458="India",5,A458="UK",6,A458="USA",7,A458="EU",8)</f>
        <v>4</v>
      </c>
      <c r="L458" s="662">
        <f>VLOOKUP(H458,'StdCosts and StdRates'!$A$41:$H$86,K458,FALSE)</f>
        <v>458</v>
      </c>
      <c r="M458" s="662" cm="1">
        <f t="array" ref="M458">_xlfn.XLOOKUP(C458&amp;A458,FX!$A$2:$A$26&amp;FX!$B$2:$B$26,FX!$C$2:$C$26)</f>
        <v>1</v>
      </c>
      <c r="N458" cm="1">
        <f t="array" ref="N458">_xlfn.IFS(C458="Canada",2,C458="India",3,C458="UK",4,C458="USA",5,C458="EU",6)</f>
        <v>2</v>
      </c>
      <c r="O458" s="662">
        <f>VLOOKUP(G458,'StdCosts and StdRates'!$A$17:$E$36,N458,FALSE)*M458</f>
        <v>206</v>
      </c>
    </row>
    <row r="459" spans="1:16">
      <c r="A459" s="773" t="s">
        <v>405</v>
      </c>
      <c r="B459" s="773"/>
      <c r="C459" s="773" t="s">
        <v>247</v>
      </c>
      <c r="G459" s="580" t="s">
        <v>738</v>
      </c>
      <c r="H459" s="967" t="str">
        <f t="shared" si="24"/>
        <v>Client Partner</v>
      </c>
      <c r="I459" t="str">
        <f t="shared" si="25"/>
        <v>CanadaClient Partner</v>
      </c>
      <c r="J459" t="str">
        <f t="shared" si="26"/>
        <v>CanadaUKClient Partner</v>
      </c>
      <c r="K459" cm="1">
        <f t="array" ref="K459">_xlfn.IFS(A459="Canada",4,A459="India",5,A459="UK",6,A459="USA",7,A459="EU",8)</f>
        <v>4</v>
      </c>
      <c r="L459" s="662">
        <f>VLOOKUP(H459,'StdCosts and StdRates'!$A$41:$H$86,K459,FALSE)</f>
        <v>458</v>
      </c>
      <c r="M459" s="662" cm="1">
        <f t="array" ref="M459">_xlfn.XLOOKUP(C459&amp;A459,FX!$A$2:$A$26&amp;FX!$B$2:$B$26,FX!$C$2:$C$26)</f>
        <v>1.7410699999999999</v>
      </c>
      <c r="N459" cm="1">
        <f t="array" ref="N459">_xlfn.IFS(C459="Canada",2,C459="India",3,C459="UK",4,C459="USA",5,C459="EU",6)</f>
        <v>4</v>
      </c>
      <c r="O459" s="662">
        <f>VLOOKUP(G459,'StdCosts and StdRates'!$A$17:$E$36,N459,FALSE)*M459</f>
        <v>255.93728999999999</v>
      </c>
    </row>
    <row r="460" spans="1:16">
      <c r="A460" s="773" t="s">
        <v>405</v>
      </c>
      <c r="B460" s="773"/>
      <c r="C460" s="773" t="s">
        <v>736</v>
      </c>
      <c r="G460" s="580" t="s">
        <v>738</v>
      </c>
      <c r="H460" s="967" t="str">
        <f t="shared" si="24"/>
        <v>Client Partner</v>
      </c>
      <c r="I460" t="str">
        <f t="shared" si="25"/>
        <v>CanadaClient Partner</v>
      </c>
      <c r="J460" t="str">
        <f t="shared" si="26"/>
        <v>CanadaEUClient Partner</v>
      </c>
      <c r="K460" cm="1">
        <f t="array" ref="K460">_xlfn.IFS(A460="Canada",4,A460="India",5,A460="UK",6,A460="USA",7,A460="EU",8)</f>
        <v>4</v>
      </c>
      <c r="L460" s="662">
        <f>VLOOKUP(H460,'StdCosts and StdRates'!$A$41:$H$86,K460,FALSE)</f>
        <v>458</v>
      </c>
      <c r="M460" s="662" cm="1">
        <f t="array" ref="M460">_xlfn.XLOOKUP(C460&amp;A460,FX!$A$2:$A$26&amp;FX!$B$2:$B$26,FX!$C$2:$C$26)</f>
        <v>1.4816499999999999</v>
      </c>
      <c r="N460" cm="1">
        <f t="array" ref="N460">_xlfn.IFS(C460="Canada",2,C460="India",3,C460="UK",4,C460="USA",5,C460="EU",6)</f>
        <v>6</v>
      </c>
      <c r="O460" s="662" t="e">
        <f>VLOOKUP(G460,'StdCosts and StdRates'!$A$17:$E$36,N460,FALSE)*M460</f>
        <v>#REF!</v>
      </c>
    </row>
    <row r="461" spans="1:16">
      <c r="A461" s="773" t="s">
        <v>405</v>
      </c>
      <c r="B461" s="773" t="s">
        <v>227</v>
      </c>
      <c r="C461" s="773" t="s">
        <v>227</v>
      </c>
      <c r="G461" s="580" t="s">
        <v>738</v>
      </c>
      <c r="H461" s="967" t="str">
        <f t="shared" si="24"/>
        <v>IndiaClient Partner</v>
      </c>
      <c r="I461" t="str">
        <f t="shared" si="25"/>
        <v>CanadaIndiaClient Partner</v>
      </c>
      <c r="J461" t="str">
        <f t="shared" si="26"/>
        <v>CanadaIndiaClient Partner</v>
      </c>
      <c r="K461" cm="1">
        <f t="array" ref="K461">_xlfn.IFS(A461="Canada",4,A461="India",5,A461="UK",6,A461="USA",7,A461="EU",8)</f>
        <v>4</v>
      </c>
      <c r="L461" s="662">
        <f>VLOOKUP(H461,'StdCosts and StdRates'!$A$41:$H$86,K461,FALSE)</f>
        <v>220</v>
      </c>
      <c r="M461" s="662" cm="1">
        <f t="array" ref="M461">_xlfn.XLOOKUP(C461&amp;A461,FX!$A$2:$A$26&amp;FX!$B$2:$B$26,FX!$C$2:$C$26)</f>
        <v>1.6389999999999998E-2</v>
      </c>
      <c r="N461" cm="1">
        <f t="array" ref="N461">_xlfn.IFS(C461="Canada",2,C461="India",3,C461="UK",4,C461="USA",5,C461="EU",6)</f>
        <v>3</v>
      </c>
      <c r="O461" s="662">
        <f>VLOOKUP(G461,'StdCosts and StdRates'!$A$17:$E$36,N461,FALSE)*M461</f>
        <v>0</v>
      </c>
    </row>
    <row r="462" spans="1:16">
      <c r="A462" s="773" t="s">
        <v>247</v>
      </c>
      <c r="B462" s="773"/>
      <c r="C462" s="773" t="s">
        <v>308</v>
      </c>
      <c r="G462" s="580" t="s">
        <v>738</v>
      </c>
      <c r="H462" s="967" t="str">
        <f t="shared" si="24"/>
        <v>Client Partner</v>
      </c>
      <c r="I462" t="str">
        <f t="shared" si="25"/>
        <v>UKClient Partner</v>
      </c>
      <c r="J462" t="str">
        <f t="shared" si="26"/>
        <v>UKUSAClient Partner</v>
      </c>
      <c r="K462" cm="1">
        <f t="array" ref="K462">_xlfn.IFS(A462="Canada",4,A462="India",5,A462="UK",6,A462="USA",7,A462="EU",8)</f>
        <v>6</v>
      </c>
      <c r="L462" s="662">
        <f>VLOOKUP(H462,'StdCosts and StdRates'!$A$41:$H$86,K462,FALSE)</f>
        <v>327</v>
      </c>
      <c r="M462" s="662" cm="1">
        <f t="array" ref="M462">_xlfn.XLOOKUP(C462&amp;A462,FX!$A$2:$A$26&amp;FX!$B$2:$B$26,FX!$C$2:$C$26)</f>
        <v>0.78280000000000005</v>
      </c>
      <c r="N462" cm="1">
        <f t="array" ref="N462">_xlfn.IFS(C462="Canada",2,C462="India",3,C462="UK",4,C462="USA",5,C462="EU",6)</f>
        <v>5</v>
      </c>
      <c r="O462" s="662">
        <f>VLOOKUP(G462,'StdCosts and StdRates'!$A$17:$E$36,N462,FALSE)*M462</f>
        <v>155.77720000000002</v>
      </c>
    </row>
    <row r="463" spans="1:16">
      <c r="A463" s="773" t="s">
        <v>247</v>
      </c>
      <c r="B463" s="773"/>
      <c r="C463" s="773" t="s">
        <v>405</v>
      </c>
      <c r="G463" s="580" t="s">
        <v>738</v>
      </c>
      <c r="H463" s="967" t="str">
        <f t="shared" si="24"/>
        <v>Client Partner</v>
      </c>
      <c r="I463" t="str">
        <f t="shared" si="25"/>
        <v>UKClient Partner</v>
      </c>
      <c r="J463" t="str">
        <f t="shared" si="26"/>
        <v>UKCanadaClient Partner</v>
      </c>
      <c r="K463" cm="1">
        <f t="array" ref="K463">_xlfn.IFS(A463="Canada",4,A463="India",5,A463="UK",6,A463="USA",7,A463="EU",8)</f>
        <v>6</v>
      </c>
      <c r="L463" s="662">
        <f>VLOOKUP(H463,'StdCosts and StdRates'!$A$41:$H$86,K463,FALSE)</f>
        <v>327</v>
      </c>
      <c r="M463" s="662" cm="1">
        <f t="array" ref="M463">_xlfn.XLOOKUP(C463&amp;A463,FX!$A$2:$A$26&amp;FX!$B$2:$B$26,FX!$C$2:$C$26)</f>
        <v>0.57420000000000004</v>
      </c>
      <c r="N463" cm="1">
        <f t="array" ref="N463">_xlfn.IFS(C463="Canada",2,C463="India",3,C463="UK",4,C463="USA",5,C463="EU",6)</f>
        <v>2</v>
      </c>
      <c r="O463" s="662">
        <f>VLOOKUP(G463,'StdCosts and StdRates'!$A$17:$E$36,N463,FALSE)*M463</f>
        <v>118.2852</v>
      </c>
    </row>
    <row r="464" spans="1:16">
      <c r="A464" s="773" t="s">
        <v>247</v>
      </c>
      <c r="B464" s="773"/>
      <c r="C464" s="773" t="s">
        <v>247</v>
      </c>
      <c r="G464" s="580" t="s">
        <v>738</v>
      </c>
      <c r="H464" s="967" t="str">
        <f t="shared" si="24"/>
        <v>Client Partner</v>
      </c>
      <c r="I464" t="str">
        <f t="shared" si="25"/>
        <v>UKClient Partner</v>
      </c>
      <c r="J464" t="str">
        <f t="shared" si="26"/>
        <v>UKUKClient Partner</v>
      </c>
      <c r="K464" cm="1">
        <f t="array" ref="K464">_xlfn.IFS(A464="Canada",4,A464="India",5,A464="UK",6,A464="USA",7,A464="EU",8)</f>
        <v>6</v>
      </c>
      <c r="L464" s="662">
        <f>VLOOKUP(H464,'StdCosts and StdRates'!$A$41:$H$86,K464,FALSE)</f>
        <v>327</v>
      </c>
      <c r="M464" s="662" cm="1">
        <f t="array" ref="M464">_xlfn.XLOOKUP(C464&amp;A464,FX!$A$2:$A$26&amp;FX!$B$2:$B$26,FX!$C$2:$C$26)</f>
        <v>1</v>
      </c>
      <c r="N464" cm="1">
        <f t="array" ref="N464">_xlfn.IFS(C464="Canada",2,C464="India",3,C464="UK",4,C464="USA",5,C464="EU",6)</f>
        <v>4</v>
      </c>
      <c r="O464" s="662">
        <f>VLOOKUP(G464,'StdCosts and StdRates'!$A$17:$E$36,N464,FALSE)*M464</f>
        <v>147</v>
      </c>
    </row>
    <row r="465" spans="1:15">
      <c r="A465" s="773" t="s">
        <v>247</v>
      </c>
      <c r="B465" s="773"/>
      <c r="C465" s="773" t="s">
        <v>736</v>
      </c>
      <c r="G465" s="580" t="s">
        <v>738</v>
      </c>
      <c r="H465" s="967" t="str">
        <f t="shared" si="24"/>
        <v>Client Partner</v>
      </c>
      <c r="I465" t="str">
        <f t="shared" si="25"/>
        <v>UKClient Partner</v>
      </c>
      <c r="J465" t="str">
        <f t="shared" si="26"/>
        <v>UKEUClient Partner</v>
      </c>
      <c r="K465" cm="1">
        <f t="array" ref="K465">_xlfn.IFS(A465="Canada",4,A465="India",5,A465="UK",6,A465="USA",7,A465="EU",8)</f>
        <v>6</v>
      </c>
      <c r="L465" s="662">
        <f>VLOOKUP(H465,'StdCosts and StdRates'!$A$41:$H$86,K465,FALSE)</f>
        <v>327</v>
      </c>
      <c r="M465" s="662" cm="1">
        <f t="array" ref="M465">_xlfn.XLOOKUP(C465&amp;A465,FX!$A$2:$A$26&amp;FX!$B$2:$B$26,FX!$C$2:$C$26)</f>
        <v>0.85092999999999996</v>
      </c>
      <c r="N465" cm="1">
        <f t="array" ref="N465">_xlfn.IFS(C465="Canada",2,C465="India",3,C465="UK",4,C465="USA",5,C465="EU",6)</f>
        <v>6</v>
      </c>
      <c r="O465" s="662" t="e">
        <f>VLOOKUP(G465,'StdCosts and StdRates'!$A$17:$E$36,N465,FALSE)*M465</f>
        <v>#REF!</v>
      </c>
    </row>
    <row r="466" spans="1:15">
      <c r="A466" s="773" t="s">
        <v>247</v>
      </c>
      <c r="B466" s="773" t="s">
        <v>227</v>
      </c>
      <c r="C466" s="773" t="s">
        <v>227</v>
      </c>
      <c r="G466" s="580" t="s">
        <v>738</v>
      </c>
      <c r="H466" s="967" t="str">
        <f t="shared" si="24"/>
        <v>IndiaClient Partner</v>
      </c>
      <c r="I466" t="str">
        <f t="shared" si="25"/>
        <v>UKIndiaClient Partner</v>
      </c>
      <c r="J466" t="str">
        <f t="shared" si="26"/>
        <v>UKIndiaClient Partner</v>
      </c>
      <c r="K466" cm="1">
        <f t="array" ref="K466">_xlfn.IFS(A466="Canada",4,A466="India",5,A466="UK",6,A466="USA",7,A466="EU",8)</f>
        <v>6</v>
      </c>
      <c r="L466" s="662">
        <f>VLOOKUP(H466,'StdCosts and StdRates'!$A$41:$H$86,K466,FALSE)</f>
        <v>160</v>
      </c>
      <c r="M466" s="662" cm="1">
        <f t="array" ref="M466">_xlfn.XLOOKUP(C466&amp;A466,FX!$A$2:$A$26&amp;FX!$B$2:$B$26,FX!$C$2:$C$26)</f>
        <v>9.41E-3</v>
      </c>
      <c r="N466" cm="1">
        <f t="array" ref="N466">_xlfn.IFS(C466="Canada",2,C466="India",3,C466="UK",4,C466="USA",5,C466="EU",6)</f>
        <v>3</v>
      </c>
      <c r="O466" s="662">
        <f>VLOOKUP(G466,'StdCosts and StdRates'!$A$17:$E$36,N466,FALSE)*M466</f>
        <v>0</v>
      </c>
    </row>
    <row r="467" spans="1:15">
      <c r="A467" s="773" t="s">
        <v>227</v>
      </c>
      <c r="B467" s="773"/>
      <c r="C467" s="773" t="s">
        <v>308</v>
      </c>
      <c r="G467" s="580" t="s">
        <v>738</v>
      </c>
      <c r="H467" s="967" t="str">
        <f t="shared" si="24"/>
        <v>Client Partner</v>
      </c>
      <c r="I467" t="str">
        <f t="shared" si="25"/>
        <v>IndiaClient Partner</v>
      </c>
      <c r="J467" t="str">
        <f t="shared" si="26"/>
        <v>IndiaUSAClient Partner</v>
      </c>
      <c r="K467" cm="1">
        <f t="array" ref="K467">_xlfn.IFS(A467="Canada",4,A467="India",5,A467="UK",6,A467="USA",7,A467="EU",8)</f>
        <v>5</v>
      </c>
      <c r="L467" s="662">
        <f>VLOOKUP(H467,'StdCosts and StdRates'!$A$41:$H$86,K467,FALSE)</f>
        <v>0</v>
      </c>
      <c r="M467" s="662" cm="1">
        <f t="array" ref="M467">_xlfn.XLOOKUP(C467&amp;A467,FX!$A$2:$A$26&amp;FX!$B$2:$B$26,FX!$C$2:$C$26)</f>
        <v>83.1721</v>
      </c>
      <c r="N467" cm="1">
        <f t="array" ref="N467">_xlfn.IFS(C467="Canada",2,C467="India",3,C467="UK",4,C467="USA",5,C467="EU",6)</f>
        <v>5</v>
      </c>
      <c r="O467" s="662">
        <f>VLOOKUP(G467,'StdCosts and StdRates'!$A$17:$E$36,N467,FALSE)*M467</f>
        <v>16551.247899999998</v>
      </c>
    </row>
    <row r="468" spans="1:15">
      <c r="A468" s="773" t="s">
        <v>227</v>
      </c>
      <c r="B468" s="773"/>
      <c r="C468" s="773" t="s">
        <v>405</v>
      </c>
      <c r="G468" s="580" t="s">
        <v>738</v>
      </c>
      <c r="H468" s="967" t="str">
        <f t="shared" si="24"/>
        <v>Client Partner</v>
      </c>
      <c r="I468" t="str">
        <f t="shared" si="25"/>
        <v>IndiaClient Partner</v>
      </c>
      <c r="J468" t="str">
        <f t="shared" si="26"/>
        <v>IndiaCanadaClient Partner</v>
      </c>
      <c r="K468" cm="1">
        <f t="array" ref="K468">_xlfn.IFS(A468="Canada",4,A468="India",5,A468="UK",6,A468="USA",7,A468="EU",8)</f>
        <v>5</v>
      </c>
      <c r="L468" s="662">
        <f>VLOOKUP(H468,'StdCosts and StdRates'!$A$41:$H$86,K468,FALSE)</f>
        <v>0</v>
      </c>
      <c r="M468" s="662" cm="1">
        <f t="array" ref="M468">_xlfn.XLOOKUP(C468&amp;A468,FX!$A$2:$A$26&amp;FX!$B$2:$B$26,FX!$C$2:$C$26)</f>
        <v>61.008200000000002</v>
      </c>
      <c r="N468" cm="1">
        <f t="array" ref="N468">_xlfn.IFS(C468="Canada",2,C468="India",3,C468="UK",4,C468="USA",5,C468="EU",6)</f>
        <v>2</v>
      </c>
      <c r="O468" s="662">
        <f>VLOOKUP(G468,'StdCosts and StdRates'!$A$17:$E$36,N468,FALSE)*M468</f>
        <v>12567.689200000001</v>
      </c>
    </row>
    <row r="469" spans="1:15">
      <c r="A469" s="773" t="s">
        <v>227</v>
      </c>
      <c r="B469" s="773"/>
      <c r="C469" s="773" t="s">
        <v>247</v>
      </c>
      <c r="G469" s="580" t="s">
        <v>738</v>
      </c>
      <c r="H469" s="967" t="str">
        <f t="shared" si="24"/>
        <v>Client Partner</v>
      </c>
      <c r="I469" t="str">
        <f t="shared" si="25"/>
        <v>IndiaClient Partner</v>
      </c>
      <c r="J469" t="str">
        <f t="shared" si="26"/>
        <v>IndiaUKClient Partner</v>
      </c>
      <c r="K469" cm="1">
        <f t="array" ref="K469">_xlfn.IFS(A469="Canada",4,A469="India",5,A469="UK",6,A469="USA",7,A469="EU",8)</f>
        <v>5</v>
      </c>
      <c r="L469" s="662">
        <f>VLOOKUP(H469,'StdCosts and StdRates'!$A$41:$H$86,K469,FALSE)</f>
        <v>0</v>
      </c>
      <c r="M469" s="662" cm="1">
        <f t="array" ref="M469">_xlfn.XLOOKUP(C469&amp;A469,FX!$A$2:$A$26&amp;FX!$B$2:$B$26,FX!$C$2:$C$26)</f>
        <v>106.23399999999999</v>
      </c>
      <c r="N469" cm="1">
        <f t="array" ref="N469">_xlfn.IFS(C469="Canada",2,C469="India",3,C469="UK",4,C469="USA",5,C469="EU",6)</f>
        <v>4</v>
      </c>
      <c r="O469" s="662">
        <f>VLOOKUP(G469,'StdCosts and StdRates'!$A$17:$E$36,N469,FALSE)*M469</f>
        <v>15616.397999999999</v>
      </c>
    </row>
    <row r="470" spans="1:15">
      <c r="A470" s="773" t="s">
        <v>227</v>
      </c>
      <c r="B470" s="773"/>
      <c r="C470" s="773" t="s">
        <v>736</v>
      </c>
      <c r="G470" s="580" t="s">
        <v>738</v>
      </c>
      <c r="H470" s="967" t="str">
        <f t="shared" si="24"/>
        <v>Client Partner</v>
      </c>
      <c r="I470" t="str">
        <f t="shared" si="25"/>
        <v>IndiaClient Partner</v>
      </c>
      <c r="J470" t="str">
        <f t="shared" si="26"/>
        <v>IndiaEUClient Partner</v>
      </c>
      <c r="K470" cm="1">
        <f t="array" ref="K470">_xlfn.IFS(A470="Canada",4,A470="India",5,A470="UK",6,A470="USA",7,A470="EU",8)</f>
        <v>5</v>
      </c>
      <c r="L470" s="662">
        <f>VLOOKUP(H470,'StdCosts and StdRates'!$A$41:$H$86,K470,FALSE)</f>
        <v>0</v>
      </c>
      <c r="M470" s="662" cm="1">
        <f t="array" ref="M470">_xlfn.XLOOKUP(C470&amp;A470,FX!$A$2:$A$26&amp;FX!$B$2:$B$26,FX!$C$2:$C$26)</f>
        <v>90.405100000000004</v>
      </c>
      <c r="N470" cm="1">
        <f t="array" ref="N470">_xlfn.IFS(C470="Canada",2,C470="India",3,C470="UK",4,C470="USA",5,C470="EU",6)</f>
        <v>6</v>
      </c>
      <c r="O470" s="662" t="e">
        <f>VLOOKUP(G470,'StdCosts and StdRates'!$A$17:$E$36,N470,FALSE)*M470</f>
        <v>#REF!</v>
      </c>
    </row>
    <row r="471" spans="1:15">
      <c r="A471" s="773" t="s">
        <v>227</v>
      </c>
      <c r="B471" s="773" t="s">
        <v>227</v>
      </c>
      <c r="C471" s="773" t="s">
        <v>227</v>
      </c>
      <c r="G471" s="580" t="s">
        <v>738</v>
      </c>
      <c r="H471" s="967" t="str">
        <f t="shared" si="24"/>
        <v>IndiaClient Partner</v>
      </c>
      <c r="I471" t="str">
        <f t="shared" si="25"/>
        <v>IndiaIndiaClient Partner</v>
      </c>
      <c r="J471" t="str">
        <f t="shared" si="26"/>
        <v>IndiaIndiaClient Partner</v>
      </c>
      <c r="K471" cm="1">
        <f t="array" ref="K471">_xlfn.IFS(A471="Canada",4,A471="India",5,A471="UK",6,A471="USA",7,A471="EU",8)</f>
        <v>5</v>
      </c>
      <c r="L471" s="662">
        <f>VLOOKUP(H471,'StdCosts and StdRates'!$A$41:$H$86,K471,FALSE)</f>
        <v>0</v>
      </c>
      <c r="M471" s="662" cm="1">
        <f t="array" ref="M471">_xlfn.XLOOKUP(C471&amp;A471,FX!$A$2:$A$26&amp;FX!$B$2:$B$26,FX!$C$2:$C$26)</f>
        <v>1</v>
      </c>
      <c r="N471" cm="1">
        <f t="array" ref="N471">_xlfn.IFS(C471="Canada",2,C471="India",3,C471="UK",4,C471="USA",5,C471="EU",6)</f>
        <v>3</v>
      </c>
      <c r="O471" s="662">
        <f>VLOOKUP(G471,'StdCosts and StdRates'!$A$17:$E$36,N471,FALSE)*M471</f>
        <v>0</v>
      </c>
    </row>
    <row r="472" spans="1:15">
      <c r="A472" s="773" t="s">
        <v>736</v>
      </c>
      <c r="B472" s="773"/>
      <c r="C472" s="773" t="s">
        <v>308</v>
      </c>
      <c r="G472" s="580" t="s">
        <v>738</v>
      </c>
      <c r="H472" s="967" t="str">
        <f t="shared" si="24"/>
        <v>Client Partner</v>
      </c>
      <c r="I472" t="str">
        <f t="shared" si="25"/>
        <v>EUClient Partner</v>
      </c>
      <c r="J472" t="str">
        <f t="shared" si="26"/>
        <v>EUUSAClient Partner</v>
      </c>
      <c r="K472" cm="1">
        <f t="array" ref="K472">_xlfn.IFS(A472="Canada",4,A472="India",5,A472="UK",6,A472="USA",7,A472="EU",8)</f>
        <v>8</v>
      </c>
      <c r="L472" s="662">
        <f>VLOOKUP(H472,'StdCosts and StdRates'!$A$41:$H$86,K472,FALSE)</f>
        <v>382</v>
      </c>
      <c r="M472" s="662" cm="1">
        <f t="array" ref="M472">_xlfn.XLOOKUP(C472&amp;A472,FX!$A$2:$A$26&amp;FX!$B$2:$B$26,FX!$C$2:$C$26)</f>
        <v>0.91986999999999997</v>
      </c>
      <c r="N472" cm="1">
        <f t="array" ref="N472">_xlfn.IFS(C472="Canada",2,C472="India",3,C472="UK",4,C472="USA",5,C472="EU",6)</f>
        <v>5</v>
      </c>
      <c r="O472" s="662">
        <f>VLOOKUP(G472,'StdCosts and StdRates'!$A$17:$E$36,N472,FALSE)*M472</f>
        <v>183.05412999999999</v>
      </c>
    </row>
    <row r="473" spans="1:15">
      <c r="A473" s="773" t="s">
        <v>736</v>
      </c>
      <c r="B473" s="773"/>
      <c r="C473" s="773" t="s">
        <v>405</v>
      </c>
      <c r="G473" s="580" t="s">
        <v>738</v>
      </c>
      <c r="H473" s="967" t="str">
        <f t="shared" si="24"/>
        <v>Client Partner</v>
      </c>
      <c r="I473" t="str">
        <f t="shared" si="25"/>
        <v>EUClient Partner</v>
      </c>
      <c r="J473" t="str">
        <f t="shared" si="26"/>
        <v>EUCanadaClient Partner</v>
      </c>
      <c r="K473" cm="1">
        <f t="array" ref="K473">_xlfn.IFS(A473="Canada",4,A473="India",5,A473="UK",6,A473="USA",7,A473="EU",8)</f>
        <v>8</v>
      </c>
      <c r="L473" s="662">
        <f>VLOOKUP(H473,'StdCosts and StdRates'!$A$41:$H$86,K473,FALSE)</f>
        <v>382</v>
      </c>
      <c r="M473" s="662" cm="1">
        <f t="array" ref="M473">_xlfn.XLOOKUP(C473&amp;A473,FX!$A$2:$A$26&amp;FX!$B$2:$B$26,FX!$C$2:$C$26)</f>
        <v>0.67474000000000001</v>
      </c>
      <c r="N473" cm="1">
        <f t="array" ref="N473">_xlfn.IFS(C473="Canada",2,C473="India",3,C473="UK",4,C473="USA",5,C473="EU",6)</f>
        <v>2</v>
      </c>
      <c r="O473" s="662">
        <f>VLOOKUP(G473,'StdCosts and StdRates'!$A$17:$E$36,N473,FALSE)*M473</f>
        <v>138.99644000000001</v>
      </c>
    </row>
    <row r="474" spans="1:15">
      <c r="A474" s="773" t="s">
        <v>736</v>
      </c>
      <c r="B474" s="773"/>
      <c r="C474" s="773" t="s">
        <v>247</v>
      </c>
      <c r="G474" s="580" t="s">
        <v>738</v>
      </c>
      <c r="H474" s="967" t="str">
        <f t="shared" si="24"/>
        <v>Client Partner</v>
      </c>
      <c r="I474" t="str">
        <f t="shared" si="25"/>
        <v>EUClient Partner</v>
      </c>
      <c r="J474" t="str">
        <f t="shared" si="26"/>
        <v>EUUKClient Partner</v>
      </c>
      <c r="K474" cm="1">
        <f t="array" ref="K474">_xlfn.IFS(A474="Canada",4,A474="India",5,A474="UK",6,A474="USA",7,A474="EU",8)</f>
        <v>8</v>
      </c>
      <c r="L474" s="662">
        <f>VLOOKUP(H474,'StdCosts and StdRates'!$A$41:$H$86,K474,FALSE)</f>
        <v>382</v>
      </c>
      <c r="M474" s="662" cm="1">
        <f t="array" ref="M474">_xlfn.XLOOKUP(C474&amp;A474,FX!$A$2:$A$26&amp;FX!$B$2:$B$26,FX!$C$2:$C$26)</f>
        <v>1.1749799999999999</v>
      </c>
      <c r="N474" cm="1">
        <f t="array" ref="N474">_xlfn.IFS(C474="Canada",2,C474="India",3,C474="UK",4,C474="USA",5,C474="EU",6)</f>
        <v>4</v>
      </c>
      <c r="O474" s="662">
        <f>VLOOKUP(G474,'StdCosts and StdRates'!$A$17:$E$36,N474,FALSE)*M474</f>
        <v>172.72206</v>
      </c>
    </row>
    <row r="475" spans="1:15">
      <c r="A475" s="773" t="s">
        <v>736</v>
      </c>
      <c r="B475" s="773"/>
      <c r="C475" s="773" t="s">
        <v>736</v>
      </c>
      <c r="G475" s="580" t="s">
        <v>738</v>
      </c>
      <c r="H475" s="967" t="str">
        <f t="shared" si="24"/>
        <v>Client Partner</v>
      </c>
      <c r="I475" t="str">
        <f t="shared" si="25"/>
        <v>EUClient Partner</v>
      </c>
      <c r="J475" t="str">
        <f t="shared" si="26"/>
        <v>EUEUClient Partner</v>
      </c>
      <c r="K475" cm="1">
        <f t="array" ref="K475">_xlfn.IFS(A475="Canada",4,A475="India",5,A475="UK",6,A475="USA",7,A475="EU",8)</f>
        <v>8</v>
      </c>
      <c r="L475" s="662">
        <f>VLOOKUP(H475,'StdCosts and StdRates'!$A$41:$H$86,K475,FALSE)</f>
        <v>382</v>
      </c>
      <c r="M475" s="662" cm="1">
        <f t="array" ref="M475">_xlfn.XLOOKUP(C475&amp;A475,FX!$A$2:$A$26&amp;FX!$B$2:$B$26,FX!$C$2:$C$26)</f>
        <v>1</v>
      </c>
      <c r="N475" cm="1">
        <f t="array" ref="N475">_xlfn.IFS(C475="Canada",2,C475="India",3,C475="UK",4,C475="USA",5,C475="EU",6)</f>
        <v>6</v>
      </c>
      <c r="O475" s="662" t="e">
        <f>VLOOKUP(G475,'StdCosts and StdRates'!$A$17:$E$36,N475,FALSE)*M475</f>
        <v>#REF!</v>
      </c>
    </row>
    <row r="476" spans="1:15">
      <c r="A476" s="773" t="s">
        <v>736</v>
      </c>
      <c r="B476" s="773" t="s">
        <v>227</v>
      </c>
      <c r="C476" s="773" t="s">
        <v>227</v>
      </c>
      <c r="G476" s="580" t="s">
        <v>738</v>
      </c>
      <c r="H476" s="967" t="str">
        <f t="shared" si="24"/>
        <v>IndiaClient Partner</v>
      </c>
      <c r="I476" t="str">
        <f t="shared" si="25"/>
        <v>EUIndiaClient Partner</v>
      </c>
      <c r="J476" t="str">
        <f t="shared" si="26"/>
        <v>EUIndiaClient Partner</v>
      </c>
      <c r="K476" cm="1">
        <f t="array" ref="K476">_xlfn.IFS(A476="Canada",4,A476="India",5,A476="UK",6,A476="USA",7,A476="EU",8)</f>
        <v>8</v>
      </c>
      <c r="L476" s="662">
        <f>VLOOKUP(H476,'StdCosts and StdRates'!$A$41:$H$86,K476,FALSE)</f>
        <v>187</v>
      </c>
      <c r="M476" s="662" cm="1">
        <f t="array" ref="M476">_xlfn.XLOOKUP(C476&amp;A476,FX!$A$2:$A$26&amp;FX!$B$2:$B$26,FX!$C$2:$C$26)</f>
        <v>1.106E-2</v>
      </c>
      <c r="N476" cm="1">
        <f t="array" ref="N476">_xlfn.IFS(C476="Canada",2,C476="India",3,C476="UK",4,C476="USA",5,C476="EU",6)</f>
        <v>3</v>
      </c>
      <c r="O476" s="662">
        <f>VLOOKUP(G476,'StdCosts and StdRates'!$A$17:$E$36,N476,FALSE)*M476</f>
        <v>0</v>
      </c>
    </row>
    <row r="477" spans="1:15">
      <c r="A477" s="773" t="s">
        <v>308</v>
      </c>
      <c r="B477" s="773"/>
      <c r="C477" s="773" t="s">
        <v>308</v>
      </c>
      <c r="G477" s="580" t="s">
        <v>739</v>
      </c>
      <c r="H477" s="967" t="str">
        <f t="shared" si="24"/>
        <v>Delivery Director</v>
      </c>
      <c r="I477" t="str">
        <f t="shared" si="25"/>
        <v>USADelivery Director</v>
      </c>
      <c r="J477" t="str">
        <f t="shared" si="26"/>
        <v>USAUSADelivery Director</v>
      </c>
      <c r="K477" cm="1">
        <f t="array" ref="K477">_xlfn.IFS(A477="Canada",4,A477="India",5,A477="UK",6,A477="USA",7,A477="EU",8)</f>
        <v>7</v>
      </c>
      <c r="L477" s="662">
        <f>VLOOKUP(H477,'StdCosts and StdRates'!$A$41:$H$86,K477,FALSE)</f>
        <v>542</v>
      </c>
      <c r="M477" s="662" cm="1">
        <f t="array" ref="M477">_xlfn.XLOOKUP(C477&amp;A477,FX!$A$2:$A$26&amp;FX!$B$2:$B$26,FX!$C$2:$C$26)</f>
        <v>1</v>
      </c>
      <c r="N477" cm="1">
        <f t="array" ref="N477">_xlfn.IFS(C477="Canada",2,C477="India",3,C477="UK",4,C477="USA",5,C477="EU",6)</f>
        <v>5</v>
      </c>
      <c r="O477" s="662">
        <f>VLOOKUP(G477,'StdCosts and StdRates'!$A$17:$E$36,N477,FALSE)*M477</f>
        <v>244</v>
      </c>
    </row>
    <row r="478" spans="1:15">
      <c r="A478" s="773" t="s">
        <v>308</v>
      </c>
      <c r="B478" s="773"/>
      <c r="C478" s="773" t="s">
        <v>405</v>
      </c>
      <c r="G478" s="580" t="s">
        <v>739</v>
      </c>
      <c r="H478" s="967" t="str">
        <f t="shared" si="24"/>
        <v>Delivery Director</v>
      </c>
      <c r="I478" t="str">
        <f t="shared" si="25"/>
        <v>USADelivery Director</v>
      </c>
      <c r="J478" t="str">
        <f t="shared" si="26"/>
        <v>USACanadaDelivery Director</v>
      </c>
      <c r="K478" cm="1">
        <f t="array" ref="K478">_xlfn.IFS(A478="Canada",4,A478="India",5,A478="UK",6,A478="USA",7,A478="EU",8)</f>
        <v>7</v>
      </c>
      <c r="L478" s="662">
        <f>VLOOKUP(H478,'StdCosts and StdRates'!$A$41:$H$86,K478,FALSE)</f>
        <v>542</v>
      </c>
      <c r="M478" s="662" cm="1">
        <f t="array" ref="M478">_xlfn.XLOOKUP(C478&amp;A478,FX!$A$2:$A$26&amp;FX!$B$2:$B$26,FX!$C$2:$C$26)</f>
        <v>0.73351999999999995</v>
      </c>
      <c r="N478" cm="1">
        <f t="array" ref="N478">_xlfn.IFS(C478="Canada",2,C478="India",3,C478="UK",4,C478="USA",5,C478="EU",6)</f>
        <v>2</v>
      </c>
      <c r="O478" s="662">
        <f>VLOOKUP(G478,'StdCosts and StdRates'!$A$17:$E$36,N478,FALSE)*M478</f>
        <v>182.64648</v>
      </c>
    </row>
    <row r="479" spans="1:15">
      <c r="A479" s="773" t="s">
        <v>308</v>
      </c>
      <c r="B479" s="773"/>
      <c r="C479" s="773" t="s">
        <v>247</v>
      </c>
      <c r="G479" s="580" t="s">
        <v>739</v>
      </c>
      <c r="H479" s="967" t="str">
        <f t="shared" si="24"/>
        <v>Delivery Director</v>
      </c>
      <c r="I479" t="str">
        <f t="shared" si="25"/>
        <v>USADelivery Director</v>
      </c>
      <c r="J479" t="str">
        <f t="shared" si="26"/>
        <v>USAUKDelivery Director</v>
      </c>
      <c r="K479" cm="1">
        <f t="array" ref="K479">_xlfn.IFS(A479="Canada",4,A479="India",5,A479="UK",6,A479="USA",7,A479="EU",8)</f>
        <v>7</v>
      </c>
      <c r="L479" s="662">
        <f>VLOOKUP(H479,'StdCosts and StdRates'!$A$41:$H$86,K479,FALSE)</f>
        <v>542</v>
      </c>
      <c r="M479" s="662" cm="1">
        <f t="array" ref="M479">_xlfn.XLOOKUP(C479&amp;A479,FX!$A$2:$A$26&amp;FX!$B$2:$B$26,FX!$C$2:$C$26)</f>
        <v>1.2772699999999999</v>
      </c>
      <c r="N479" cm="1">
        <f t="array" ref="N479">_xlfn.IFS(C479="Canada",2,C479="India",3,C479="UK",4,C479="USA",5,C479="EU",6)</f>
        <v>4</v>
      </c>
      <c r="O479" s="662">
        <f>VLOOKUP(G479,'StdCosts and StdRates'!$A$17:$E$36,N479,FALSE)*M479</f>
        <v>164.76782999999998</v>
      </c>
    </row>
    <row r="480" spans="1:15">
      <c r="A480" s="773" t="s">
        <v>308</v>
      </c>
      <c r="B480" s="773"/>
      <c r="C480" s="773" t="s">
        <v>736</v>
      </c>
      <c r="G480" s="580" t="s">
        <v>739</v>
      </c>
      <c r="H480" s="967" t="str">
        <f t="shared" si="24"/>
        <v>Delivery Director</v>
      </c>
      <c r="I480" t="str">
        <f t="shared" si="25"/>
        <v>USADelivery Director</v>
      </c>
      <c r="J480" t="str">
        <f t="shared" si="26"/>
        <v>USAEUDelivery Director</v>
      </c>
      <c r="K480" cm="1">
        <f t="array" ref="K480">_xlfn.IFS(A480="Canada",4,A480="India",5,A480="UK",6,A480="USA",7,A480="EU",8)</f>
        <v>7</v>
      </c>
      <c r="L480" s="662">
        <f>VLOOKUP(H480,'StdCosts and StdRates'!$A$41:$H$86,K480,FALSE)</f>
        <v>542</v>
      </c>
      <c r="M480" s="662" cm="1">
        <f t="array" ref="M480">_xlfn.XLOOKUP(C480&amp;A480,FX!$A$2:$A$26&amp;FX!$B$2:$B$26,FX!$C$2:$C$26)</f>
        <v>1.0869599999999999</v>
      </c>
      <c r="N480" cm="1">
        <f t="array" ref="N480">_xlfn.IFS(C480="Canada",2,C480="India",3,C480="UK",4,C480="USA",5,C480="EU",6)</f>
        <v>6</v>
      </c>
      <c r="O480" s="662" t="e">
        <f>VLOOKUP(G480,'StdCosts and StdRates'!$A$17:$E$36,N480,FALSE)*M480</f>
        <v>#REF!</v>
      </c>
    </row>
    <row r="481" spans="1:15">
      <c r="A481" s="773" t="s">
        <v>308</v>
      </c>
      <c r="B481" s="773" t="s">
        <v>227</v>
      </c>
      <c r="C481" s="773" t="s">
        <v>227</v>
      </c>
      <c r="G481" s="580" t="s">
        <v>739</v>
      </c>
      <c r="H481" s="967" t="str">
        <f t="shared" si="24"/>
        <v>IndiaDelivery Director</v>
      </c>
      <c r="I481" t="str">
        <f t="shared" si="25"/>
        <v>USAIndiaDelivery Director</v>
      </c>
      <c r="J481" t="str">
        <f t="shared" si="26"/>
        <v>USAIndiaDelivery Director</v>
      </c>
      <c r="K481" cm="1">
        <f t="array" ref="K481">_xlfn.IFS(A481="Canada",4,A481="India",5,A481="UK",6,A481="USA",7,A481="EU",8)</f>
        <v>7</v>
      </c>
      <c r="L481" s="662">
        <f>VLOOKUP(H481,'StdCosts and StdRates'!$A$41:$H$86,K481,FALSE)</f>
        <v>265</v>
      </c>
      <c r="M481" s="662" cm="1">
        <f t="array" ref="M481">_xlfn.XLOOKUP(C481&amp;A481,FX!$A$2:$A$26&amp;FX!$B$2:$B$26,FX!$C$2:$C$26)</f>
        <v>1.2019999999999999E-2</v>
      </c>
      <c r="N481" cm="1">
        <f t="array" ref="N481">_xlfn.IFS(C481="Canada",2,C481="India",3,C481="UK",4,C481="USA",5,C481="EU",6)</f>
        <v>3</v>
      </c>
      <c r="O481" s="662">
        <f>VLOOKUP(G481,'StdCosts and StdRates'!$A$17:$E$36,N481,FALSE)*M481</f>
        <v>56.494</v>
      </c>
    </row>
    <row r="482" spans="1:15">
      <c r="A482" s="773" t="s">
        <v>405</v>
      </c>
      <c r="B482" s="773"/>
      <c r="C482" s="773" t="s">
        <v>308</v>
      </c>
      <c r="G482" s="580" t="s">
        <v>739</v>
      </c>
      <c r="H482" s="967" t="str">
        <f t="shared" si="24"/>
        <v>Delivery Director</v>
      </c>
      <c r="I482" t="str">
        <f t="shared" si="25"/>
        <v>CanadaDelivery Director</v>
      </c>
      <c r="J482" t="str">
        <f t="shared" si="26"/>
        <v>CanadaUSADelivery Director</v>
      </c>
      <c r="K482" cm="1">
        <f t="array" ref="K482">_xlfn.IFS(A482="Canada",4,A482="India",5,A482="UK",6,A482="USA",7,A482="EU",8)</f>
        <v>4</v>
      </c>
      <c r="L482" s="662">
        <f>VLOOKUP(H482,'StdCosts and StdRates'!$A$41:$H$86,K482,FALSE)</f>
        <v>553</v>
      </c>
      <c r="M482" s="662" cm="1">
        <f t="array" ref="M482">_xlfn.XLOOKUP(C482&amp;A482,FX!$A$2:$A$26&amp;FX!$B$2:$B$26,FX!$C$2:$C$26)</f>
        <v>1.36311</v>
      </c>
      <c r="N482" cm="1">
        <f t="array" ref="N482">_xlfn.IFS(C482="Canada",2,C482="India",3,C482="UK",4,C482="USA",5,C482="EU",6)</f>
        <v>5</v>
      </c>
      <c r="O482" s="662">
        <f>VLOOKUP(G482,'StdCosts and StdRates'!$A$17:$E$36,N482,FALSE)*M482</f>
        <v>332.59884</v>
      </c>
    </row>
    <row r="483" spans="1:15">
      <c r="A483" s="773" t="s">
        <v>405</v>
      </c>
      <c r="B483" s="773"/>
      <c r="C483" s="773" t="s">
        <v>405</v>
      </c>
      <c r="G483" s="580" t="s">
        <v>739</v>
      </c>
      <c r="H483" s="967" t="str">
        <f t="shared" si="24"/>
        <v>Delivery Director</v>
      </c>
      <c r="I483" t="str">
        <f t="shared" si="25"/>
        <v>CanadaDelivery Director</v>
      </c>
      <c r="J483" t="str">
        <f t="shared" si="26"/>
        <v>CanadaCanadaDelivery Director</v>
      </c>
      <c r="K483" cm="1">
        <f t="array" ref="K483">_xlfn.IFS(A483="Canada",4,A483="India",5,A483="UK",6,A483="USA",7,A483="EU",8)</f>
        <v>4</v>
      </c>
      <c r="L483" s="662">
        <f>VLOOKUP(H483,'StdCosts and StdRates'!$A$41:$H$86,K483,FALSE)</f>
        <v>553</v>
      </c>
      <c r="M483" s="662" cm="1">
        <f t="array" ref="M483">_xlfn.XLOOKUP(C483&amp;A483,FX!$A$2:$A$26&amp;FX!$B$2:$B$26,FX!$C$2:$C$26)</f>
        <v>1</v>
      </c>
      <c r="N483" cm="1">
        <f t="array" ref="N483">_xlfn.IFS(C483="Canada",2,C483="India",3,C483="UK",4,C483="USA",5,C483="EU",6)</f>
        <v>2</v>
      </c>
      <c r="O483" s="662">
        <f>VLOOKUP(G483,'StdCosts and StdRates'!$A$17:$E$36,N483,FALSE)*M483</f>
        <v>249</v>
      </c>
    </row>
    <row r="484" spans="1:15">
      <c r="A484" s="773" t="s">
        <v>405</v>
      </c>
      <c r="B484" s="773"/>
      <c r="C484" s="773" t="s">
        <v>247</v>
      </c>
      <c r="G484" s="580" t="s">
        <v>739</v>
      </c>
      <c r="H484" s="967" t="str">
        <f t="shared" si="24"/>
        <v>Delivery Director</v>
      </c>
      <c r="I484" t="str">
        <f t="shared" si="25"/>
        <v>CanadaDelivery Director</v>
      </c>
      <c r="J484" t="str">
        <f t="shared" si="26"/>
        <v>CanadaUKDelivery Director</v>
      </c>
      <c r="K484" cm="1">
        <f t="array" ref="K484">_xlfn.IFS(A484="Canada",4,A484="India",5,A484="UK",6,A484="USA",7,A484="EU",8)</f>
        <v>4</v>
      </c>
      <c r="L484" s="662">
        <f>VLOOKUP(H484,'StdCosts and StdRates'!$A$41:$H$86,K484,FALSE)</f>
        <v>553</v>
      </c>
      <c r="M484" s="662" cm="1">
        <f t="array" ref="M484">_xlfn.XLOOKUP(C484&amp;A484,FX!$A$2:$A$26&amp;FX!$B$2:$B$26,FX!$C$2:$C$26)</f>
        <v>1.7410699999999999</v>
      </c>
      <c r="N484" cm="1">
        <f t="array" ref="N484">_xlfn.IFS(C484="Canada",2,C484="India",3,C484="UK",4,C484="USA",5,C484="EU",6)</f>
        <v>4</v>
      </c>
      <c r="O484" s="662">
        <f>VLOOKUP(G484,'StdCosts and StdRates'!$A$17:$E$36,N484,FALSE)*M484</f>
        <v>224.59802999999999</v>
      </c>
    </row>
    <row r="485" spans="1:15">
      <c r="A485" s="773" t="s">
        <v>405</v>
      </c>
      <c r="B485" s="773"/>
      <c r="C485" s="773" t="s">
        <v>736</v>
      </c>
      <c r="G485" s="580" t="s">
        <v>739</v>
      </c>
      <c r="H485" s="967" t="str">
        <f t="shared" si="24"/>
        <v>Delivery Director</v>
      </c>
      <c r="I485" t="str">
        <f t="shared" si="25"/>
        <v>CanadaDelivery Director</v>
      </c>
      <c r="J485" t="str">
        <f t="shared" si="26"/>
        <v>CanadaEUDelivery Director</v>
      </c>
      <c r="K485" cm="1">
        <f t="array" ref="K485">_xlfn.IFS(A485="Canada",4,A485="India",5,A485="UK",6,A485="USA",7,A485="EU",8)</f>
        <v>4</v>
      </c>
      <c r="L485" s="662">
        <f>VLOOKUP(H485,'StdCosts and StdRates'!$A$41:$H$86,K485,FALSE)</f>
        <v>553</v>
      </c>
      <c r="M485" s="662" cm="1">
        <f t="array" ref="M485">_xlfn.XLOOKUP(C485&amp;A485,FX!$A$2:$A$26&amp;FX!$B$2:$B$26,FX!$C$2:$C$26)</f>
        <v>1.4816499999999999</v>
      </c>
      <c r="N485" cm="1">
        <f t="array" ref="N485">_xlfn.IFS(C485="Canada",2,C485="India",3,C485="UK",4,C485="USA",5,C485="EU",6)</f>
        <v>6</v>
      </c>
      <c r="O485" s="662" t="e">
        <f>VLOOKUP(G485,'StdCosts and StdRates'!$A$17:$E$36,N485,FALSE)*M485</f>
        <v>#REF!</v>
      </c>
    </row>
    <row r="486" spans="1:15">
      <c r="A486" s="773" t="s">
        <v>405</v>
      </c>
      <c r="B486" s="773" t="s">
        <v>227</v>
      </c>
      <c r="C486" s="773" t="s">
        <v>227</v>
      </c>
      <c r="G486" s="580" t="s">
        <v>739</v>
      </c>
      <c r="H486" s="967" t="str">
        <f t="shared" si="24"/>
        <v>IndiaDelivery Director</v>
      </c>
      <c r="I486" t="str">
        <f t="shared" si="25"/>
        <v>CanadaIndiaDelivery Director</v>
      </c>
      <c r="J486" t="str">
        <f t="shared" si="26"/>
        <v>CanadaIndiaDelivery Director</v>
      </c>
      <c r="K486" cm="1">
        <f t="array" ref="K486">_xlfn.IFS(A486="Canada",4,A486="India",5,A486="UK",6,A486="USA",7,A486="EU",8)</f>
        <v>4</v>
      </c>
      <c r="L486" s="662">
        <f>VLOOKUP(H486,'StdCosts and StdRates'!$A$41:$H$86,K486,FALSE)</f>
        <v>273</v>
      </c>
      <c r="M486" s="662" cm="1">
        <f t="array" ref="M486">_xlfn.XLOOKUP(C486&amp;A486,FX!$A$2:$A$26&amp;FX!$B$2:$B$26,FX!$C$2:$C$26)</f>
        <v>1.6389999999999998E-2</v>
      </c>
      <c r="N486" cm="1">
        <f t="array" ref="N486">_xlfn.IFS(C486="Canada",2,C486="India",3,C486="UK",4,C486="USA",5,C486="EU",6)</f>
        <v>3</v>
      </c>
      <c r="O486" s="662">
        <f>VLOOKUP(G486,'StdCosts and StdRates'!$A$17:$E$36,N486,FALSE)*M486</f>
        <v>77.032999999999987</v>
      </c>
    </row>
    <row r="487" spans="1:15">
      <c r="A487" s="773" t="s">
        <v>247</v>
      </c>
      <c r="B487" s="773"/>
      <c r="C487" s="773" t="s">
        <v>308</v>
      </c>
      <c r="G487" s="580" t="s">
        <v>739</v>
      </c>
      <c r="H487" s="967" t="str">
        <f t="shared" si="24"/>
        <v>Delivery Director</v>
      </c>
      <c r="I487" t="str">
        <f t="shared" si="25"/>
        <v>UKDelivery Director</v>
      </c>
      <c r="J487" t="str">
        <f t="shared" si="26"/>
        <v>UKUSADelivery Director</v>
      </c>
      <c r="K487" cm="1">
        <f t="array" ref="K487">_xlfn.IFS(A487="Canada",4,A487="India",5,A487="UK",6,A487="USA",7,A487="EU",8)</f>
        <v>6</v>
      </c>
      <c r="L487" s="662">
        <f>VLOOKUP(H487,'StdCosts and StdRates'!$A$41:$H$86,K487,FALSE)</f>
        <v>287</v>
      </c>
      <c r="M487" s="662" cm="1">
        <f t="array" ref="M487">_xlfn.XLOOKUP(C487&amp;A487,FX!$A$2:$A$26&amp;FX!$B$2:$B$26,FX!$C$2:$C$26)</f>
        <v>0.78280000000000005</v>
      </c>
      <c r="N487" cm="1">
        <f t="array" ref="N487">_xlfn.IFS(C487="Canada",2,C487="India",3,C487="UK",4,C487="USA",5,C487="EU",6)</f>
        <v>5</v>
      </c>
      <c r="O487" s="662">
        <f>VLOOKUP(G487,'StdCosts and StdRates'!$A$17:$E$36,N487,FALSE)*M487</f>
        <v>191.00320000000002</v>
      </c>
    </row>
    <row r="488" spans="1:15">
      <c r="A488" s="773" t="s">
        <v>247</v>
      </c>
      <c r="B488" s="773"/>
      <c r="C488" s="773" t="s">
        <v>405</v>
      </c>
      <c r="G488" s="580" t="s">
        <v>739</v>
      </c>
      <c r="H488" s="967" t="str">
        <f t="shared" si="24"/>
        <v>Delivery Director</v>
      </c>
      <c r="I488" t="str">
        <f t="shared" si="25"/>
        <v>UKDelivery Director</v>
      </c>
      <c r="J488" t="str">
        <f t="shared" si="26"/>
        <v>UKCanadaDelivery Director</v>
      </c>
      <c r="K488" cm="1">
        <f t="array" ref="K488">_xlfn.IFS(A488="Canada",4,A488="India",5,A488="UK",6,A488="USA",7,A488="EU",8)</f>
        <v>6</v>
      </c>
      <c r="L488" s="662">
        <f>VLOOKUP(H488,'StdCosts and StdRates'!$A$41:$H$86,K488,FALSE)</f>
        <v>287</v>
      </c>
      <c r="M488" s="662" cm="1">
        <f t="array" ref="M488">_xlfn.XLOOKUP(C488&amp;A488,FX!$A$2:$A$26&amp;FX!$B$2:$B$26,FX!$C$2:$C$26)</f>
        <v>0.57420000000000004</v>
      </c>
      <c r="N488" cm="1">
        <f t="array" ref="N488">_xlfn.IFS(C488="Canada",2,C488="India",3,C488="UK",4,C488="USA",5,C488="EU",6)</f>
        <v>2</v>
      </c>
      <c r="O488" s="662">
        <f>VLOOKUP(G488,'StdCosts and StdRates'!$A$17:$E$36,N488,FALSE)*M488</f>
        <v>142.97580000000002</v>
      </c>
    </row>
    <row r="489" spans="1:15">
      <c r="A489" s="773" t="s">
        <v>247</v>
      </c>
      <c r="B489" s="773"/>
      <c r="C489" s="773" t="s">
        <v>247</v>
      </c>
      <c r="G489" s="580" t="s">
        <v>739</v>
      </c>
      <c r="H489" s="967" t="str">
        <f t="shared" si="24"/>
        <v>Delivery Director</v>
      </c>
      <c r="I489" t="str">
        <f t="shared" si="25"/>
        <v>UKDelivery Director</v>
      </c>
      <c r="J489" t="str">
        <f t="shared" si="26"/>
        <v>UKUKDelivery Director</v>
      </c>
      <c r="K489" cm="1">
        <f t="array" ref="K489">_xlfn.IFS(A489="Canada",4,A489="India",5,A489="UK",6,A489="USA",7,A489="EU",8)</f>
        <v>6</v>
      </c>
      <c r="L489" s="662">
        <f>VLOOKUP(H489,'StdCosts and StdRates'!$A$41:$H$86,K489,FALSE)</f>
        <v>287</v>
      </c>
      <c r="M489" s="662" cm="1">
        <f t="array" ref="M489">_xlfn.XLOOKUP(C489&amp;A489,FX!$A$2:$A$26&amp;FX!$B$2:$B$26,FX!$C$2:$C$26)</f>
        <v>1</v>
      </c>
      <c r="N489" cm="1">
        <f t="array" ref="N489">_xlfn.IFS(C489="Canada",2,C489="India",3,C489="UK",4,C489="USA",5,C489="EU",6)</f>
        <v>4</v>
      </c>
      <c r="O489" s="662">
        <f>VLOOKUP(G489,'StdCosts and StdRates'!$A$17:$E$36,N489,FALSE)*M489</f>
        <v>129</v>
      </c>
    </row>
    <row r="490" spans="1:15">
      <c r="A490" s="773" t="s">
        <v>247</v>
      </c>
      <c r="B490" s="773"/>
      <c r="C490" s="773" t="s">
        <v>736</v>
      </c>
      <c r="G490" s="580" t="s">
        <v>739</v>
      </c>
      <c r="H490" s="967" t="str">
        <f t="shared" si="24"/>
        <v>Delivery Director</v>
      </c>
      <c r="I490" t="str">
        <f t="shared" si="25"/>
        <v>UKDelivery Director</v>
      </c>
      <c r="J490" t="str">
        <f t="shared" si="26"/>
        <v>UKEUDelivery Director</v>
      </c>
      <c r="K490" cm="1">
        <f t="array" ref="K490">_xlfn.IFS(A490="Canada",4,A490="India",5,A490="UK",6,A490="USA",7,A490="EU",8)</f>
        <v>6</v>
      </c>
      <c r="L490" s="662">
        <f>VLOOKUP(H490,'StdCosts and StdRates'!$A$41:$H$86,K490,FALSE)</f>
        <v>287</v>
      </c>
      <c r="M490" s="662" cm="1">
        <f t="array" ref="M490">_xlfn.XLOOKUP(C490&amp;A490,FX!$A$2:$A$26&amp;FX!$B$2:$B$26,FX!$C$2:$C$26)</f>
        <v>0.85092999999999996</v>
      </c>
      <c r="N490" cm="1">
        <f t="array" ref="N490">_xlfn.IFS(C490="Canada",2,C490="India",3,C490="UK",4,C490="USA",5,C490="EU",6)</f>
        <v>6</v>
      </c>
      <c r="O490" s="662" t="e">
        <f>VLOOKUP(G490,'StdCosts and StdRates'!$A$17:$E$36,N490,FALSE)*M490</f>
        <v>#REF!</v>
      </c>
    </row>
    <row r="491" spans="1:15">
      <c r="A491" s="773" t="s">
        <v>247</v>
      </c>
      <c r="B491" s="773" t="s">
        <v>227</v>
      </c>
      <c r="C491" s="773" t="s">
        <v>227</v>
      </c>
      <c r="G491" s="580" t="s">
        <v>739</v>
      </c>
      <c r="H491" s="967" t="str">
        <f t="shared" si="24"/>
        <v>IndiaDelivery Director</v>
      </c>
      <c r="I491" t="str">
        <f t="shared" si="25"/>
        <v>UKIndiaDelivery Director</v>
      </c>
      <c r="J491" t="str">
        <f t="shared" si="26"/>
        <v>UKIndiaDelivery Director</v>
      </c>
      <c r="K491" cm="1">
        <f t="array" ref="K491">_xlfn.IFS(A491="Canada",4,A491="India",5,A491="UK",6,A491="USA",7,A491="EU",8)</f>
        <v>6</v>
      </c>
      <c r="L491" s="662">
        <f>VLOOKUP(H491,'StdCosts and StdRates'!$A$41:$H$86,K491,FALSE)</f>
        <v>139</v>
      </c>
      <c r="M491" s="662" cm="1">
        <f t="array" ref="M491">_xlfn.XLOOKUP(C491&amp;A491,FX!$A$2:$A$26&amp;FX!$B$2:$B$26,FX!$C$2:$C$26)</f>
        <v>9.41E-3</v>
      </c>
      <c r="N491" cm="1">
        <f t="array" ref="N491">_xlfn.IFS(C491="Canada",2,C491="India",3,C491="UK",4,C491="USA",5,C491="EU",6)</f>
        <v>3</v>
      </c>
      <c r="O491" s="662">
        <f>VLOOKUP(G491,'StdCosts and StdRates'!$A$17:$E$36,N491,FALSE)*M491</f>
        <v>44.226999999999997</v>
      </c>
    </row>
    <row r="492" spans="1:15">
      <c r="A492" s="773" t="s">
        <v>227</v>
      </c>
      <c r="B492" s="773"/>
      <c r="C492" s="773" t="s">
        <v>308</v>
      </c>
      <c r="G492" s="580" t="s">
        <v>739</v>
      </c>
      <c r="H492" s="967" t="str">
        <f t="shared" si="24"/>
        <v>Delivery Director</v>
      </c>
      <c r="I492" t="str">
        <f t="shared" si="25"/>
        <v>IndiaDelivery Director</v>
      </c>
      <c r="J492" t="str">
        <f t="shared" si="26"/>
        <v>IndiaUSADelivery Director</v>
      </c>
      <c r="K492" cm="1">
        <f t="array" ref="K492">_xlfn.IFS(A492="Canada",4,A492="India",5,A492="UK",6,A492="USA",7,A492="EU",8)</f>
        <v>5</v>
      </c>
      <c r="L492" s="662">
        <f>VLOOKUP(H492,'StdCosts and StdRates'!$A$41:$H$86,K492,FALSE)</f>
        <v>10444</v>
      </c>
      <c r="M492" s="662" cm="1">
        <f t="array" ref="M492">_xlfn.XLOOKUP(C492&amp;A492,FX!$A$2:$A$26&amp;FX!$B$2:$B$26,FX!$C$2:$C$26)</f>
        <v>83.1721</v>
      </c>
      <c r="N492" cm="1">
        <f t="array" ref="N492">_xlfn.IFS(C492="Canada",2,C492="India",3,C492="UK",4,C492="USA",5,C492="EU",6)</f>
        <v>5</v>
      </c>
      <c r="O492" s="662">
        <f>VLOOKUP(G492,'StdCosts and StdRates'!$A$17:$E$36,N492,FALSE)*M492</f>
        <v>20293.992399999999</v>
      </c>
    </row>
    <row r="493" spans="1:15">
      <c r="A493" s="773" t="s">
        <v>227</v>
      </c>
      <c r="B493" s="773"/>
      <c r="C493" s="773" t="s">
        <v>405</v>
      </c>
      <c r="G493" s="580" t="s">
        <v>739</v>
      </c>
      <c r="H493" s="967" t="str">
        <f t="shared" si="24"/>
        <v>Delivery Director</v>
      </c>
      <c r="I493" t="str">
        <f t="shared" si="25"/>
        <v>IndiaDelivery Director</v>
      </c>
      <c r="J493" t="str">
        <f t="shared" si="26"/>
        <v>IndiaCanadaDelivery Director</v>
      </c>
      <c r="K493" cm="1">
        <f t="array" ref="K493">_xlfn.IFS(A493="Canada",4,A493="India",5,A493="UK",6,A493="USA",7,A493="EU",8)</f>
        <v>5</v>
      </c>
      <c r="L493" s="662">
        <f>VLOOKUP(H493,'StdCosts and StdRates'!$A$41:$H$86,K493,FALSE)</f>
        <v>10444</v>
      </c>
      <c r="M493" s="662" cm="1">
        <f t="array" ref="M493">_xlfn.XLOOKUP(C493&amp;A493,FX!$A$2:$A$26&amp;FX!$B$2:$B$26,FX!$C$2:$C$26)</f>
        <v>61.008200000000002</v>
      </c>
      <c r="N493" cm="1">
        <f t="array" ref="N493">_xlfn.IFS(C493="Canada",2,C493="India",3,C493="UK",4,C493="USA",5,C493="EU",6)</f>
        <v>2</v>
      </c>
      <c r="O493" s="662">
        <f>VLOOKUP(G493,'StdCosts and StdRates'!$A$17:$E$36,N493,FALSE)*M493</f>
        <v>15191.041800000001</v>
      </c>
    </row>
    <row r="494" spans="1:15">
      <c r="A494" s="773" t="s">
        <v>227</v>
      </c>
      <c r="B494" s="773"/>
      <c r="C494" s="773" t="s">
        <v>247</v>
      </c>
      <c r="G494" s="580" t="s">
        <v>739</v>
      </c>
      <c r="H494" s="967" t="str">
        <f t="shared" si="24"/>
        <v>Delivery Director</v>
      </c>
      <c r="I494" t="str">
        <f t="shared" si="25"/>
        <v>IndiaDelivery Director</v>
      </c>
      <c r="J494" t="str">
        <f t="shared" si="26"/>
        <v>IndiaUKDelivery Director</v>
      </c>
      <c r="K494" cm="1">
        <f t="array" ref="K494">_xlfn.IFS(A494="Canada",4,A494="India",5,A494="UK",6,A494="USA",7,A494="EU",8)</f>
        <v>5</v>
      </c>
      <c r="L494" s="662">
        <f>VLOOKUP(H494,'StdCosts and StdRates'!$A$41:$H$86,K494,FALSE)</f>
        <v>10444</v>
      </c>
      <c r="M494" s="662" cm="1">
        <f t="array" ref="M494">_xlfn.XLOOKUP(C494&amp;A494,FX!$A$2:$A$26&amp;FX!$B$2:$B$26,FX!$C$2:$C$26)</f>
        <v>106.23399999999999</v>
      </c>
      <c r="N494" cm="1">
        <f t="array" ref="N494">_xlfn.IFS(C494="Canada",2,C494="India",3,C494="UK",4,C494="USA",5,C494="EU",6)</f>
        <v>4</v>
      </c>
      <c r="O494" s="662">
        <f>VLOOKUP(G494,'StdCosts and StdRates'!$A$17:$E$36,N494,FALSE)*M494</f>
        <v>13704.186</v>
      </c>
    </row>
    <row r="495" spans="1:15">
      <c r="A495" s="773" t="s">
        <v>227</v>
      </c>
      <c r="B495" s="773"/>
      <c r="C495" s="773" t="s">
        <v>736</v>
      </c>
      <c r="G495" s="580" t="s">
        <v>739</v>
      </c>
      <c r="H495" s="967" t="str">
        <f t="shared" si="24"/>
        <v>Delivery Director</v>
      </c>
      <c r="I495" t="str">
        <f t="shared" si="25"/>
        <v>IndiaDelivery Director</v>
      </c>
      <c r="J495" t="str">
        <f t="shared" si="26"/>
        <v>IndiaEUDelivery Director</v>
      </c>
      <c r="K495" cm="1">
        <f t="array" ref="K495">_xlfn.IFS(A495="Canada",4,A495="India",5,A495="UK",6,A495="USA",7,A495="EU",8)</f>
        <v>5</v>
      </c>
      <c r="L495" s="662">
        <f>VLOOKUP(H495,'StdCosts and StdRates'!$A$41:$H$86,K495,FALSE)</f>
        <v>10444</v>
      </c>
      <c r="M495" s="662" cm="1">
        <f t="array" ref="M495">_xlfn.XLOOKUP(C495&amp;A495,FX!$A$2:$A$26&amp;FX!$B$2:$B$26,FX!$C$2:$C$26)</f>
        <v>90.405100000000004</v>
      </c>
      <c r="N495" cm="1">
        <f t="array" ref="N495">_xlfn.IFS(C495="Canada",2,C495="India",3,C495="UK",4,C495="USA",5,C495="EU",6)</f>
        <v>6</v>
      </c>
      <c r="O495" s="662" t="e">
        <f>VLOOKUP(G495,'StdCosts and StdRates'!$A$17:$E$36,N495,FALSE)*M495</f>
        <v>#REF!</v>
      </c>
    </row>
    <row r="496" spans="1:15">
      <c r="A496" s="773" t="s">
        <v>227</v>
      </c>
      <c r="B496" s="773" t="s">
        <v>227</v>
      </c>
      <c r="C496" s="773" t="s">
        <v>227</v>
      </c>
      <c r="G496" s="580" t="s">
        <v>739</v>
      </c>
      <c r="H496" s="967" t="str">
        <f t="shared" si="24"/>
        <v>IndiaDelivery Director</v>
      </c>
      <c r="I496" t="str">
        <f t="shared" si="25"/>
        <v>IndiaIndiaDelivery Director</v>
      </c>
      <c r="J496" t="str">
        <f t="shared" si="26"/>
        <v>IndiaIndiaDelivery Director</v>
      </c>
      <c r="K496" cm="1">
        <f t="array" ref="K496">_xlfn.IFS(A496="Canada",4,A496="India",5,A496="UK",6,A496="USA",7,A496="EU",8)</f>
        <v>5</v>
      </c>
      <c r="L496" s="662">
        <f>VLOOKUP(H496,'StdCosts and StdRates'!$A$41:$H$86,K496,FALSE)</f>
        <v>10444</v>
      </c>
      <c r="M496" s="662" cm="1">
        <f t="array" ref="M496">_xlfn.XLOOKUP(C496&amp;A496,FX!$A$2:$A$26&amp;FX!$B$2:$B$26,FX!$C$2:$C$26)</f>
        <v>1</v>
      </c>
      <c r="N496" cm="1">
        <f t="array" ref="N496">_xlfn.IFS(C496="Canada",2,C496="India",3,C496="UK",4,C496="USA",5,C496="EU",6)</f>
        <v>3</v>
      </c>
      <c r="O496" s="662">
        <f>VLOOKUP(G496,'StdCosts and StdRates'!$A$17:$E$36,N496,FALSE)*M496</f>
        <v>4700</v>
      </c>
    </row>
    <row r="497" spans="1:15">
      <c r="A497" s="773" t="s">
        <v>736</v>
      </c>
      <c r="B497" s="773"/>
      <c r="C497" s="773" t="s">
        <v>308</v>
      </c>
      <c r="G497" s="580" t="s">
        <v>739</v>
      </c>
      <c r="H497" s="967" t="str">
        <f t="shared" si="24"/>
        <v>Delivery Director</v>
      </c>
      <c r="I497" t="str">
        <f t="shared" si="25"/>
        <v>EUDelivery Director</v>
      </c>
      <c r="J497" t="str">
        <f t="shared" si="26"/>
        <v>EUUSADelivery Director</v>
      </c>
      <c r="K497" cm="1">
        <f t="array" ref="K497">_xlfn.IFS(A497="Canada",4,A497="India",5,A497="UK",6,A497="USA",7,A497="EU",8)</f>
        <v>8</v>
      </c>
      <c r="L497" s="662">
        <f>VLOOKUP(H497,'StdCosts and StdRates'!$A$41:$H$86,K497,FALSE)</f>
        <v>335</v>
      </c>
      <c r="M497" s="662" cm="1">
        <f t="array" ref="M497">_xlfn.XLOOKUP(C497&amp;A497,FX!$A$2:$A$26&amp;FX!$B$2:$B$26,FX!$C$2:$C$26)</f>
        <v>0.91986999999999997</v>
      </c>
      <c r="N497" cm="1">
        <f t="array" ref="N497">_xlfn.IFS(C497="Canada",2,C497="India",3,C497="UK",4,C497="USA",5,C497="EU",6)</f>
        <v>5</v>
      </c>
      <c r="O497" s="662">
        <f>VLOOKUP(G497,'StdCosts and StdRates'!$A$17:$E$36,N497,FALSE)*M497</f>
        <v>224.44827999999998</v>
      </c>
    </row>
    <row r="498" spans="1:15">
      <c r="A498" s="773" t="s">
        <v>736</v>
      </c>
      <c r="B498" s="773"/>
      <c r="C498" s="773" t="s">
        <v>405</v>
      </c>
      <c r="G498" s="580" t="s">
        <v>739</v>
      </c>
      <c r="H498" s="967" t="str">
        <f t="shared" si="24"/>
        <v>Delivery Director</v>
      </c>
      <c r="I498" t="str">
        <f t="shared" si="25"/>
        <v>EUDelivery Director</v>
      </c>
      <c r="J498" t="str">
        <f t="shared" si="26"/>
        <v>EUCanadaDelivery Director</v>
      </c>
      <c r="K498" cm="1">
        <f t="array" ref="K498">_xlfn.IFS(A498="Canada",4,A498="India",5,A498="UK",6,A498="USA",7,A498="EU",8)</f>
        <v>8</v>
      </c>
      <c r="L498" s="662">
        <f>VLOOKUP(H498,'StdCosts and StdRates'!$A$41:$H$86,K498,FALSE)</f>
        <v>335</v>
      </c>
      <c r="M498" s="662" cm="1">
        <f t="array" ref="M498">_xlfn.XLOOKUP(C498&amp;A498,FX!$A$2:$A$26&amp;FX!$B$2:$B$26,FX!$C$2:$C$26)</f>
        <v>0.67474000000000001</v>
      </c>
      <c r="N498" cm="1">
        <f t="array" ref="N498">_xlfn.IFS(C498="Canada",2,C498="India",3,C498="UK",4,C498="USA",5,C498="EU",6)</f>
        <v>2</v>
      </c>
      <c r="O498" s="662">
        <f>VLOOKUP(G498,'StdCosts and StdRates'!$A$17:$E$36,N498,FALSE)*M498</f>
        <v>168.01025999999999</v>
      </c>
    </row>
    <row r="499" spans="1:15">
      <c r="A499" s="773" t="s">
        <v>736</v>
      </c>
      <c r="B499" s="773"/>
      <c r="C499" s="773" t="s">
        <v>247</v>
      </c>
      <c r="G499" s="580" t="s">
        <v>739</v>
      </c>
      <c r="H499" s="967" t="str">
        <f t="shared" si="24"/>
        <v>Delivery Director</v>
      </c>
      <c r="I499" t="str">
        <f t="shared" si="25"/>
        <v>EUDelivery Director</v>
      </c>
      <c r="J499" t="str">
        <f t="shared" si="26"/>
        <v>EUUKDelivery Director</v>
      </c>
      <c r="K499" cm="1">
        <f t="array" ref="K499">_xlfn.IFS(A499="Canada",4,A499="India",5,A499="UK",6,A499="USA",7,A499="EU",8)</f>
        <v>8</v>
      </c>
      <c r="L499" s="662">
        <f>VLOOKUP(H499,'StdCosts and StdRates'!$A$41:$H$86,K499,FALSE)</f>
        <v>335</v>
      </c>
      <c r="M499" s="662" cm="1">
        <f t="array" ref="M499">_xlfn.XLOOKUP(C499&amp;A499,FX!$A$2:$A$26&amp;FX!$B$2:$B$26,FX!$C$2:$C$26)</f>
        <v>1.1749799999999999</v>
      </c>
      <c r="N499" cm="1">
        <f t="array" ref="N499">_xlfn.IFS(C499="Canada",2,C499="India",3,C499="UK",4,C499="USA",5,C499="EU",6)</f>
        <v>4</v>
      </c>
      <c r="O499" s="662">
        <f>VLOOKUP(G499,'StdCosts and StdRates'!$A$17:$E$36,N499,FALSE)*M499</f>
        <v>151.57241999999999</v>
      </c>
    </row>
    <row r="500" spans="1:15">
      <c r="A500" s="773" t="s">
        <v>736</v>
      </c>
      <c r="B500" s="773"/>
      <c r="C500" s="773" t="s">
        <v>736</v>
      </c>
      <c r="G500" s="580" t="s">
        <v>739</v>
      </c>
      <c r="H500" s="967" t="str">
        <f t="shared" si="24"/>
        <v>Delivery Director</v>
      </c>
      <c r="I500" t="str">
        <f t="shared" si="25"/>
        <v>EUDelivery Director</v>
      </c>
      <c r="J500" t="str">
        <f t="shared" si="26"/>
        <v>EUEUDelivery Director</v>
      </c>
      <c r="K500" cm="1">
        <f t="array" ref="K500">_xlfn.IFS(A500="Canada",4,A500="India",5,A500="UK",6,A500="USA",7,A500="EU",8)</f>
        <v>8</v>
      </c>
      <c r="L500" s="662">
        <f>VLOOKUP(H500,'StdCosts and StdRates'!$A$41:$H$86,K500,FALSE)</f>
        <v>335</v>
      </c>
      <c r="M500" s="662" cm="1">
        <f t="array" ref="M500">_xlfn.XLOOKUP(C500&amp;A500,FX!$A$2:$A$26&amp;FX!$B$2:$B$26,FX!$C$2:$C$26)</f>
        <v>1</v>
      </c>
      <c r="N500" cm="1">
        <f t="array" ref="N500">_xlfn.IFS(C500="Canada",2,C500="India",3,C500="UK",4,C500="USA",5,C500="EU",6)</f>
        <v>6</v>
      </c>
      <c r="O500" s="662" t="e">
        <f>VLOOKUP(G500,'StdCosts and StdRates'!$A$17:$E$36,N500,FALSE)*M500</f>
        <v>#REF!</v>
      </c>
    </row>
    <row r="501" spans="1:15">
      <c r="A501" s="773" t="s">
        <v>736</v>
      </c>
      <c r="B501" s="773" t="s">
        <v>227</v>
      </c>
      <c r="C501" s="773" t="s">
        <v>227</v>
      </c>
      <c r="G501" s="580" t="s">
        <v>739</v>
      </c>
      <c r="H501" s="967" t="str">
        <f t="shared" si="24"/>
        <v>IndiaDelivery Director</v>
      </c>
      <c r="I501" t="str">
        <f t="shared" si="25"/>
        <v>EUIndiaDelivery Director</v>
      </c>
      <c r="J501" t="str">
        <f t="shared" si="26"/>
        <v>EUIndiaDelivery Director</v>
      </c>
      <c r="K501" cm="1">
        <f t="array" ref="K501">_xlfn.IFS(A501="Canada",4,A501="India",5,A501="UK",6,A501="USA",7,A501="EU",8)</f>
        <v>8</v>
      </c>
      <c r="L501" s="662">
        <f>VLOOKUP(H501,'StdCosts and StdRates'!$A$41:$H$86,K501,FALSE)</f>
        <v>162</v>
      </c>
      <c r="M501" s="662" cm="1">
        <f t="array" ref="M501">_xlfn.XLOOKUP(C501&amp;A501,FX!$A$2:$A$26&amp;FX!$B$2:$B$26,FX!$C$2:$C$26)</f>
        <v>1.106E-2</v>
      </c>
      <c r="N501" cm="1">
        <f t="array" ref="N501">_xlfn.IFS(C501="Canada",2,C501="India",3,C501="UK",4,C501="USA",5,C501="EU",6)</f>
        <v>3</v>
      </c>
      <c r="O501" s="662">
        <f>VLOOKUP(G501,'StdCosts and StdRates'!$A$17:$E$36,N501,FALSE)*M501</f>
        <v>51.981999999999999</v>
      </c>
    </row>
  </sheetData>
  <sheetProtection algorithmName="SHA-512" hashValue="1ZHK2x51f4dFhkwjIC/9avKnsZzPwy6k3iEgjrVo83Gyyl53EwPzhn91Nw3Ec+gmtFUkr7XqwW7/Mrd/zvaDhA==" saltValue="QCB2QLQ+XdD9IPBbJW1FIA==" spinCount="100000" sheet="1" objects="1" scenarios="1"/>
  <autoFilter ref="A1:P451" xr:uid="{BFCBC1FD-0E45-4FB3-9289-FF29E84D6656}">
    <sortState xmlns:xlrd2="http://schemas.microsoft.com/office/spreadsheetml/2017/richdata2" ref="A2:P451">
      <sortCondition ref="G1:G451"/>
    </sortState>
  </autoFilter>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26EFB-5FC0-40C6-8A48-DA9FE0F52F3F}">
  <dimension ref="A1:AC101"/>
  <sheetViews>
    <sheetView topLeftCell="O1" zoomScaleNormal="100" workbookViewId="0">
      <selection activeCell="O30" sqref="O30"/>
    </sheetView>
  </sheetViews>
  <sheetFormatPr defaultColWidth="8.85546875" defaultRowHeight="15"/>
  <cols>
    <col min="1" max="1" width="17.85546875" style="658" customWidth="1"/>
    <col min="2" max="2" width="72.140625" style="658" customWidth="1"/>
    <col min="3" max="3" width="8.85546875" style="658"/>
    <col min="4" max="4" width="12" style="658" customWidth="1"/>
    <col min="5" max="5" width="16.140625" style="658" customWidth="1"/>
    <col min="6" max="6" width="21.85546875" style="658" customWidth="1"/>
    <col min="7" max="7" width="13" style="658" customWidth="1"/>
    <col min="8" max="8" width="10.42578125" style="658" customWidth="1"/>
    <col min="9" max="9" width="34.140625" style="658" customWidth="1"/>
    <col min="10" max="13" width="8.85546875" style="658"/>
    <col min="14" max="14" width="12.42578125" style="658" bestFit="1" customWidth="1"/>
    <col min="15" max="15" width="40.85546875" style="658" bestFit="1" customWidth="1"/>
    <col min="16" max="20" width="8.85546875" style="658"/>
    <col min="21" max="21" width="40.85546875" style="658" bestFit="1" customWidth="1"/>
    <col min="22" max="26" width="8.85546875" style="658"/>
    <col min="27" max="27" width="41" style="658" bestFit="1" customWidth="1"/>
    <col min="28" max="28" width="8.5703125" style="658" bestFit="1" customWidth="1"/>
    <col min="29" max="29" width="6.85546875" style="658" bestFit="1" customWidth="1"/>
    <col min="30" max="16384" width="8.85546875" style="658"/>
  </cols>
  <sheetData>
    <row r="1" spans="1:29" ht="30">
      <c r="A1" s="656" t="s">
        <v>230</v>
      </c>
      <c r="B1" s="656" t="s">
        <v>233</v>
      </c>
      <c r="C1" s="656" t="s">
        <v>740</v>
      </c>
      <c r="D1" s="656" t="s">
        <v>250</v>
      </c>
      <c r="E1" s="656" t="s">
        <v>252</v>
      </c>
      <c r="F1" s="656" t="s">
        <v>348</v>
      </c>
      <c r="G1" s="656" t="s">
        <v>349</v>
      </c>
      <c r="H1" s="656" t="s">
        <v>741</v>
      </c>
      <c r="I1" s="656" t="s">
        <v>742</v>
      </c>
      <c r="J1" s="551" t="s">
        <v>743</v>
      </c>
      <c r="K1" s="551"/>
      <c r="L1" s="551" t="s">
        <v>744</v>
      </c>
      <c r="M1" s="551"/>
      <c r="N1" s="551" t="s">
        <v>620</v>
      </c>
      <c r="O1" s="551" t="s">
        <v>745</v>
      </c>
      <c r="P1" s="551" t="s">
        <v>347</v>
      </c>
      <c r="Q1" s="551" t="s">
        <v>746</v>
      </c>
      <c r="R1" s="551" t="s">
        <v>747</v>
      </c>
      <c r="S1" s="551" t="s">
        <v>748</v>
      </c>
      <c r="T1" s="967"/>
      <c r="U1" s="967" t="s">
        <v>288</v>
      </c>
      <c r="V1" s="967" t="s">
        <v>487</v>
      </c>
      <c r="W1" s="967" t="s">
        <v>429</v>
      </c>
      <c r="X1" s="967" t="s">
        <v>97</v>
      </c>
      <c r="Y1" s="967" t="s">
        <v>137</v>
      </c>
      <c r="Z1" s="967" t="s">
        <v>151</v>
      </c>
      <c r="AA1" s="967" t="s">
        <v>288</v>
      </c>
      <c r="AB1" s="967" t="s">
        <v>8</v>
      </c>
      <c r="AC1" s="967" t="s">
        <v>749</v>
      </c>
    </row>
    <row r="2" spans="1:29">
      <c r="A2" t="s">
        <v>750</v>
      </c>
      <c r="B2" s="580" t="s">
        <v>751</v>
      </c>
      <c r="C2" s="580" t="s">
        <v>405</v>
      </c>
      <c r="D2" s="580" t="s">
        <v>752</v>
      </c>
      <c r="E2" s="580" t="s">
        <v>253</v>
      </c>
      <c r="F2" t="s">
        <v>357</v>
      </c>
      <c r="G2" s="580" t="s">
        <v>753</v>
      </c>
      <c r="H2" s="580" t="s">
        <v>543</v>
      </c>
      <c r="I2" s="580" t="s">
        <v>754</v>
      </c>
      <c r="J2" s="967" t="s">
        <v>487</v>
      </c>
      <c r="K2" s="967"/>
      <c r="L2" s="580" t="s">
        <v>488</v>
      </c>
      <c r="M2" s="967"/>
      <c r="N2" s="580" t="s">
        <v>626</v>
      </c>
      <c r="O2" s="966" t="s">
        <v>755</v>
      </c>
      <c r="P2" s="580" t="s">
        <v>405</v>
      </c>
      <c r="Q2" s="967" t="s">
        <v>342</v>
      </c>
      <c r="R2" s="967" t="s">
        <v>756</v>
      </c>
      <c r="S2" s="967" t="s">
        <v>306</v>
      </c>
      <c r="T2" s="967"/>
      <c r="U2" s="967" t="s">
        <v>374</v>
      </c>
      <c r="V2" s="967">
        <v>0</v>
      </c>
      <c r="W2" s="967">
        <v>0</v>
      </c>
      <c r="X2" s="967">
        <v>0</v>
      </c>
      <c r="Y2" s="967">
        <v>0</v>
      </c>
      <c r="Z2" s="967">
        <v>0</v>
      </c>
      <c r="AA2" s="967" t="s">
        <v>374</v>
      </c>
      <c r="AB2" s="967" t="s">
        <v>487</v>
      </c>
      <c r="AC2">
        <v>0</v>
      </c>
    </row>
    <row r="3" spans="1:29">
      <c r="A3" t="s">
        <v>404</v>
      </c>
      <c r="B3" s="580" t="s">
        <v>757</v>
      </c>
      <c r="C3" s="580" t="s">
        <v>736</v>
      </c>
      <c r="D3" s="580" t="s">
        <v>758</v>
      </c>
      <c r="E3" s="580" t="s">
        <v>401</v>
      </c>
      <c r="F3" t="s">
        <v>427</v>
      </c>
      <c r="G3" s="580" t="s">
        <v>352</v>
      </c>
      <c r="H3" s="580" t="s">
        <v>256</v>
      </c>
      <c r="I3" s="580" t="s">
        <v>759</v>
      </c>
      <c r="J3" s="967" t="s">
        <v>429</v>
      </c>
      <c r="K3" s="967"/>
      <c r="L3" s="580" t="s">
        <v>760</v>
      </c>
      <c r="M3" s="967"/>
      <c r="N3" s="580" t="s">
        <v>627</v>
      </c>
      <c r="O3" s="967" t="s">
        <v>374</v>
      </c>
      <c r="P3" s="580" t="s">
        <v>227</v>
      </c>
      <c r="Q3" s="967" t="s">
        <v>343</v>
      </c>
      <c r="R3" s="967" t="s">
        <v>231</v>
      </c>
      <c r="S3" s="967" t="s">
        <v>310</v>
      </c>
      <c r="T3" s="967"/>
      <c r="U3" s="967" t="s">
        <v>372</v>
      </c>
      <c r="V3" s="967">
        <v>0</v>
      </c>
      <c r="W3" s="967">
        <v>0</v>
      </c>
      <c r="X3" s="967">
        <v>0</v>
      </c>
      <c r="Y3" s="967">
        <v>0</v>
      </c>
      <c r="Z3" s="967">
        <v>0</v>
      </c>
      <c r="AA3" s="967" t="s">
        <v>374</v>
      </c>
      <c r="AB3" s="967" t="s">
        <v>429</v>
      </c>
      <c r="AC3">
        <v>0</v>
      </c>
    </row>
    <row r="4" spans="1:29">
      <c r="A4" t="s">
        <v>761</v>
      </c>
      <c r="B4" s="580" t="s">
        <v>762</v>
      </c>
      <c r="C4" s="580" t="s">
        <v>227</v>
      </c>
      <c r="D4" s="580" t="s">
        <v>763</v>
      </c>
      <c r="E4" s="580"/>
      <c r="F4" t="s">
        <v>764</v>
      </c>
      <c r="G4" s="580" t="s">
        <v>355</v>
      </c>
      <c r="H4" s="580"/>
      <c r="I4" s="580" t="s">
        <v>765</v>
      </c>
      <c r="J4" s="967" t="s">
        <v>97</v>
      </c>
      <c r="K4" s="967"/>
      <c r="L4" s="967"/>
      <c r="M4" s="967"/>
      <c r="N4" s="580" t="s">
        <v>628</v>
      </c>
      <c r="O4" s="967" t="s">
        <v>372</v>
      </c>
      <c r="P4" s="580" t="s">
        <v>247</v>
      </c>
      <c r="Q4" s="967" t="s">
        <v>266</v>
      </c>
      <c r="R4" s="967" t="s">
        <v>766</v>
      </c>
      <c r="S4" s="967"/>
      <c r="T4" s="967"/>
      <c r="U4" s="967" t="s">
        <v>167</v>
      </c>
      <c r="V4" s="967">
        <v>0</v>
      </c>
      <c r="W4" s="967">
        <v>0</v>
      </c>
      <c r="X4" s="967">
        <v>0</v>
      </c>
      <c r="Y4" s="967">
        <v>0</v>
      </c>
      <c r="Z4" s="967">
        <v>0</v>
      </c>
      <c r="AA4" s="967" t="s">
        <v>374</v>
      </c>
      <c r="AB4" s="967" t="s">
        <v>97</v>
      </c>
      <c r="AC4">
        <v>0</v>
      </c>
    </row>
    <row r="5" spans="1:29">
      <c r="A5" t="s">
        <v>425</v>
      </c>
      <c r="B5" s="580" t="s">
        <v>767</v>
      </c>
      <c r="C5" s="580" t="s">
        <v>247</v>
      </c>
      <c r="D5" s="580" t="s">
        <v>768</v>
      </c>
      <c r="E5" s="580"/>
      <c r="F5" t="s">
        <v>769</v>
      </c>
      <c r="G5" s="580" t="s">
        <v>358</v>
      </c>
      <c r="H5" s="580"/>
      <c r="I5" s="580"/>
      <c r="J5" s="967" t="s">
        <v>137</v>
      </c>
      <c r="K5" s="967"/>
      <c r="L5" s="967"/>
      <c r="M5" s="967"/>
      <c r="N5" s="580" t="s">
        <v>629</v>
      </c>
      <c r="O5" s="967" t="s">
        <v>167</v>
      </c>
      <c r="P5" s="580" t="s">
        <v>308</v>
      </c>
      <c r="Q5" s="967" t="s">
        <v>344</v>
      </c>
      <c r="R5" s="967"/>
      <c r="S5" s="967"/>
      <c r="T5" s="967"/>
      <c r="U5" s="967" t="s">
        <v>370</v>
      </c>
      <c r="V5" s="967">
        <v>0</v>
      </c>
      <c r="W5" s="967">
        <v>0</v>
      </c>
      <c r="X5" s="967">
        <v>0</v>
      </c>
      <c r="Y5" s="967">
        <v>0</v>
      </c>
      <c r="Z5" s="967">
        <v>0</v>
      </c>
      <c r="AA5" s="967" t="s">
        <v>374</v>
      </c>
      <c r="AB5" s="967" t="s">
        <v>137</v>
      </c>
      <c r="AC5">
        <v>0</v>
      </c>
    </row>
    <row r="6" spans="1:29">
      <c r="A6" t="s">
        <v>231</v>
      </c>
      <c r="B6" s="580" t="s">
        <v>770</v>
      </c>
      <c r="C6" s="580" t="s">
        <v>308</v>
      </c>
      <c r="D6" s="580" t="s">
        <v>771</v>
      </c>
      <c r="E6" s="580"/>
      <c r="F6" t="s">
        <v>361</v>
      </c>
      <c r="G6" s="580" t="s">
        <v>772</v>
      </c>
      <c r="H6" s="580"/>
      <c r="I6" s="580"/>
      <c r="J6" s="967" t="s">
        <v>151</v>
      </c>
      <c r="K6" s="967"/>
      <c r="L6" s="967"/>
      <c r="M6" s="967"/>
      <c r="N6" s="580" t="s">
        <v>630</v>
      </c>
      <c r="O6" s="967" t="s">
        <v>370</v>
      </c>
      <c r="P6" s="967"/>
      <c r="Q6" s="967"/>
      <c r="R6" s="967"/>
      <c r="S6" s="967"/>
      <c r="T6" s="967"/>
      <c r="U6" s="967" t="s">
        <v>375</v>
      </c>
      <c r="V6" s="967">
        <v>0</v>
      </c>
      <c r="W6" s="967">
        <v>0</v>
      </c>
      <c r="X6" s="967">
        <v>0</v>
      </c>
      <c r="Y6" s="967">
        <v>0</v>
      </c>
      <c r="Z6" s="967">
        <v>0</v>
      </c>
      <c r="AA6" s="967" t="s">
        <v>374</v>
      </c>
      <c r="AB6" s="967" t="s">
        <v>151</v>
      </c>
      <c r="AC6">
        <v>0</v>
      </c>
    </row>
    <row r="7" spans="1:29">
      <c r="A7" t="s">
        <v>360</v>
      </c>
      <c r="B7" s="580" t="s">
        <v>773</v>
      </c>
      <c r="C7" s="580"/>
      <c r="D7" s="580"/>
      <c r="E7" s="580"/>
      <c r="F7" t="s">
        <v>774</v>
      </c>
      <c r="G7" s="580" t="s">
        <v>775</v>
      </c>
      <c r="H7" s="580"/>
      <c r="I7" s="580"/>
      <c r="J7" s="967"/>
      <c r="K7" s="967"/>
      <c r="L7" s="967"/>
      <c r="M7" s="967"/>
      <c r="N7" s="580" t="s">
        <v>631</v>
      </c>
      <c r="O7" s="968" t="s">
        <v>776</v>
      </c>
      <c r="P7" s="967"/>
      <c r="Q7" s="967"/>
      <c r="R7" s="967"/>
      <c r="S7" s="967"/>
      <c r="T7" s="967"/>
      <c r="U7" s="967" t="s">
        <v>158</v>
      </c>
      <c r="V7" s="967">
        <v>10</v>
      </c>
      <c r="W7" s="967">
        <v>20</v>
      </c>
      <c r="X7" s="967">
        <v>20</v>
      </c>
      <c r="Y7" s="967">
        <v>20</v>
      </c>
      <c r="Z7" s="967">
        <v>10</v>
      </c>
      <c r="AA7" s="967" t="s">
        <v>372</v>
      </c>
      <c r="AB7" s="967" t="s">
        <v>487</v>
      </c>
      <c r="AC7">
        <v>0</v>
      </c>
    </row>
    <row r="8" spans="1:29">
      <c r="A8" t="s">
        <v>777</v>
      </c>
      <c r="B8" s="580" t="s">
        <v>778</v>
      </c>
      <c r="C8" s="580"/>
      <c r="D8" s="580"/>
      <c r="E8" s="580"/>
      <c r="F8" t="s">
        <v>779</v>
      </c>
      <c r="G8" s="580"/>
      <c r="H8" s="580"/>
      <c r="I8" s="580"/>
      <c r="J8" s="967"/>
      <c r="K8" s="967"/>
      <c r="L8" s="967"/>
      <c r="M8" s="967"/>
      <c r="N8" s="580" t="s">
        <v>632</v>
      </c>
      <c r="O8" s="967" t="s">
        <v>375</v>
      </c>
      <c r="P8" s="967"/>
      <c r="Q8" s="967"/>
      <c r="R8" s="967"/>
      <c r="S8" s="967"/>
      <c r="T8" s="967"/>
      <c r="U8" s="967" t="s">
        <v>311</v>
      </c>
      <c r="V8" s="967">
        <v>10</v>
      </c>
      <c r="W8" s="967">
        <v>20</v>
      </c>
      <c r="X8" s="967">
        <v>20</v>
      </c>
      <c r="Y8" s="967">
        <v>20</v>
      </c>
      <c r="Z8" s="967">
        <v>10</v>
      </c>
      <c r="AA8" s="967" t="s">
        <v>372</v>
      </c>
      <c r="AB8" s="967" t="s">
        <v>429</v>
      </c>
      <c r="AC8">
        <v>0</v>
      </c>
    </row>
    <row r="9" spans="1:29">
      <c r="A9" t="s">
        <v>780</v>
      </c>
      <c r="B9" s="580" t="s">
        <v>781</v>
      </c>
      <c r="C9" s="580"/>
      <c r="D9" s="580"/>
      <c r="E9" s="580"/>
      <c r="F9" t="s">
        <v>354</v>
      </c>
      <c r="G9" s="580"/>
      <c r="H9" s="580"/>
      <c r="I9" s="580"/>
      <c r="J9" s="967"/>
      <c r="K9" s="967"/>
      <c r="L9" s="967"/>
      <c r="M9" s="967"/>
      <c r="N9" s="580" t="s">
        <v>633</v>
      </c>
      <c r="O9" s="967" t="s">
        <v>158</v>
      </c>
      <c r="P9" s="967"/>
      <c r="Q9" s="967"/>
      <c r="R9" s="967"/>
      <c r="S9" s="967"/>
      <c r="T9" s="967"/>
      <c r="U9" s="967" t="s">
        <v>377</v>
      </c>
      <c r="V9" s="967">
        <v>0</v>
      </c>
      <c r="W9" s="967">
        <v>0</v>
      </c>
      <c r="X9" s="967">
        <v>0</v>
      </c>
      <c r="Y9" s="967">
        <v>0</v>
      </c>
      <c r="Z9" s="967">
        <v>0</v>
      </c>
      <c r="AA9" s="967" t="s">
        <v>372</v>
      </c>
      <c r="AB9" s="967" t="s">
        <v>97</v>
      </c>
      <c r="AC9">
        <v>0</v>
      </c>
    </row>
    <row r="10" spans="1:29">
      <c r="A10" t="s">
        <v>399</v>
      </c>
      <c r="B10" s="580" t="s">
        <v>782</v>
      </c>
      <c r="C10" s="580"/>
      <c r="D10" s="580"/>
      <c r="E10" s="580"/>
      <c r="F10" t="s">
        <v>351</v>
      </c>
      <c r="G10" s="580"/>
      <c r="H10" s="580"/>
      <c r="I10" s="580"/>
      <c r="J10" s="967"/>
      <c r="K10" s="967"/>
      <c r="L10" s="967"/>
      <c r="M10" s="967"/>
      <c r="N10" s="580" t="s">
        <v>634</v>
      </c>
      <c r="O10" s="967" t="s">
        <v>311</v>
      </c>
      <c r="P10" s="967"/>
      <c r="Q10" s="967"/>
      <c r="R10" s="967"/>
      <c r="S10" s="967"/>
      <c r="T10" s="967"/>
      <c r="U10" s="967" t="s">
        <v>379</v>
      </c>
      <c r="V10" s="967">
        <v>0</v>
      </c>
      <c r="W10" s="967">
        <v>0</v>
      </c>
      <c r="X10" s="967">
        <v>0</v>
      </c>
      <c r="Y10" s="967">
        <v>0</v>
      </c>
      <c r="Z10" s="967">
        <v>0</v>
      </c>
      <c r="AA10" s="967" t="s">
        <v>372</v>
      </c>
      <c r="AB10" s="967" t="s">
        <v>137</v>
      </c>
      <c r="AC10">
        <v>0</v>
      </c>
    </row>
    <row r="11" spans="1:29">
      <c r="A11" s="580"/>
      <c r="B11" s="580" t="s">
        <v>783</v>
      </c>
      <c r="C11" s="580"/>
      <c r="D11" s="580"/>
      <c r="E11" s="580"/>
      <c r="F11" t="s">
        <v>784</v>
      </c>
      <c r="G11" s="580"/>
      <c r="H11" s="580"/>
      <c r="I11" s="580"/>
      <c r="J11" s="967"/>
      <c r="K11" s="967"/>
      <c r="L11" s="967"/>
      <c r="M11" s="967"/>
      <c r="N11" s="580" t="s">
        <v>635</v>
      </c>
      <c r="O11" s="968" t="s">
        <v>785</v>
      </c>
      <c r="P11" s="967"/>
      <c r="Q11" s="967"/>
      <c r="R11" s="967"/>
      <c r="S11" s="967"/>
      <c r="T11" s="967"/>
      <c r="U11" s="967" t="s">
        <v>381</v>
      </c>
      <c r="V11" s="967">
        <v>0</v>
      </c>
      <c r="W11" s="967">
        <v>0</v>
      </c>
      <c r="X11" s="967">
        <v>0</v>
      </c>
      <c r="Y11" s="967">
        <v>0</v>
      </c>
      <c r="Z11" s="967">
        <v>0</v>
      </c>
      <c r="AA11" s="967" t="s">
        <v>372</v>
      </c>
      <c r="AB11" s="967" t="s">
        <v>151</v>
      </c>
      <c r="AC11">
        <v>0</v>
      </c>
    </row>
    <row r="12" spans="1:29">
      <c r="A12" s="580"/>
      <c r="B12" s="580" t="s">
        <v>786</v>
      </c>
      <c r="C12" s="580"/>
      <c r="D12" s="580"/>
      <c r="E12" s="580"/>
      <c r="F12" t="s">
        <v>787</v>
      </c>
      <c r="G12" s="580"/>
      <c r="H12" s="580"/>
      <c r="I12" s="580"/>
      <c r="J12" s="967"/>
      <c r="K12" s="967"/>
      <c r="L12" s="967"/>
      <c r="M12" s="967"/>
      <c r="N12" s="580" t="s">
        <v>636</v>
      </c>
      <c r="O12" s="967" t="s">
        <v>377</v>
      </c>
      <c r="P12" s="967"/>
      <c r="Q12" s="967"/>
      <c r="R12" s="967"/>
      <c r="S12" s="967"/>
      <c r="T12" s="967"/>
      <c r="U12" s="967" t="s">
        <v>382</v>
      </c>
      <c r="V12" s="967">
        <v>0</v>
      </c>
      <c r="W12" s="967">
        <v>0</v>
      </c>
      <c r="X12" s="967">
        <v>0</v>
      </c>
      <c r="Y12" s="967">
        <v>0</v>
      </c>
      <c r="Z12" s="967">
        <v>0</v>
      </c>
      <c r="AA12" s="967" t="s">
        <v>167</v>
      </c>
      <c r="AB12" s="967" t="s">
        <v>487</v>
      </c>
      <c r="AC12">
        <v>0</v>
      </c>
    </row>
    <row r="13" spans="1:29">
      <c r="A13" s="580"/>
      <c r="B13" s="580" t="s">
        <v>788</v>
      </c>
      <c r="C13" s="580"/>
      <c r="D13" s="580"/>
      <c r="E13" s="580"/>
      <c r="F13" s="580"/>
      <c r="G13" s="580"/>
      <c r="H13" s="580"/>
      <c r="I13" s="580"/>
      <c r="J13" s="967"/>
      <c r="K13" s="967"/>
      <c r="L13" s="967"/>
      <c r="M13" s="967"/>
      <c r="N13" s="580" t="s">
        <v>637</v>
      </c>
      <c r="O13" s="967" t="s">
        <v>379</v>
      </c>
      <c r="P13" s="967"/>
      <c r="Q13" s="967"/>
      <c r="R13" s="967"/>
      <c r="S13" s="967"/>
      <c r="T13" s="967"/>
      <c r="U13" s="967" t="s">
        <v>383</v>
      </c>
      <c r="V13" s="967">
        <v>0</v>
      </c>
      <c r="W13" s="967">
        <v>0</v>
      </c>
      <c r="X13" s="967">
        <v>0</v>
      </c>
      <c r="Y13" s="967">
        <v>0</v>
      </c>
      <c r="Z13" s="967">
        <v>0</v>
      </c>
      <c r="AA13" s="967" t="s">
        <v>167</v>
      </c>
      <c r="AB13" s="967" t="s">
        <v>429</v>
      </c>
      <c r="AC13">
        <v>0</v>
      </c>
    </row>
    <row r="14" spans="1:29">
      <c r="A14" s="580"/>
      <c r="B14" s="580" t="s">
        <v>789</v>
      </c>
      <c r="C14" s="580"/>
      <c r="D14" s="580"/>
      <c r="E14" s="580"/>
      <c r="F14" s="580"/>
      <c r="G14" s="580"/>
      <c r="H14" s="580"/>
      <c r="I14" s="580"/>
      <c r="J14" s="967"/>
      <c r="K14" s="967"/>
      <c r="L14" s="967"/>
      <c r="M14" s="967"/>
      <c r="N14" s="580" t="s">
        <v>638</v>
      </c>
      <c r="O14" s="968" t="s">
        <v>790</v>
      </c>
      <c r="P14" s="967"/>
      <c r="Q14" s="967"/>
      <c r="R14" s="967"/>
      <c r="S14" s="967"/>
      <c r="T14" s="967"/>
      <c r="U14" s="967" t="s">
        <v>385</v>
      </c>
      <c r="V14" s="967">
        <v>0</v>
      </c>
      <c r="W14" s="967">
        <v>0</v>
      </c>
      <c r="X14" s="967">
        <v>0</v>
      </c>
      <c r="Y14" s="967">
        <v>0</v>
      </c>
      <c r="Z14" s="967">
        <v>0</v>
      </c>
      <c r="AA14" s="967" t="s">
        <v>167</v>
      </c>
      <c r="AB14" s="967" t="s">
        <v>97</v>
      </c>
      <c r="AC14">
        <v>0</v>
      </c>
    </row>
    <row r="15" spans="1:29">
      <c r="A15" s="580"/>
      <c r="B15" s="580" t="s">
        <v>791</v>
      </c>
      <c r="C15" s="580"/>
      <c r="D15" s="580"/>
      <c r="E15" s="580"/>
      <c r="F15" s="580"/>
      <c r="G15" s="580"/>
      <c r="H15" s="580"/>
      <c r="I15" s="580"/>
      <c r="J15" s="967"/>
      <c r="K15" s="967"/>
      <c r="L15" s="967"/>
      <c r="M15" s="967"/>
      <c r="N15" s="580" t="s">
        <v>639</v>
      </c>
      <c r="O15" s="967" t="s">
        <v>381</v>
      </c>
      <c r="P15" s="967"/>
      <c r="Q15" s="967"/>
      <c r="R15" s="967"/>
      <c r="S15" s="967"/>
      <c r="T15" s="967"/>
      <c r="U15" s="967" t="s">
        <v>737</v>
      </c>
      <c r="V15" s="967">
        <v>0</v>
      </c>
      <c r="W15" s="967">
        <v>0</v>
      </c>
      <c r="X15" s="967">
        <v>0</v>
      </c>
      <c r="Y15" s="967">
        <v>0</v>
      </c>
      <c r="Z15" s="967">
        <v>0</v>
      </c>
      <c r="AA15" s="967" t="s">
        <v>167</v>
      </c>
      <c r="AB15" s="967" t="s">
        <v>137</v>
      </c>
      <c r="AC15">
        <v>0</v>
      </c>
    </row>
    <row r="16" spans="1:29">
      <c r="A16" s="580"/>
      <c r="B16" s="580" t="s">
        <v>792</v>
      </c>
      <c r="C16" s="580"/>
      <c r="D16" s="580"/>
      <c r="E16" s="580"/>
      <c r="F16" s="580"/>
      <c r="G16" s="580"/>
      <c r="H16" s="580"/>
      <c r="I16" s="580"/>
      <c r="J16" s="967"/>
      <c r="K16" s="967"/>
      <c r="L16" s="967"/>
      <c r="M16" s="967"/>
      <c r="N16" s="580" t="s">
        <v>640</v>
      </c>
      <c r="O16" s="968" t="s">
        <v>793</v>
      </c>
      <c r="P16" s="967"/>
      <c r="Q16" s="967"/>
      <c r="R16" s="967"/>
      <c r="S16" s="967"/>
      <c r="T16" s="967"/>
      <c r="U16" s="967" t="s">
        <v>312</v>
      </c>
      <c r="V16" s="967">
        <v>0</v>
      </c>
      <c r="W16" s="967">
        <v>0</v>
      </c>
      <c r="X16" s="967">
        <v>0</v>
      </c>
      <c r="Y16" s="967">
        <v>0</v>
      </c>
      <c r="Z16" s="967">
        <v>0</v>
      </c>
      <c r="AA16" s="967" t="s">
        <v>167</v>
      </c>
      <c r="AB16" s="967" t="s">
        <v>151</v>
      </c>
      <c r="AC16">
        <v>0</v>
      </c>
    </row>
    <row r="17" spans="1:29">
      <c r="A17" s="580"/>
      <c r="B17" s="580" t="s">
        <v>794</v>
      </c>
      <c r="C17" s="580"/>
      <c r="D17" s="580"/>
      <c r="E17" s="580"/>
      <c r="F17" s="580"/>
      <c r="G17" s="580"/>
      <c r="H17" s="580"/>
      <c r="I17" s="580"/>
      <c r="J17" s="967"/>
      <c r="K17" s="967"/>
      <c r="L17" s="967"/>
      <c r="M17" s="967"/>
      <c r="N17" s="580" t="s">
        <v>641</v>
      </c>
      <c r="O17" s="967" t="s">
        <v>382</v>
      </c>
      <c r="P17" s="967"/>
      <c r="Q17" s="967"/>
      <c r="R17" s="967"/>
      <c r="S17" s="967"/>
      <c r="T17" s="967"/>
      <c r="U17" s="967" t="s">
        <v>307</v>
      </c>
      <c r="V17" s="967">
        <v>0</v>
      </c>
      <c r="W17" s="967">
        <v>0</v>
      </c>
      <c r="X17" s="967">
        <v>0</v>
      </c>
      <c r="Y17" s="967">
        <v>0</v>
      </c>
      <c r="Z17" s="967">
        <v>0</v>
      </c>
      <c r="AA17" s="967" t="s">
        <v>370</v>
      </c>
      <c r="AB17" s="967" t="s">
        <v>487</v>
      </c>
      <c r="AC17">
        <v>0</v>
      </c>
    </row>
    <row r="18" spans="1:29">
      <c r="A18" s="580"/>
      <c r="B18" s="580" t="s">
        <v>795</v>
      </c>
      <c r="C18" s="580"/>
      <c r="D18" s="580"/>
      <c r="E18" s="580"/>
      <c r="F18" s="580"/>
      <c r="G18" s="580"/>
      <c r="H18" s="580"/>
      <c r="I18" s="580"/>
      <c r="J18" s="967"/>
      <c r="K18" s="967"/>
      <c r="L18" s="967"/>
      <c r="M18" s="967"/>
      <c r="N18" s="580" t="s">
        <v>642</v>
      </c>
      <c r="O18" s="967" t="s">
        <v>383</v>
      </c>
      <c r="P18" s="967"/>
      <c r="Q18" s="967"/>
      <c r="R18" s="967"/>
      <c r="S18" s="967"/>
      <c r="T18" s="967"/>
      <c r="U18" s="967" t="s">
        <v>309</v>
      </c>
      <c r="V18" s="967">
        <v>0</v>
      </c>
      <c r="W18" s="967">
        <v>0</v>
      </c>
      <c r="X18" s="967">
        <v>0</v>
      </c>
      <c r="Y18" s="967">
        <v>0</v>
      </c>
      <c r="Z18" s="967">
        <v>0</v>
      </c>
      <c r="AA18" s="967" t="s">
        <v>370</v>
      </c>
      <c r="AB18" s="967" t="s">
        <v>429</v>
      </c>
      <c r="AC18">
        <v>0</v>
      </c>
    </row>
    <row r="19" spans="1:29">
      <c r="A19" s="580"/>
      <c r="B19" s="580" t="s">
        <v>796</v>
      </c>
      <c r="C19" s="580"/>
      <c r="D19" s="580"/>
      <c r="E19" s="580"/>
      <c r="F19" s="580"/>
      <c r="G19" s="580"/>
      <c r="H19" s="580"/>
      <c r="I19" s="580"/>
      <c r="J19" s="967"/>
      <c r="K19" s="967"/>
      <c r="L19" s="967"/>
      <c r="M19" s="967"/>
      <c r="N19" s="580" t="s">
        <v>643</v>
      </c>
      <c r="O19" s="968" t="s">
        <v>797</v>
      </c>
      <c r="P19" s="967"/>
      <c r="Q19" s="967"/>
      <c r="R19" s="967"/>
      <c r="S19" s="967"/>
      <c r="T19" s="967"/>
      <c r="U19" s="967" t="s">
        <v>389</v>
      </c>
      <c r="V19" s="967">
        <v>0</v>
      </c>
      <c r="W19" s="967">
        <v>0</v>
      </c>
      <c r="X19" s="967">
        <v>0</v>
      </c>
      <c r="Y19" s="967">
        <v>0</v>
      </c>
      <c r="Z19" s="967">
        <v>0</v>
      </c>
      <c r="AA19" s="967" t="s">
        <v>370</v>
      </c>
      <c r="AB19" s="967" t="s">
        <v>97</v>
      </c>
      <c r="AC19">
        <v>0</v>
      </c>
    </row>
    <row r="20" spans="1:29">
      <c r="A20" s="580"/>
      <c r="B20" s="580" t="s">
        <v>798</v>
      </c>
      <c r="C20" s="580"/>
      <c r="D20" s="580"/>
      <c r="E20" s="580"/>
      <c r="F20" s="580"/>
      <c r="G20" s="580"/>
      <c r="H20" s="580"/>
      <c r="I20" s="580"/>
      <c r="J20" s="967"/>
      <c r="K20" s="967"/>
      <c r="L20" s="967"/>
      <c r="M20" s="967"/>
      <c r="N20" s="580" t="s">
        <v>644</v>
      </c>
      <c r="O20" s="967" t="s">
        <v>385</v>
      </c>
      <c r="P20" s="967"/>
      <c r="Q20" s="967"/>
      <c r="R20" s="967"/>
      <c r="S20" s="967"/>
      <c r="T20" s="967"/>
      <c r="U20" s="967" t="s">
        <v>738</v>
      </c>
      <c r="V20" s="967">
        <v>0</v>
      </c>
      <c r="W20" s="967">
        <v>0</v>
      </c>
      <c r="X20" s="967">
        <v>0</v>
      </c>
      <c r="Y20" s="967">
        <v>0</v>
      </c>
      <c r="Z20" s="967">
        <v>0</v>
      </c>
      <c r="AA20" s="967" t="s">
        <v>370</v>
      </c>
      <c r="AB20" s="967" t="s">
        <v>137</v>
      </c>
      <c r="AC20">
        <v>0</v>
      </c>
    </row>
    <row r="21" spans="1:29">
      <c r="A21" s="580"/>
      <c r="B21" s="580" t="s">
        <v>799</v>
      </c>
      <c r="C21" s="580"/>
      <c r="D21" s="580"/>
      <c r="E21" s="580"/>
      <c r="F21" s="580"/>
      <c r="G21" s="580"/>
      <c r="H21" s="580"/>
      <c r="I21" s="580"/>
      <c r="J21" s="967"/>
      <c r="K21" s="967"/>
      <c r="L21" s="967"/>
      <c r="M21" s="967"/>
      <c r="N21" s="580" t="s">
        <v>645</v>
      </c>
      <c r="O21" s="967" t="s">
        <v>737</v>
      </c>
      <c r="P21" s="967"/>
      <c r="Q21" s="967"/>
      <c r="R21" s="967"/>
      <c r="S21" s="967"/>
      <c r="T21" s="967"/>
      <c r="U21" s="967" t="s">
        <v>739</v>
      </c>
      <c r="V21" s="967">
        <v>0</v>
      </c>
      <c r="W21" s="967">
        <v>0</v>
      </c>
      <c r="X21" s="967">
        <v>0</v>
      </c>
      <c r="Y21" s="967">
        <v>0</v>
      </c>
      <c r="Z21" s="967">
        <v>0</v>
      </c>
      <c r="AA21" s="967" t="s">
        <v>370</v>
      </c>
      <c r="AB21" s="967" t="s">
        <v>151</v>
      </c>
      <c r="AC21">
        <v>0</v>
      </c>
    </row>
    <row r="22" spans="1:29">
      <c r="A22" s="580"/>
      <c r="B22" s="580" t="s">
        <v>400</v>
      </c>
      <c r="C22" s="580"/>
      <c r="D22" s="580"/>
      <c r="E22" s="580"/>
      <c r="F22" s="580"/>
      <c r="G22" s="580"/>
      <c r="H22" s="580"/>
      <c r="I22" s="580"/>
      <c r="J22" s="967"/>
      <c r="K22" s="967"/>
      <c r="L22" s="967"/>
      <c r="M22" s="967"/>
      <c r="N22" s="580" t="s">
        <v>646</v>
      </c>
      <c r="O22" s="968" t="s">
        <v>800</v>
      </c>
      <c r="P22" s="967"/>
      <c r="Q22" s="967"/>
      <c r="R22" s="967"/>
      <c r="S22" s="967"/>
      <c r="T22" s="967"/>
      <c r="U22" s="967"/>
      <c r="V22" s="967"/>
      <c r="W22" s="967"/>
      <c r="X22" s="967"/>
      <c r="Y22" s="967"/>
      <c r="Z22" s="967"/>
      <c r="AA22" s="967" t="s">
        <v>375</v>
      </c>
      <c r="AB22" s="967" t="s">
        <v>487</v>
      </c>
      <c r="AC22">
        <v>0</v>
      </c>
    </row>
    <row r="23" spans="1:29">
      <c r="A23" s="580"/>
      <c r="B23" s="580" t="s">
        <v>801</v>
      </c>
      <c r="C23" s="580"/>
      <c r="D23" s="580"/>
      <c r="E23" s="580"/>
      <c r="F23" s="580"/>
      <c r="G23" s="580"/>
      <c r="H23" s="580"/>
      <c r="I23" s="580"/>
      <c r="J23" s="967"/>
      <c r="K23" s="967"/>
      <c r="L23" s="967"/>
      <c r="M23" s="967"/>
      <c r="N23" s="580" t="s">
        <v>647</v>
      </c>
      <c r="O23" s="967" t="s">
        <v>312</v>
      </c>
      <c r="P23" s="967"/>
      <c r="Q23" s="967"/>
      <c r="R23" s="967"/>
      <c r="S23" s="967"/>
      <c r="T23" s="967"/>
      <c r="U23" s="967"/>
      <c r="V23" s="967"/>
      <c r="W23" s="967"/>
      <c r="X23" s="967"/>
      <c r="Y23" s="967"/>
      <c r="Z23" s="967"/>
      <c r="AA23" s="967" t="s">
        <v>375</v>
      </c>
      <c r="AB23" s="967" t="s">
        <v>429</v>
      </c>
      <c r="AC23">
        <v>0</v>
      </c>
    </row>
    <row r="24" spans="1:29">
      <c r="A24" s="580"/>
      <c r="B24" s="580" t="s">
        <v>802</v>
      </c>
      <c r="C24" s="580"/>
      <c r="D24" s="580"/>
      <c r="E24" s="580"/>
      <c r="F24" s="580"/>
      <c r="G24" s="580"/>
      <c r="H24" s="580"/>
      <c r="I24" s="580"/>
      <c r="J24" s="967"/>
      <c r="K24" s="967"/>
      <c r="L24" s="967"/>
      <c r="M24" s="967"/>
      <c r="N24" s="580" t="s">
        <v>648</v>
      </c>
      <c r="O24" s="967" t="s">
        <v>307</v>
      </c>
      <c r="P24" s="967"/>
      <c r="Q24" s="967"/>
      <c r="R24" s="967"/>
      <c r="S24" s="967"/>
      <c r="T24" s="967"/>
      <c r="U24" s="967"/>
      <c r="V24" s="967"/>
      <c r="W24" s="967"/>
      <c r="X24" s="967"/>
      <c r="Y24" s="967"/>
      <c r="Z24" s="967"/>
      <c r="AA24" s="967" t="s">
        <v>375</v>
      </c>
      <c r="AB24" s="967" t="s">
        <v>97</v>
      </c>
      <c r="AC24">
        <v>0</v>
      </c>
    </row>
    <row r="25" spans="1:29">
      <c r="A25" s="580"/>
      <c r="B25" s="580" t="s">
        <v>447</v>
      </c>
      <c r="C25" s="580"/>
      <c r="D25" s="580"/>
      <c r="E25" s="580"/>
      <c r="F25" s="580"/>
      <c r="G25" s="580"/>
      <c r="H25" s="580"/>
      <c r="I25" s="580"/>
      <c r="J25" s="967"/>
      <c r="K25" s="967"/>
      <c r="L25" s="967"/>
      <c r="M25" s="967"/>
      <c r="N25" s="580" t="s">
        <v>649</v>
      </c>
      <c r="O25" s="967" t="s">
        <v>309</v>
      </c>
      <c r="P25" s="967"/>
      <c r="Q25" s="967"/>
      <c r="R25" s="967"/>
      <c r="S25" s="967"/>
      <c r="T25" s="967"/>
      <c r="U25" s="967"/>
      <c r="V25" s="967"/>
      <c r="W25" s="967"/>
      <c r="X25" s="967"/>
      <c r="Y25" s="967"/>
      <c r="Z25" s="967"/>
      <c r="AA25" s="967" t="s">
        <v>375</v>
      </c>
      <c r="AB25" s="967" t="s">
        <v>137</v>
      </c>
      <c r="AC25">
        <v>0</v>
      </c>
    </row>
    <row r="26" spans="1:29">
      <c r="A26" s="580"/>
      <c r="B26" s="580" t="s">
        <v>234</v>
      </c>
      <c r="C26" s="580"/>
      <c r="D26" s="580"/>
      <c r="E26" s="580"/>
      <c r="F26" s="580"/>
      <c r="G26" s="580"/>
      <c r="H26" s="580"/>
      <c r="I26" s="580"/>
      <c r="J26" s="967"/>
      <c r="K26" s="967"/>
      <c r="L26" s="967"/>
      <c r="M26" s="967"/>
      <c r="N26" s="580" t="s">
        <v>650</v>
      </c>
      <c r="O26" s="968" t="s">
        <v>803</v>
      </c>
      <c r="P26" s="967"/>
      <c r="Q26" s="967"/>
      <c r="R26" s="967"/>
      <c r="S26" s="967"/>
      <c r="T26" s="967"/>
      <c r="U26" s="967"/>
      <c r="V26" s="967"/>
      <c r="W26" s="967"/>
      <c r="X26" s="967"/>
      <c r="Y26" s="967"/>
      <c r="Z26" s="967"/>
      <c r="AA26" s="967" t="s">
        <v>375</v>
      </c>
      <c r="AB26" s="967" t="s">
        <v>151</v>
      </c>
      <c r="AC26">
        <v>0</v>
      </c>
    </row>
    <row r="27" spans="1:29">
      <c r="A27" s="967"/>
      <c r="B27" s="967"/>
      <c r="C27" s="967"/>
      <c r="D27" s="967"/>
      <c r="E27" s="967"/>
      <c r="F27" s="967"/>
      <c r="G27" s="967"/>
      <c r="H27" s="967"/>
      <c r="I27" s="967"/>
      <c r="J27" s="967"/>
      <c r="K27" s="967"/>
      <c r="L27" s="967"/>
      <c r="M27" s="967"/>
      <c r="N27" s="580" t="s">
        <v>651</v>
      </c>
      <c r="O27" s="967" t="s">
        <v>389</v>
      </c>
      <c r="P27" s="967"/>
      <c r="Q27" s="967"/>
      <c r="R27" s="967"/>
      <c r="S27" s="967"/>
      <c r="T27" s="967"/>
      <c r="U27" s="967"/>
      <c r="V27" s="967"/>
      <c r="W27" s="967"/>
      <c r="X27" s="967"/>
      <c r="Y27" s="967"/>
      <c r="Z27" s="967"/>
      <c r="AA27" s="967" t="s">
        <v>158</v>
      </c>
      <c r="AB27" s="967" t="s">
        <v>487</v>
      </c>
      <c r="AC27">
        <v>10</v>
      </c>
    </row>
    <row r="28" spans="1:29">
      <c r="A28" s="967"/>
      <c r="B28" s="967"/>
      <c r="C28" s="967"/>
      <c r="D28" s="967"/>
      <c r="E28" s="967"/>
      <c r="F28" s="967"/>
      <c r="G28" s="967"/>
      <c r="H28" s="967"/>
      <c r="I28" s="967"/>
      <c r="J28" s="967"/>
      <c r="K28" s="967"/>
      <c r="L28" s="967"/>
      <c r="M28" s="967"/>
      <c r="N28" s="580" t="s">
        <v>652</v>
      </c>
      <c r="O28" s="968" t="s">
        <v>804</v>
      </c>
      <c r="P28" s="967"/>
      <c r="Q28" s="967"/>
      <c r="R28" s="967"/>
      <c r="S28" s="967"/>
      <c r="T28" s="967"/>
      <c r="U28" s="967"/>
      <c r="V28" s="967"/>
      <c r="W28" s="967"/>
      <c r="X28" s="967"/>
      <c r="Y28" s="967"/>
      <c r="Z28" s="967"/>
      <c r="AA28" s="967" t="s">
        <v>158</v>
      </c>
      <c r="AB28" s="967" t="s">
        <v>429</v>
      </c>
      <c r="AC28">
        <v>20</v>
      </c>
    </row>
    <row r="29" spans="1:29">
      <c r="A29" s="967"/>
      <c r="B29" s="967"/>
      <c r="C29" s="967"/>
      <c r="D29" s="967"/>
      <c r="E29" s="967"/>
      <c r="F29" s="967"/>
      <c r="G29" s="967"/>
      <c r="H29" s="967"/>
      <c r="I29" s="967"/>
      <c r="J29" s="967"/>
      <c r="K29" s="967"/>
      <c r="L29" s="967"/>
      <c r="M29" s="967"/>
      <c r="N29" s="580" t="s">
        <v>653</v>
      </c>
      <c r="O29" s="967" t="s">
        <v>738</v>
      </c>
      <c r="P29" s="967"/>
      <c r="Q29" s="967"/>
      <c r="R29" s="967"/>
      <c r="S29" s="967"/>
      <c r="T29" s="967"/>
      <c r="U29" s="967"/>
      <c r="V29" s="967"/>
      <c r="W29" s="967"/>
      <c r="X29" s="967"/>
      <c r="Y29" s="967"/>
      <c r="Z29" s="967"/>
      <c r="AA29" s="967" t="s">
        <v>158</v>
      </c>
      <c r="AB29" s="967" t="s">
        <v>97</v>
      </c>
      <c r="AC29">
        <v>20</v>
      </c>
    </row>
    <row r="30" spans="1:29">
      <c r="A30" s="967"/>
      <c r="B30" s="967"/>
      <c r="C30" s="967"/>
      <c r="D30" s="967"/>
      <c r="E30" s="967"/>
      <c r="F30" s="967"/>
      <c r="G30" s="967"/>
      <c r="H30" s="967"/>
      <c r="I30" s="967"/>
      <c r="J30" s="967"/>
      <c r="K30" s="967"/>
      <c r="L30" s="967"/>
      <c r="M30" s="967"/>
      <c r="N30" s="580" t="s">
        <v>654</v>
      </c>
      <c r="O30" s="967" t="s">
        <v>739</v>
      </c>
      <c r="P30" s="967"/>
      <c r="Q30" s="967"/>
      <c r="R30" s="967"/>
      <c r="S30" s="967"/>
      <c r="T30" s="967"/>
      <c r="U30" s="967"/>
      <c r="V30" s="967"/>
      <c r="W30" s="967"/>
      <c r="X30" s="967"/>
      <c r="Y30" s="967"/>
      <c r="Z30" s="967"/>
      <c r="AA30" s="967" t="s">
        <v>158</v>
      </c>
      <c r="AB30" s="967" t="s">
        <v>137</v>
      </c>
      <c r="AC30">
        <v>20</v>
      </c>
    </row>
    <row r="31" spans="1:29">
      <c r="A31" s="967"/>
      <c r="B31" s="967"/>
      <c r="C31" s="967"/>
      <c r="D31" s="967"/>
      <c r="E31" s="967"/>
      <c r="F31" s="967"/>
      <c r="G31" s="967"/>
      <c r="H31" s="967"/>
      <c r="I31" s="967"/>
      <c r="J31" s="967"/>
      <c r="K31" s="967"/>
      <c r="L31" s="967"/>
      <c r="M31" s="967"/>
      <c r="N31" s="580" t="s">
        <v>655</v>
      </c>
      <c r="O31" s="967"/>
      <c r="P31" s="967"/>
      <c r="Q31" s="967"/>
      <c r="R31" s="967"/>
      <c r="S31" s="967"/>
      <c r="T31" s="967"/>
      <c r="U31" s="967"/>
      <c r="V31" s="967"/>
      <c r="W31" s="967"/>
      <c r="X31" s="967"/>
      <c r="Y31" s="967"/>
      <c r="Z31" s="967"/>
      <c r="AA31" s="967" t="s">
        <v>158</v>
      </c>
      <c r="AB31" s="967" t="s">
        <v>151</v>
      </c>
      <c r="AC31">
        <v>10</v>
      </c>
    </row>
    <row r="32" spans="1:29">
      <c r="A32" s="967"/>
      <c r="B32" s="967"/>
      <c r="C32" s="967"/>
      <c r="D32" s="967"/>
      <c r="E32" s="967"/>
      <c r="F32" s="967"/>
      <c r="G32" s="967"/>
      <c r="H32" s="967"/>
      <c r="I32" s="967"/>
      <c r="J32" s="967"/>
      <c r="K32" s="967"/>
      <c r="L32" s="967"/>
      <c r="M32" s="967"/>
      <c r="N32" s="967"/>
      <c r="O32" s="967"/>
      <c r="P32" s="967"/>
      <c r="Q32" s="967"/>
      <c r="R32" s="967"/>
      <c r="S32" s="967"/>
      <c r="T32" s="967"/>
      <c r="U32" s="967"/>
      <c r="V32" s="967"/>
      <c r="W32" s="967"/>
      <c r="X32" s="967"/>
      <c r="Y32" s="967"/>
      <c r="Z32" s="967"/>
      <c r="AA32" s="967" t="s">
        <v>311</v>
      </c>
      <c r="AB32" s="967" t="s">
        <v>487</v>
      </c>
      <c r="AC32">
        <v>10</v>
      </c>
    </row>
    <row r="33" spans="27:29">
      <c r="AA33" s="967" t="s">
        <v>311</v>
      </c>
      <c r="AB33" s="967" t="s">
        <v>429</v>
      </c>
      <c r="AC33">
        <v>20</v>
      </c>
    </row>
    <row r="34" spans="27:29">
      <c r="AA34" s="967" t="s">
        <v>311</v>
      </c>
      <c r="AB34" s="967" t="s">
        <v>97</v>
      </c>
      <c r="AC34">
        <v>20</v>
      </c>
    </row>
    <row r="35" spans="27:29">
      <c r="AA35" s="967" t="s">
        <v>311</v>
      </c>
      <c r="AB35" s="967" t="s">
        <v>137</v>
      </c>
      <c r="AC35">
        <v>20</v>
      </c>
    </row>
    <row r="36" spans="27:29">
      <c r="AA36" s="967" t="s">
        <v>311</v>
      </c>
      <c r="AB36" s="967" t="s">
        <v>151</v>
      </c>
      <c r="AC36">
        <v>10</v>
      </c>
    </row>
    <row r="37" spans="27:29">
      <c r="AA37" s="967" t="s">
        <v>377</v>
      </c>
      <c r="AB37" s="967" t="s">
        <v>487</v>
      </c>
      <c r="AC37">
        <v>0</v>
      </c>
    </row>
    <row r="38" spans="27:29">
      <c r="AA38" s="967" t="s">
        <v>377</v>
      </c>
      <c r="AB38" s="967" t="s">
        <v>429</v>
      </c>
      <c r="AC38">
        <v>0</v>
      </c>
    </row>
    <row r="39" spans="27:29">
      <c r="AA39" s="967" t="s">
        <v>377</v>
      </c>
      <c r="AB39" s="967" t="s">
        <v>97</v>
      </c>
      <c r="AC39">
        <v>0</v>
      </c>
    </row>
    <row r="40" spans="27:29">
      <c r="AA40" s="967" t="s">
        <v>377</v>
      </c>
      <c r="AB40" s="967" t="s">
        <v>137</v>
      </c>
      <c r="AC40">
        <v>0</v>
      </c>
    </row>
    <row r="41" spans="27:29">
      <c r="AA41" s="967" t="s">
        <v>377</v>
      </c>
      <c r="AB41" s="967" t="s">
        <v>151</v>
      </c>
      <c r="AC41">
        <v>0</v>
      </c>
    </row>
    <row r="42" spans="27:29">
      <c r="AA42" s="967" t="s">
        <v>379</v>
      </c>
      <c r="AB42" s="967" t="s">
        <v>487</v>
      </c>
      <c r="AC42">
        <v>0</v>
      </c>
    </row>
    <row r="43" spans="27:29">
      <c r="AA43" s="967" t="s">
        <v>379</v>
      </c>
      <c r="AB43" s="967" t="s">
        <v>429</v>
      </c>
      <c r="AC43">
        <v>0</v>
      </c>
    </row>
    <row r="44" spans="27:29">
      <c r="AA44" s="967" t="s">
        <v>379</v>
      </c>
      <c r="AB44" s="967" t="s">
        <v>97</v>
      </c>
      <c r="AC44">
        <v>0</v>
      </c>
    </row>
    <row r="45" spans="27:29">
      <c r="AA45" s="967" t="s">
        <v>379</v>
      </c>
      <c r="AB45" s="967" t="s">
        <v>137</v>
      </c>
      <c r="AC45">
        <v>0</v>
      </c>
    </row>
    <row r="46" spans="27:29">
      <c r="AA46" s="967" t="s">
        <v>379</v>
      </c>
      <c r="AB46" s="967" t="s">
        <v>151</v>
      </c>
      <c r="AC46">
        <v>0</v>
      </c>
    </row>
    <row r="47" spans="27:29">
      <c r="AA47" s="967" t="s">
        <v>381</v>
      </c>
      <c r="AB47" s="967" t="s">
        <v>487</v>
      </c>
      <c r="AC47">
        <v>0</v>
      </c>
    </row>
    <row r="48" spans="27:29">
      <c r="AA48" s="967" t="s">
        <v>381</v>
      </c>
      <c r="AB48" s="967" t="s">
        <v>429</v>
      </c>
      <c r="AC48">
        <v>0</v>
      </c>
    </row>
    <row r="49" spans="27:29">
      <c r="AA49" s="967" t="s">
        <v>381</v>
      </c>
      <c r="AB49" s="967" t="s">
        <v>97</v>
      </c>
      <c r="AC49">
        <v>0</v>
      </c>
    </row>
    <row r="50" spans="27:29">
      <c r="AA50" s="967" t="s">
        <v>381</v>
      </c>
      <c r="AB50" s="967" t="s">
        <v>137</v>
      </c>
      <c r="AC50">
        <v>0</v>
      </c>
    </row>
    <row r="51" spans="27:29">
      <c r="AA51" s="967" t="s">
        <v>381</v>
      </c>
      <c r="AB51" s="967" t="s">
        <v>151</v>
      </c>
      <c r="AC51">
        <v>0</v>
      </c>
    </row>
    <row r="52" spans="27:29">
      <c r="AA52" s="967" t="s">
        <v>382</v>
      </c>
      <c r="AB52" s="967" t="s">
        <v>487</v>
      </c>
      <c r="AC52">
        <v>0</v>
      </c>
    </row>
    <row r="53" spans="27:29">
      <c r="AA53" s="967" t="s">
        <v>382</v>
      </c>
      <c r="AB53" s="967" t="s">
        <v>429</v>
      </c>
      <c r="AC53">
        <v>0</v>
      </c>
    </row>
    <row r="54" spans="27:29">
      <c r="AA54" s="967" t="s">
        <v>382</v>
      </c>
      <c r="AB54" s="967" t="s">
        <v>97</v>
      </c>
      <c r="AC54">
        <v>0</v>
      </c>
    </row>
    <row r="55" spans="27:29">
      <c r="AA55" s="967" t="s">
        <v>382</v>
      </c>
      <c r="AB55" s="967" t="s">
        <v>137</v>
      </c>
      <c r="AC55">
        <v>0</v>
      </c>
    </row>
    <row r="56" spans="27:29">
      <c r="AA56" s="967" t="s">
        <v>382</v>
      </c>
      <c r="AB56" s="967" t="s">
        <v>151</v>
      </c>
      <c r="AC56">
        <v>0</v>
      </c>
    </row>
    <row r="57" spans="27:29">
      <c r="AA57" s="967" t="s">
        <v>383</v>
      </c>
      <c r="AB57" s="967" t="s">
        <v>487</v>
      </c>
      <c r="AC57">
        <v>0</v>
      </c>
    </row>
    <row r="58" spans="27:29">
      <c r="AA58" s="967" t="s">
        <v>383</v>
      </c>
      <c r="AB58" s="967" t="s">
        <v>429</v>
      </c>
      <c r="AC58">
        <v>0</v>
      </c>
    </row>
    <row r="59" spans="27:29">
      <c r="AA59" s="967" t="s">
        <v>383</v>
      </c>
      <c r="AB59" s="967" t="s">
        <v>97</v>
      </c>
      <c r="AC59">
        <v>0</v>
      </c>
    </row>
    <row r="60" spans="27:29">
      <c r="AA60" s="967" t="s">
        <v>383</v>
      </c>
      <c r="AB60" s="967" t="s">
        <v>137</v>
      </c>
      <c r="AC60">
        <v>0</v>
      </c>
    </row>
    <row r="61" spans="27:29">
      <c r="AA61" s="967" t="s">
        <v>383</v>
      </c>
      <c r="AB61" s="967" t="s">
        <v>151</v>
      </c>
      <c r="AC61">
        <v>0</v>
      </c>
    </row>
    <row r="62" spans="27:29">
      <c r="AA62" s="967" t="s">
        <v>385</v>
      </c>
      <c r="AB62" s="967" t="s">
        <v>487</v>
      </c>
      <c r="AC62">
        <v>0</v>
      </c>
    </row>
    <row r="63" spans="27:29">
      <c r="AA63" s="967" t="s">
        <v>385</v>
      </c>
      <c r="AB63" s="967" t="s">
        <v>429</v>
      </c>
      <c r="AC63">
        <v>0</v>
      </c>
    </row>
    <row r="64" spans="27:29">
      <c r="AA64" s="967" t="s">
        <v>385</v>
      </c>
      <c r="AB64" s="967" t="s">
        <v>97</v>
      </c>
      <c r="AC64">
        <v>0</v>
      </c>
    </row>
    <row r="65" spans="27:29">
      <c r="AA65" s="967" t="s">
        <v>385</v>
      </c>
      <c r="AB65" s="967" t="s">
        <v>137</v>
      </c>
      <c r="AC65">
        <v>0</v>
      </c>
    </row>
    <row r="66" spans="27:29">
      <c r="AA66" s="967" t="s">
        <v>385</v>
      </c>
      <c r="AB66" s="967" t="s">
        <v>151</v>
      </c>
      <c r="AC66">
        <v>0</v>
      </c>
    </row>
    <row r="67" spans="27:29">
      <c r="AA67" s="967" t="s">
        <v>737</v>
      </c>
      <c r="AB67" s="967" t="s">
        <v>487</v>
      </c>
      <c r="AC67">
        <v>0</v>
      </c>
    </row>
    <row r="68" spans="27:29">
      <c r="AA68" s="967" t="s">
        <v>737</v>
      </c>
      <c r="AB68" s="967" t="s">
        <v>429</v>
      </c>
      <c r="AC68">
        <v>0</v>
      </c>
    </row>
    <row r="69" spans="27:29">
      <c r="AA69" s="967" t="s">
        <v>737</v>
      </c>
      <c r="AB69" s="967" t="s">
        <v>97</v>
      </c>
      <c r="AC69">
        <v>0</v>
      </c>
    </row>
    <row r="70" spans="27:29">
      <c r="AA70" s="967" t="s">
        <v>737</v>
      </c>
      <c r="AB70" s="967" t="s">
        <v>137</v>
      </c>
      <c r="AC70">
        <v>0</v>
      </c>
    </row>
    <row r="71" spans="27:29">
      <c r="AA71" s="967" t="s">
        <v>737</v>
      </c>
      <c r="AB71" s="967" t="s">
        <v>151</v>
      </c>
      <c r="AC71">
        <v>0</v>
      </c>
    </row>
    <row r="72" spans="27:29">
      <c r="AA72" s="967" t="s">
        <v>312</v>
      </c>
      <c r="AB72" s="967" t="s">
        <v>487</v>
      </c>
      <c r="AC72">
        <v>0</v>
      </c>
    </row>
    <row r="73" spans="27:29">
      <c r="AA73" s="967" t="s">
        <v>312</v>
      </c>
      <c r="AB73" s="967" t="s">
        <v>429</v>
      </c>
      <c r="AC73">
        <v>0</v>
      </c>
    </row>
    <row r="74" spans="27:29">
      <c r="AA74" s="967" t="s">
        <v>312</v>
      </c>
      <c r="AB74" s="967" t="s">
        <v>97</v>
      </c>
      <c r="AC74">
        <v>0</v>
      </c>
    </row>
    <row r="75" spans="27:29">
      <c r="AA75" s="967" t="s">
        <v>312</v>
      </c>
      <c r="AB75" s="967" t="s">
        <v>137</v>
      </c>
      <c r="AC75">
        <v>0</v>
      </c>
    </row>
    <row r="76" spans="27:29">
      <c r="AA76" s="967" t="s">
        <v>312</v>
      </c>
      <c r="AB76" s="967" t="s">
        <v>151</v>
      </c>
      <c r="AC76">
        <v>0</v>
      </c>
    </row>
    <row r="77" spans="27:29">
      <c r="AA77" s="967" t="s">
        <v>307</v>
      </c>
      <c r="AB77" s="967" t="s">
        <v>487</v>
      </c>
      <c r="AC77">
        <v>0</v>
      </c>
    </row>
    <row r="78" spans="27:29">
      <c r="AA78" s="967" t="s">
        <v>307</v>
      </c>
      <c r="AB78" s="967" t="s">
        <v>429</v>
      </c>
      <c r="AC78">
        <v>0</v>
      </c>
    </row>
    <row r="79" spans="27:29">
      <c r="AA79" s="967" t="s">
        <v>307</v>
      </c>
      <c r="AB79" s="967" t="s">
        <v>97</v>
      </c>
      <c r="AC79">
        <v>0</v>
      </c>
    </row>
    <row r="80" spans="27:29">
      <c r="AA80" s="967" t="s">
        <v>307</v>
      </c>
      <c r="AB80" s="967" t="s">
        <v>137</v>
      </c>
      <c r="AC80">
        <v>0</v>
      </c>
    </row>
    <row r="81" spans="27:29">
      <c r="AA81" s="967" t="s">
        <v>307</v>
      </c>
      <c r="AB81" s="967" t="s">
        <v>151</v>
      </c>
      <c r="AC81">
        <v>0</v>
      </c>
    </row>
    <row r="82" spans="27:29">
      <c r="AA82" s="967" t="s">
        <v>309</v>
      </c>
      <c r="AB82" s="967" t="s">
        <v>487</v>
      </c>
      <c r="AC82">
        <v>0</v>
      </c>
    </row>
    <row r="83" spans="27:29">
      <c r="AA83" s="967" t="s">
        <v>309</v>
      </c>
      <c r="AB83" s="967" t="s">
        <v>429</v>
      </c>
      <c r="AC83">
        <v>0</v>
      </c>
    </row>
    <row r="84" spans="27:29">
      <c r="AA84" s="967" t="s">
        <v>309</v>
      </c>
      <c r="AB84" s="967" t="s">
        <v>97</v>
      </c>
      <c r="AC84">
        <v>0</v>
      </c>
    </row>
    <row r="85" spans="27:29">
      <c r="AA85" s="967" t="s">
        <v>309</v>
      </c>
      <c r="AB85" s="967" t="s">
        <v>137</v>
      </c>
      <c r="AC85">
        <v>0</v>
      </c>
    </row>
    <row r="86" spans="27:29">
      <c r="AA86" s="967" t="s">
        <v>309</v>
      </c>
      <c r="AB86" s="967" t="s">
        <v>151</v>
      </c>
      <c r="AC86">
        <v>0</v>
      </c>
    </row>
    <row r="87" spans="27:29">
      <c r="AA87" s="967" t="s">
        <v>389</v>
      </c>
      <c r="AB87" s="967" t="s">
        <v>487</v>
      </c>
      <c r="AC87">
        <v>0</v>
      </c>
    </row>
    <row r="88" spans="27:29">
      <c r="AA88" s="967" t="s">
        <v>389</v>
      </c>
      <c r="AB88" s="967" t="s">
        <v>429</v>
      </c>
      <c r="AC88">
        <v>0</v>
      </c>
    </row>
    <row r="89" spans="27:29">
      <c r="AA89" s="967" t="s">
        <v>389</v>
      </c>
      <c r="AB89" s="967" t="s">
        <v>97</v>
      </c>
      <c r="AC89">
        <v>0</v>
      </c>
    </row>
    <row r="90" spans="27:29">
      <c r="AA90" s="967" t="s">
        <v>389</v>
      </c>
      <c r="AB90" s="967" t="s">
        <v>137</v>
      </c>
      <c r="AC90">
        <v>0</v>
      </c>
    </row>
    <row r="91" spans="27:29">
      <c r="AA91" s="967" t="s">
        <v>389</v>
      </c>
      <c r="AB91" s="967" t="s">
        <v>151</v>
      </c>
      <c r="AC91">
        <v>0</v>
      </c>
    </row>
    <row r="92" spans="27:29">
      <c r="AA92" s="967" t="s">
        <v>738</v>
      </c>
      <c r="AB92" s="967" t="s">
        <v>487</v>
      </c>
      <c r="AC92">
        <v>0</v>
      </c>
    </row>
    <row r="93" spans="27:29">
      <c r="AA93" s="967" t="s">
        <v>738</v>
      </c>
      <c r="AB93" s="967" t="s">
        <v>429</v>
      </c>
      <c r="AC93">
        <v>0</v>
      </c>
    </row>
    <row r="94" spans="27:29">
      <c r="AA94" s="967" t="s">
        <v>738</v>
      </c>
      <c r="AB94" s="967" t="s">
        <v>97</v>
      </c>
      <c r="AC94">
        <v>0</v>
      </c>
    </row>
    <row r="95" spans="27:29">
      <c r="AA95" s="967" t="s">
        <v>738</v>
      </c>
      <c r="AB95" s="967" t="s">
        <v>137</v>
      </c>
      <c r="AC95">
        <v>0</v>
      </c>
    </row>
    <row r="96" spans="27:29">
      <c r="AA96" s="967" t="s">
        <v>738</v>
      </c>
      <c r="AB96" s="967" t="s">
        <v>151</v>
      </c>
      <c r="AC96">
        <v>0</v>
      </c>
    </row>
    <row r="97" spans="27:29">
      <c r="AA97" s="967" t="s">
        <v>739</v>
      </c>
      <c r="AB97" s="967" t="s">
        <v>487</v>
      </c>
      <c r="AC97" s="967">
        <v>0</v>
      </c>
    </row>
    <row r="98" spans="27:29">
      <c r="AA98" s="967" t="s">
        <v>739</v>
      </c>
      <c r="AB98" s="967" t="s">
        <v>429</v>
      </c>
      <c r="AC98" s="967">
        <v>0</v>
      </c>
    </row>
    <row r="99" spans="27:29">
      <c r="AA99" s="967" t="s">
        <v>739</v>
      </c>
      <c r="AB99" s="967" t="s">
        <v>97</v>
      </c>
      <c r="AC99" s="967">
        <v>0</v>
      </c>
    </row>
    <row r="100" spans="27:29">
      <c r="AA100" s="967" t="s">
        <v>739</v>
      </c>
      <c r="AB100" s="967" t="s">
        <v>137</v>
      </c>
      <c r="AC100" s="967">
        <v>0</v>
      </c>
    </row>
    <row r="101" spans="27:29">
      <c r="AA101" s="967" t="s">
        <v>739</v>
      </c>
      <c r="AB101" s="967" t="s">
        <v>151</v>
      </c>
      <c r="AC101" s="967">
        <v>0</v>
      </c>
    </row>
  </sheetData>
  <sheetProtection algorithmName="SHA-512" hashValue="uCkHUgQu4ZR2xiMZx5F2q8x76fueuLKUBtPJBwlqgRi+28PJUOBR4lxD1he8XaASxdzC/ko24KW0bJl23r6wkA==" saltValue="iBOld3+go/uyFSkzFZCjbA==" spinCount="100000" sheet="1" objects="1" scenarios="1"/>
  <pageMargins left="0.7" right="0.7" top="0.75" bottom="0.75" header="0.3" footer="0.3"/>
  <pageSetup orientation="portrait" r:id="rId1"/>
  <tableParts count="2">
    <tablePart r:id="rId2"/>
    <tablePart r:id="rId3"/>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00DB4-A56F-418F-8131-F79BEB2C4E35}">
  <dimension ref="B5:J31"/>
  <sheetViews>
    <sheetView workbookViewId="0">
      <selection activeCell="G335" sqref="G335"/>
    </sheetView>
  </sheetViews>
  <sheetFormatPr defaultRowHeight="12.75"/>
  <sheetData>
    <row r="5" spans="2:10">
      <c r="B5" t="s">
        <v>805</v>
      </c>
      <c r="E5">
        <f ca="1">SUM(Hours)</f>
        <v>485</v>
      </c>
    </row>
    <row r="6" spans="2:10">
      <c r="B6" t="s">
        <v>487</v>
      </c>
    </row>
    <row r="7" spans="2:10">
      <c r="B7" t="s">
        <v>429</v>
      </c>
    </row>
    <row r="8" spans="2:10">
      <c r="B8" t="s">
        <v>97</v>
      </c>
    </row>
    <row r="9" spans="2:10">
      <c r="B9" t="s">
        <v>137</v>
      </c>
    </row>
    <row r="10" spans="2:10">
      <c r="B10" t="s">
        <v>151</v>
      </c>
    </row>
    <row r="13" spans="2:10" ht="18.75">
      <c r="B13" s="1219" t="s">
        <v>667</v>
      </c>
      <c r="C13" s="1219"/>
      <c r="D13" s="1219"/>
      <c r="E13" s="1219"/>
      <c r="F13" s="1219"/>
      <c r="G13" s="1219"/>
      <c r="H13" s="1219"/>
      <c r="I13" s="1219"/>
      <c r="J13" s="1219"/>
    </row>
    <row r="14" spans="2:10">
      <c r="B14" s="476" t="s">
        <v>548</v>
      </c>
      <c r="C14" s="475" t="s">
        <v>288</v>
      </c>
      <c r="D14" s="476" t="s">
        <v>487</v>
      </c>
      <c r="E14" s="476" t="s">
        <v>429</v>
      </c>
      <c r="F14" s="476" t="s">
        <v>97</v>
      </c>
      <c r="G14" s="476" t="s">
        <v>137</v>
      </c>
      <c r="H14" s="476" t="s">
        <v>151</v>
      </c>
      <c r="I14" s="476" t="s">
        <v>225</v>
      </c>
      <c r="J14" s="476" t="s">
        <v>623</v>
      </c>
    </row>
    <row r="15" spans="2:10" ht="38.25">
      <c r="B15" s="476" t="s">
        <v>470</v>
      </c>
      <c r="C15" s="475" t="str">
        <f ca="1">INDEX(RolesandSkills[Role + Practice],MATCH(TotalsNoOversight[[#This Row],[Role '#]],RolesandSkills[Role '#],0),1)</f>
        <v>Project Manager-PMO</v>
      </c>
      <c r="D15" s="476">
        <f ca="1">SUMIF(TandE[Phase],"Initiate",TandE[Role 1])</f>
        <v>10</v>
      </c>
      <c r="E15" s="476">
        <f ca="1">SUMIF(TandE[Phase],"Plan",TandE[Role 1])</f>
        <v>10</v>
      </c>
      <c r="F15" s="476">
        <f ca="1">SUMIF(TandE[Phase],"Execute",TandE[Role 1])</f>
        <v>40</v>
      </c>
      <c r="G15" s="476">
        <f ca="1">SUMIF(TandE[Phase],"Deliver",TandE[Role 1])</f>
        <v>10</v>
      </c>
      <c r="H15" s="476">
        <f ca="1">SUMIF(TandE[Phase],"Close",TandE[Role 1])</f>
        <v>10</v>
      </c>
      <c r="I15" s="476">
        <f ca="1">SUM(TotalsNoOversight[[#This Row],[Initiate]:[Close]])</f>
        <v>80</v>
      </c>
      <c r="J15" s="474">
        <f ca="1">TotalsNoOversight[[#This Row],[Total]]/TotalsNoOversight[[#Totals],[Total]]</f>
        <v>0.16494845360824742</v>
      </c>
    </row>
    <row r="16" spans="2:10" ht="51">
      <c r="B16" s="476" t="s">
        <v>471</v>
      </c>
      <c r="C16" s="475" t="str">
        <f ca="1">INDEX(RolesandSkills[Role + Practice],MATCH(TotalsNoOversight[[#This Row],[Role '#]],RolesandSkills[Role '#],0),1)</f>
        <v>Solution Architect-Technology</v>
      </c>
      <c r="D16" s="476">
        <f ca="1">SUMIF(TandE[Phase],"Initiate",TandE[Role 2])</f>
        <v>2</v>
      </c>
      <c r="E16" s="476">
        <f ca="1">SUMIF(TandE[Phase],"Plan",TandE[Role 2])</f>
        <v>31</v>
      </c>
      <c r="F16" s="476">
        <f ca="1">SUMIF(TandE[Phase],"Execute",TandE[Role 2])</f>
        <v>36</v>
      </c>
      <c r="G16" s="476">
        <f ca="1">SUMIF(TandE[Phase],"Deliver",TandE[Role 2])</f>
        <v>8</v>
      </c>
      <c r="H16" s="476">
        <f ca="1">SUMIF(TandE[Phase],"Close",TandE[Role 2])</f>
        <v>2</v>
      </c>
      <c r="I16" s="476">
        <f ca="1">SUM(TotalsNoOversight[[#This Row],[Initiate]:[Close]])</f>
        <v>79</v>
      </c>
      <c r="J16" s="474">
        <f ca="1">TotalsNoOversight[[#This Row],[Total]]/TotalsNoOversight[[#Totals],[Total]]</f>
        <v>0.16288659793814433</v>
      </c>
    </row>
    <row r="17" spans="2:10" ht="76.5">
      <c r="B17" s="476" t="s">
        <v>472</v>
      </c>
      <c r="C17" s="475" t="str">
        <f ca="1">INDEX(RolesandSkills[Role + Practice],MATCH(TotalsNoOversight[[#This Row],[Role '#]],RolesandSkills[Role '#],0),1)</f>
        <v>Business Process Consultant-Technology</v>
      </c>
      <c r="D17" s="476">
        <f ca="1">SUMIF(TandE[Phase],"Initiate",TandE[Role 3])</f>
        <v>2</v>
      </c>
      <c r="E17" s="476">
        <f ca="1">SUMIF(TandE[Phase],"Plan",TandE[Role 3])</f>
        <v>40</v>
      </c>
      <c r="F17" s="476">
        <f ca="1">SUMIF(TandE[Phase],"Execute",TandE[Role 3])</f>
        <v>72</v>
      </c>
      <c r="G17" s="476">
        <f ca="1">SUMIF(TandE[Phase],"Deliver",TandE[Role 3])</f>
        <v>4</v>
      </c>
      <c r="H17" s="476">
        <f ca="1">SUMIF(TandE[Phase],"Close",TandE[Role 3])</f>
        <v>2</v>
      </c>
      <c r="I17" s="476">
        <f ca="1">SUM(TotalsNoOversight[[#This Row],[Initiate]:[Close]])</f>
        <v>120</v>
      </c>
      <c r="J17" s="474">
        <f ca="1">TotalsNoOversight[[#This Row],[Total]]/TotalsNoOversight[[#Totals],[Total]]</f>
        <v>0.24742268041237114</v>
      </c>
    </row>
    <row r="18" spans="2:10" ht="76.5">
      <c r="B18" s="476" t="s">
        <v>473</v>
      </c>
      <c r="C18" s="475" t="str">
        <f ca="1">INDEX(RolesandSkills[Role + Practice],MATCH(TotalsNoOversight[[#This Row],[Role '#]],RolesandSkills[Role '#],0),1)</f>
        <v>Senior Technical Consultant-Technology</v>
      </c>
      <c r="D18" s="476">
        <f ca="1">SUMIF(TandE[Phase],"Initiate",TandE[Role 4])</f>
        <v>0</v>
      </c>
      <c r="E18" s="476">
        <f ca="1">SUMIF(TandE[Phase],"Plan",TandE[Role 4])</f>
        <v>0</v>
      </c>
      <c r="F18" s="476">
        <f ca="1">SUMIF(TandE[Phase],"Execute",TandE[Role 4])</f>
        <v>124</v>
      </c>
      <c r="G18" s="476">
        <f ca="1">SUMIF(TandE[Phase],"Deliver",TandE[Role 4])</f>
        <v>20</v>
      </c>
      <c r="H18" s="476">
        <f ca="1">SUMIF(TandE[Phase],"Close",TandE[Role 4])</f>
        <v>10</v>
      </c>
      <c r="I18" s="476">
        <f ca="1">SUM(TotalsNoOversight[[#This Row],[Initiate]:[Close]])</f>
        <v>154</v>
      </c>
      <c r="J18" s="474">
        <f ca="1">TotalsNoOversight[[#This Row],[Total]]/TotalsNoOversight[[#Totals],[Total]]</f>
        <v>0.31752577319587627</v>
      </c>
    </row>
    <row r="19" spans="2:10" ht="63.75">
      <c r="B19" s="476" t="s">
        <v>474</v>
      </c>
      <c r="C19" s="475" t="str">
        <f ca="1">INDEX(RolesandSkills[Role + Practice],MATCH(TotalsNoOversight[[#This Row],[Role '#]],RolesandSkills[Role '#],0),1)</f>
        <v>Workflow/Practice Strategist-Technology</v>
      </c>
      <c r="D19" s="476">
        <f ca="1">SUMIF(TandE[Phase],"Initiate",TandE[Role 5])</f>
        <v>2</v>
      </c>
      <c r="E19" s="476">
        <f ca="1">SUMIF(TandE[Phase],"Plan",TandE[Role 5])</f>
        <v>38</v>
      </c>
      <c r="F19" s="476">
        <f ca="1">SUMIF(TandE[Phase],"Execute",TandE[Role 5])</f>
        <v>8</v>
      </c>
      <c r="G19" s="476">
        <f ca="1">SUMIF(TandE[Phase],"Deliver",TandE[Role 5])</f>
        <v>2</v>
      </c>
      <c r="H19" s="476">
        <f ca="1">SUMIF(TandE[Phase],"Close",TandE[Role 5])</f>
        <v>2</v>
      </c>
      <c r="I19" s="476">
        <f ca="1">SUM(TotalsNoOversight[[#This Row],[Initiate]:[Close]])</f>
        <v>52</v>
      </c>
      <c r="J19" s="474">
        <f ca="1">TotalsNoOversight[[#This Row],[Total]]/TotalsNoOversight[[#Totals],[Total]]</f>
        <v>0.10721649484536082</v>
      </c>
    </row>
    <row r="20" spans="2:10">
      <c r="B20" s="476" t="s">
        <v>475</v>
      </c>
      <c r="C20" s="475" t="str">
        <f ca="1">INDEX(RolesandSkills[Role + Practice],MATCH(TotalsNoOversight[[#This Row],[Role '#]],RolesandSkills[Role '#],0),1)</f>
        <v>-</v>
      </c>
      <c r="D20" s="476">
        <f ca="1">SUMIF(TandE[Phase],"Initiate",TandE[Role 6])</f>
        <v>0</v>
      </c>
      <c r="E20" s="476">
        <f ca="1">SUMIF(TandE[Phase],"Plan",TandE[Role 6])</f>
        <v>0</v>
      </c>
      <c r="F20" s="476">
        <f ca="1">SUMIF(TandE[Phase],"Execute",TandE[Role 6])</f>
        <v>0</v>
      </c>
      <c r="G20" s="476">
        <f ca="1">SUMIF(TandE[Phase],"Deliver",TandE[Role 6])</f>
        <v>0</v>
      </c>
      <c r="H20" s="476">
        <f ca="1">SUMIF(TandE[Phase],"Close",TandE[Role 6])</f>
        <v>0</v>
      </c>
      <c r="I20" s="476">
        <f ca="1">SUM(TotalsNoOversight[[#This Row],[Initiate]:[Close]])</f>
        <v>0</v>
      </c>
      <c r="J20" s="474">
        <f ca="1">TotalsNoOversight[[#This Row],[Total]]/TotalsNoOversight[[#Totals],[Total]]</f>
        <v>0</v>
      </c>
    </row>
    <row r="21" spans="2:10">
      <c r="B21" s="476" t="s">
        <v>476</v>
      </c>
      <c r="C21" s="475" t="str">
        <f ca="1">INDEX(RolesandSkills[Role + Practice],MATCH(TotalsNoOversight[[#This Row],[Role '#]],RolesandSkills[Role '#],0),1)</f>
        <v>-</v>
      </c>
      <c r="D21" s="476">
        <f ca="1">SUMIF(TandE[Phase],"Initiate",TandE[Role 7])</f>
        <v>0</v>
      </c>
      <c r="E21" s="476">
        <f ca="1">SUMIF(TandE[Phase],"Plan",TandE[Role 7])</f>
        <v>0</v>
      </c>
      <c r="F21" s="476">
        <f ca="1">SUMIF(TandE[Phase],"Execute",TandE[Role 7])</f>
        <v>0</v>
      </c>
      <c r="G21" s="476">
        <f ca="1">SUMIF(TandE[Phase],"Deliver",TandE[Role 7])</f>
        <v>0</v>
      </c>
      <c r="H21" s="476">
        <f ca="1">SUMIF(TandE[Phase],"Close",TandE[Role 7])</f>
        <v>0</v>
      </c>
      <c r="I21" s="476">
        <f ca="1">SUM(TotalsNoOversight[[#This Row],[Initiate]:[Close]])</f>
        <v>0</v>
      </c>
      <c r="J21" s="474">
        <f ca="1">TotalsNoOversight[[#This Row],[Total]]/TotalsNoOversight[[#Totals],[Total]]</f>
        <v>0</v>
      </c>
    </row>
    <row r="22" spans="2:10">
      <c r="B22" s="476" t="s">
        <v>477</v>
      </c>
      <c r="C22" s="475" t="str">
        <f ca="1">INDEX(RolesandSkills[Role + Practice],MATCH(TotalsNoOversight[[#This Row],[Role '#]],RolesandSkills[Role '#],0),1)</f>
        <v>-</v>
      </c>
      <c r="D22" s="476">
        <f ca="1">SUMIF(TandE[Phase],"Initiate",TandE[Role 8])</f>
        <v>0</v>
      </c>
      <c r="E22" s="476">
        <f ca="1">SUMIF(TandE[Phase],"Plan",TandE[Role 8])</f>
        <v>0</v>
      </c>
      <c r="F22" s="476">
        <f ca="1">SUMIF(TandE[Phase],"Execute",TandE[Role 8])</f>
        <v>0</v>
      </c>
      <c r="G22" s="476">
        <f ca="1">SUMIF(TandE[Phase],"Deliver",TandE[Role 8])</f>
        <v>0</v>
      </c>
      <c r="H22" s="476">
        <f ca="1">SUMIF(TandE[Phase],"Close",TandE[Role 8])</f>
        <v>0</v>
      </c>
      <c r="I22" s="476">
        <f ca="1">SUM(TotalsNoOversight[[#This Row],[Initiate]:[Close]])</f>
        <v>0</v>
      </c>
      <c r="J22" s="474">
        <f ca="1">TotalsNoOversight[[#This Row],[Total]]/TotalsNoOversight[[#Totals],[Total]]</f>
        <v>0</v>
      </c>
    </row>
    <row r="23" spans="2:10">
      <c r="B23" s="476" t="s">
        <v>478</v>
      </c>
      <c r="C23" s="475" t="str">
        <f ca="1">INDEX(RolesandSkills[Role + Practice],MATCH(TotalsNoOversight[[#This Row],[Role '#]],RolesandSkills[Role '#],0),1)</f>
        <v>-</v>
      </c>
      <c r="D23" s="476">
        <f ca="1">SUMIF(TandE[Phase],"Initiate",TandE[Role 9])</f>
        <v>0</v>
      </c>
      <c r="E23" s="476">
        <f ca="1">SUMIF(TandE[Phase],"Plan",TandE[Role 9])</f>
        <v>0</v>
      </c>
      <c r="F23" s="476">
        <f ca="1">SUMIF(TandE[Phase],"Execute",TandE[Role 9])</f>
        <v>0</v>
      </c>
      <c r="G23" s="476">
        <f ca="1">SUMIF(TandE[Phase],"Deliver",TandE[Role 9])</f>
        <v>0</v>
      </c>
      <c r="H23" s="476">
        <f ca="1">SUMIF(TandE[Phase],"Close",TandE[Role 9])</f>
        <v>0</v>
      </c>
      <c r="I23" s="476">
        <f ca="1">SUM(TotalsNoOversight[[#This Row],[Initiate]:[Close]])</f>
        <v>0</v>
      </c>
      <c r="J23" s="474">
        <f ca="1">TotalsNoOversight[[#This Row],[Total]]/TotalsNoOversight[[#Totals],[Total]]</f>
        <v>0</v>
      </c>
    </row>
    <row r="24" spans="2:10">
      <c r="B24" s="476" t="s">
        <v>479</v>
      </c>
      <c r="C24" s="475" t="str">
        <f ca="1">INDEX(RolesandSkills[Role + Practice],MATCH(TotalsNoOversight[[#This Row],[Role '#]],RolesandSkills[Role '#],0),1)</f>
        <v>-</v>
      </c>
      <c r="D24" s="476">
        <f ca="1">SUMIF(TandE[Phase],"Initiate",TandE[Role 10])</f>
        <v>0</v>
      </c>
      <c r="E24" s="476">
        <f ca="1">SUMIF(TandE[Phase],"Plan",TandE[Role 10])</f>
        <v>0</v>
      </c>
      <c r="F24" s="476">
        <f ca="1">SUMIF(TandE[Phase],"Execute",TandE[Role 10])</f>
        <v>0</v>
      </c>
      <c r="G24" s="476">
        <f ca="1">SUMIF(TandE[Phase],"Deliver",TandE[Role 10])</f>
        <v>0</v>
      </c>
      <c r="H24" s="476">
        <f ca="1">SUMIF(TandE[Phase],"Close",TandE[Role 10])</f>
        <v>0</v>
      </c>
      <c r="I24" s="476">
        <f ca="1">SUM(TotalsNoOversight[[#This Row],[Initiate]:[Close]])</f>
        <v>0</v>
      </c>
      <c r="J24" s="474">
        <f ca="1">TotalsNoOversight[[#This Row],[Total]]/TotalsNoOversight[[#Totals],[Total]]</f>
        <v>0</v>
      </c>
    </row>
    <row r="25" spans="2:10">
      <c r="B25" s="476" t="s">
        <v>480</v>
      </c>
      <c r="C25" s="475" t="str">
        <f ca="1">INDEX(RolesandSkills[Role + Practice],MATCH(TotalsNoOversight[[#This Row],[Role '#]],RolesandSkills[Role '#],0),1)</f>
        <v>-</v>
      </c>
      <c r="D25" s="476">
        <f ca="1">SUMIF(TandE[Phase],"Initiate",TandE[Role 11])</f>
        <v>0</v>
      </c>
      <c r="E25" s="476">
        <f ca="1">SUMIF(TandE[Phase],"Plan",TandE[Role 11])</f>
        <v>0</v>
      </c>
      <c r="F25" s="476">
        <f ca="1">SUMIF(TandE[Phase],"Execute",TandE[Role 11])</f>
        <v>0</v>
      </c>
      <c r="G25" s="476">
        <f ca="1">SUMIF(TandE[Phase],"Deliver",TandE[Role 11])</f>
        <v>0</v>
      </c>
      <c r="H25" s="476">
        <f ca="1">SUMIF(TandE[Phase],"Close",TandE[Role 11])</f>
        <v>0</v>
      </c>
      <c r="I25" s="476">
        <f ca="1">SUM(TotalsNoOversight[[#This Row],[Initiate]:[Close]])</f>
        <v>0</v>
      </c>
      <c r="J25" s="474">
        <f ca="1">TotalsNoOversight[[#This Row],[Total]]/TotalsNoOversight[[#Totals],[Total]]</f>
        <v>0</v>
      </c>
    </row>
    <row r="26" spans="2:10">
      <c r="B26" s="476" t="s">
        <v>481</v>
      </c>
      <c r="C26" s="475" t="str">
        <f ca="1">INDEX(RolesandSkills[Role + Practice],MATCH(TotalsNoOversight[[#This Row],[Role '#]],RolesandSkills[Role '#],0),1)</f>
        <v>-</v>
      </c>
      <c r="D26" s="476">
        <f ca="1">SUMIF(TandE[Phase],"Initiate",TandE[Role 12])</f>
        <v>0</v>
      </c>
      <c r="E26" s="476">
        <f ca="1">SUMIF(TandE[Phase],"Plan",TandE[Role 12])</f>
        <v>0</v>
      </c>
      <c r="F26" s="476">
        <f ca="1">SUMIF(TandE[Phase],"Execute",TandE[Role 12])</f>
        <v>0</v>
      </c>
      <c r="G26" s="476">
        <f ca="1">SUMIF(TandE[Phase],"Deliver",TandE[Role 12])</f>
        <v>0</v>
      </c>
      <c r="H26" s="476">
        <f ca="1">SUMIF(TandE[Phase],"Close",TandE[Role 12])</f>
        <v>0</v>
      </c>
      <c r="I26" s="476">
        <f ca="1">SUM(TotalsNoOversight[[#This Row],[Initiate]:[Close]])</f>
        <v>0</v>
      </c>
      <c r="J26" s="474">
        <f ca="1">TotalsNoOversight[[#This Row],[Total]]/TotalsNoOversight[[#Totals],[Total]]</f>
        <v>0</v>
      </c>
    </row>
    <row r="27" spans="2:10">
      <c r="B27" s="476" t="s">
        <v>482</v>
      </c>
      <c r="C27" s="475" t="str">
        <f ca="1">INDEX(RolesandSkills[Role + Practice],MATCH(TotalsNoOversight[[#This Row],[Role '#]],RolesandSkills[Role '#],0),1)</f>
        <v>-</v>
      </c>
      <c r="D27" s="476">
        <f ca="1">SUMIF(TandE[Phase],"Initiate",TandE[Role 13])</f>
        <v>0</v>
      </c>
      <c r="E27" s="476">
        <f ca="1">SUMIF(TandE[Phase],"Plan",TandE[Role 13])</f>
        <v>0</v>
      </c>
      <c r="F27" s="476">
        <f ca="1">SUMIF(TandE[Phase],"Execute",TandE[Role 13])</f>
        <v>0</v>
      </c>
      <c r="G27" s="476">
        <f ca="1">SUMIF(TandE[Phase],"Deliver",TandE[Role 13])</f>
        <v>0</v>
      </c>
      <c r="H27" s="476">
        <f ca="1">SUMIF(TandE[Phase],"Close",TandE[Role 13])</f>
        <v>0</v>
      </c>
      <c r="I27" s="476">
        <f ca="1">SUM(TotalsNoOversight[[#This Row],[Initiate]:[Close]])</f>
        <v>0</v>
      </c>
      <c r="J27" s="474">
        <f ca="1">TotalsNoOversight[[#This Row],[Total]]/TotalsNoOversight[[#Totals],[Total]]</f>
        <v>0</v>
      </c>
    </row>
    <row r="28" spans="2:10">
      <c r="B28" s="476" t="s">
        <v>483</v>
      </c>
      <c r="C28" s="475" t="str">
        <f ca="1">INDEX(RolesandSkills[Role + Practice],MATCH(TotalsNoOversight[[#This Row],[Role '#]],RolesandSkills[Role '#],0),1)</f>
        <v>-</v>
      </c>
      <c r="D28" s="476">
        <f ca="1">SUMIF(TandE[Phase],"Initiate",TandE[Role 14])</f>
        <v>0</v>
      </c>
      <c r="E28" s="476">
        <f ca="1">SUMIF(TandE[Phase],"Plan",TandE[Role 14])</f>
        <v>0</v>
      </c>
      <c r="F28" s="476">
        <f ca="1">SUMIF(TandE[Phase],"Execute",TandE[Role 14])</f>
        <v>0</v>
      </c>
      <c r="G28" s="476">
        <f ca="1">SUMIF(TandE[Phase],"Deliver",TandE[Role 14])</f>
        <v>0</v>
      </c>
      <c r="H28" s="476">
        <f ca="1">SUMIF(TandE[Phase],"Close",TandE[Role 14])</f>
        <v>0</v>
      </c>
      <c r="I28" s="476">
        <f ca="1">SUM(TotalsNoOversight[[#This Row],[Initiate]:[Close]])</f>
        <v>0</v>
      </c>
      <c r="J28" s="474">
        <f ca="1">TotalsNoOversight[[#This Row],[Total]]/TotalsNoOversight[[#Totals],[Total]]</f>
        <v>0</v>
      </c>
    </row>
    <row r="29" spans="2:10">
      <c r="B29" s="476" t="s">
        <v>484</v>
      </c>
      <c r="C29" s="475" t="str">
        <f ca="1">INDEX(RolesandSkills[Role + Practice],MATCH(TotalsNoOversight[[#This Row],[Role '#]],RolesandSkills[Role '#],0),1)</f>
        <v>-</v>
      </c>
      <c r="D29" s="476">
        <f ca="1">SUMIF(TandE[Phase],"Initiate",TandE[Role 15])</f>
        <v>0</v>
      </c>
      <c r="E29" s="476">
        <f ca="1">SUMIF(TandE[Phase],"Plan",TandE[Role 15])</f>
        <v>0</v>
      </c>
      <c r="F29" s="476">
        <f ca="1">SUMIF(TandE[Phase],"Execute",TandE[Role 15])</f>
        <v>0</v>
      </c>
      <c r="G29" s="476">
        <f ca="1">SUMIF(TandE[Phase],"Deliver",TandE[Role 15])</f>
        <v>0</v>
      </c>
      <c r="H29" s="476">
        <f ca="1">SUMIF(TandE[Phase],"Close",TandE[Role 15])</f>
        <v>0</v>
      </c>
      <c r="I29" s="476">
        <f ca="1">SUM(TotalsNoOversight[[#This Row],[Initiate]:[Close]])</f>
        <v>0</v>
      </c>
      <c r="J29" s="474">
        <f ca="1">TotalsNoOversight[[#This Row],[Total]]/TotalsNoOversight[[#Totals],[Total]]</f>
        <v>0</v>
      </c>
    </row>
    <row r="30" spans="2:10">
      <c r="B30" s="476" t="s">
        <v>225</v>
      </c>
      <c r="C30" s="475"/>
      <c r="D30" s="476">
        <f ca="1">SUBTOTAL(109,TotalsNoOversight[Initiate])</f>
        <v>16</v>
      </c>
      <c r="E30" s="476">
        <f ca="1">SUBTOTAL(109,TotalsNoOversight[Plan])</f>
        <v>119</v>
      </c>
      <c r="F30" s="476">
        <f ca="1">SUBTOTAL(109,TotalsNoOversight[Execute])</f>
        <v>280</v>
      </c>
      <c r="G30" s="476">
        <f ca="1">SUBTOTAL(109,TotalsNoOversight[Deliver])</f>
        <v>44</v>
      </c>
      <c r="H30" s="476">
        <f ca="1">SUBTOTAL(109,TotalsNoOversight[Close])</f>
        <v>26</v>
      </c>
      <c r="I30" s="476">
        <f ca="1">SUBTOTAL(109,TotalsNoOversight[Total])</f>
        <v>485</v>
      </c>
      <c r="J30" s="476"/>
    </row>
    <row r="31" spans="2:10">
      <c r="B31" s="476" t="s">
        <v>623</v>
      </c>
      <c r="C31" s="475"/>
      <c r="D31" s="474">
        <f ca="1">TotalsNoOversight[[#Totals],[Initiate]]/TotalsNoOversight[[#Totals],[Total]]</f>
        <v>3.2989690721649485E-2</v>
      </c>
      <c r="E31" s="474">
        <f ca="1">TotalsNoOversight[[#Totals],[Plan]]/TotalsNoOversight[[#Totals],[Total]]</f>
        <v>0.24536082474226803</v>
      </c>
      <c r="F31" s="474">
        <f ca="1">TotalsNoOversight[[#Totals],[Execute]]/TotalsNoOversight[[#Totals],[Total]]</f>
        <v>0.57731958762886593</v>
      </c>
      <c r="G31" s="474">
        <f ca="1">TotalsNoOversight[[#Totals],[Deliver]]/TotalsNoOversight[[#Totals],[Total]]</f>
        <v>9.0721649484536079E-2</v>
      </c>
      <c r="H31" s="474">
        <f ca="1">TotalsNoOversight[[#Totals],[Close]]/TotalsNoOversight[[#Totals],[Total]]</f>
        <v>5.3608247422680409E-2</v>
      </c>
      <c r="I31" s="474"/>
      <c r="J31" s="476"/>
    </row>
  </sheetData>
  <mergeCells count="1">
    <mergeCell ref="B13:J13"/>
  </mergeCells>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E7741-7CF5-4FF5-BAD7-E599D4B633D3}">
  <dimension ref="A1:F30"/>
  <sheetViews>
    <sheetView zoomScaleNormal="100" workbookViewId="0">
      <selection activeCell="G335" sqref="G335"/>
    </sheetView>
  </sheetViews>
  <sheetFormatPr defaultColWidth="8.85546875" defaultRowHeight="15"/>
  <cols>
    <col min="1" max="2" width="8.85546875" style="580"/>
    <col min="3" max="3" width="15.85546875" style="665" customWidth="1"/>
    <col min="4" max="4" width="8.85546875" style="580"/>
    <col min="5" max="5" width="10" style="580" bestFit="1" customWidth="1"/>
    <col min="6" max="16384" width="8.85546875" style="580"/>
  </cols>
  <sheetData>
    <row r="1" spans="1:6">
      <c r="A1" s="663" t="s">
        <v>806</v>
      </c>
      <c r="B1" s="663" t="s">
        <v>807</v>
      </c>
      <c r="C1" s="664" t="s">
        <v>732</v>
      </c>
      <c r="D1"/>
      <c r="E1" s="1220" t="s">
        <v>808</v>
      </c>
      <c r="F1" s="1220"/>
    </row>
    <row r="2" spans="1:6">
      <c r="A2" s="705" t="s">
        <v>405</v>
      </c>
      <c r="B2" s="705" t="s">
        <v>405</v>
      </c>
      <c r="C2" s="706">
        <v>1</v>
      </c>
      <c r="D2"/>
      <c r="E2" s="705"/>
      <c r="F2" s="705"/>
    </row>
    <row r="3" spans="1:6">
      <c r="A3" s="705" t="s">
        <v>405</v>
      </c>
      <c r="B3" s="705" t="s">
        <v>736</v>
      </c>
      <c r="C3" s="706">
        <v>0.67474000000000001</v>
      </c>
      <c r="D3"/>
      <c r="E3" s="708">
        <f>1/C7</f>
        <v>0.67492322748287381</v>
      </c>
      <c r="F3" s="709">
        <f>E3-C3</f>
        <v>1.8322748287380453E-4</v>
      </c>
    </row>
    <row r="4" spans="1:6">
      <c r="A4" s="705" t="s">
        <v>405</v>
      </c>
      <c r="B4" s="705" t="s">
        <v>227</v>
      </c>
      <c r="C4" s="706">
        <v>61.008200000000002</v>
      </c>
      <c r="D4"/>
      <c r="E4" s="708">
        <f>1/C12</f>
        <v>61.012812690665044</v>
      </c>
      <c r="F4" s="709">
        <f>E4-C4</f>
        <v>4.6126906650414412E-3</v>
      </c>
    </row>
    <row r="5" spans="1:6">
      <c r="A5" s="705" t="s">
        <v>405</v>
      </c>
      <c r="B5" s="705" t="s">
        <v>247</v>
      </c>
      <c r="C5" s="706">
        <v>0.57420000000000004</v>
      </c>
      <c r="D5"/>
      <c r="E5" s="708">
        <f>1/C17</f>
        <v>0.57435944562826313</v>
      </c>
      <c r="F5" s="709">
        <f t="shared" ref="F5:F25" si="0">E5-C5</f>
        <v>1.594456282630885E-4</v>
      </c>
    </row>
    <row r="6" spans="1:6">
      <c r="A6" s="705" t="s">
        <v>405</v>
      </c>
      <c r="B6" s="705" t="s">
        <v>308</v>
      </c>
      <c r="C6" s="706">
        <v>0.73351999999999995</v>
      </c>
      <c r="D6"/>
      <c r="E6" s="708">
        <f>1/C22</f>
        <v>0.73361650930592537</v>
      </c>
      <c r="F6" s="709">
        <f t="shared" si="0"/>
        <v>9.6509305925418509E-5</v>
      </c>
    </row>
    <row r="7" spans="1:6">
      <c r="A7" s="705" t="s">
        <v>736</v>
      </c>
      <c r="B7" s="705" t="s">
        <v>405</v>
      </c>
      <c r="C7" s="706">
        <v>1.4816499999999999</v>
      </c>
      <c r="D7"/>
      <c r="E7" s="708">
        <f>1/C3</f>
        <v>1.4820523460888639</v>
      </c>
      <c r="F7" s="709">
        <f t="shared" si="0"/>
        <v>4.0234608886402512E-4</v>
      </c>
    </row>
    <row r="8" spans="1:6">
      <c r="A8" s="705" t="s">
        <v>736</v>
      </c>
      <c r="B8" s="705" t="s">
        <v>736</v>
      </c>
      <c r="C8" s="706">
        <v>1</v>
      </c>
      <c r="D8"/>
      <c r="E8" s="708"/>
      <c r="F8" s="709"/>
    </row>
    <row r="9" spans="1:6">
      <c r="A9" s="705" t="s">
        <v>736</v>
      </c>
      <c r="B9" s="705" t="s">
        <v>227</v>
      </c>
      <c r="C9" s="706">
        <v>90.405100000000004</v>
      </c>
      <c r="D9"/>
      <c r="E9" s="708">
        <f>1/C13</f>
        <v>90.415913200723324</v>
      </c>
      <c r="F9" s="709">
        <f t="shared" si="0"/>
        <v>1.0813200723319483E-2</v>
      </c>
    </row>
    <row r="10" spans="1:6">
      <c r="A10" s="705" t="s">
        <v>736</v>
      </c>
      <c r="B10" s="705" t="s">
        <v>247</v>
      </c>
      <c r="C10" s="706">
        <v>0.85092999999999996</v>
      </c>
      <c r="D10"/>
      <c r="E10" s="708">
        <f>1/C18</f>
        <v>0.85107831622665919</v>
      </c>
      <c r="F10" s="709">
        <f t="shared" si="0"/>
        <v>1.4831622665922861E-4</v>
      </c>
    </row>
    <row r="11" spans="1:6">
      <c r="A11" s="705" t="s">
        <v>736</v>
      </c>
      <c r="B11" s="705" t="s">
        <v>308</v>
      </c>
      <c r="C11" s="706">
        <v>1.0869599999999999</v>
      </c>
      <c r="D11"/>
      <c r="E11" s="708">
        <f>1/C23</f>
        <v>1.0871101351277899</v>
      </c>
      <c r="F11" s="709">
        <f t="shared" si="0"/>
        <v>1.5013512778994098E-4</v>
      </c>
    </row>
    <row r="12" spans="1:6">
      <c r="A12" s="705" t="s">
        <v>227</v>
      </c>
      <c r="B12" s="705" t="s">
        <v>405</v>
      </c>
      <c r="C12" s="706">
        <v>1.6389999999999998E-2</v>
      </c>
      <c r="D12"/>
      <c r="E12" s="708">
        <f>1/C4</f>
        <v>1.6391239210466788E-2</v>
      </c>
      <c r="F12" s="709">
        <f t="shared" si="0"/>
        <v>1.2392104667899306E-6</v>
      </c>
    </row>
    <row r="13" spans="1:6">
      <c r="A13" s="705" t="s">
        <v>227</v>
      </c>
      <c r="B13" s="705" t="s">
        <v>736</v>
      </c>
      <c r="C13" s="706">
        <v>1.106E-2</v>
      </c>
      <c r="D13"/>
      <c r="E13" s="708">
        <f>1/C9</f>
        <v>1.1061322867847057E-2</v>
      </c>
      <c r="F13" s="709">
        <f t="shared" si="0"/>
        <v>1.3228678470561528E-6</v>
      </c>
    </row>
    <row r="14" spans="1:6">
      <c r="A14" s="705" t="s">
        <v>227</v>
      </c>
      <c r="B14" s="705" t="s">
        <v>227</v>
      </c>
      <c r="C14" s="706">
        <v>1</v>
      </c>
      <c r="D14"/>
      <c r="E14" s="708"/>
      <c r="F14" s="709"/>
    </row>
    <row r="15" spans="1:6">
      <c r="A15" s="705" t="s">
        <v>227</v>
      </c>
      <c r="B15" s="705" t="s">
        <v>247</v>
      </c>
      <c r="C15" s="706">
        <v>9.41E-3</v>
      </c>
      <c r="D15"/>
      <c r="E15" s="708">
        <f>1/C19</f>
        <v>9.4131822203814223E-3</v>
      </c>
      <c r="F15" s="709">
        <f t="shared" si="0"/>
        <v>3.1822203814223238E-6</v>
      </c>
    </row>
    <row r="16" spans="1:6">
      <c r="A16" s="705" t="s">
        <v>227</v>
      </c>
      <c r="B16" s="705" t="s">
        <v>308</v>
      </c>
      <c r="C16" s="706">
        <v>1.2019999999999999E-2</v>
      </c>
      <c r="D16"/>
      <c r="E16" s="708">
        <f>1/C24</f>
        <v>1.2023262608494916E-2</v>
      </c>
      <c r="F16" s="709">
        <f t="shared" si="0"/>
        <v>3.2626084949163164E-6</v>
      </c>
    </row>
    <row r="17" spans="1:6">
      <c r="A17" s="705" t="s">
        <v>247</v>
      </c>
      <c r="B17" s="705" t="s">
        <v>405</v>
      </c>
      <c r="C17" s="706">
        <v>1.7410699999999999</v>
      </c>
      <c r="D17"/>
      <c r="E17" s="708">
        <f>1/C5</f>
        <v>1.7415534656913967</v>
      </c>
      <c r="F17" s="709">
        <f t="shared" si="0"/>
        <v>4.8346569139678941E-4</v>
      </c>
    </row>
    <row r="18" spans="1:6">
      <c r="A18" s="705" t="s">
        <v>247</v>
      </c>
      <c r="B18" s="705" t="s">
        <v>736</v>
      </c>
      <c r="C18" s="706">
        <v>1.1749799999999999</v>
      </c>
      <c r="D18"/>
      <c r="E18" s="708">
        <f>1/C10</f>
        <v>1.1751847978094556</v>
      </c>
      <c r="F18" s="709">
        <f t="shared" si="0"/>
        <v>2.0479780945570347E-4</v>
      </c>
    </row>
    <row r="19" spans="1:6">
      <c r="A19" s="705" t="s">
        <v>247</v>
      </c>
      <c r="B19" s="705" t="s">
        <v>227</v>
      </c>
      <c r="C19" s="706">
        <v>106.23399999999999</v>
      </c>
      <c r="D19"/>
      <c r="E19" s="708">
        <f>1/C15</f>
        <v>106.26992561105207</v>
      </c>
      <c r="F19" s="709">
        <f>E19-C19</f>
        <v>3.5925611052078921E-2</v>
      </c>
    </row>
    <row r="20" spans="1:6">
      <c r="A20" s="705" t="s">
        <v>247</v>
      </c>
      <c r="B20" s="705" t="s">
        <v>247</v>
      </c>
      <c r="C20" s="706">
        <v>1</v>
      </c>
      <c r="D20"/>
      <c r="E20" s="708"/>
      <c r="F20" s="709"/>
    </row>
    <row r="21" spans="1:6">
      <c r="A21" s="705" t="s">
        <v>247</v>
      </c>
      <c r="B21" s="705" t="s">
        <v>308</v>
      </c>
      <c r="C21" s="706">
        <v>1.2772699999999999</v>
      </c>
      <c r="D21"/>
      <c r="E21" s="708">
        <f>1/C25</f>
        <v>1.2774655084312723</v>
      </c>
      <c r="F21" s="709">
        <f t="shared" si="0"/>
        <v>1.9550843127236206E-4</v>
      </c>
    </row>
    <row r="22" spans="1:6">
      <c r="A22" s="705" t="s">
        <v>308</v>
      </c>
      <c r="B22" s="705" t="s">
        <v>405</v>
      </c>
      <c r="C22" s="706">
        <v>1.36311</v>
      </c>
      <c r="D22"/>
      <c r="E22" s="708">
        <f>1/C6</f>
        <v>1.3632893445304832</v>
      </c>
      <c r="F22" s="709">
        <f t="shared" si="0"/>
        <v>1.7934453048318311E-4</v>
      </c>
    </row>
    <row r="23" spans="1:6">
      <c r="A23" s="705" t="s">
        <v>308</v>
      </c>
      <c r="B23" s="705" t="s">
        <v>736</v>
      </c>
      <c r="C23" s="706">
        <v>0.91986999999999997</v>
      </c>
      <c r="D23"/>
      <c r="E23" s="708">
        <f>1/C11</f>
        <v>0.91999705600942083</v>
      </c>
      <c r="F23" s="709">
        <f t="shared" si="0"/>
        <v>1.2705600942086726E-4</v>
      </c>
    </row>
    <row r="24" spans="1:6">
      <c r="A24" s="705" t="s">
        <v>308</v>
      </c>
      <c r="B24" s="705" t="s">
        <v>227</v>
      </c>
      <c r="C24" s="706">
        <v>83.1721</v>
      </c>
      <c r="D24"/>
      <c r="E24" s="708">
        <f>1/C16</f>
        <v>83.194675540765388</v>
      </c>
      <c r="F24" s="709">
        <f t="shared" si="0"/>
        <v>2.2575540765387814E-2</v>
      </c>
    </row>
    <row r="25" spans="1:6">
      <c r="A25" s="705" t="s">
        <v>308</v>
      </c>
      <c r="B25" s="705" t="s">
        <v>247</v>
      </c>
      <c r="C25" s="706">
        <v>0.78280000000000005</v>
      </c>
      <c r="D25"/>
      <c r="E25" s="708">
        <f>1/C21</f>
        <v>0.78291982118111292</v>
      </c>
      <c r="F25" s="709">
        <f t="shared" si="0"/>
        <v>1.1982118111286688E-4</v>
      </c>
    </row>
    <row r="26" spans="1:6">
      <c r="A26" s="705" t="s">
        <v>308</v>
      </c>
      <c r="B26" s="705" t="s">
        <v>308</v>
      </c>
      <c r="C26" s="706">
        <v>1</v>
      </c>
      <c r="D26"/>
      <c r="E26" s="705"/>
      <c r="F26" s="705"/>
    </row>
    <row r="27" spans="1:6">
      <c r="A27"/>
      <c r="B27"/>
      <c r="C27" s="710"/>
      <c r="D27"/>
      <c r="E27"/>
      <c r="F27"/>
    </row>
    <row r="28" spans="1:6">
      <c r="A28"/>
      <c r="B28"/>
      <c r="C28" s="710"/>
      <c r="D28"/>
      <c r="E28"/>
      <c r="F28"/>
    </row>
    <row r="29" spans="1:6">
      <c r="A29" t="s">
        <v>809</v>
      </c>
      <c r="B29"/>
      <c r="C29" s="710"/>
      <c r="D29"/>
      <c r="E29"/>
      <c r="F29"/>
    </row>
    <row r="30" spans="1:6">
      <c r="A30" s="776" t="s">
        <v>810</v>
      </c>
      <c r="B30"/>
      <c r="C30" s="710"/>
      <c r="D30"/>
      <c r="E30"/>
      <c r="F30"/>
    </row>
  </sheetData>
  <mergeCells count="1">
    <mergeCell ref="E1:F1"/>
  </mergeCells>
  <hyperlinks>
    <hyperlink ref="A30" r:id="rId1" xr:uid="{3171AD65-ED62-4C56-908C-5FF3D8E3C44A}"/>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614A1-F90E-42DA-8820-744FAA3A9EC9}">
  <sheetPr>
    <tabColor rgb="FFFF0000"/>
  </sheetPr>
  <dimension ref="A1:N173"/>
  <sheetViews>
    <sheetView zoomScaleNormal="100" workbookViewId="0">
      <pane ySplit="1" topLeftCell="A2" activePane="bottomLeft" state="frozen"/>
      <selection pane="bottomLeft" activeCell="B6" sqref="B6"/>
      <selection activeCell="B6" sqref="B6"/>
    </sheetView>
  </sheetViews>
  <sheetFormatPr defaultColWidth="8.85546875" defaultRowHeight="15"/>
  <cols>
    <col min="1" max="1" width="8.42578125" style="658" bestFit="1" customWidth="1"/>
    <col min="2" max="2" width="8.85546875" style="658"/>
    <col min="3" max="3" width="12.140625" style="658" bestFit="1" customWidth="1"/>
    <col min="4" max="4" width="12.140625" style="658" customWidth="1"/>
    <col min="5" max="5" width="27.85546875" style="658" customWidth="1"/>
    <col min="6" max="6" width="12.140625" style="662" customWidth="1"/>
    <col min="7" max="7" width="12.140625" style="658" customWidth="1"/>
    <col min="8" max="8" width="10.42578125" style="662" bestFit="1" customWidth="1"/>
    <col min="9" max="16384" width="8.85546875" style="658"/>
  </cols>
  <sheetData>
    <row r="1" spans="1:14" ht="61.5" customHeight="1">
      <c r="A1" s="490" t="s">
        <v>246</v>
      </c>
      <c r="B1" s="490" t="s">
        <v>347</v>
      </c>
      <c r="C1" s="490" t="s">
        <v>349</v>
      </c>
      <c r="D1" s="490" t="s">
        <v>276</v>
      </c>
      <c r="E1" s="490" t="s">
        <v>811</v>
      </c>
      <c r="F1" s="491" t="s">
        <v>732</v>
      </c>
      <c r="G1" s="490" t="s">
        <v>733</v>
      </c>
      <c r="H1" s="491" t="s">
        <v>734</v>
      </c>
      <c r="I1" s="967"/>
      <c r="J1" s="967"/>
      <c r="K1" s="967"/>
      <c r="L1" s="967"/>
      <c r="M1" s="967"/>
      <c r="N1" s="967" t="s">
        <v>734</v>
      </c>
    </row>
    <row r="2" spans="1:14">
      <c r="A2" s="967" t="s">
        <v>405</v>
      </c>
      <c r="B2" s="967" t="s">
        <v>405</v>
      </c>
      <c r="C2" s="967" t="s">
        <v>753</v>
      </c>
      <c r="D2" s="967"/>
      <c r="E2" s="967" t="str">
        <f t="shared" ref="E2:E28" si="0">A2&amp;B2&amp;C2</f>
        <v>CanadaCanadaA - Associate</v>
      </c>
      <c r="F2" s="662" cm="1">
        <f t="array" ref="F2">_xlfn.XLOOKUP(B2&amp;A2,FX!$A$2:$A$26&amp;FX!$B$2:$B$26,FX!$C$2:$C$26)</f>
        <v>1</v>
      </c>
      <c r="G2" s="967" cm="1">
        <f t="array" ref="G2">_xlfn.IFS(B2="Canada",2,B2="India",3,B2="UK",4,B2="USA",5)</f>
        <v>2</v>
      </c>
      <c r="H2" s="662">
        <f>VLOOKUP(C2,'StdCosts and StdRates'!$A$2:$E$7,G2)*F2</f>
        <v>55</v>
      </c>
      <c r="I2" s="967"/>
      <c r="J2" s="967"/>
      <c r="K2" s="967"/>
      <c r="L2" s="967"/>
      <c r="M2" s="967"/>
      <c r="N2" s="967">
        <v>55</v>
      </c>
    </row>
    <row r="3" spans="1:14">
      <c r="A3" s="967" t="s">
        <v>405</v>
      </c>
      <c r="B3" s="967" t="s">
        <v>405</v>
      </c>
      <c r="C3" s="967" t="s">
        <v>352</v>
      </c>
      <c r="D3" s="967"/>
      <c r="E3" s="967" t="str">
        <f t="shared" si="0"/>
        <v>CanadaCanadaB - Staff</v>
      </c>
      <c r="F3" s="662" cm="1">
        <f t="array" ref="F3">_xlfn.XLOOKUP(B3&amp;A3,FX!$A$2:$A$26&amp;FX!$B$2:$B$26,FX!$C$2:$C$26)</f>
        <v>1</v>
      </c>
      <c r="G3" s="967" cm="1">
        <f t="array" ref="G3">_xlfn.IFS(B3="Canada",2,B3="India",3,B3="UK",4,B3="USA",5)</f>
        <v>2</v>
      </c>
      <c r="H3" s="662">
        <f>VLOOKUP(C3,'StdCosts and StdRates'!$A$2:$E$7,G3)*F3</f>
        <v>75</v>
      </c>
      <c r="I3" s="967"/>
      <c r="J3" s="967"/>
      <c r="K3" s="967"/>
      <c r="L3" s="967"/>
      <c r="M3" s="967"/>
      <c r="N3" s="967">
        <v>75</v>
      </c>
    </row>
    <row r="4" spans="1:14">
      <c r="A4" s="967" t="s">
        <v>405</v>
      </c>
      <c r="B4" s="967" t="s">
        <v>405</v>
      </c>
      <c r="C4" s="967" t="s">
        <v>355</v>
      </c>
      <c r="D4" s="967"/>
      <c r="E4" s="967" t="str">
        <f t="shared" si="0"/>
        <v>CanadaCanadaC - Senior</v>
      </c>
      <c r="F4" s="662" cm="1">
        <f t="array" ref="F4">_xlfn.XLOOKUP(B4&amp;A4,FX!$A$2:$A$26&amp;FX!$B$2:$B$26,FX!$C$2:$C$26)</f>
        <v>1</v>
      </c>
      <c r="G4" s="967" cm="1">
        <f t="array" ref="G4">_xlfn.IFS(B4="Canada",2,B4="India",3,B4="UK",4,B4="USA",5)</f>
        <v>2</v>
      </c>
      <c r="H4" s="662">
        <f>VLOOKUP(C4,'StdCosts and StdRates'!$A$2:$E$7,G4)*F4</f>
        <v>95</v>
      </c>
      <c r="I4" s="967"/>
      <c r="J4" s="967"/>
      <c r="K4" s="967"/>
      <c r="L4" s="967"/>
      <c r="M4" s="967"/>
      <c r="N4" s="967">
        <v>95</v>
      </c>
    </row>
    <row r="5" spans="1:14">
      <c r="A5" s="967" t="s">
        <v>405</v>
      </c>
      <c r="B5" s="967" t="s">
        <v>405</v>
      </c>
      <c r="C5" s="967" t="s">
        <v>358</v>
      </c>
      <c r="D5" s="967"/>
      <c r="E5" s="967" t="str">
        <f t="shared" si="0"/>
        <v>CanadaCanadaD - Lead</v>
      </c>
      <c r="F5" s="662" cm="1">
        <f t="array" ref="F5">_xlfn.XLOOKUP(B5&amp;A5,FX!$A$2:$A$26&amp;FX!$B$2:$B$26,FX!$C$2:$C$26)</f>
        <v>1</v>
      </c>
      <c r="G5" s="967" cm="1">
        <f t="array" ref="G5">_xlfn.IFS(B5="Canada",2,B5="India",3,B5="UK",4,B5="USA",5)</f>
        <v>2</v>
      </c>
      <c r="H5" s="662">
        <f>VLOOKUP(C5,'StdCosts and StdRates'!$A$2:$E$7,G5)*F5</f>
        <v>115</v>
      </c>
      <c r="I5" s="967"/>
      <c r="J5" s="967"/>
      <c r="K5" s="967"/>
      <c r="L5" s="967"/>
      <c r="M5" s="967"/>
      <c r="N5" s="967">
        <v>115</v>
      </c>
    </row>
    <row r="6" spans="1:14">
      <c r="A6" s="967" t="s">
        <v>405</v>
      </c>
      <c r="B6" s="967" t="s">
        <v>405</v>
      </c>
      <c r="C6" s="967" t="s">
        <v>772</v>
      </c>
      <c r="D6" s="967"/>
      <c r="E6" s="967" t="str">
        <f t="shared" si="0"/>
        <v>CanadaCanadaE - Principal</v>
      </c>
      <c r="F6" s="662" cm="1">
        <f t="array" ref="F6">_xlfn.XLOOKUP(B6&amp;A6,FX!$A$2:$A$26&amp;FX!$B$2:$B$26,FX!$C$2:$C$26)</f>
        <v>1</v>
      </c>
      <c r="G6" s="967" cm="1">
        <f t="array" ref="G6">_xlfn.IFS(B6="Canada",2,B6="India",3,B6="UK",4,B6="USA",5)</f>
        <v>2</v>
      </c>
      <c r="H6" s="662">
        <f>VLOOKUP(C6,'StdCosts and StdRates'!$A$2:$E$7,G6)*F6</f>
        <v>165</v>
      </c>
      <c r="I6" s="967"/>
      <c r="J6" s="967"/>
      <c r="K6" s="967"/>
      <c r="L6" s="967"/>
      <c r="M6" s="967"/>
      <c r="N6" s="967">
        <v>165</v>
      </c>
    </row>
    <row r="7" spans="1:14">
      <c r="A7" s="967" t="s">
        <v>405</v>
      </c>
      <c r="B7" s="967" t="s">
        <v>405</v>
      </c>
      <c r="C7" s="967" t="s">
        <v>775</v>
      </c>
      <c r="D7" s="967"/>
      <c r="E7" s="967" t="str">
        <f t="shared" si="0"/>
        <v>CanadaCanadaF - Chief</v>
      </c>
      <c r="F7" s="662" cm="1">
        <f t="array" ref="F7">_xlfn.XLOOKUP(B7&amp;A7,FX!$A$2:$A$26&amp;FX!$B$2:$B$26,FX!$C$2:$C$26)</f>
        <v>1</v>
      </c>
      <c r="G7" s="967" cm="1">
        <f t="array" ref="G7">_xlfn.IFS(B7="Canada",2,B7="India",3,B7="UK",4,B7="USA",5)</f>
        <v>2</v>
      </c>
      <c r="H7" s="662">
        <f>VLOOKUP(C7,'StdCosts and StdRates'!$A$2:$E$7,G7)*F7</f>
        <v>245</v>
      </c>
      <c r="I7" s="967"/>
      <c r="J7" s="967"/>
      <c r="K7" s="967"/>
      <c r="L7" s="967"/>
      <c r="M7" s="967"/>
      <c r="N7" s="967">
        <v>245</v>
      </c>
    </row>
    <row r="8" spans="1:14">
      <c r="A8" s="967" t="s">
        <v>405</v>
      </c>
      <c r="B8" s="967" t="s">
        <v>227</v>
      </c>
      <c r="C8" s="967" t="s">
        <v>753</v>
      </c>
      <c r="D8" s="967"/>
      <c r="E8" s="967" t="str">
        <f t="shared" si="0"/>
        <v>CanadaIndiaA - Associate</v>
      </c>
      <c r="F8" s="662" cm="1">
        <f t="array" ref="F8">_xlfn.XLOOKUP(B8&amp;A8,FX!$A$2:$A$26&amp;FX!$B$2:$B$26,FX!$C$2:$C$26)</f>
        <v>1.6389999999999998E-2</v>
      </c>
      <c r="G8" s="967" cm="1">
        <f t="array" ref="G8">_xlfn.IFS(B8="Canada",2,B8="India",3,B8="UK",4,B8="USA",5)</f>
        <v>3</v>
      </c>
      <c r="H8" s="662">
        <f>VLOOKUP(C8,'StdCosts and StdRates'!$A$2:$E$7,G8)*F8</f>
        <v>7.8671999999999995</v>
      </c>
      <c r="I8" s="967"/>
      <c r="J8" s="967"/>
      <c r="K8" s="967"/>
      <c r="L8" s="967"/>
      <c r="M8" s="967"/>
      <c r="N8" s="967">
        <v>7.6895999999999995</v>
      </c>
    </row>
    <row r="9" spans="1:14">
      <c r="A9" s="967" t="s">
        <v>405</v>
      </c>
      <c r="B9" s="967" t="s">
        <v>227</v>
      </c>
      <c r="C9" s="967" t="s">
        <v>352</v>
      </c>
      <c r="D9" s="967"/>
      <c r="E9" s="967" t="str">
        <f t="shared" si="0"/>
        <v>CanadaIndiaB - Staff</v>
      </c>
      <c r="F9" s="662" cm="1">
        <f t="array" ref="F9">_xlfn.XLOOKUP(B9&amp;A9,FX!$A$2:$A$26&amp;FX!$B$2:$B$26,FX!$C$2:$C$26)</f>
        <v>1.6389999999999998E-2</v>
      </c>
      <c r="G9" s="967" cm="1">
        <f t="array" ref="G9">_xlfn.IFS(B9="Canada",2,B9="India",3,B9="UK",4,B9="USA",5)</f>
        <v>3</v>
      </c>
      <c r="H9" s="662">
        <f>VLOOKUP(C9,'StdCosts and StdRates'!$A$2:$E$7,G9)*F9</f>
        <v>16.963649999999998</v>
      </c>
      <c r="I9" s="967"/>
      <c r="J9" s="967"/>
      <c r="K9" s="967"/>
      <c r="L9" s="967"/>
      <c r="M9" s="967"/>
      <c r="N9" s="967">
        <v>16.5807</v>
      </c>
    </row>
    <row r="10" spans="1:14">
      <c r="A10" s="967" t="s">
        <v>405</v>
      </c>
      <c r="B10" s="967" t="s">
        <v>227</v>
      </c>
      <c r="C10" s="967" t="s">
        <v>355</v>
      </c>
      <c r="D10" s="967"/>
      <c r="E10" s="967" t="str">
        <f t="shared" si="0"/>
        <v>CanadaIndiaC - Senior</v>
      </c>
      <c r="F10" s="662" cm="1">
        <f t="array" ref="F10">_xlfn.XLOOKUP(B10&amp;A10,FX!$A$2:$A$26&amp;FX!$B$2:$B$26,FX!$C$2:$C$26)</f>
        <v>1.6389999999999998E-2</v>
      </c>
      <c r="G10" s="967" cm="1">
        <f t="array" ref="G10">_xlfn.IFS(B10="Canada",2,B10="India",3,B10="UK",4,B10="USA",5)</f>
        <v>3</v>
      </c>
      <c r="H10" s="662">
        <f>VLOOKUP(C10,'StdCosts and StdRates'!$A$2:$E$7,G10)*F10</f>
        <v>24.748899999999999</v>
      </c>
      <c r="I10" s="967"/>
      <c r="J10" s="967"/>
      <c r="K10" s="967"/>
      <c r="L10" s="967"/>
      <c r="M10" s="967"/>
      <c r="N10" s="967">
        <v>24.190200000000001</v>
      </c>
    </row>
    <row r="11" spans="1:14">
      <c r="A11" s="967" t="s">
        <v>405</v>
      </c>
      <c r="B11" s="967" t="s">
        <v>227</v>
      </c>
      <c r="C11" s="967" t="s">
        <v>358</v>
      </c>
      <c r="D11" s="967"/>
      <c r="E11" s="967" t="str">
        <f t="shared" si="0"/>
        <v>CanadaIndiaD - Lead</v>
      </c>
      <c r="F11" s="662" cm="1">
        <f t="array" ref="F11">_xlfn.XLOOKUP(B11&amp;A11,FX!$A$2:$A$26&amp;FX!$B$2:$B$26,FX!$C$2:$C$26)</f>
        <v>1.6389999999999998E-2</v>
      </c>
      <c r="G11" s="967" cm="1">
        <f t="array" ref="G11">_xlfn.IFS(B11="Canada",2,B11="India",3,B11="UK",4,B11="USA",5)</f>
        <v>3</v>
      </c>
      <c r="H11" s="662">
        <f>VLOOKUP(C11,'StdCosts and StdRates'!$A$2:$E$7,G11)*F11</f>
        <v>44.498849999999997</v>
      </c>
      <c r="I11" s="967"/>
      <c r="J11" s="967"/>
      <c r="K11" s="967"/>
      <c r="L11" s="967"/>
      <c r="M11" s="967"/>
      <c r="N11" s="967">
        <v>43.494299999999996</v>
      </c>
    </row>
    <row r="12" spans="1:14">
      <c r="A12" s="967" t="s">
        <v>405</v>
      </c>
      <c r="B12" s="967" t="s">
        <v>227</v>
      </c>
      <c r="C12" s="967" t="s">
        <v>772</v>
      </c>
      <c r="D12" s="967"/>
      <c r="E12" s="967" t="str">
        <f t="shared" si="0"/>
        <v>CanadaIndiaE - Principal</v>
      </c>
      <c r="F12" s="662" cm="1">
        <f t="array" ref="F12">_xlfn.XLOOKUP(B12&amp;A12,FX!$A$2:$A$26&amp;FX!$B$2:$B$26,FX!$C$2:$C$26)</f>
        <v>1.6389999999999998E-2</v>
      </c>
      <c r="G12" s="967" cm="1">
        <f t="array" ref="G12">_xlfn.IFS(B12="Canada",2,B12="India",3,B12="UK",4,B12="USA",5)</f>
        <v>3</v>
      </c>
      <c r="H12" s="662">
        <f>VLOOKUP(C12,'StdCosts and StdRates'!$A$2:$E$7,G12)*F12</f>
        <v>76.951049999999995</v>
      </c>
      <c r="I12" s="967"/>
      <c r="J12" s="967"/>
      <c r="K12" s="967"/>
      <c r="L12" s="967"/>
      <c r="M12" s="967"/>
      <c r="N12" s="967">
        <v>75.213899999999995</v>
      </c>
    </row>
    <row r="13" spans="1:14">
      <c r="A13" s="967" t="s">
        <v>405</v>
      </c>
      <c r="B13" s="967" t="s">
        <v>227</v>
      </c>
      <c r="C13" s="967" t="s">
        <v>775</v>
      </c>
      <c r="D13" s="967"/>
      <c r="E13" s="967" t="str">
        <f t="shared" si="0"/>
        <v>CanadaIndiaF - Chief</v>
      </c>
      <c r="F13" s="662" cm="1">
        <f t="array" ref="F13">_xlfn.XLOOKUP(B13&amp;A13,FX!$A$2:$A$26&amp;FX!$B$2:$B$26,FX!$C$2:$C$26)</f>
        <v>1.6389999999999998E-2</v>
      </c>
      <c r="G13" s="967" cm="1">
        <f t="array" ref="G13">_xlfn.IFS(B13="Canada",2,B13="India",3,B13="UK",4,B13="USA",5)</f>
        <v>3</v>
      </c>
      <c r="H13" s="662">
        <f>VLOOKUP(C13,'StdCosts and StdRates'!$A$2:$E$7,G13)*F13</f>
        <v>94.242499999999993</v>
      </c>
      <c r="I13" s="967"/>
      <c r="J13" s="967"/>
      <c r="K13" s="967"/>
      <c r="L13" s="967"/>
      <c r="M13" s="967"/>
      <c r="N13" s="967">
        <v>92.114999999999995</v>
      </c>
    </row>
    <row r="14" spans="1:14">
      <c r="A14" s="967" t="s">
        <v>405</v>
      </c>
      <c r="B14" s="967" t="s">
        <v>247</v>
      </c>
      <c r="C14" s="967" t="s">
        <v>753</v>
      </c>
      <c r="D14" s="967"/>
      <c r="E14" s="967" t="str">
        <f t="shared" si="0"/>
        <v>CanadaUKA - Associate</v>
      </c>
      <c r="F14" s="662" cm="1">
        <f t="array" ref="F14">_xlfn.XLOOKUP(B14&amp;A14,FX!$A$2:$A$26&amp;FX!$B$2:$B$26,FX!$C$2:$C$26)</f>
        <v>1.7410699999999999</v>
      </c>
      <c r="G14" s="967" cm="1">
        <f t="array" ref="G14">_xlfn.IFS(B14="Canada",2,B14="India",3,B14="UK",4,B14="USA",5)</f>
        <v>4</v>
      </c>
      <c r="H14" s="662">
        <f>VLOOKUP(C14,'StdCosts and StdRates'!$A$2:$E$7,G14)*F14</f>
        <v>43.52675</v>
      </c>
      <c r="I14" s="967"/>
      <c r="J14" s="967"/>
      <c r="K14" s="967"/>
      <c r="L14" s="967"/>
      <c r="M14" s="967"/>
      <c r="N14" s="967">
        <v>42.947749999999999</v>
      </c>
    </row>
    <row r="15" spans="1:14">
      <c r="A15" s="967" t="s">
        <v>405</v>
      </c>
      <c r="B15" s="967" t="s">
        <v>247</v>
      </c>
      <c r="C15" s="967" t="s">
        <v>352</v>
      </c>
      <c r="D15" s="967"/>
      <c r="E15" s="967" t="str">
        <f t="shared" si="0"/>
        <v>CanadaUKB - Staff</v>
      </c>
      <c r="F15" s="662" cm="1">
        <f t="array" ref="F15">_xlfn.XLOOKUP(B15&amp;A15,FX!$A$2:$A$26&amp;FX!$B$2:$B$26,FX!$C$2:$C$26)</f>
        <v>1.7410699999999999</v>
      </c>
      <c r="G15" s="967" cm="1">
        <f t="array" ref="G15">_xlfn.IFS(B15="Canada",2,B15="India",3,B15="UK",4,B15="USA",5)</f>
        <v>4</v>
      </c>
      <c r="H15" s="662">
        <f>VLOOKUP(C15,'StdCosts and StdRates'!$A$2:$E$7,G15)*F15</f>
        <v>78.34814999999999</v>
      </c>
      <c r="I15" s="967"/>
      <c r="J15" s="967"/>
      <c r="K15" s="967"/>
      <c r="L15" s="967"/>
      <c r="M15" s="967"/>
      <c r="N15" s="967">
        <v>77.305949999999996</v>
      </c>
    </row>
    <row r="16" spans="1:14">
      <c r="A16" s="967" t="s">
        <v>405</v>
      </c>
      <c r="B16" s="967" t="s">
        <v>247</v>
      </c>
      <c r="C16" s="967" t="s">
        <v>355</v>
      </c>
      <c r="D16" s="967"/>
      <c r="E16" s="967" t="str">
        <f t="shared" si="0"/>
        <v>CanadaUKC - Senior</v>
      </c>
      <c r="F16" s="662" cm="1">
        <f t="array" ref="F16">_xlfn.XLOOKUP(B16&amp;A16,FX!$A$2:$A$26&amp;FX!$B$2:$B$26,FX!$C$2:$C$26)</f>
        <v>1.7410699999999999</v>
      </c>
      <c r="G16" s="967" cm="1">
        <f t="array" ref="G16">_xlfn.IFS(B16="Canada",2,B16="India",3,B16="UK",4,B16="USA",5)</f>
        <v>4</v>
      </c>
      <c r="H16" s="662">
        <f>VLOOKUP(C16,'StdCosts and StdRates'!$A$2:$E$7,G16)*F16</f>
        <v>104.46419999999999</v>
      </c>
      <c r="I16" s="967"/>
      <c r="J16" s="967"/>
      <c r="K16" s="967"/>
      <c r="L16" s="967"/>
      <c r="M16" s="967"/>
      <c r="N16" s="967">
        <v>103.0746</v>
      </c>
    </row>
    <row r="17" spans="1:14">
      <c r="A17" s="967" t="s">
        <v>405</v>
      </c>
      <c r="B17" s="967" t="s">
        <v>247</v>
      </c>
      <c r="C17" s="967" t="s">
        <v>358</v>
      </c>
      <c r="D17" s="967"/>
      <c r="E17" s="967" t="str">
        <f t="shared" si="0"/>
        <v>CanadaUKD - Lead</v>
      </c>
      <c r="F17" s="662" cm="1">
        <f t="array" ref="F17">_xlfn.XLOOKUP(B17&amp;A17,FX!$A$2:$A$26&amp;FX!$B$2:$B$26,FX!$C$2:$C$26)</f>
        <v>1.7410699999999999</v>
      </c>
      <c r="G17" s="967" cm="1">
        <f t="array" ref="G17">_xlfn.IFS(B17="Canada",2,B17="India",3,B17="UK",4,B17="USA",5)</f>
        <v>4</v>
      </c>
      <c r="H17" s="662">
        <f>VLOOKUP(C17,'StdCosts and StdRates'!$A$2:$E$7,G17)*F17</f>
        <v>130.58024999999998</v>
      </c>
      <c r="I17" s="967"/>
      <c r="J17" s="967"/>
      <c r="K17" s="967"/>
      <c r="L17" s="967"/>
      <c r="M17" s="967"/>
      <c r="N17" s="967">
        <v>128.84325000000001</v>
      </c>
    </row>
    <row r="18" spans="1:14">
      <c r="A18" s="967" t="s">
        <v>405</v>
      </c>
      <c r="B18" s="967" t="s">
        <v>247</v>
      </c>
      <c r="C18" s="967" t="s">
        <v>772</v>
      </c>
      <c r="D18" s="967"/>
      <c r="E18" s="967" t="str">
        <f t="shared" si="0"/>
        <v>CanadaUKE - Principal</v>
      </c>
      <c r="F18" s="662" cm="1">
        <f t="array" ref="F18">_xlfn.XLOOKUP(B18&amp;A18,FX!$A$2:$A$26&amp;FX!$B$2:$B$26,FX!$C$2:$C$26)</f>
        <v>1.7410699999999999</v>
      </c>
      <c r="G18" s="967" cm="1">
        <f t="array" ref="G18">_xlfn.IFS(B18="Canada",2,B18="India",3,B18="UK",4,B18="USA",5)</f>
        <v>4</v>
      </c>
      <c r="H18" s="662">
        <f>VLOOKUP(C18,'StdCosts and StdRates'!$A$2:$E$7,G18)*F18</f>
        <v>181.07128</v>
      </c>
      <c r="I18" s="967"/>
      <c r="J18" s="967"/>
      <c r="K18" s="967"/>
      <c r="L18" s="967"/>
      <c r="M18" s="967"/>
      <c r="N18" s="967">
        <v>178.66264000000001</v>
      </c>
    </row>
    <row r="19" spans="1:14">
      <c r="A19" s="967" t="s">
        <v>405</v>
      </c>
      <c r="B19" s="967" t="s">
        <v>247</v>
      </c>
      <c r="C19" s="967" t="s">
        <v>775</v>
      </c>
      <c r="D19" s="967"/>
      <c r="E19" s="967" t="str">
        <f t="shared" si="0"/>
        <v>CanadaUKF - Chief</v>
      </c>
      <c r="F19" s="662" cm="1">
        <f t="array" ref="F19">_xlfn.XLOOKUP(B19&amp;A19,FX!$A$2:$A$26&amp;FX!$B$2:$B$26,FX!$C$2:$C$26)</f>
        <v>1.7410699999999999</v>
      </c>
      <c r="G19" s="967" cm="1">
        <f t="array" ref="G19">_xlfn.IFS(B19="Canada",2,B19="India",3,B19="UK",4,B19="USA",5)</f>
        <v>4</v>
      </c>
      <c r="H19" s="662">
        <f>VLOOKUP(C19,'StdCosts and StdRates'!$A$2:$E$7,G19)*F19</f>
        <v>252.45514999999997</v>
      </c>
      <c r="I19" s="967"/>
      <c r="J19" s="967"/>
      <c r="K19" s="967"/>
      <c r="L19" s="967"/>
      <c r="M19" s="967"/>
      <c r="N19" s="967">
        <v>249.09695000000002</v>
      </c>
    </row>
    <row r="20" spans="1:14">
      <c r="A20" s="967" t="s">
        <v>405</v>
      </c>
      <c r="B20" s="967" t="s">
        <v>308</v>
      </c>
      <c r="C20" s="967" t="s">
        <v>753</v>
      </c>
      <c r="D20" s="967"/>
      <c r="E20" s="967" t="str">
        <f t="shared" si="0"/>
        <v>CanadaUSAA - Associate</v>
      </c>
      <c r="F20" s="662" cm="1">
        <f t="array" ref="F20">_xlfn.XLOOKUP(B20&amp;A20,FX!$A$2:$A$26&amp;FX!$B$2:$B$26,FX!$C$2:$C$26)</f>
        <v>1.36311</v>
      </c>
      <c r="G20" s="967" cm="1">
        <f t="array" ref="G20">_xlfn.IFS(B20="Canada",2,B20="India",3,B20="UK",4,B20="USA",5)</f>
        <v>5</v>
      </c>
      <c r="H20" s="662">
        <f>VLOOKUP(C20,'StdCosts and StdRates'!$A$2:$E$7,G20)*F20</f>
        <v>88.602150000000009</v>
      </c>
      <c r="I20" s="967"/>
      <c r="J20" s="967"/>
      <c r="K20" s="967"/>
      <c r="L20" s="967"/>
      <c r="M20" s="967"/>
      <c r="N20" s="967">
        <v>85.447050000000004</v>
      </c>
    </row>
    <row r="21" spans="1:14">
      <c r="A21" s="967" t="s">
        <v>405</v>
      </c>
      <c r="B21" s="967" t="s">
        <v>308</v>
      </c>
      <c r="C21" s="967" t="s">
        <v>352</v>
      </c>
      <c r="D21" s="967"/>
      <c r="E21" s="967" t="str">
        <f t="shared" si="0"/>
        <v>CanadaUSAB - Staff</v>
      </c>
      <c r="F21" s="662" cm="1">
        <f t="array" ref="F21">_xlfn.XLOOKUP(B21&amp;A21,FX!$A$2:$A$26&amp;FX!$B$2:$B$26,FX!$C$2:$C$26)</f>
        <v>1.36311</v>
      </c>
      <c r="G21" s="967" cm="1">
        <f t="array" ref="G21">_xlfn.IFS(B21="Canada",2,B21="India",3,B21="UK",4,B21="USA",5)</f>
        <v>5</v>
      </c>
      <c r="H21" s="662">
        <f>VLOOKUP(C21,'StdCosts and StdRates'!$A$2:$E$7,G21)*F21</f>
        <v>109.0488</v>
      </c>
      <c r="I21" s="967"/>
      <c r="J21" s="967"/>
      <c r="K21" s="967"/>
      <c r="L21" s="967"/>
      <c r="M21" s="967"/>
      <c r="N21" s="967">
        <v>105.1656</v>
      </c>
    </row>
    <row r="22" spans="1:14">
      <c r="A22" s="967" t="s">
        <v>405</v>
      </c>
      <c r="B22" s="967" t="s">
        <v>308</v>
      </c>
      <c r="C22" s="967" t="s">
        <v>355</v>
      </c>
      <c r="D22" s="967"/>
      <c r="E22" s="967" t="str">
        <f t="shared" si="0"/>
        <v>CanadaUSAC - Senior</v>
      </c>
      <c r="F22" s="662" cm="1">
        <f t="array" ref="F22">_xlfn.XLOOKUP(B22&amp;A22,FX!$A$2:$A$26&amp;FX!$B$2:$B$26,FX!$C$2:$C$26)</f>
        <v>1.36311</v>
      </c>
      <c r="G22" s="967" cm="1">
        <f t="array" ref="G22">_xlfn.IFS(B22="Canada",2,B22="India",3,B22="UK",4,B22="USA",5)</f>
        <v>5</v>
      </c>
      <c r="H22" s="662">
        <f>VLOOKUP(C22,'StdCosts and StdRates'!$A$2:$E$7,G22)*F22</f>
        <v>136.31100000000001</v>
      </c>
      <c r="I22" s="967"/>
      <c r="J22" s="967"/>
      <c r="K22" s="967"/>
      <c r="L22" s="967"/>
      <c r="M22" s="967"/>
      <c r="N22" s="967">
        <v>131.45699999999999</v>
      </c>
    </row>
    <row r="23" spans="1:14">
      <c r="A23" s="967" t="s">
        <v>405</v>
      </c>
      <c r="B23" s="967" t="s">
        <v>308</v>
      </c>
      <c r="C23" s="967" t="s">
        <v>358</v>
      </c>
      <c r="D23" s="967"/>
      <c r="E23" s="967" t="str">
        <f t="shared" si="0"/>
        <v>CanadaUSAD - Lead</v>
      </c>
      <c r="F23" s="662" cm="1">
        <f t="array" ref="F23">_xlfn.XLOOKUP(B23&amp;A23,FX!$A$2:$A$26&amp;FX!$B$2:$B$26,FX!$C$2:$C$26)</f>
        <v>1.36311</v>
      </c>
      <c r="G23" s="967" cm="1">
        <f t="array" ref="G23">_xlfn.IFS(B23="Canada",2,B23="India",3,B23="UK",4,B23="USA",5)</f>
        <v>5</v>
      </c>
      <c r="H23" s="662">
        <f>VLOOKUP(C23,'StdCosts and StdRates'!$A$2:$E$7,G23)*F23</f>
        <v>156.75765000000001</v>
      </c>
      <c r="I23" s="967"/>
      <c r="J23" s="967"/>
      <c r="K23" s="967"/>
      <c r="L23" s="967"/>
      <c r="M23" s="967"/>
      <c r="N23" s="967">
        <v>151.17555000000002</v>
      </c>
    </row>
    <row r="24" spans="1:14">
      <c r="A24" s="967" t="s">
        <v>405</v>
      </c>
      <c r="B24" s="967" t="s">
        <v>308</v>
      </c>
      <c r="C24" s="967" t="s">
        <v>772</v>
      </c>
      <c r="D24" s="967"/>
      <c r="E24" s="967" t="str">
        <f t="shared" si="0"/>
        <v>CanadaUSAE - Principal</v>
      </c>
      <c r="F24" s="662" cm="1">
        <f t="array" ref="F24">_xlfn.XLOOKUP(B24&amp;A24,FX!$A$2:$A$26&amp;FX!$B$2:$B$26,FX!$C$2:$C$26)</f>
        <v>1.36311</v>
      </c>
      <c r="G24" s="967" cm="1">
        <f t="array" ref="G24">_xlfn.IFS(B24="Canada",2,B24="India",3,B24="UK",4,B24="USA",5)</f>
        <v>5</v>
      </c>
      <c r="H24" s="662">
        <f>VLOOKUP(C24,'StdCosts and StdRates'!$A$2:$E$7,G24)*F24</f>
        <v>231.7287</v>
      </c>
      <c r="I24" s="967"/>
      <c r="J24" s="967"/>
      <c r="K24" s="967"/>
      <c r="L24" s="967"/>
      <c r="M24" s="967"/>
      <c r="N24" s="967">
        <v>223.4769</v>
      </c>
    </row>
    <row r="25" spans="1:14">
      <c r="A25" s="967" t="s">
        <v>405</v>
      </c>
      <c r="B25" s="967" t="s">
        <v>308</v>
      </c>
      <c r="C25" s="967" t="s">
        <v>775</v>
      </c>
      <c r="D25" s="967"/>
      <c r="E25" s="967" t="str">
        <f t="shared" si="0"/>
        <v>CanadaUSAF - Chief</v>
      </c>
      <c r="F25" s="662" cm="1">
        <f t="array" ref="F25">_xlfn.XLOOKUP(B25&amp;A25,FX!$A$2:$A$26&amp;FX!$B$2:$B$26,FX!$C$2:$C$26)</f>
        <v>1.36311</v>
      </c>
      <c r="G25" s="967" cm="1">
        <f t="array" ref="G25">_xlfn.IFS(B25="Canada",2,B25="India",3,B25="UK",4,B25="USA",5)</f>
        <v>5</v>
      </c>
      <c r="H25" s="662">
        <f>VLOOKUP(C25,'StdCosts and StdRates'!$A$2:$E$7,G25)*F25</f>
        <v>293.06864999999999</v>
      </c>
      <c r="I25" s="967"/>
      <c r="J25" s="967"/>
      <c r="K25" s="967"/>
      <c r="L25" s="967"/>
      <c r="M25" s="967"/>
      <c r="N25" s="967">
        <v>282.63254999999998</v>
      </c>
    </row>
    <row r="26" spans="1:14">
      <c r="A26" s="967" t="s">
        <v>227</v>
      </c>
      <c r="B26" s="967" t="s">
        <v>405</v>
      </c>
      <c r="C26" s="967" t="s">
        <v>753</v>
      </c>
      <c r="D26" s="967"/>
      <c r="E26" s="967" t="str">
        <f t="shared" si="0"/>
        <v>IndiaCanadaA - Associate</v>
      </c>
      <c r="F26" s="662" cm="1">
        <f t="array" ref="F26">_xlfn.XLOOKUP(B26&amp;A26,FX!$A$2:$A$26&amp;FX!$B$2:$B$26,FX!$C$2:$C$26)</f>
        <v>61.008200000000002</v>
      </c>
      <c r="G26" s="967" cm="1">
        <f t="array" ref="G26">_xlfn.IFS(B26="Canada",2,B26="India",3,B26="UK",4,B26="USA",5)</f>
        <v>2</v>
      </c>
      <c r="H26" s="662">
        <f>VLOOKUP(C26,'StdCosts and StdRates'!$A$2:$E$7,G26)*F26</f>
        <v>3355.451</v>
      </c>
      <c r="I26" s="967"/>
      <c r="J26" s="967"/>
      <c r="K26" s="967"/>
      <c r="L26" s="967"/>
      <c r="M26" s="967"/>
      <c r="N26" s="967">
        <v>3432.2694999999999</v>
      </c>
    </row>
    <row r="27" spans="1:14">
      <c r="A27" s="967" t="s">
        <v>227</v>
      </c>
      <c r="B27" s="967" t="s">
        <v>405</v>
      </c>
      <c r="C27" s="967" t="s">
        <v>352</v>
      </c>
      <c r="D27" s="967"/>
      <c r="E27" s="967" t="str">
        <f t="shared" si="0"/>
        <v>IndiaCanadaB - Staff</v>
      </c>
      <c r="F27" s="662" cm="1">
        <f t="array" ref="F27">_xlfn.XLOOKUP(B27&amp;A27,FX!$A$2:$A$26&amp;FX!$B$2:$B$26,FX!$C$2:$C$26)</f>
        <v>61.008200000000002</v>
      </c>
      <c r="G27" s="967" cm="1">
        <f t="array" ref="G27">_xlfn.IFS(B27="Canada",2,B27="India",3,B27="UK",4,B27="USA",5)</f>
        <v>2</v>
      </c>
      <c r="H27" s="662">
        <f>VLOOKUP(C27,'StdCosts and StdRates'!$A$2:$E$7,G27)*F27</f>
        <v>4575.6149999999998</v>
      </c>
      <c r="I27" s="967"/>
      <c r="J27" s="967"/>
      <c r="K27" s="967"/>
      <c r="L27" s="967"/>
      <c r="M27" s="967"/>
      <c r="N27" s="967">
        <v>4680.3675000000003</v>
      </c>
    </row>
    <row r="28" spans="1:14">
      <c r="A28" s="967" t="s">
        <v>227</v>
      </c>
      <c r="B28" s="967" t="s">
        <v>405</v>
      </c>
      <c r="C28" s="967" t="s">
        <v>355</v>
      </c>
      <c r="D28" s="967"/>
      <c r="E28" s="967" t="str">
        <f t="shared" si="0"/>
        <v>IndiaCanadaC - Senior</v>
      </c>
      <c r="F28" s="662" cm="1">
        <f t="array" ref="F28">_xlfn.XLOOKUP(B28&amp;A28,FX!$A$2:$A$26&amp;FX!$B$2:$B$26,FX!$C$2:$C$26)</f>
        <v>61.008200000000002</v>
      </c>
      <c r="G28" s="967" cm="1">
        <f t="array" ref="G28">_xlfn.IFS(B28="Canada",2,B28="India",3,B28="UK",4,B28="USA",5)</f>
        <v>2</v>
      </c>
      <c r="H28" s="662">
        <f>VLOOKUP(C28,'StdCosts and StdRates'!$A$2:$E$7,G28)*F28</f>
        <v>5795.7790000000005</v>
      </c>
      <c r="I28" s="967"/>
      <c r="J28" s="967"/>
      <c r="K28" s="967"/>
      <c r="L28" s="967"/>
      <c r="M28" s="967"/>
      <c r="N28" s="967">
        <v>5928.4655000000002</v>
      </c>
    </row>
    <row r="29" spans="1:14">
      <c r="A29" t="s">
        <v>405</v>
      </c>
      <c r="B29" t="s">
        <v>405</v>
      </c>
      <c r="C29" t="s">
        <v>753</v>
      </c>
      <c r="D29"/>
      <c r="E29" t="str">
        <f>A29&amp;B29&amp;C29</f>
        <v>CanadaCanadaA - Associate</v>
      </c>
      <c r="F29" s="662" cm="1">
        <f t="array" ref="F29">_xlfn.XLOOKUP(B29&amp;A29,FX!$A$2:$A$26&amp;FX!$B$2:$B$26,FX!$C$2:$C$26)</f>
        <v>1</v>
      </c>
      <c r="G29" cm="1">
        <f t="array" ref="G29">_xlfn.IFS(B29="Canada",2,B29="India",3,B29="UK",4,B29="USA",5)</f>
        <v>2</v>
      </c>
      <c r="H29" s="662">
        <f>VLOOKUP(C29,'StdCosts and StdRates'!$A$2:$E$7,G29)*F29</f>
        <v>55</v>
      </c>
      <c r="I29" s="967"/>
      <c r="J29" s="967"/>
      <c r="K29" s="967"/>
      <c r="L29" s="967"/>
      <c r="M29" s="967"/>
      <c r="N29" s="967">
        <v>55</v>
      </c>
    </row>
    <row r="30" spans="1:14">
      <c r="A30" t="s">
        <v>405</v>
      </c>
      <c r="B30" t="s">
        <v>405</v>
      </c>
      <c r="C30" t="s">
        <v>352</v>
      </c>
      <c r="D30"/>
      <c r="E30" t="str">
        <f t="shared" ref="E30:E93" si="1">A30&amp;B30&amp;C30</f>
        <v>CanadaCanadaB - Staff</v>
      </c>
      <c r="F30" s="662" cm="1">
        <f t="array" ref="F30">_xlfn.XLOOKUP(B30&amp;A30,FX!$A$2:$A$26&amp;FX!$B$2:$B$26,FX!$C$2:$C$26)</f>
        <v>1</v>
      </c>
      <c r="G30" cm="1">
        <f t="array" ref="G30">_xlfn.IFS(B30="Canada",2,B30="India",3,B30="UK",4,B30="USA",5)</f>
        <v>2</v>
      </c>
      <c r="H30" s="662">
        <f>VLOOKUP(C30,'StdCosts and StdRates'!$A$2:$E$7,G30)*F30</f>
        <v>75</v>
      </c>
      <c r="I30" s="967"/>
      <c r="J30" s="967"/>
      <c r="K30" s="967"/>
      <c r="L30" s="967"/>
      <c r="M30" s="967"/>
      <c r="N30" s="967">
        <v>75</v>
      </c>
    </row>
    <row r="31" spans="1:14">
      <c r="A31" t="s">
        <v>405</v>
      </c>
      <c r="B31" t="s">
        <v>405</v>
      </c>
      <c r="C31" t="s">
        <v>355</v>
      </c>
      <c r="D31"/>
      <c r="E31" t="str">
        <f t="shared" si="1"/>
        <v>CanadaCanadaC - Senior</v>
      </c>
      <c r="F31" s="662" cm="1">
        <f t="array" ref="F31">_xlfn.XLOOKUP(B31&amp;A31,FX!$A$2:$A$26&amp;FX!$B$2:$B$26,FX!$C$2:$C$26)</f>
        <v>1</v>
      </c>
      <c r="G31" cm="1">
        <f t="array" ref="G31">_xlfn.IFS(B31="Canada",2,B31="India",3,B31="UK",4,B31="USA",5)</f>
        <v>2</v>
      </c>
      <c r="H31" s="662">
        <f>VLOOKUP(C31,'StdCosts and StdRates'!$A$2:$E$7,G31)*F31</f>
        <v>95</v>
      </c>
      <c r="I31" s="967"/>
      <c r="J31" s="967"/>
      <c r="K31" s="967"/>
      <c r="L31" s="967"/>
      <c r="M31" s="967"/>
      <c r="N31" s="967">
        <v>95</v>
      </c>
    </row>
    <row r="32" spans="1:14">
      <c r="A32" t="s">
        <v>405</v>
      </c>
      <c r="B32" t="s">
        <v>405</v>
      </c>
      <c r="C32" t="s">
        <v>358</v>
      </c>
      <c r="D32"/>
      <c r="E32" t="str">
        <f t="shared" si="1"/>
        <v>CanadaCanadaD - Lead</v>
      </c>
      <c r="F32" s="662" cm="1">
        <f t="array" ref="F32">_xlfn.XLOOKUP(B32&amp;A32,FX!$A$2:$A$26&amp;FX!$B$2:$B$26,FX!$C$2:$C$26)</f>
        <v>1</v>
      </c>
      <c r="G32" cm="1">
        <f t="array" ref="G32">_xlfn.IFS(B32="Canada",2,B32="India",3,B32="UK",4,B32="USA",5)</f>
        <v>2</v>
      </c>
      <c r="H32" s="662">
        <f>VLOOKUP(C32,'StdCosts and StdRates'!$A$2:$E$7,G32)*F32</f>
        <v>115</v>
      </c>
      <c r="I32" s="967"/>
      <c r="J32" s="967"/>
      <c r="K32" s="967"/>
      <c r="L32" s="967"/>
      <c r="M32" s="967"/>
      <c r="N32" s="967">
        <v>115</v>
      </c>
    </row>
    <row r="33" spans="1:14">
      <c r="A33" t="s">
        <v>405</v>
      </c>
      <c r="B33" t="s">
        <v>405</v>
      </c>
      <c r="C33" t="s">
        <v>772</v>
      </c>
      <c r="D33"/>
      <c r="E33" t="str">
        <f t="shared" si="1"/>
        <v>CanadaCanadaE - Principal</v>
      </c>
      <c r="F33" s="662" cm="1">
        <f t="array" ref="F33">_xlfn.XLOOKUP(B33&amp;A33,FX!$A$2:$A$26&amp;FX!$B$2:$B$26,FX!$C$2:$C$26)</f>
        <v>1</v>
      </c>
      <c r="G33" cm="1">
        <f t="array" ref="G33">_xlfn.IFS(B33="Canada",2,B33="India",3,B33="UK",4,B33="USA",5)</f>
        <v>2</v>
      </c>
      <c r="H33" s="662">
        <f>VLOOKUP(C33,'StdCosts and StdRates'!$A$2:$E$7,G33)*F33</f>
        <v>165</v>
      </c>
      <c r="I33" s="967"/>
      <c r="J33" s="967"/>
      <c r="K33" s="967"/>
      <c r="L33" s="967"/>
      <c r="M33" s="967"/>
      <c r="N33" s="967">
        <v>165</v>
      </c>
    </row>
    <row r="34" spans="1:14">
      <c r="A34" t="s">
        <v>405</v>
      </c>
      <c r="B34" t="s">
        <v>405</v>
      </c>
      <c r="C34" t="s">
        <v>775</v>
      </c>
      <c r="D34"/>
      <c r="E34" t="str">
        <f t="shared" si="1"/>
        <v>CanadaCanadaF - Chief</v>
      </c>
      <c r="F34" s="662" cm="1">
        <f t="array" ref="F34">_xlfn.XLOOKUP(B34&amp;A34,FX!$A$2:$A$26&amp;FX!$B$2:$B$26,FX!$C$2:$C$26)</f>
        <v>1</v>
      </c>
      <c r="G34" cm="1">
        <f t="array" ref="G34">_xlfn.IFS(B34="Canada",2,B34="India",3,B34="UK",4,B34="USA",5)</f>
        <v>2</v>
      </c>
      <c r="H34" s="662">
        <f>VLOOKUP(C34,'StdCosts and StdRates'!$A$2:$E$7,G34)*F34</f>
        <v>245</v>
      </c>
      <c r="I34" s="967"/>
      <c r="J34" s="967"/>
      <c r="K34" s="967"/>
      <c r="L34" s="967"/>
      <c r="M34" s="967"/>
      <c r="N34" s="967">
        <v>245</v>
      </c>
    </row>
    <row r="35" spans="1:14">
      <c r="A35" t="s">
        <v>405</v>
      </c>
      <c r="B35" t="s">
        <v>227</v>
      </c>
      <c r="C35" t="s">
        <v>753</v>
      </c>
      <c r="D35"/>
      <c r="E35" t="str">
        <f t="shared" si="1"/>
        <v>CanadaIndiaA - Associate</v>
      </c>
      <c r="F35" s="662" cm="1">
        <f t="array" ref="F35">_xlfn.XLOOKUP(B35&amp;A35,FX!$A$2:$A$26&amp;FX!$B$2:$B$26,FX!$C$2:$C$26)</f>
        <v>1.6389999999999998E-2</v>
      </c>
      <c r="G35" cm="1">
        <f t="array" ref="G35">_xlfn.IFS(B35="Canada",2,B35="India",3,B35="UK",4,B35="USA",5)</f>
        <v>3</v>
      </c>
      <c r="H35" s="662">
        <f>VLOOKUP(C35,'StdCosts and StdRates'!$A$2:$E$7,G35)*F35</f>
        <v>7.8671999999999995</v>
      </c>
      <c r="I35" s="967"/>
      <c r="J35" s="967"/>
      <c r="K35" s="967"/>
      <c r="L35" s="967"/>
      <c r="M35" s="967"/>
      <c r="N35" s="967">
        <v>7.6895999999999995</v>
      </c>
    </row>
    <row r="36" spans="1:14">
      <c r="A36" t="s">
        <v>405</v>
      </c>
      <c r="B36" t="s">
        <v>227</v>
      </c>
      <c r="C36" t="s">
        <v>352</v>
      </c>
      <c r="D36"/>
      <c r="E36" t="str">
        <f t="shared" si="1"/>
        <v>CanadaIndiaB - Staff</v>
      </c>
      <c r="F36" s="662" cm="1">
        <f t="array" ref="F36">_xlfn.XLOOKUP(B36&amp;A36,FX!$A$2:$A$26&amp;FX!$B$2:$B$26,FX!$C$2:$C$26)</f>
        <v>1.6389999999999998E-2</v>
      </c>
      <c r="G36" cm="1">
        <f t="array" ref="G36">_xlfn.IFS(B36="Canada",2,B36="India",3,B36="UK",4,B36="USA",5)</f>
        <v>3</v>
      </c>
      <c r="H36" s="662">
        <f>VLOOKUP(C36,'StdCosts and StdRates'!$A$2:$E$7,G36)*F36</f>
        <v>16.963649999999998</v>
      </c>
      <c r="I36" s="967"/>
      <c r="J36" s="967"/>
      <c r="K36" s="967"/>
      <c r="L36" s="967"/>
      <c r="M36" s="967"/>
      <c r="N36" s="967">
        <v>16.5807</v>
      </c>
    </row>
    <row r="37" spans="1:14">
      <c r="A37" t="s">
        <v>405</v>
      </c>
      <c r="B37" t="s">
        <v>227</v>
      </c>
      <c r="C37" t="s">
        <v>355</v>
      </c>
      <c r="D37"/>
      <c r="E37" t="str">
        <f t="shared" si="1"/>
        <v>CanadaIndiaC - Senior</v>
      </c>
      <c r="F37" s="662" cm="1">
        <f t="array" ref="F37">_xlfn.XLOOKUP(B37&amp;A37,FX!$A$2:$A$26&amp;FX!$B$2:$B$26,FX!$C$2:$C$26)</f>
        <v>1.6389999999999998E-2</v>
      </c>
      <c r="G37" cm="1">
        <f t="array" ref="G37">_xlfn.IFS(B37="Canada",2,B37="India",3,B37="UK",4,B37="USA",5)</f>
        <v>3</v>
      </c>
      <c r="H37" s="662">
        <f>VLOOKUP(C37,'StdCosts and StdRates'!$A$2:$E$7,G37)*F37</f>
        <v>24.748899999999999</v>
      </c>
      <c r="I37" s="967"/>
      <c r="J37" s="967"/>
      <c r="K37" s="967"/>
      <c r="L37" s="967"/>
      <c r="M37" s="967"/>
      <c r="N37" s="967">
        <v>24.190200000000001</v>
      </c>
    </row>
    <row r="38" spans="1:14">
      <c r="A38" t="s">
        <v>405</v>
      </c>
      <c r="B38" t="s">
        <v>227</v>
      </c>
      <c r="C38" t="s">
        <v>358</v>
      </c>
      <c r="D38"/>
      <c r="E38" t="str">
        <f t="shared" si="1"/>
        <v>CanadaIndiaD - Lead</v>
      </c>
      <c r="F38" s="662" cm="1">
        <f t="array" ref="F38">_xlfn.XLOOKUP(B38&amp;A38,FX!$A$2:$A$26&amp;FX!$B$2:$B$26,FX!$C$2:$C$26)</f>
        <v>1.6389999999999998E-2</v>
      </c>
      <c r="G38" cm="1">
        <f t="array" ref="G38">_xlfn.IFS(B38="Canada",2,B38="India",3,B38="UK",4,B38="USA",5)</f>
        <v>3</v>
      </c>
      <c r="H38" s="662">
        <f>VLOOKUP(C38,'StdCosts and StdRates'!$A$2:$E$7,G38)*F38</f>
        <v>44.498849999999997</v>
      </c>
      <c r="I38" s="967"/>
      <c r="J38" s="967"/>
      <c r="K38" s="967"/>
      <c r="L38" s="967"/>
      <c r="M38" s="967"/>
      <c r="N38" s="967">
        <v>43.494299999999996</v>
      </c>
    </row>
    <row r="39" spans="1:14">
      <c r="A39" t="s">
        <v>405</v>
      </c>
      <c r="B39" t="s">
        <v>227</v>
      </c>
      <c r="C39" t="s">
        <v>772</v>
      </c>
      <c r="D39"/>
      <c r="E39" t="str">
        <f t="shared" si="1"/>
        <v>CanadaIndiaE - Principal</v>
      </c>
      <c r="F39" s="662" cm="1">
        <f t="array" ref="F39">_xlfn.XLOOKUP(B39&amp;A39,FX!$A$2:$A$26&amp;FX!$B$2:$B$26,FX!$C$2:$C$26)</f>
        <v>1.6389999999999998E-2</v>
      </c>
      <c r="G39" cm="1">
        <f t="array" ref="G39">_xlfn.IFS(B39="Canada",2,B39="India",3,B39="UK",4,B39="USA",5)</f>
        <v>3</v>
      </c>
      <c r="H39" s="662">
        <f>VLOOKUP(C39,'StdCosts and StdRates'!$A$2:$E$7,G39)*F39</f>
        <v>76.951049999999995</v>
      </c>
      <c r="I39" s="967"/>
      <c r="J39" s="967"/>
      <c r="K39" s="967"/>
      <c r="L39" s="967"/>
      <c r="M39" s="967"/>
      <c r="N39" s="967">
        <v>75.213899999999995</v>
      </c>
    </row>
    <row r="40" spans="1:14">
      <c r="A40" t="s">
        <v>405</v>
      </c>
      <c r="B40" t="s">
        <v>227</v>
      </c>
      <c r="C40" t="s">
        <v>775</v>
      </c>
      <c r="D40"/>
      <c r="E40" t="str">
        <f t="shared" si="1"/>
        <v>CanadaIndiaF - Chief</v>
      </c>
      <c r="F40" s="662" cm="1">
        <f t="array" ref="F40">_xlfn.XLOOKUP(B40&amp;A40,FX!$A$2:$A$26&amp;FX!$B$2:$B$26,FX!$C$2:$C$26)</f>
        <v>1.6389999999999998E-2</v>
      </c>
      <c r="G40" cm="1">
        <f t="array" ref="G40">_xlfn.IFS(B40="Canada",2,B40="India",3,B40="UK",4,B40="USA",5)</f>
        <v>3</v>
      </c>
      <c r="H40" s="662">
        <f>VLOOKUP(C40,'StdCosts and StdRates'!$A$2:$E$7,G40)*F40</f>
        <v>94.242499999999993</v>
      </c>
      <c r="I40" s="967"/>
      <c r="J40" s="967"/>
      <c r="K40" s="967"/>
      <c r="L40" s="967"/>
      <c r="M40" s="967"/>
      <c r="N40" s="967">
        <v>92.114999999999995</v>
      </c>
    </row>
    <row r="41" spans="1:14">
      <c r="A41" t="s">
        <v>405</v>
      </c>
      <c r="B41" t="s">
        <v>247</v>
      </c>
      <c r="C41" t="s">
        <v>753</v>
      </c>
      <c r="D41"/>
      <c r="E41" t="str">
        <f t="shared" si="1"/>
        <v>CanadaUKA - Associate</v>
      </c>
      <c r="F41" s="662" cm="1">
        <f t="array" ref="F41">_xlfn.XLOOKUP(B41&amp;A41,FX!$A$2:$A$26&amp;FX!$B$2:$B$26,FX!$C$2:$C$26)</f>
        <v>1.7410699999999999</v>
      </c>
      <c r="G41" cm="1">
        <f t="array" ref="G41">_xlfn.IFS(B41="Canada",2,B41="India",3,B41="UK",4,B41="USA",5)</f>
        <v>4</v>
      </c>
      <c r="H41" s="662">
        <f>VLOOKUP(C41,'StdCosts and StdRates'!$A$2:$E$7,G41)*F41</f>
        <v>43.52675</v>
      </c>
      <c r="I41" s="967"/>
      <c r="J41" s="967"/>
      <c r="K41" s="967"/>
      <c r="L41" s="967"/>
      <c r="M41" s="967"/>
      <c r="N41" s="967">
        <v>42.947749999999999</v>
      </c>
    </row>
    <row r="42" spans="1:14">
      <c r="A42" t="s">
        <v>405</v>
      </c>
      <c r="B42" t="s">
        <v>247</v>
      </c>
      <c r="C42" t="s">
        <v>352</v>
      </c>
      <c r="D42"/>
      <c r="E42" t="str">
        <f t="shared" si="1"/>
        <v>CanadaUKB - Staff</v>
      </c>
      <c r="F42" s="662" cm="1">
        <f t="array" ref="F42">_xlfn.XLOOKUP(B42&amp;A42,FX!$A$2:$A$26&amp;FX!$B$2:$B$26,FX!$C$2:$C$26)</f>
        <v>1.7410699999999999</v>
      </c>
      <c r="G42" cm="1">
        <f t="array" ref="G42">_xlfn.IFS(B42="Canada",2,B42="India",3,B42="UK",4,B42="USA",5)</f>
        <v>4</v>
      </c>
      <c r="H42" s="662">
        <f>VLOOKUP(C42,'StdCosts and StdRates'!$A$2:$E$7,G42)*F42</f>
        <v>78.34814999999999</v>
      </c>
      <c r="I42" s="967"/>
      <c r="J42" s="967"/>
      <c r="K42" s="967"/>
      <c r="L42" s="967"/>
      <c r="M42" s="967"/>
      <c r="N42" s="967">
        <v>77.305949999999996</v>
      </c>
    </row>
    <row r="43" spans="1:14">
      <c r="A43" t="s">
        <v>405</v>
      </c>
      <c r="B43" t="s">
        <v>247</v>
      </c>
      <c r="C43" t="s">
        <v>355</v>
      </c>
      <c r="D43"/>
      <c r="E43" t="str">
        <f t="shared" si="1"/>
        <v>CanadaUKC - Senior</v>
      </c>
      <c r="F43" s="662" cm="1">
        <f t="array" ref="F43">_xlfn.XLOOKUP(B43&amp;A43,FX!$A$2:$A$26&amp;FX!$B$2:$B$26,FX!$C$2:$C$26)</f>
        <v>1.7410699999999999</v>
      </c>
      <c r="G43" cm="1">
        <f t="array" ref="G43">_xlfn.IFS(B43="Canada",2,B43="India",3,B43="UK",4,B43="USA",5)</f>
        <v>4</v>
      </c>
      <c r="H43" s="662">
        <f>VLOOKUP(C43,'StdCosts and StdRates'!$A$2:$E$7,G43)*F43</f>
        <v>104.46419999999999</v>
      </c>
      <c r="I43" s="967"/>
      <c r="J43" s="967"/>
      <c r="K43" s="967"/>
      <c r="L43" s="967"/>
      <c r="M43" s="967"/>
      <c r="N43" s="967">
        <v>103.0746</v>
      </c>
    </row>
    <row r="44" spans="1:14">
      <c r="A44" t="s">
        <v>405</v>
      </c>
      <c r="B44" t="s">
        <v>247</v>
      </c>
      <c r="C44" t="s">
        <v>358</v>
      </c>
      <c r="D44"/>
      <c r="E44" t="str">
        <f t="shared" si="1"/>
        <v>CanadaUKD - Lead</v>
      </c>
      <c r="F44" s="662" cm="1">
        <f t="array" ref="F44">_xlfn.XLOOKUP(B44&amp;A44,FX!$A$2:$A$26&amp;FX!$B$2:$B$26,FX!$C$2:$C$26)</f>
        <v>1.7410699999999999</v>
      </c>
      <c r="G44" cm="1">
        <f t="array" ref="G44">_xlfn.IFS(B44="Canada",2,B44="India",3,B44="UK",4,B44="USA",5)</f>
        <v>4</v>
      </c>
      <c r="H44" s="662">
        <f>VLOOKUP(C44,'StdCosts and StdRates'!$A$2:$E$7,G44)*F44</f>
        <v>130.58024999999998</v>
      </c>
      <c r="I44" s="967"/>
      <c r="J44" s="967"/>
      <c r="K44" s="967"/>
      <c r="L44" s="967"/>
      <c r="M44" s="967"/>
      <c r="N44" s="967">
        <v>128.84325000000001</v>
      </c>
    </row>
    <row r="45" spans="1:14">
      <c r="A45" t="s">
        <v>405</v>
      </c>
      <c r="B45" t="s">
        <v>247</v>
      </c>
      <c r="C45" t="s">
        <v>772</v>
      </c>
      <c r="D45"/>
      <c r="E45" t="str">
        <f t="shared" si="1"/>
        <v>CanadaUKE - Principal</v>
      </c>
      <c r="F45" s="662" cm="1">
        <f t="array" ref="F45">_xlfn.XLOOKUP(B45&amp;A45,FX!$A$2:$A$26&amp;FX!$B$2:$B$26,FX!$C$2:$C$26)</f>
        <v>1.7410699999999999</v>
      </c>
      <c r="G45" cm="1">
        <f t="array" ref="G45">_xlfn.IFS(B45="Canada",2,B45="India",3,B45="UK",4,B45="USA",5)</f>
        <v>4</v>
      </c>
      <c r="H45" s="662">
        <f>VLOOKUP(C45,'StdCosts and StdRates'!$A$2:$E$7,G45)*F45</f>
        <v>181.07128</v>
      </c>
      <c r="I45" s="967"/>
      <c r="J45" s="967"/>
      <c r="K45" s="967"/>
      <c r="L45" s="967"/>
      <c r="M45" s="967"/>
      <c r="N45" s="967">
        <v>178.66264000000001</v>
      </c>
    </row>
    <row r="46" spans="1:14">
      <c r="A46" t="s">
        <v>405</v>
      </c>
      <c r="B46" t="s">
        <v>247</v>
      </c>
      <c r="C46" t="s">
        <v>775</v>
      </c>
      <c r="D46"/>
      <c r="E46" t="str">
        <f t="shared" si="1"/>
        <v>CanadaUKF - Chief</v>
      </c>
      <c r="F46" s="662" cm="1">
        <f t="array" ref="F46">_xlfn.XLOOKUP(B46&amp;A46,FX!$A$2:$A$26&amp;FX!$B$2:$B$26,FX!$C$2:$C$26)</f>
        <v>1.7410699999999999</v>
      </c>
      <c r="G46" cm="1">
        <f t="array" ref="G46">_xlfn.IFS(B46="Canada",2,B46="India",3,B46="UK",4,B46="USA",5)</f>
        <v>4</v>
      </c>
      <c r="H46" s="662">
        <f>VLOOKUP(C46,'StdCosts and StdRates'!$A$2:$E$7,G46)*F46</f>
        <v>252.45514999999997</v>
      </c>
      <c r="I46" s="967"/>
      <c r="J46" s="967"/>
      <c r="K46" s="967"/>
      <c r="L46" s="967"/>
      <c r="M46" s="967"/>
      <c r="N46" s="967">
        <v>249.09695000000002</v>
      </c>
    </row>
    <row r="47" spans="1:14">
      <c r="A47" t="s">
        <v>405</v>
      </c>
      <c r="B47" t="s">
        <v>308</v>
      </c>
      <c r="C47" t="s">
        <v>753</v>
      </c>
      <c r="D47"/>
      <c r="E47" t="str">
        <f t="shared" si="1"/>
        <v>CanadaUSAA - Associate</v>
      </c>
      <c r="F47" s="662" cm="1">
        <f t="array" ref="F47">_xlfn.XLOOKUP(B47&amp;A47,FX!$A$2:$A$26&amp;FX!$B$2:$B$26,FX!$C$2:$C$26)</f>
        <v>1.36311</v>
      </c>
      <c r="G47" cm="1">
        <f t="array" ref="G47">_xlfn.IFS(B47="Canada",2,B47="India",3,B47="UK",4,B47="USA",5)</f>
        <v>5</v>
      </c>
      <c r="H47" s="662">
        <f>VLOOKUP(C47,'StdCosts and StdRates'!$A$2:$E$7,G47)*F47</f>
        <v>88.602150000000009</v>
      </c>
      <c r="I47" s="967"/>
      <c r="J47" s="967"/>
      <c r="K47" s="967"/>
      <c r="L47" s="967"/>
      <c r="M47" s="967"/>
      <c r="N47" s="967">
        <v>85.447050000000004</v>
      </c>
    </row>
    <row r="48" spans="1:14">
      <c r="A48" t="s">
        <v>405</v>
      </c>
      <c r="B48" t="s">
        <v>308</v>
      </c>
      <c r="C48" t="s">
        <v>352</v>
      </c>
      <c r="D48"/>
      <c r="E48" t="str">
        <f t="shared" si="1"/>
        <v>CanadaUSAB - Staff</v>
      </c>
      <c r="F48" s="662" cm="1">
        <f t="array" ref="F48">_xlfn.XLOOKUP(B48&amp;A48,FX!$A$2:$A$26&amp;FX!$B$2:$B$26,FX!$C$2:$C$26)</f>
        <v>1.36311</v>
      </c>
      <c r="G48" cm="1">
        <f t="array" ref="G48">_xlfn.IFS(B48="Canada",2,B48="India",3,B48="UK",4,B48="USA",5)</f>
        <v>5</v>
      </c>
      <c r="H48" s="662">
        <f>VLOOKUP(C48,'StdCosts and StdRates'!$A$2:$E$7,G48)*F48</f>
        <v>109.0488</v>
      </c>
      <c r="I48" s="967"/>
      <c r="J48" s="967"/>
      <c r="K48" s="967"/>
      <c r="L48" s="967"/>
      <c r="M48" s="967"/>
      <c r="N48" s="967">
        <v>105.1656</v>
      </c>
    </row>
    <row r="49" spans="1:14">
      <c r="A49" t="s">
        <v>405</v>
      </c>
      <c r="B49" t="s">
        <v>308</v>
      </c>
      <c r="C49" t="s">
        <v>355</v>
      </c>
      <c r="D49"/>
      <c r="E49" t="str">
        <f t="shared" si="1"/>
        <v>CanadaUSAC - Senior</v>
      </c>
      <c r="F49" s="662" cm="1">
        <f t="array" ref="F49">_xlfn.XLOOKUP(B49&amp;A49,FX!$A$2:$A$26&amp;FX!$B$2:$B$26,FX!$C$2:$C$26)</f>
        <v>1.36311</v>
      </c>
      <c r="G49" cm="1">
        <f t="array" ref="G49">_xlfn.IFS(B49="Canada",2,B49="India",3,B49="UK",4,B49="USA",5)</f>
        <v>5</v>
      </c>
      <c r="H49" s="662">
        <f>VLOOKUP(C49,'StdCosts and StdRates'!$A$2:$E$7,G49)*F49</f>
        <v>136.31100000000001</v>
      </c>
      <c r="I49" s="967"/>
      <c r="J49" s="967"/>
      <c r="K49" s="967"/>
      <c r="L49" s="967"/>
      <c r="M49" s="967"/>
      <c r="N49" s="967">
        <v>131.45699999999999</v>
      </c>
    </row>
    <row r="50" spans="1:14">
      <c r="A50" t="s">
        <v>405</v>
      </c>
      <c r="B50" t="s">
        <v>308</v>
      </c>
      <c r="C50" t="s">
        <v>358</v>
      </c>
      <c r="D50"/>
      <c r="E50" t="str">
        <f t="shared" si="1"/>
        <v>CanadaUSAD - Lead</v>
      </c>
      <c r="F50" s="662" cm="1">
        <f t="array" ref="F50">_xlfn.XLOOKUP(B50&amp;A50,FX!$A$2:$A$26&amp;FX!$B$2:$B$26,FX!$C$2:$C$26)</f>
        <v>1.36311</v>
      </c>
      <c r="G50" cm="1">
        <f t="array" ref="G50">_xlfn.IFS(B50="Canada",2,B50="India",3,B50="UK",4,B50="USA",5)</f>
        <v>5</v>
      </c>
      <c r="H50" s="662">
        <f>VLOOKUP(C50,'StdCosts and StdRates'!$A$2:$E$7,G50)*F50</f>
        <v>156.75765000000001</v>
      </c>
      <c r="I50" s="967"/>
      <c r="J50" s="967"/>
      <c r="K50" s="967"/>
      <c r="L50" s="967"/>
      <c r="M50" s="967"/>
      <c r="N50" s="967">
        <v>151.17555000000002</v>
      </c>
    </row>
    <row r="51" spans="1:14">
      <c r="A51" t="s">
        <v>405</v>
      </c>
      <c r="B51" t="s">
        <v>308</v>
      </c>
      <c r="C51" t="s">
        <v>772</v>
      </c>
      <c r="D51"/>
      <c r="E51" t="str">
        <f t="shared" si="1"/>
        <v>CanadaUSAE - Principal</v>
      </c>
      <c r="F51" s="662" cm="1">
        <f t="array" ref="F51">_xlfn.XLOOKUP(B51&amp;A51,FX!$A$2:$A$26&amp;FX!$B$2:$B$26,FX!$C$2:$C$26)</f>
        <v>1.36311</v>
      </c>
      <c r="G51" cm="1">
        <f t="array" ref="G51">_xlfn.IFS(B51="Canada",2,B51="India",3,B51="UK",4,B51="USA",5)</f>
        <v>5</v>
      </c>
      <c r="H51" s="662">
        <f>VLOOKUP(C51,'StdCosts and StdRates'!$A$2:$E$7,G51)*F51</f>
        <v>231.7287</v>
      </c>
      <c r="I51" s="967"/>
      <c r="J51" s="967"/>
      <c r="K51" s="967"/>
      <c r="L51" s="967"/>
      <c r="M51" s="967"/>
      <c r="N51" s="967">
        <v>223.4769</v>
      </c>
    </row>
    <row r="52" spans="1:14">
      <c r="A52" t="s">
        <v>405</v>
      </c>
      <c r="B52" t="s">
        <v>308</v>
      </c>
      <c r="C52" t="s">
        <v>775</v>
      </c>
      <c r="D52"/>
      <c r="E52" t="str">
        <f t="shared" si="1"/>
        <v>CanadaUSAF - Chief</v>
      </c>
      <c r="F52" s="662" cm="1">
        <f t="array" ref="F52">_xlfn.XLOOKUP(B52&amp;A52,FX!$A$2:$A$26&amp;FX!$B$2:$B$26,FX!$C$2:$C$26)</f>
        <v>1.36311</v>
      </c>
      <c r="G52" cm="1">
        <f t="array" ref="G52">_xlfn.IFS(B52="Canada",2,B52="India",3,B52="UK",4,B52="USA",5)</f>
        <v>5</v>
      </c>
      <c r="H52" s="662">
        <f>VLOOKUP(C52,'StdCosts and StdRates'!$A$2:$E$7,G52)*F52</f>
        <v>293.06864999999999</v>
      </c>
      <c r="I52" s="967"/>
      <c r="J52" s="967"/>
      <c r="K52" s="967"/>
      <c r="L52" s="967"/>
      <c r="M52" s="967"/>
      <c r="N52" s="967">
        <v>282.63254999999998</v>
      </c>
    </row>
    <row r="53" spans="1:14">
      <c r="A53" t="s">
        <v>227</v>
      </c>
      <c r="B53" t="s">
        <v>405</v>
      </c>
      <c r="C53" t="s">
        <v>753</v>
      </c>
      <c r="D53"/>
      <c r="E53" t="str">
        <f t="shared" si="1"/>
        <v>IndiaCanadaA - Associate</v>
      </c>
      <c r="F53" s="662" cm="1">
        <f t="array" ref="F53">_xlfn.XLOOKUP(B53&amp;A53,FX!$A$2:$A$26&amp;FX!$B$2:$B$26,FX!$C$2:$C$26)</f>
        <v>61.008200000000002</v>
      </c>
      <c r="G53" cm="1">
        <f t="array" ref="G53">_xlfn.IFS(B53="Canada",2,B53="India",3,B53="UK",4,B53="USA",5)</f>
        <v>2</v>
      </c>
      <c r="H53" s="662">
        <f>VLOOKUP(C53,'StdCosts and StdRates'!$A$2:$E$7,G53)*F53</f>
        <v>3355.451</v>
      </c>
      <c r="I53" s="967"/>
      <c r="J53" s="967"/>
      <c r="K53" s="967"/>
      <c r="L53" s="967"/>
      <c r="M53" s="967"/>
      <c r="N53" s="967">
        <v>3432.2694999999999</v>
      </c>
    </row>
    <row r="54" spans="1:14">
      <c r="A54" t="s">
        <v>227</v>
      </c>
      <c r="B54" t="s">
        <v>405</v>
      </c>
      <c r="C54" t="s">
        <v>352</v>
      </c>
      <c r="D54"/>
      <c r="E54" t="str">
        <f t="shared" si="1"/>
        <v>IndiaCanadaB - Staff</v>
      </c>
      <c r="F54" s="662" cm="1">
        <f t="array" ref="F54">_xlfn.XLOOKUP(B54&amp;A54,FX!$A$2:$A$26&amp;FX!$B$2:$B$26,FX!$C$2:$C$26)</f>
        <v>61.008200000000002</v>
      </c>
      <c r="G54" cm="1">
        <f t="array" ref="G54">_xlfn.IFS(B54="Canada",2,B54="India",3,B54="UK",4,B54="USA",5)</f>
        <v>2</v>
      </c>
      <c r="H54" s="662">
        <f>VLOOKUP(C54,'StdCosts and StdRates'!$A$2:$E$7,G54)*F54</f>
        <v>4575.6149999999998</v>
      </c>
      <c r="I54" s="967"/>
      <c r="J54" s="967"/>
      <c r="K54" s="967"/>
      <c r="L54" s="967"/>
      <c r="M54" s="967"/>
      <c r="N54" s="967">
        <v>4680.3675000000003</v>
      </c>
    </row>
    <row r="55" spans="1:14">
      <c r="A55" t="s">
        <v>227</v>
      </c>
      <c r="B55" t="s">
        <v>405</v>
      </c>
      <c r="C55" t="s">
        <v>355</v>
      </c>
      <c r="D55"/>
      <c r="E55" t="str">
        <f t="shared" si="1"/>
        <v>IndiaCanadaC - Senior</v>
      </c>
      <c r="F55" s="662" cm="1">
        <f t="array" ref="F55">_xlfn.XLOOKUP(B55&amp;A55,FX!$A$2:$A$26&amp;FX!$B$2:$B$26,FX!$C$2:$C$26)</f>
        <v>61.008200000000002</v>
      </c>
      <c r="G55" cm="1">
        <f t="array" ref="G55">_xlfn.IFS(B55="Canada",2,B55="India",3,B55="UK",4,B55="USA",5)</f>
        <v>2</v>
      </c>
      <c r="H55" s="662">
        <f>VLOOKUP(C55,'StdCosts and StdRates'!$A$2:$E$7,G55)*F55</f>
        <v>5795.7790000000005</v>
      </c>
      <c r="I55" s="967"/>
      <c r="J55" s="967"/>
      <c r="K55" s="967"/>
      <c r="L55" s="967"/>
      <c r="M55" s="967"/>
      <c r="N55" s="967">
        <v>5928.4655000000002</v>
      </c>
    </row>
    <row r="56" spans="1:14">
      <c r="A56" t="s">
        <v>227</v>
      </c>
      <c r="B56" t="s">
        <v>405</v>
      </c>
      <c r="C56" t="s">
        <v>358</v>
      </c>
      <c r="D56"/>
      <c r="E56" t="str">
        <f t="shared" si="1"/>
        <v>IndiaCanadaD - Lead</v>
      </c>
      <c r="F56" s="662" cm="1">
        <f t="array" ref="F56">_xlfn.XLOOKUP(B56&amp;A56,FX!$A$2:$A$26&amp;FX!$B$2:$B$26,FX!$C$2:$C$26)</f>
        <v>61.008200000000002</v>
      </c>
      <c r="G56" cm="1">
        <f t="array" ref="G56">_xlfn.IFS(B56="Canada",2,B56="India",3,B56="UK",4,B56="USA",5)</f>
        <v>2</v>
      </c>
      <c r="H56" s="662">
        <f>VLOOKUP(C56,'StdCosts and StdRates'!$A$2:$E$7,G56)*F56</f>
        <v>7015.9430000000002</v>
      </c>
      <c r="I56" s="967"/>
      <c r="J56" s="967"/>
      <c r="K56" s="967"/>
      <c r="L56" s="967"/>
      <c r="M56" s="967"/>
      <c r="N56" s="967">
        <v>7176.5635000000002</v>
      </c>
    </row>
    <row r="57" spans="1:14">
      <c r="A57" t="s">
        <v>227</v>
      </c>
      <c r="B57" t="s">
        <v>405</v>
      </c>
      <c r="C57" t="s">
        <v>772</v>
      </c>
      <c r="D57"/>
      <c r="E57" t="str">
        <f t="shared" si="1"/>
        <v>IndiaCanadaE - Principal</v>
      </c>
      <c r="F57" s="662" cm="1">
        <f t="array" ref="F57">_xlfn.XLOOKUP(B57&amp;A57,FX!$A$2:$A$26&amp;FX!$B$2:$B$26,FX!$C$2:$C$26)</f>
        <v>61.008200000000002</v>
      </c>
      <c r="G57" cm="1">
        <f t="array" ref="G57">_xlfn.IFS(B57="Canada",2,B57="India",3,B57="UK",4,B57="USA",5)</f>
        <v>2</v>
      </c>
      <c r="H57" s="662">
        <f>VLOOKUP(C57,'StdCosts and StdRates'!$A$2:$E$7,G57)*F57</f>
        <v>10066.353000000001</v>
      </c>
      <c r="I57" s="967"/>
      <c r="J57" s="967"/>
      <c r="K57" s="967"/>
      <c r="L57" s="967"/>
      <c r="M57" s="967"/>
      <c r="N57" s="967">
        <v>10296.808499999999</v>
      </c>
    </row>
    <row r="58" spans="1:14">
      <c r="A58" t="s">
        <v>227</v>
      </c>
      <c r="B58" t="s">
        <v>405</v>
      </c>
      <c r="C58" t="s">
        <v>775</v>
      </c>
      <c r="D58"/>
      <c r="E58" t="str">
        <f t="shared" si="1"/>
        <v>IndiaCanadaF - Chief</v>
      </c>
      <c r="F58" s="662" cm="1">
        <f t="array" ref="F58">_xlfn.XLOOKUP(B58&amp;A58,FX!$A$2:$A$26&amp;FX!$B$2:$B$26,FX!$C$2:$C$26)</f>
        <v>61.008200000000002</v>
      </c>
      <c r="G58" cm="1">
        <f t="array" ref="G58">_xlfn.IFS(B58="Canada",2,B58="India",3,B58="UK",4,B58="USA",5)</f>
        <v>2</v>
      </c>
      <c r="H58" s="662">
        <f>VLOOKUP(C58,'StdCosts and StdRates'!$A$2:$E$7,G58)*F58</f>
        <v>14947.009</v>
      </c>
      <c r="I58" s="967"/>
      <c r="J58" s="967"/>
      <c r="K58" s="967"/>
      <c r="L58" s="967"/>
      <c r="M58" s="967"/>
      <c r="N58" s="967">
        <v>15289.200499999999</v>
      </c>
    </row>
    <row r="59" spans="1:14">
      <c r="A59" t="s">
        <v>227</v>
      </c>
      <c r="B59" t="s">
        <v>227</v>
      </c>
      <c r="C59" t="s">
        <v>753</v>
      </c>
      <c r="D59"/>
      <c r="E59" t="str">
        <f t="shared" si="1"/>
        <v>IndiaIndiaA - Associate</v>
      </c>
      <c r="F59" s="662" cm="1">
        <f t="array" ref="F59">_xlfn.XLOOKUP(B59&amp;A59,FX!$A$2:$A$26&amp;FX!$B$2:$B$26,FX!$C$2:$C$26)</f>
        <v>1</v>
      </c>
      <c r="G59" cm="1">
        <f t="array" ref="G59">_xlfn.IFS(B59="Canada",2,B59="India",3,B59="UK",4,B59="USA",5)</f>
        <v>3</v>
      </c>
      <c r="H59" s="662">
        <f>VLOOKUP(C59,'StdCosts and StdRates'!$A$2:$E$7,G59)*F59</f>
        <v>480</v>
      </c>
      <c r="I59" s="967"/>
      <c r="J59" s="967"/>
      <c r="K59" s="967"/>
      <c r="L59" s="967"/>
      <c r="M59" s="967"/>
      <c r="N59" s="967">
        <v>480</v>
      </c>
    </row>
    <row r="60" spans="1:14">
      <c r="A60" t="s">
        <v>227</v>
      </c>
      <c r="B60" t="s">
        <v>227</v>
      </c>
      <c r="C60" t="s">
        <v>352</v>
      </c>
      <c r="D60"/>
      <c r="E60" t="str">
        <f t="shared" si="1"/>
        <v>IndiaIndiaB - Staff</v>
      </c>
      <c r="F60" s="662" cm="1">
        <f t="array" ref="F60">_xlfn.XLOOKUP(B60&amp;A60,FX!$A$2:$A$26&amp;FX!$B$2:$B$26,FX!$C$2:$C$26)</f>
        <v>1</v>
      </c>
      <c r="G60" cm="1">
        <f t="array" ref="G60">_xlfn.IFS(B60="Canada",2,B60="India",3,B60="UK",4,B60="USA",5)</f>
        <v>3</v>
      </c>
      <c r="H60" s="662">
        <f>VLOOKUP(C60,'StdCosts and StdRates'!$A$2:$E$7,G60)*F60</f>
        <v>1035</v>
      </c>
      <c r="I60" s="967"/>
      <c r="J60" s="967"/>
      <c r="K60" s="967"/>
      <c r="L60" s="967"/>
      <c r="M60" s="967"/>
      <c r="N60" s="967">
        <v>1035</v>
      </c>
    </row>
    <row r="61" spans="1:14">
      <c r="A61" t="s">
        <v>227</v>
      </c>
      <c r="B61" t="s">
        <v>227</v>
      </c>
      <c r="C61" t="s">
        <v>355</v>
      </c>
      <c r="D61"/>
      <c r="E61" t="str">
        <f t="shared" si="1"/>
        <v>IndiaIndiaC - Senior</v>
      </c>
      <c r="F61" s="662" cm="1">
        <f t="array" ref="F61">_xlfn.XLOOKUP(B61&amp;A61,FX!$A$2:$A$26&amp;FX!$B$2:$B$26,FX!$C$2:$C$26)</f>
        <v>1</v>
      </c>
      <c r="G61" cm="1">
        <f t="array" ref="G61">_xlfn.IFS(B61="Canada",2,B61="India",3,B61="UK",4,B61="USA",5)</f>
        <v>3</v>
      </c>
      <c r="H61" s="662">
        <f>VLOOKUP(C61,'StdCosts and StdRates'!$A$2:$E$7,G61)*F61</f>
        <v>1510</v>
      </c>
      <c r="I61" s="967"/>
      <c r="J61" s="967"/>
      <c r="K61" s="967"/>
      <c r="L61" s="967"/>
      <c r="M61" s="967"/>
      <c r="N61" s="967">
        <v>1510</v>
      </c>
    </row>
    <row r="62" spans="1:14">
      <c r="A62" t="s">
        <v>227</v>
      </c>
      <c r="B62" t="s">
        <v>227</v>
      </c>
      <c r="C62" t="s">
        <v>358</v>
      </c>
      <c r="D62"/>
      <c r="E62" t="str">
        <f t="shared" si="1"/>
        <v>IndiaIndiaD - Lead</v>
      </c>
      <c r="F62" s="662" cm="1">
        <f t="array" ref="F62">_xlfn.XLOOKUP(B62&amp;A62,FX!$A$2:$A$26&amp;FX!$B$2:$B$26,FX!$C$2:$C$26)</f>
        <v>1</v>
      </c>
      <c r="G62" cm="1">
        <f t="array" ref="G62">_xlfn.IFS(B62="Canada",2,B62="India",3,B62="UK",4,B62="USA",5)</f>
        <v>3</v>
      </c>
      <c r="H62" s="662">
        <f>VLOOKUP(C62,'StdCosts and StdRates'!$A$2:$E$7,G62)*F62</f>
        <v>2715</v>
      </c>
      <c r="I62" s="967"/>
      <c r="J62" s="967"/>
      <c r="K62" s="967"/>
      <c r="L62" s="967"/>
      <c r="M62" s="967"/>
      <c r="N62" s="967">
        <v>2715</v>
      </c>
    </row>
    <row r="63" spans="1:14">
      <c r="A63" t="s">
        <v>227</v>
      </c>
      <c r="B63" t="s">
        <v>227</v>
      </c>
      <c r="C63" t="s">
        <v>772</v>
      </c>
      <c r="D63"/>
      <c r="E63" t="str">
        <f t="shared" si="1"/>
        <v>IndiaIndiaE - Principal</v>
      </c>
      <c r="F63" s="662" cm="1">
        <f t="array" ref="F63">_xlfn.XLOOKUP(B63&amp;A63,FX!$A$2:$A$26&amp;FX!$B$2:$B$26,FX!$C$2:$C$26)</f>
        <v>1</v>
      </c>
      <c r="G63" cm="1">
        <f t="array" ref="G63">_xlfn.IFS(B63="Canada",2,B63="India",3,B63="UK",4,B63="USA",5)</f>
        <v>3</v>
      </c>
      <c r="H63" s="662">
        <f>VLOOKUP(C63,'StdCosts and StdRates'!$A$2:$E$7,G63)*F63</f>
        <v>4695</v>
      </c>
      <c r="I63" s="967"/>
      <c r="J63" s="967"/>
      <c r="K63" s="967"/>
      <c r="L63" s="967"/>
      <c r="M63" s="967"/>
      <c r="N63" s="967">
        <v>4695</v>
      </c>
    </row>
    <row r="64" spans="1:14">
      <c r="A64" t="s">
        <v>227</v>
      </c>
      <c r="B64" t="s">
        <v>227</v>
      </c>
      <c r="C64" t="s">
        <v>775</v>
      </c>
      <c r="D64"/>
      <c r="E64" t="str">
        <f t="shared" si="1"/>
        <v>IndiaIndiaF - Chief</v>
      </c>
      <c r="F64" s="662" cm="1">
        <f t="array" ref="F64">_xlfn.XLOOKUP(B64&amp;A64,FX!$A$2:$A$26&amp;FX!$B$2:$B$26,FX!$C$2:$C$26)</f>
        <v>1</v>
      </c>
      <c r="G64" cm="1">
        <f t="array" ref="G64">_xlfn.IFS(B64="Canada",2,B64="India",3,B64="UK",4,B64="USA",5)</f>
        <v>3</v>
      </c>
      <c r="H64" s="662">
        <f>VLOOKUP(C64,'StdCosts and StdRates'!$A$2:$E$7,G64)*F64</f>
        <v>5750</v>
      </c>
      <c r="I64" s="967"/>
      <c r="J64" s="967"/>
      <c r="K64" s="967"/>
      <c r="L64" s="967"/>
      <c r="M64" s="967"/>
      <c r="N64" s="967">
        <v>5750</v>
      </c>
    </row>
    <row r="65" spans="1:14">
      <c r="A65" t="s">
        <v>227</v>
      </c>
      <c r="B65" t="s">
        <v>247</v>
      </c>
      <c r="C65" t="s">
        <v>753</v>
      </c>
      <c r="D65"/>
      <c r="E65" t="str">
        <f t="shared" si="1"/>
        <v>IndiaUKA - Associate</v>
      </c>
      <c r="F65" s="662" cm="1">
        <f t="array" ref="F65">_xlfn.XLOOKUP(B65&amp;A65,FX!$A$2:$A$26&amp;FX!$B$2:$B$26,FX!$C$2:$C$26)</f>
        <v>106.23399999999999</v>
      </c>
      <c r="G65" cm="1">
        <f t="array" ref="G65">_xlfn.IFS(B65="Canada",2,B65="India",3,B65="UK",4,B65="USA",5)</f>
        <v>4</v>
      </c>
      <c r="H65" s="662">
        <f>VLOOKUP(C65,'StdCosts and StdRates'!$A$2:$E$7,G65)*F65</f>
        <v>2655.85</v>
      </c>
      <c r="I65" s="967"/>
      <c r="J65" s="967"/>
      <c r="K65" s="967"/>
      <c r="L65" s="967"/>
      <c r="M65" s="967"/>
      <c r="N65" s="967">
        <v>2680.5749999999998</v>
      </c>
    </row>
    <row r="66" spans="1:14">
      <c r="A66" t="s">
        <v>227</v>
      </c>
      <c r="B66" t="s">
        <v>247</v>
      </c>
      <c r="C66" t="s">
        <v>352</v>
      </c>
      <c r="D66"/>
      <c r="E66" t="str">
        <f t="shared" si="1"/>
        <v>IndiaUKB - Staff</v>
      </c>
      <c r="F66" s="662" cm="1">
        <f t="array" ref="F66">_xlfn.XLOOKUP(B66&amp;A66,FX!$A$2:$A$26&amp;FX!$B$2:$B$26,FX!$C$2:$C$26)</f>
        <v>106.23399999999999</v>
      </c>
      <c r="G66" cm="1">
        <f t="array" ref="G66">_xlfn.IFS(B66="Canada",2,B66="India",3,B66="UK",4,B66="USA",5)</f>
        <v>4</v>
      </c>
      <c r="H66" s="662">
        <f>VLOOKUP(C66,'StdCosts and StdRates'!$A$2:$E$7,G66)*F66</f>
        <v>4780.53</v>
      </c>
      <c r="I66" s="967"/>
      <c r="J66" s="967"/>
      <c r="K66" s="967"/>
      <c r="L66" s="967"/>
      <c r="M66" s="967"/>
      <c r="N66" s="967">
        <v>4825.0349999999999</v>
      </c>
    </row>
    <row r="67" spans="1:14">
      <c r="A67" t="s">
        <v>227</v>
      </c>
      <c r="B67" t="s">
        <v>247</v>
      </c>
      <c r="C67" t="s">
        <v>355</v>
      </c>
      <c r="D67"/>
      <c r="E67" t="str">
        <f t="shared" si="1"/>
        <v>IndiaUKC - Senior</v>
      </c>
      <c r="F67" s="662" cm="1">
        <f t="array" ref="F67">_xlfn.XLOOKUP(B67&amp;A67,FX!$A$2:$A$26&amp;FX!$B$2:$B$26,FX!$C$2:$C$26)</f>
        <v>106.23399999999999</v>
      </c>
      <c r="G67" cm="1">
        <f t="array" ref="G67">_xlfn.IFS(B67="Canada",2,B67="India",3,B67="UK",4,B67="USA",5)</f>
        <v>4</v>
      </c>
      <c r="H67" s="662">
        <f>VLOOKUP(C67,'StdCosts and StdRates'!$A$2:$E$7,G67)*F67</f>
        <v>6374.04</v>
      </c>
      <c r="I67" s="967"/>
      <c r="J67" s="967"/>
      <c r="K67" s="967"/>
      <c r="L67" s="967"/>
      <c r="M67" s="967"/>
      <c r="N67" s="967">
        <v>6433.38</v>
      </c>
    </row>
    <row r="68" spans="1:14">
      <c r="A68" t="s">
        <v>227</v>
      </c>
      <c r="B68" t="s">
        <v>247</v>
      </c>
      <c r="C68" t="s">
        <v>358</v>
      </c>
      <c r="D68"/>
      <c r="E68" t="str">
        <f t="shared" si="1"/>
        <v>IndiaUKD - Lead</v>
      </c>
      <c r="F68" s="662" cm="1">
        <f t="array" ref="F68">_xlfn.XLOOKUP(B68&amp;A68,FX!$A$2:$A$26&amp;FX!$B$2:$B$26,FX!$C$2:$C$26)</f>
        <v>106.23399999999999</v>
      </c>
      <c r="G68" cm="1">
        <f t="array" ref="G68">_xlfn.IFS(B68="Canada",2,B68="India",3,B68="UK",4,B68="USA",5)</f>
        <v>4</v>
      </c>
      <c r="H68" s="662">
        <f>VLOOKUP(C68,'StdCosts and StdRates'!$A$2:$E$7,G68)*F68</f>
        <v>7967.5499999999993</v>
      </c>
      <c r="I68" s="967"/>
      <c r="J68" s="967"/>
      <c r="K68" s="967"/>
      <c r="L68" s="967"/>
      <c r="M68" s="967"/>
      <c r="N68" s="967">
        <v>8041.7250000000004</v>
      </c>
    </row>
    <row r="69" spans="1:14">
      <c r="A69" t="s">
        <v>227</v>
      </c>
      <c r="B69" t="s">
        <v>247</v>
      </c>
      <c r="C69" t="s">
        <v>772</v>
      </c>
      <c r="D69"/>
      <c r="E69" t="str">
        <f t="shared" si="1"/>
        <v>IndiaUKE - Principal</v>
      </c>
      <c r="F69" s="662" cm="1">
        <f t="array" ref="F69">_xlfn.XLOOKUP(B69&amp;A69,FX!$A$2:$A$26&amp;FX!$B$2:$B$26,FX!$C$2:$C$26)</f>
        <v>106.23399999999999</v>
      </c>
      <c r="G69" cm="1">
        <f t="array" ref="G69">_xlfn.IFS(B69="Canada",2,B69="India",3,B69="UK",4,B69="USA",5)</f>
        <v>4</v>
      </c>
      <c r="H69" s="662">
        <f>VLOOKUP(C69,'StdCosts and StdRates'!$A$2:$E$7,G69)*F69</f>
        <v>11048.335999999999</v>
      </c>
      <c r="I69" s="967"/>
      <c r="J69" s="967"/>
      <c r="K69" s="967"/>
      <c r="L69" s="967"/>
      <c r="M69" s="967"/>
      <c r="N69" s="967">
        <v>11151.191999999999</v>
      </c>
    </row>
    <row r="70" spans="1:14">
      <c r="A70" t="s">
        <v>227</v>
      </c>
      <c r="B70" t="s">
        <v>247</v>
      </c>
      <c r="C70" t="s">
        <v>775</v>
      </c>
      <c r="D70"/>
      <c r="E70" t="str">
        <f t="shared" si="1"/>
        <v>IndiaUKF - Chief</v>
      </c>
      <c r="F70" s="662" cm="1">
        <f t="array" ref="F70">_xlfn.XLOOKUP(B70&amp;A70,FX!$A$2:$A$26&amp;FX!$B$2:$B$26,FX!$C$2:$C$26)</f>
        <v>106.23399999999999</v>
      </c>
      <c r="G70" cm="1">
        <f t="array" ref="G70">_xlfn.IFS(B70="Canada",2,B70="India",3,B70="UK",4,B70="USA",5)</f>
        <v>4</v>
      </c>
      <c r="H70" s="662">
        <f>VLOOKUP(C70,'StdCosts and StdRates'!$A$2:$E$7,G70)*F70</f>
        <v>15403.929999999998</v>
      </c>
      <c r="I70" s="967"/>
      <c r="J70" s="967"/>
      <c r="K70" s="967"/>
      <c r="L70" s="967"/>
      <c r="M70" s="967"/>
      <c r="N70" s="967">
        <v>15547.334999999999</v>
      </c>
    </row>
    <row r="71" spans="1:14">
      <c r="A71" t="s">
        <v>227</v>
      </c>
      <c r="B71" t="s">
        <v>308</v>
      </c>
      <c r="C71" t="s">
        <v>753</v>
      </c>
      <c r="D71"/>
      <c r="E71" t="str">
        <f t="shared" si="1"/>
        <v>IndiaUSAA - Associate</v>
      </c>
      <c r="F71" s="662" cm="1">
        <f t="array" ref="F71">_xlfn.XLOOKUP(B71&amp;A71,FX!$A$2:$A$26&amp;FX!$B$2:$B$26,FX!$C$2:$C$26)</f>
        <v>83.1721</v>
      </c>
      <c r="G71" cm="1">
        <f t="array" ref="G71">_xlfn.IFS(B71="Canada",2,B71="India",3,B71="UK",4,B71="USA",5)</f>
        <v>5</v>
      </c>
      <c r="H71" s="662">
        <f>VLOOKUP(C71,'StdCosts and StdRates'!$A$2:$E$7,G71)*F71</f>
        <v>5406.1864999999998</v>
      </c>
      <c r="I71" s="967"/>
      <c r="J71" s="967"/>
      <c r="K71" s="967"/>
      <c r="L71" s="967"/>
      <c r="M71" s="967"/>
      <c r="N71" s="967">
        <v>5333.12</v>
      </c>
    </row>
    <row r="72" spans="1:14">
      <c r="A72" t="s">
        <v>227</v>
      </c>
      <c r="B72" t="s">
        <v>308</v>
      </c>
      <c r="C72" t="s">
        <v>352</v>
      </c>
      <c r="D72"/>
      <c r="E72" t="str">
        <f t="shared" si="1"/>
        <v>IndiaUSAB - Staff</v>
      </c>
      <c r="F72" s="662" cm="1">
        <f t="array" ref="F72">_xlfn.XLOOKUP(B72&amp;A72,FX!$A$2:$A$26&amp;FX!$B$2:$B$26,FX!$C$2:$C$26)</f>
        <v>83.1721</v>
      </c>
      <c r="G72" cm="1">
        <f t="array" ref="G72">_xlfn.IFS(B72="Canada",2,B72="India",3,B72="UK",4,B72="USA",5)</f>
        <v>5</v>
      </c>
      <c r="H72" s="662">
        <f>VLOOKUP(C72,'StdCosts and StdRates'!$A$2:$E$7,G72)*F72</f>
        <v>6653.768</v>
      </c>
      <c r="I72" s="967"/>
      <c r="J72" s="967"/>
      <c r="K72" s="967"/>
      <c r="L72" s="967"/>
      <c r="M72" s="967"/>
      <c r="N72" s="967">
        <v>6563.84</v>
      </c>
    </row>
    <row r="73" spans="1:14">
      <c r="A73" t="s">
        <v>227</v>
      </c>
      <c r="B73" t="s">
        <v>308</v>
      </c>
      <c r="C73" t="s">
        <v>355</v>
      </c>
      <c r="D73"/>
      <c r="E73" t="str">
        <f t="shared" si="1"/>
        <v>IndiaUSAC - Senior</v>
      </c>
      <c r="F73" s="662" cm="1">
        <f t="array" ref="F73">_xlfn.XLOOKUP(B73&amp;A73,FX!$A$2:$A$26&amp;FX!$B$2:$B$26,FX!$C$2:$C$26)</f>
        <v>83.1721</v>
      </c>
      <c r="G73" cm="1">
        <f t="array" ref="G73">_xlfn.IFS(B73="Canada",2,B73="India",3,B73="UK",4,B73="USA",5)</f>
        <v>5</v>
      </c>
      <c r="H73" s="662">
        <f>VLOOKUP(C73,'StdCosts and StdRates'!$A$2:$E$7,G73)*F73</f>
        <v>8317.2099999999991</v>
      </c>
      <c r="I73" s="967"/>
      <c r="J73" s="967"/>
      <c r="K73" s="967"/>
      <c r="L73" s="967"/>
      <c r="M73" s="967"/>
      <c r="N73" s="967">
        <v>8204.7999999999993</v>
      </c>
    </row>
    <row r="74" spans="1:14">
      <c r="A74" t="s">
        <v>227</v>
      </c>
      <c r="B74" t="s">
        <v>308</v>
      </c>
      <c r="C74" t="s">
        <v>358</v>
      </c>
      <c r="D74"/>
      <c r="E74" t="str">
        <f t="shared" si="1"/>
        <v>IndiaUSAD - Lead</v>
      </c>
      <c r="F74" s="662" cm="1">
        <f t="array" ref="F74">_xlfn.XLOOKUP(B74&amp;A74,FX!$A$2:$A$26&amp;FX!$B$2:$B$26,FX!$C$2:$C$26)</f>
        <v>83.1721</v>
      </c>
      <c r="G74" cm="1">
        <f t="array" ref="G74">_xlfn.IFS(B74="Canada",2,B74="India",3,B74="UK",4,B74="USA",5)</f>
        <v>5</v>
      </c>
      <c r="H74" s="662">
        <f>VLOOKUP(C74,'StdCosts and StdRates'!$A$2:$E$7,G74)*F74</f>
        <v>9564.7914999999994</v>
      </c>
      <c r="I74" s="967"/>
      <c r="J74" s="967"/>
      <c r="K74" s="967"/>
      <c r="L74" s="967"/>
      <c r="M74" s="967"/>
      <c r="N74" s="967">
        <v>9435.52</v>
      </c>
    </row>
    <row r="75" spans="1:14">
      <c r="A75" t="s">
        <v>227</v>
      </c>
      <c r="B75" t="s">
        <v>308</v>
      </c>
      <c r="C75" t="s">
        <v>772</v>
      </c>
      <c r="D75"/>
      <c r="E75" t="str">
        <f t="shared" si="1"/>
        <v>IndiaUSAE - Principal</v>
      </c>
      <c r="F75" s="662" cm="1">
        <f t="array" ref="F75">_xlfn.XLOOKUP(B75&amp;A75,FX!$A$2:$A$26&amp;FX!$B$2:$B$26,FX!$C$2:$C$26)</f>
        <v>83.1721</v>
      </c>
      <c r="G75" cm="1">
        <f t="array" ref="G75">_xlfn.IFS(B75="Canada",2,B75="India",3,B75="UK",4,B75="USA",5)</f>
        <v>5</v>
      </c>
      <c r="H75" s="662">
        <f>VLOOKUP(C75,'StdCosts and StdRates'!$A$2:$E$7,G75)*F75</f>
        <v>14139.257</v>
      </c>
      <c r="I75" s="967"/>
      <c r="J75" s="967"/>
      <c r="K75" s="967"/>
      <c r="L75" s="967"/>
      <c r="M75" s="967"/>
      <c r="N75" s="967">
        <v>13948.16</v>
      </c>
    </row>
    <row r="76" spans="1:14">
      <c r="A76" t="s">
        <v>227</v>
      </c>
      <c r="B76" t="s">
        <v>308</v>
      </c>
      <c r="C76" t="s">
        <v>775</v>
      </c>
      <c r="D76"/>
      <c r="E76" t="str">
        <f t="shared" si="1"/>
        <v>IndiaUSAF - Chief</v>
      </c>
      <c r="F76" s="662" cm="1">
        <f t="array" ref="F76">_xlfn.XLOOKUP(B76&amp;A76,FX!$A$2:$A$26&amp;FX!$B$2:$B$26,FX!$C$2:$C$26)</f>
        <v>83.1721</v>
      </c>
      <c r="G76" cm="1">
        <f t="array" ref="G76">_xlfn.IFS(B76="Canada",2,B76="India",3,B76="UK",4,B76="USA",5)</f>
        <v>5</v>
      </c>
      <c r="H76" s="662">
        <f>VLOOKUP(C76,'StdCosts and StdRates'!$A$2:$E$7,G76)*F76</f>
        <v>17882.001499999998</v>
      </c>
      <c r="I76" s="967"/>
      <c r="J76" s="967"/>
      <c r="K76" s="967"/>
      <c r="L76" s="967"/>
      <c r="M76" s="967"/>
      <c r="N76" s="967">
        <v>17640.32</v>
      </c>
    </row>
    <row r="77" spans="1:14">
      <c r="A77" t="s">
        <v>247</v>
      </c>
      <c r="B77" t="s">
        <v>405</v>
      </c>
      <c r="C77" t="s">
        <v>753</v>
      </c>
      <c r="D77"/>
      <c r="E77" t="str">
        <f t="shared" si="1"/>
        <v>UKCanadaA - Associate</v>
      </c>
      <c r="F77" s="662" cm="1">
        <f t="array" ref="F77">_xlfn.XLOOKUP(B77&amp;A77,FX!$A$2:$A$26&amp;FX!$B$2:$B$26,FX!$C$2:$C$26)</f>
        <v>0.57420000000000004</v>
      </c>
      <c r="G77" cm="1">
        <f t="array" ref="G77">_xlfn.IFS(B77="Canada",2,B77="India",3,B77="UK",4,B77="USA",5)</f>
        <v>2</v>
      </c>
      <c r="H77" s="662">
        <f>VLOOKUP(C77,'StdCosts and StdRates'!$A$2:$E$7,G77)*F77</f>
        <v>31.581000000000003</v>
      </c>
      <c r="I77" s="967"/>
      <c r="J77" s="967"/>
      <c r="K77" s="967"/>
      <c r="L77" s="967"/>
      <c r="M77" s="967"/>
      <c r="N77" s="967">
        <v>32.005600000000001</v>
      </c>
    </row>
    <row r="78" spans="1:14">
      <c r="A78" t="s">
        <v>247</v>
      </c>
      <c r="B78" t="s">
        <v>405</v>
      </c>
      <c r="C78" t="s">
        <v>352</v>
      </c>
      <c r="D78"/>
      <c r="E78" t="str">
        <f t="shared" si="1"/>
        <v>UKCanadaB - Staff</v>
      </c>
      <c r="F78" s="662" cm="1">
        <f t="array" ref="F78">_xlfn.XLOOKUP(B78&amp;A78,FX!$A$2:$A$26&amp;FX!$B$2:$B$26,FX!$C$2:$C$26)</f>
        <v>0.57420000000000004</v>
      </c>
      <c r="G78" cm="1">
        <f t="array" ref="G78">_xlfn.IFS(B78="Canada",2,B78="India",3,B78="UK",4,B78="USA",5)</f>
        <v>2</v>
      </c>
      <c r="H78" s="662">
        <f>VLOOKUP(C78,'StdCosts and StdRates'!$A$2:$E$7,G78)*F78</f>
        <v>43.065000000000005</v>
      </c>
      <c r="I78" s="967"/>
      <c r="J78" s="967"/>
      <c r="K78" s="967"/>
      <c r="L78" s="967"/>
      <c r="M78" s="967"/>
      <c r="N78" s="967">
        <v>43.643999999999998</v>
      </c>
    </row>
    <row r="79" spans="1:14">
      <c r="A79" t="s">
        <v>247</v>
      </c>
      <c r="B79" t="s">
        <v>405</v>
      </c>
      <c r="C79" t="s">
        <v>355</v>
      </c>
      <c r="D79"/>
      <c r="E79" t="str">
        <f t="shared" si="1"/>
        <v>UKCanadaC - Senior</v>
      </c>
      <c r="F79" s="662" cm="1">
        <f t="array" ref="F79">_xlfn.XLOOKUP(B79&amp;A79,FX!$A$2:$A$26&amp;FX!$B$2:$B$26,FX!$C$2:$C$26)</f>
        <v>0.57420000000000004</v>
      </c>
      <c r="G79" cm="1">
        <f t="array" ref="G79">_xlfn.IFS(B79="Canada",2,B79="India",3,B79="UK",4,B79="USA",5)</f>
        <v>2</v>
      </c>
      <c r="H79" s="662">
        <f>VLOOKUP(C79,'StdCosts and StdRates'!$A$2:$E$7,G79)*F79</f>
        <v>54.549000000000007</v>
      </c>
      <c r="I79" s="967"/>
      <c r="J79" s="967"/>
      <c r="K79" s="967"/>
      <c r="L79" s="967"/>
      <c r="M79" s="967"/>
      <c r="N79" s="967">
        <v>55.282400000000003</v>
      </c>
    </row>
    <row r="80" spans="1:14">
      <c r="A80" t="s">
        <v>247</v>
      </c>
      <c r="B80" t="s">
        <v>405</v>
      </c>
      <c r="C80" t="s">
        <v>358</v>
      </c>
      <c r="D80"/>
      <c r="E80" t="str">
        <f t="shared" si="1"/>
        <v>UKCanadaD - Lead</v>
      </c>
      <c r="F80" s="662" cm="1">
        <f t="array" ref="F80">_xlfn.XLOOKUP(B80&amp;A80,FX!$A$2:$A$26&amp;FX!$B$2:$B$26,FX!$C$2:$C$26)</f>
        <v>0.57420000000000004</v>
      </c>
      <c r="G80" cm="1">
        <f t="array" ref="G80">_xlfn.IFS(B80="Canada",2,B80="India",3,B80="UK",4,B80="USA",5)</f>
        <v>2</v>
      </c>
      <c r="H80" s="662">
        <f>VLOOKUP(C80,'StdCosts and StdRates'!$A$2:$E$7,G80)*F80</f>
        <v>66.033000000000001</v>
      </c>
      <c r="I80" s="967"/>
      <c r="J80" s="967"/>
      <c r="K80" s="967"/>
      <c r="L80" s="967"/>
      <c r="M80" s="967"/>
      <c r="N80" s="967">
        <v>66.9208</v>
      </c>
    </row>
    <row r="81" spans="1:14">
      <c r="A81" t="s">
        <v>247</v>
      </c>
      <c r="B81" t="s">
        <v>405</v>
      </c>
      <c r="C81" t="s">
        <v>772</v>
      </c>
      <c r="D81"/>
      <c r="E81" t="str">
        <f t="shared" si="1"/>
        <v>UKCanadaE - Principal</v>
      </c>
      <c r="F81" s="662" cm="1">
        <f t="array" ref="F81">_xlfn.XLOOKUP(B81&amp;A81,FX!$A$2:$A$26&amp;FX!$B$2:$B$26,FX!$C$2:$C$26)</f>
        <v>0.57420000000000004</v>
      </c>
      <c r="G81" cm="1">
        <f t="array" ref="G81">_xlfn.IFS(B81="Canada",2,B81="India",3,B81="UK",4,B81="USA",5)</f>
        <v>2</v>
      </c>
      <c r="H81" s="662">
        <f>VLOOKUP(C81,'StdCosts and StdRates'!$A$2:$E$7,G81)*F81</f>
        <v>94.743000000000009</v>
      </c>
      <c r="I81" s="967"/>
      <c r="J81" s="967"/>
      <c r="K81" s="967"/>
      <c r="L81" s="967"/>
      <c r="M81" s="967"/>
      <c r="N81" s="967">
        <v>96.016800000000003</v>
      </c>
    </row>
    <row r="82" spans="1:14">
      <c r="A82" t="s">
        <v>247</v>
      </c>
      <c r="B82" t="s">
        <v>405</v>
      </c>
      <c r="C82" t="s">
        <v>775</v>
      </c>
      <c r="D82"/>
      <c r="E82" t="str">
        <f t="shared" si="1"/>
        <v>UKCanadaF - Chief</v>
      </c>
      <c r="F82" s="662" cm="1">
        <f t="array" ref="F82">_xlfn.XLOOKUP(B82&amp;A82,FX!$A$2:$A$26&amp;FX!$B$2:$B$26,FX!$C$2:$C$26)</f>
        <v>0.57420000000000004</v>
      </c>
      <c r="G82" cm="1">
        <f t="array" ref="G82">_xlfn.IFS(B82="Canada",2,B82="India",3,B82="UK",4,B82="USA",5)</f>
        <v>2</v>
      </c>
      <c r="H82" s="662">
        <f>VLOOKUP(C82,'StdCosts and StdRates'!$A$2:$E$7,G82)*F82</f>
        <v>140.679</v>
      </c>
      <c r="I82" s="967"/>
      <c r="J82" s="967"/>
      <c r="K82" s="967"/>
      <c r="L82" s="967"/>
      <c r="M82" s="967"/>
      <c r="N82" s="967">
        <v>142.57040000000001</v>
      </c>
    </row>
    <row r="83" spans="1:14">
      <c r="A83" t="s">
        <v>247</v>
      </c>
      <c r="B83" t="s">
        <v>227</v>
      </c>
      <c r="C83" t="s">
        <v>753</v>
      </c>
      <c r="D83"/>
      <c r="E83" t="str">
        <f t="shared" si="1"/>
        <v>UKIndiaA - Associate</v>
      </c>
      <c r="F83" s="662" cm="1">
        <f t="array" ref="F83">_xlfn.XLOOKUP(B83&amp;A83,FX!$A$2:$A$26&amp;FX!$B$2:$B$26,FX!$C$2:$C$26)</f>
        <v>9.41E-3</v>
      </c>
      <c r="G83" cm="1">
        <f t="array" ref="G83">_xlfn.IFS(B83="Canada",2,B83="India",3,B83="UK",4,B83="USA",5)</f>
        <v>3</v>
      </c>
      <c r="H83" s="662">
        <f>VLOOKUP(C83,'StdCosts and StdRates'!$A$2:$E$7,G83)*F83</f>
        <v>4.5167999999999999</v>
      </c>
      <c r="I83" s="967"/>
      <c r="J83" s="967"/>
      <c r="K83" s="967"/>
      <c r="L83" s="967"/>
      <c r="M83" s="967"/>
      <c r="N83" s="967">
        <v>4.4764799999999996</v>
      </c>
    </row>
    <row r="84" spans="1:14">
      <c r="A84" t="s">
        <v>247</v>
      </c>
      <c r="B84" t="s">
        <v>227</v>
      </c>
      <c r="C84" t="s">
        <v>352</v>
      </c>
      <c r="D84"/>
      <c r="E84" t="str">
        <f t="shared" si="1"/>
        <v>UKIndiaB - Staff</v>
      </c>
      <c r="F84" s="662" cm="1">
        <f t="array" ref="F84">_xlfn.XLOOKUP(B84&amp;A84,FX!$A$2:$A$26&amp;FX!$B$2:$B$26,FX!$C$2:$C$26)</f>
        <v>9.41E-3</v>
      </c>
      <c r="G84" cm="1">
        <f t="array" ref="G84">_xlfn.IFS(B84="Canada",2,B84="India",3,B84="UK",4,B84="USA",5)</f>
        <v>3</v>
      </c>
      <c r="H84" s="662">
        <f>VLOOKUP(C84,'StdCosts and StdRates'!$A$2:$E$7,G84)*F84</f>
        <v>9.73935</v>
      </c>
      <c r="I84" s="967"/>
      <c r="J84" s="967"/>
      <c r="K84" s="967"/>
      <c r="L84" s="967"/>
      <c r="M84" s="967"/>
      <c r="N84" s="967">
        <v>9.6524099999999997</v>
      </c>
    </row>
    <row r="85" spans="1:14">
      <c r="A85" t="s">
        <v>247</v>
      </c>
      <c r="B85" t="s">
        <v>227</v>
      </c>
      <c r="C85" t="s">
        <v>355</v>
      </c>
      <c r="D85"/>
      <c r="E85" t="str">
        <f t="shared" si="1"/>
        <v>UKIndiaC - Senior</v>
      </c>
      <c r="F85" s="662" cm="1">
        <f t="array" ref="F85">_xlfn.XLOOKUP(B85&amp;A85,FX!$A$2:$A$26&amp;FX!$B$2:$B$26,FX!$C$2:$C$26)</f>
        <v>9.41E-3</v>
      </c>
      <c r="G85" cm="1">
        <f t="array" ref="G85">_xlfn.IFS(B85="Canada",2,B85="India",3,B85="UK",4,B85="USA",5)</f>
        <v>3</v>
      </c>
      <c r="H85" s="662">
        <f>VLOOKUP(C85,'StdCosts and StdRates'!$A$2:$E$7,G85)*F85</f>
        <v>14.209099999999999</v>
      </c>
      <c r="I85" s="967"/>
      <c r="J85" s="967"/>
      <c r="K85" s="967"/>
      <c r="L85" s="967"/>
      <c r="M85" s="967"/>
      <c r="N85" s="967">
        <v>14.082259999999998</v>
      </c>
    </row>
    <row r="86" spans="1:14">
      <c r="A86" t="s">
        <v>247</v>
      </c>
      <c r="B86" t="s">
        <v>227</v>
      </c>
      <c r="C86" t="s">
        <v>358</v>
      </c>
      <c r="D86"/>
      <c r="E86" t="str">
        <f t="shared" si="1"/>
        <v>UKIndiaD - Lead</v>
      </c>
      <c r="F86" s="662" cm="1">
        <f t="array" ref="F86">_xlfn.XLOOKUP(B86&amp;A86,FX!$A$2:$A$26&amp;FX!$B$2:$B$26,FX!$C$2:$C$26)</f>
        <v>9.41E-3</v>
      </c>
      <c r="G86" cm="1">
        <f t="array" ref="G86">_xlfn.IFS(B86="Canada",2,B86="India",3,B86="UK",4,B86="USA",5)</f>
        <v>3</v>
      </c>
      <c r="H86" s="662">
        <f>VLOOKUP(C86,'StdCosts and StdRates'!$A$2:$E$7,G86)*F86</f>
        <v>25.54815</v>
      </c>
      <c r="I86" s="967"/>
      <c r="J86" s="967"/>
      <c r="K86" s="967"/>
      <c r="L86" s="967"/>
      <c r="M86" s="967"/>
      <c r="N86" s="967">
        <v>25.320089999999997</v>
      </c>
    </row>
    <row r="87" spans="1:14">
      <c r="A87" t="s">
        <v>247</v>
      </c>
      <c r="B87" t="s">
        <v>227</v>
      </c>
      <c r="C87" t="s">
        <v>772</v>
      </c>
      <c r="D87"/>
      <c r="E87" t="str">
        <f t="shared" si="1"/>
        <v>UKIndiaE - Principal</v>
      </c>
      <c r="F87" s="662" cm="1">
        <f t="array" ref="F87">_xlfn.XLOOKUP(B87&amp;A87,FX!$A$2:$A$26&amp;FX!$B$2:$B$26,FX!$C$2:$C$26)</f>
        <v>9.41E-3</v>
      </c>
      <c r="G87" cm="1">
        <f t="array" ref="G87">_xlfn.IFS(B87="Canada",2,B87="India",3,B87="UK",4,B87="USA",5)</f>
        <v>3</v>
      </c>
      <c r="H87" s="662">
        <f>VLOOKUP(C87,'StdCosts and StdRates'!$A$2:$E$7,G87)*F87</f>
        <v>44.179949999999998</v>
      </c>
      <c r="I87" s="967"/>
      <c r="J87" s="967"/>
      <c r="K87" s="967"/>
      <c r="L87" s="967"/>
      <c r="M87" s="967"/>
      <c r="N87" s="967">
        <v>43.78557</v>
      </c>
    </row>
    <row r="88" spans="1:14">
      <c r="A88" t="s">
        <v>247</v>
      </c>
      <c r="B88" t="s">
        <v>227</v>
      </c>
      <c r="C88" t="s">
        <v>775</v>
      </c>
      <c r="D88"/>
      <c r="E88" t="str">
        <f t="shared" si="1"/>
        <v>UKIndiaF - Chief</v>
      </c>
      <c r="F88" s="662" cm="1">
        <f t="array" ref="F88">_xlfn.XLOOKUP(B88&amp;A88,FX!$A$2:$A$26&amp;FX!$B$2:$B$26,FX!$C$2:$C$26)</f>
        <v>9.41E-3</v>
      </c>
      <c r="G88" cm="1">
        <f t="array" ref="G88">_xlfn.IFS(B88="Canada",2,B88="India",3,B88="UK",4,B88="USA",5)</f>
        <v>3</v>
      </c>
      <c r="H88" s="662">
        <f>VLOOKUP(C88,'StdCosts and StdRates'!$A$2:$E$7,G88)*F88</f>
        <v>54.107500000000002</v>
      </c>
      <c r="I88" s="967"/>
      <c r="J88" s="967"/>
      <c r="K88" s="967"/>
      <c r="L88" s="967"/>
      <c r="M88" s="967"/>
      <c r="N88" s="967">
        <v>53.624499999999998</v>
      </c>
    </row>
    <row r="89" spans="1:14">
      <c r="A89" t="s">
        <v>247</v>
      </c>
      <c r="B89" t="s">
        <v>247</v>
      </c>
      <c r="C89" t="s">
        <v>753</v>
      </c>
      <c r="D89"/>
      <c r="E89" t="str">
        <f t="shared" si="1"/>
        <v>UKUKA - Associate</v>
      </c>
      <c r="F89" s="662" cm="1">
        <f t="array" ref="F89">_xlfn.XLOOKUP(B89&amp;A89,FX!$A$2:$A$26&amp;FX!$B$2:$B$26,FX!$C$2:$C$26)</f>
        <v>1</v>
      </c>
      <c r="G89" cm="1">
        <f t="array" ref="G89">_xlfn.IFS(B89="Canada",2,B89="India",3,B89="UK",4,B89="USA",5)</f>
        <v>4</v>
      </c>
      <c r="H89" s="662">
        <f>VLOOKUP(C89,'StdCosts and StdRates'!$A$2:$E$7,G89)*F89</f>
        <v>25</v>
      </c>
      <c r="I89" s="967"/>
      <c r="J89" s="967"/>
      <c r="K89" s="967"/>
      <c r="L89" s="967"/>
      <c r="M89" s="967"/>
      <c r="N89" s="967">
        <v>25</v>
      </c>
    </row>
    <row r="90" spans="1:14">
      <c r="A90" t="s">
        <v>247</v>
      </c>
      <c r="B90" t="s">
        <v>247</v>
      </c>
      <c r="C90" t="s">
        <v>352</v>
      </c>
      <c r="D90"/>
      <c r="E90" t="str">
        <f t="shared" si="1"/>
        <v>UKUKB - Staff</v>
      </c>
      <c r="F90" s="662" cm="1">
        <f t="array" ref="F90">_xlfn.XLOOKUP(B90&amp;A90,FX!$A$2:$A$26&amp;FX!$B$2:$B$26,FX!$C$2:$C$26)</f>
        <v>1</v>
      </c>
      <c r="G90" cm="1">
        <f t="array" ref="G90">_xlfn.IFS(B90="Canada",2,B90="India",3,B90="UK",4,B90="USA",5)</f>
        <v>4</v>
      </c>
      <c r="H90" s="662">
        <f>VLOOKUP(C90,'StdCosts and StdRates'!$A$2:$E$7,G90)*F90</f>
        <v>45</v>
      </c>
      <c r="I90" s="967"/>
      <c r="J90" s="967"/>
      <c r="K90" s="967"/>
      <c r="L90" s="967"/>
      <c r="M90" s="967"/>
      <c r="N90" s="967">
        <v>45</v>
      </c>
    </row>
    <row r="91" spans="1:14">
      <c r="A91" t="s">
        <v>247</v>
      </c>
      <c r="B91" t="s">
        <v>247</v>
      </c>
      <c r="C91" t="s">
        <v>355</v>
      </c>
      <c r="D91"/>
      <c r="E91" t="str">
        <f t="shared" si="1"/>
        <v>UKUKC - Senior</v>
      </c>
      <c r="F91" s="662" cm="1">
        <f t="array" ref="F91">_xlfn.XLOOKUP(B91&amp;A91,FX!$A$2:$A$26&amp;FX!$B$2:$B$26,FX!$C$2:$C$26)</f>
        <v>1</v>
      </c>
      <c r="G91" cm="1">
        <f t="array" ref="G91">_xlfn.IFS(B91="Canada",2,B91="India",3,B91="UK",4,B91="USA",5)</f>
        <v>4</v>
      </c>
      <c r="H91" s="662">
        <f>VLOOKUP(C91,'StdCosts and StdRates'!$A$2:$E$7,G91)*F91</f>
        <v>60</v>
      </c>
      <c r="I91" s="967"/>
      <c r="J91" s="967"/>
      <c r="K91" s="967"/>
      <c r="L91" s="967"/>
      <c r="M91" s="967"/>
      <c r="N91" s="967">
        <v>60</v>
      </c>
    </row>
    <row r="92" spans="1:14">
      <c r="A92" t="s">
        <v>247</v>
      </c>
      <c r="B92" t="s">
        <v>247</v>
      </c>
      <c r="C92" t="s">
        <v>358</v>
      </c>
      <c r="D92"/>
      <c r="E92" t="str">
        <f t="shared" si="1"/>
        <v>UKUKD - Lead</v>
      </c>
      <c r="F92" s="662" cm="1">
        <f t="array" ref="F92">_xlfn.XLOOKUP(B92&amp;A92,FX!$A$2:$A$26&amp;FX!$B$2:$B$26,FX!$C$2:$C$26)</f>
        <v>1</v>
      </c>
      <c r="G92" cm="1">
        <f t="array" ref="G92">_xlfn.IFS(B92="Canada",2,B92="India",3,B92="UK",4,B92="USA",5)</f>
        <v>4</v>
      </c>
      <c r="H92" s="662">
        <f>VLOOKUP(C92,'StdCosts and StdRates'!$A$2:$E$7,G92)*F92</f>
        <v>75</v>
      </c>
      <c r="I92" s="967"/>
      <c r="J92" s="967"/>
      <c r="K92" s="967"/>
      <c r="L92" s="967"/>
      <c r="M92" s="967"/>
      <c r="N92" s="967">
        <v>75</v>
      </c>
    </row>
    <row r="93" spans="1:14">
      <c r="A93" t="s">
        <v>247</v>
      </c>
      <c r="B93" t="s">
        <v>247</v>
      </c>
      <c r="C93" t="s">
        <v>772</v>
      </c>
      <c r="D93"/>
      <c r="E93" t="str">
        <f t="shared" si="1"/>
        <v>UKUKE - Principal</v>
      </c>
      <c r="F93" s="662" cm="1">
        <f t="array" ref="F93">_xlfn.XLOOKUP(B93&amp;A93,FX!$A$2:$A$26&amp;FX!$B$2:$B$26,FX!$C$2:$C$26)</f>
        <v>1</v>
      </c>
      <c r="G93" cm="1">
        <f t="array" ref="G93">_xlfn.IFS(B93="Canada",2,B93="India",3,B93="UK",4,B93="USA",5)</f>
        <v>4</v>
      </c>
      <c r="H93" s="662">
        <f>VLOOKUP(C93,'StdCosts and StdRates'!$A$2:$E$7,G93)*F93</f>
        <v>104</v>
      </c>
      <c r="I93" s="967"/>
      <c r="J93" s="967"/>
      <c r="K93" s="967"/>
      <c r="L93" s="967"/>
      <c r="M93" s="967"/>
      <c r="N93" s="967">
        <v>104</v>
      </c>
    </row>
    <row r="94" spans="1:14">
      <c r="A94" t="s">
        <v>247</v>
      </c>
      <c r="B94" t="s">
        <v>247</v>
      </c>
      <c r="C94" t="s">
        <v>775</v>
      </c>
      <c r="D94"/>
      <c r="E94" t="str">
        <f t="shared" ref="E94:E170" si="2">A94&amp;B94&amp;C94</f>
        <v>UKUKF - Chief</v>
      </c>
      <c r="F94" s="662" cm="1">
        <f t="array" ref="F94">_xlfn.XLOOKUP(B94&amp;A94,FX!$A$2:$A$26&amp;FX!$B$2:$B$26,FX!$C$2:$C$26)</f>
        <v>1</v>
      </c>
      <c r="G94" cm="1">
        <f t="array" ref="G94">_xlfn.IFS(B94="Canada",2,B94="India",3,B94="UK",4,B94="USA",5)</f>
        <v>4</v>
      </c>
      <c r="H94" s="662">
        <f>VLOOKUP(C94,'StdCosts and StdRates'!$A$2:$E$7,G94)*F94</f>
        <v>145</v>
      </c>
      <c r="I94" s="967"/>
      <c r="J94" s="967"/>
      <c r="K94" s="967"/>
      <c r="L94" s="967"/>
      <c r="M94" s="967"/>
      <c r="N94" s="967">
        <v>145</v>
      </c>
    </row>
    <row r="95" spans="1:14">
      <c r="A95" t="s">
        <v>247</v>
      </c>
      <c r="B95" t="s">
        <v>308</v>
      </c>
      <c r="C95" t="s">
        <v>753</v>
      </c>
      <c r="D95"/>
      <c r="E95" t="str">
        <f t="shared" si="2"/>
        <v>UKUSAA - Associate</v>
      </c>
      <c r="F95" s="662" cm="1">
        <f t="array" ref="F95">_xlfn.XLOOKUP(B95&amp;A95,FX!$A$2:$A$26&amp;FX!$B$2:$B$26,FX!$C$2:$C$26)</f>
        <v>0.78280000000000005</v>
      </c>
      <c r="G95" cm="1">
        <f t="array" ref="G95">_xlfn.IFS(B95="Canada",2,B95="India",3,B95="UK",4,B95="USA",5)</f>
        <v>5</v>
      </c>
      <c r="H95" s="662">
        <f>VLOOKUP(C95,'StdCosts and StdRates'!$A$2:$E$7,G95)*F95</f>
        <v>50.882000000000005</v>
      </c>
      <c r="I95" s="967"/>
      <c r="J95" s="967"/>
      <c r="K95" s="967"/>
      <c r="L95" s="967"/>
      <c r="M95" s="967"/>
      <c r="N95" s="967">
        <v>49.730850000000004</v>
      </c>
    </row>
    <row r="96" spans="1:14">
      <c r="A96" t="s">
        <v>247</v>
      </c>
      <c r="B96" t="s">
        <v>308</v>
      </c>
      <c r="C96" t="s">
        <v>352</v>
      </c>
      <c r="D96"/>
      <c r="E96" t="str">
        <f t="shared" si="2"/>
        <v>UKUSAB - Staff</v>
      </c>
      <c r="F96" s="662" cm="1">
        <f t="array" ref="F96">_xlfn.XLOOKUP(B96&amp;A96,FX!$A$2:$A$26&amp;FX!$B$2:$B$26,FX!$C$2:$C$26)</f>
        <v>0.78280000000000005</v>
      </c>
      <c r="G96" cm="1">
        <f t="array" ref="G96">_xlfn.IFS(B96="Canada",2,B96="India",3,B96="UK",4,B96="USA",5)</f>
        <v>5</v>
      </c>
      <c r="H96" s="662">
        <f>VLOOKUP(C96,'StdCosts and StdRates'!$A$2:$E$7,G96)*F96</f>
        <v>62.624000000000002</v>
      </c>
      <c r="I96" s="967"/>
      <c r="J96" s="967"/>
      <c r="K96" s="967"/>
      <c r="L96" s="967"/>
      <c r="M96" s="967"/>
      <c r="N96" s="967">
        <v>61.2072</v>
      </c>
    </row>
    <row r="97" spans="1:14">
      <c r="A97" t="s">
        <v>247</v>
      </c>
      <c r="B97" t="s">
        <v>308</v>
      </c>
      <c r="C97" t="s">
        <v>355</v>
      </c>
      <c r="D97"/>
      <c r="E97" t="str">
        <f t="shared" si="2"/>
        <v>UKUSAC - Senior</v>
      </c>
      <c r="F97" s="662" cm="1">
        <f t="array" ref="F97">_xlfn.XLOOKUP(B97&amp;A97,FX!$A$2:$A$26&amp;FX!$B$2:$B$26,FX!$C$2:$C$26)</f>
        <v>0.78280000000000005</v>
      </c>
      <c r="G97" cm="1">
        <f t="array" ref="G97">_xlfn.IFS(B97="Canada",2,B97="India",3,B97="UK",4,B97="USA",5)</f>
        <v>5</v>
      </c>
      <c r="H97" s="662">
        <f>VLOOKUP(C97,'StdCosts and StdRates'!$A$2:$E$7,G97)*F97</f>
        <v>78.28</v>
      </c>
      <c r="I97" s="967"/>
      <c r="J97" s="967"/>
      <c r="K97" s="967"/>
      <c r="L97" s="967"/>
      <c r="M97" s="967"/>
      <c r="N97" s="967">
        <v>76.509</v>
      </c>
    </row>
    <row r="98" spans="1:14">
      <c r="A98" t="s">
        <v>247</v>
      </c>
      <c r="B98" t="s">
        <v>308</v>
      </c>
      <c r="C98" t="s">
        <v>358</v>
      </c>
      <c r="D98"/>
      <c r="E98" t="str">
        <f t="shared" si="2"/>
        <v>UKUSAD - Lead</v>
      </c>
      <c r="F98" s="662" cm="1">
        <f t="array" ref="F98">_xlfn.XLOOKUP(B98&amp;A98,FX!$A$2:$A$26&amp;FX!$B$2:$B$26,FX!$C$2:$C$26)</f>
        <v>0.78280000000000005</v>
      </c>
      <c r="G98" cm="1">
        <f t="array" ref="G98">_xlfn.IFS(B98="Canada",2,B98="India",3,B98="UK",4,B98="USA",5)</f>
        <v>5</v>
      </c>
      <c r="H98" s="662">
        <f>VLOOKUP(C98,'StdCosts and StdRates'!$A$2:$E$7,G98)*F98</f>
        <v>90.022000000000006</v>
      </c>
      <c r="I98" s="967"/>
      <c r="J98" s="967"/>
      <c r="K98" s="967"/>
      <c r="L98" s="967"/>
      <c r="M98" s="967"/>
      <c r="N98" s="967">
        <v>87.985350000000011</v>
      </c>
    </row>
    <row r="99" spans="1:14">
      <c r="A99" t="s">
        <v>247</v>
      </c>
      <c r="B99" t="s">
        <v>308</v>
      </c>
      <c r="C99" t="s">
        <v>772</v>
      </c>
      <c r="D99"/>
      <c r="E99" t="str">
        <f t="shared" si="2"/>
        <v>UKUSAE - Principal</v>
      </c>
      <c r="F99" s="662" cm="1">
        <f t="array" ref="F99">_xlfn.XLOOKUP(B99&amp;A99,FX!$A$2:$A$26&amp;FX!$B$2:$B$26,FX!$C$2:$C$26)</f>
        <v>0.78280000000000005</v>
      </c>
      <c r="G99" cm="1">
        <f t="array" ref="G99">_xlfn.IFS(B99="Canada",2,B99="India",3,B99="UK",4,B99="USA",5)</f>
        <v>5</v>
      </c>
      <c r="H99" s="662">
        <f>VLOOKUP(C99,'StdCosts and StdRates'!$A$2:$E$7,G99)*F99</f>
        <v>133.07600000000002</v>
      </c>
      <c r="I99" s="967"/>
      <c r="J99" s="967"/>
      <c r="K99" s="967"/>
      <c r="L99" s="967"/>
      <c r="M99" s="967"/>
      <c r="N99" s="967">
        <v>130.06530000000001</v>
      </c>
    </row>
    <row r="100" spans="1:14">
      <c r="A100" t="s">
        <v>247</v>
      </c>
      <c r="B100" t="s">
        <v>308</v>
      </c>
      <c r="C100" t="s">
        <v>775</v>
      </c>
      <c r="D100"/>
      <c r="E100" t="str">
        <f t="shared" si="2"/>
        <v>UKUSAF - Chief</v>
      </c>
      <c r="F100" s="662" cm="1">
        <f t="array" ref="F100">_xlfn.XLOOKUP(B100&amp;A100,FX!$A$2:$A$26&amp;FX!$B$2:$B$26,FX!$C$2:$C$26)</f>
        <v>0.78280000000000005</v>
      </c>
      <c r="G100" cm="1">
        <f t="array" ref="G100">_xlfn.IFS(B100="Canada",2,B100="India",3,B100="UK",4,B100="USA",5)</f>
        <v>5</v>
      </c>
      <c r="H100" s="662">
        <f>VLOOKUP(C100,'StdCosts and StdRates'!$A$2:$E$7,G100)*F100</f>
        <v>168.30200000000002</v>
      </c>
      <c r="I100" s="967"/>
      <c r="J100" s="967"/>
      <c r="K100" s="967"/>
      <c r="L100" s="967"/>
      <c r="M100" s="967"/>
      <c r="N100" s="967">
        <v>164.49435</v>
      </c>
    </row>
    <row r="101" spans="1:14">
      <c r="A101" t="s">
        <v>308</v>
      </c>
      <c r="B101" t="s">
        <v>405</v>
      </c>
      <c r="C101" t="s">
        <v>753</v>
      </c>
      <c r="D101"/>
      <c r="E101" t="str">
        <f t="shared" si="2"/>
        <v>USACanadaA - Associate</v>
      </c>
      <c r="F101" s="662" cm="1">
        <f t="array" ref="F101">_xlfn.XLOOKUP(B101&amp;A101,FX!$A$2:$A$26&amp;FX!$B$2:$B$26,FX!$C$2:$C$26)</f>
        <v>0.73351999999999995</v>
      </c>
      <c r="G101" cm="1">
        <f t="array" ref="G101">_xlfn.IFS(B101="Canada",2,B101="India",3,B101="UK",4,B101="USA",5)</f>
        <v>2</v>
      </c>
      <c r="H101" s="662">
        <f>VLOOKUP(C101,'StdCosts and StdRates'!$A$2:$E$7,G101)*F101</f>
        <v>40.343599999999995</v>
      </c>
      <c r="I101" s="967"/>
      <c r="J101" s="967"/>
      <c r="K101" s="967"/>
      <c r="L101" s="967"/>
      <c r="M101" s="967"/>
      <c r="N101" s="967">
        <v>41.832450000000001</v>
      </c>
    </row>
    <row r="102" spans="1:14">
      <c r="A102" t="s">
        <v>308</v>
      </c>
      <c r="B102" t="s">
        <v>405</v>
      </c>
      <c r="C102" t="s">
        <v>352</v>
      </c>
      <c r="D102"/>
      <c r="E102" t="str">
        <f t="shared" si="2"/>
        <v>USACanadaB - Staff</v>
      </c>
      <c r="F102" s="662" cm="1">
        <f t="array" ref="F102">_xlfn.XLOOKUP(B102&amp;A102,FX!$A$2:$A$26&amp;FX!$B$2:$B$26,FX!$C$2:$C$26)</f>
        <v>0.73351999999999995</v>
      </c>
      <c r="G102" cm="1">
        <f t="array" ref="G102">_xlfn.IFS(B102="Canada",2,B102="India",3,B102="UK",4,B102="USA",5)</f>
        <v>2</v>
      </c>
      <c r="H102" s="662">
        <f>VLOOKUP(C102,'StdCosts and StdRates'!$A$2:$E$7,G102)*F102</f>
        <v>55.013999999999996</v>
      </c>
      <c r="I102" s="967"/>
      <c r="J102" s="967"/>
      <c r="K102" s="967"/>
      <c r="L102" s="967"/>
      <c r="M102" s="967"/>
      <c r="N102" s="967">
        <v>57.044249999999998</v>
      </c>
    </row>
    <row r="103" spans="1:14">
      <c r="A103" t="s">
        <v>308</v>
      </c>
      <c r="B103" t="s">
        <v>405</v>
      </c>
      <c r="C103" t="s">
        <v>355</v>
      </c>
      <c r="D103"/>
      <c r="E103" t="str">
        <f t="shared" si="2"/>
        <v>USACanadaC - Senior</v>
      </c>
      <c r="F103" s="662" cm="1">
        <f t="array" ref="F103">_xlfn.XLOOKUP(B103&amp;A103,FX!$A$2:$A$26&amp;FX!$B$2:$B$26,FX!$C$2:$C$26)</f>
        <v>0.73351999999999995</v>
      </c>
      <c r="G103" cm="1">
        <f t="array" ref="G103">_xlfn.IFS(B103="Canada",2,B103="India",3,B103="UK",4,B103="USA",5)</f>
        <v>2</v>
      </c>
      <c r="H103" s="662">
        <f>VLOOKUP(C103,'StdCosts and StdRates'!$A$2:$E$7,G103)*F103</f>
        <v>69.684399999999997</v>
      </c>
      <c r="I103" s="967"/>
      <c r="J103" s="967"/>
      <c r="K103" s="967"/>
      <c r="L103" s="967"/>
      <c r="M103" s="967"/>
      <c r="N103" s="967">
        <v>72.256050000000002</v>
      </c>
    </row>
    <row r="104" spans="1:14">
      <c r="A104" t="s">
        <v>308</v>
      </c>
      <c r="B104" t="s">
        <v>405</v>
      </c>
      <c r="C104" t="s">
        <v>358</v>
      </c>
      <c r="D104"/>
      <c r="E104" t="str">
        <f t="shared" si="2"/>
        <v>USACanadaD - Lead</v>
      </c>
      <c r="F104" s="662" cm="1">
        <f t="array" ref="F104">_xlfn.XLOOKUP(B104&amp;A104,FX!$A$2:$A$26&amp;FX!$B$2:$B$26,FX!$C$2:$C$26)</f>
        <v>0.73351999999999995</v>
      </c>
      <c r="G104" cm="1">
        <f t="array" ref="G104">_xlfn.IFS(B104="Canada",2,B104="India",3,B104="UK",4,B104="USA",5)</f>
        <v>2</v>
      </c>
      <c r="H104" s="662">
        <f>VLOOKUP(C104,'StdCosts and StdRates'!$A$2:$E$7,G104)*F104</f>
        <v>84.354799999999997</v>
      </c>
      <c r="I104" s="967"/>
      <c r="J104" s="967"/>
      <c r="K104" s="967"/>
      <c r="L104" s="967"/>
      <c r="M104" s="967"/>
      <c r="N104" s="967">
        <v>87.467849999999999</v>
      </c>
    </row>
    <row r="105" spans="1:14">
      <c r="A105" t="s">
        <v>308</v>
      </c>
      <c r="B105" t="s">
        <v>405</v>
      </c>
      <c r="C105" t="s">
        <v>772</v>
      </c>
      <c r="D105"/>
      <c r="E105" t="str">
        <f t="shared" si="2"/>
        <v>USACanadaE - Principal</v>
      </c>
      <c r="F105" s="662" cm="1">
        <f t="array" ref="F105">_xlfn.XLOOKUP(B105&amp;A105,FX!$A$2:$A$26&amp;FX!$B$2:$B$26,FX!$C$2:$C$26)</f>
        <v>0.73351999999999995</v>
      </c>
      <c r="G105" cm="1">
        <f t="array" ref="G105">_xlfn.IFS(B105="Canada",2,B105="India",3,B105="UK",4,B105="USA",5)</f>
        <v>2</v>
      </c>
      <c r="H105" s="662">
        <f>VLOOKUP(C105,'StdCosts and StdRates'!$A$2:$E$7,G105)*F105</f>
        <v>121.03079999999999</v>
      </c>
      <c r="I105" s="967"/>
      <c r="J105" s="967"/>
      <c r="K105" s="967"/>
      <c r="L105" s="967"/>
      <c r="M105" s="967"/>
      <c r="N105" s="967">
        <v>125.49735</v>
      </c>
    </row>
    <row r="106" spans="1:14">
      <c r="A106" t="s">
        <v>308</v>
      </c>
      <c r="B106" t="s">
        <v>405</v>
      </c>
      <c r="C106" t="s">
        <v>775</v>
      </c>
      <c r="D106"/>
      <c r="E106" t="str">
        <f t="shared" si="2"/>
        <v>USACanadaF - Chief</v>
      </c>
      <c r="F106" s="662" cm="1">
        <f t="array" ref="F106">_xlfn.XLOOKUP(B106&amp;A106,FX!$A$2:$A$26&amp;FX!$B$2:$B$26,FX!$C$2:$C$26)</f>
        <v>0.73351999999999995</v>
      </c>
      <c r="G106" cm="1">
        <f t="array" ref="G106">_xlfn.IFS(B106="Canada",2,B106="India",3,B106="UK",4,B106="USA",5)</f>
        <v>2</v>
      </c>
      <c r="H106" s="662">
        <f>VLOOKUP(C106,'StdCosts and StdRates'!$A$2:$E$7,G106)*F106</f>
        <v>179.71239999999997</v>
      </c>
      <c r="I106" s="967"/>
      <c r="J106" s="967"/>
      <c r="K106" s="967"/>
      <c r="L106" s="967"/>
      <c r="M106" s="967"/>
      <c r="N106" s="967">
        <v>186.34455</v>
      </c>
    </row>
    <row r="107" spans="1:14">
      <c r="A107" t="s">
        <v>308</v>
      </c>
      <c r="B107" t="s">
        <v>227</v>
      </c>
      <c r="C107" t="s">
        <v>753</v>
      </c>
      <c r="D107"/>
      <c r="E107" t="str">
        <f t="shared" si="2"/>
        <v>USAIndiaA - Associate</v>
      </c>
      <c r="F107" s="662" cm="1">
        <f t="array" ref="F107">_xlfn.XLOOKUP(B107&amp;A107,FX!$A$2:$A$26&amp;FX!$B$2:$B$26,FX!$C$2:$C$26)</f>
        <v>1.2019999999999999E-2</v>
      </c>
      <c r="G107" cm="1">
        <f t="array" ref="G107">_xlfn.IFS(B107="Canada",2,B107="India",3,B107="UK",4,B107="USA",5)</f>
        <v>3</v>
      </c>
      <c r="H107" s="662">
        <f>VLOOKUP(C107,'StdCosts and StdRates'!$A$2:$E$7,G107)*F107</f>
        <v>5.7695999999999996</v>
      </c>
      <c r="I107" s="967"/>
      <c r="J107" s="967"/>
      <c r="K107" s="967"/>
      <c r="L107" s="967"/>
      <c r="M107" s="967"/>
      <c r="N107" s="967">
        <v>5.8521599999999996</v>
      </c>
    </row>
    <row r="108" spans="1:14">
      <c r="A108" t="s">
        <v>308</v>
      </c>
      <c r="B108" t="s">
        <v>227</v>
      </c>
      <c r="C108" t="s">
        <v>352</v>
      </c>
      <c r="D108"/>
      <c r="E108" t="str">
        <f t="shared" si="2"/>
        <v>USAIndiaB - Staff</v>
      </c>
      <c r="F108" s="662" cm="1">
        <f t="array" ref="F108">_xlfn.XLOOKUP(B108&amp;A108,FX!$A$2:$A$26&amp;FX!$B$2:$B$26,FX!$C$2:$C$26)</f>
        <v>1.2019999999999999E-2</v>
      </c>
      <c r="G108" cm="1">
        <f t="array" ref="G108">_xlfn.IFS(B108="Canada",2,B108="India",3,B108="UK",4,B108="USA",5)</f>
        <v>3</v>
      </c>
      <c r="H108" s="662">
        <f>VLOOKUP(C108,'StdCosts and StdRates'!$A$2:$E$7,G108)*F108</f>
        <v>12.4407</v>
      </c>
      <c r="I108" s="967"/>
      <c r="J108" s="967"/>
      <c r="K108" s="967"/>
      <c r="L108" s="967"/>
      <c r="M108" s="967"/>
      <c r="N108" s="967">
        <v>12.61872</v>
      </c>
    </row>
    <row r="109" spans="1:14">
      <c r="A109" t="s">
        <v>308</v>
      </c>
      <c r="B109" t="s">
        <v>227</v>
      </c>
      <c r="C109" t="s">
        <v>355</v>
      </c>
      <c r="D109"/>
      <c r="E109" t="str">
        <f t="shared" si="2"/>
        <v>USAIndiaC - Senior</v>
      </c>
      <c r="F109" s="662" cm="1">
        <f t="array" ref="F109">_xlfn.XLOOKUP(B109&amp;A109,FX!$A$2:$A$26&amp;FX!$B$2:$B$26,FX!$C$2:$C$26)</f>
        <v>1.2019999999999999E-2</v>
      </c>
      <c r="G109" cm="1">
        <f t="array" ref="G109">_xlfn.IFS(B109="Canada",2,B109="India",3,B109="UK",4,B109="USA",5)</f>
        <v>3</v>
      </c>
      <c r="H109" s="662">
        <f>VLOOKUP(C109,'StdCosts and StdRates'!$A$2:$E$7,G109)*F109</f>
        <v>18.150199999999998</v>
      </c>
      <c r="I109" s="967"/>
      <c r="J109" s="967"/>
      <c r="K109" s="967"/>
      <c r="L109" s="967"/>
      <c r="M109" s="967"/>
      <c r="N109" s="967">
        <v>18.40992</v>
      </c>
    </row>
    <row r="110" spans="1:14">
      <c r="A110" t="s">
        <v>308</v>
      </c>
      <c r="B110" t="s">
        <v>227</v>
      </c>
      <c r="C110" t="s">
        <v>358</v>
      </c>
      <c r="D110"/>
      <c r="E110" t="str">
        <f t="shared" si="2"/>
        <v>USAIndiaD - Lead</v>
      </c>
      <c r="F110" s="662" cm="1">
        <f t="array" ref="F110">_xlfn.XLOOKUP(B110&amp;A110,FX!$A$2:$A$26&amp;FX!$B$2:$B$26,FX!$C$2:$C$26)</f>
        <v>1.2019999999999999E-2</v>
      </c>
      <c r="G110" cm="1">
        <f t="array" ref="G110">_xlfn.IFS(B110="Canada",2,B110="India",3,B110="UK",4,B110="USA",5)</f>
        <v>3</v>
      </c>
      <c r="H110" s="662">
        <f>VLOOKUP(C110,'StdCosts and StdRates'!$A$2:$E$7,G110)*F110</f>
        <v>32.634299999999996</v>
      </c>
      <c r="I110" s="967"/>
      <c r="J110" s="967"/>
      <c r="K110" s="967"/>
      <c r="L110" s="967"/>
      <c r="M110" s="967"/>
      <c r="N110" s="967">
        <v>33.101280000000003</v>
      </c>
    </row>
    <row r="111" spans="1:14">
      <c r="A111" t="s">
        <v>308</v>
      </c>
      <c r="B111" t="s">
        <v>227</v>
      </c>
      <c r="C111" t="s">
        <v>772</v>
      </c>
      <c r="D111"/>
      <c r="E111" t="str">
        <f t="shared" si="2"/>
        <v>USAIndiaE - Principal</v>
      </c>
      <c r="F111" s="662" cm="1">
        <f t="array" ref="F111">_xlfn.XLOOKUP(B111&amp;A111,FX!$A$2:$A$26&amp;FX!$B$2:$B$26,FX!$C$2:$C$26)</f>
        <v>1.2019999999999999E-2</v>
      </c>
      <c r="G111" cm="1">
        <f t="array" ref="G111">_xlfn.IFS(B111="Canada",2,B111="India",3,B111="UK",4,B111="USA",5)</f>
        <v>3</v>
      </c>
      <c r="H111" s="662">
        <f>VLOOKUP(C111,'StdCosts and StdRates'!$A$2:$E$7,G111)*F111</f>
        <v>56.433899999999994</v>
      </c>
      <c r="I111" s="967"/>
      <c r="J111" s="967"/>
      <c r="K111" s="967"/>
      <c r="L111" s="967"/>
      <c r="M111" s="967"/>
      <c r="N111" s="967">
        <v>57.241439999999997</v>
      </c>
    </row>
    <row r="112" spans="1:14">
      <c r="A112" t="s">
        <v>308</v>
      </c>
      <c r="B112" t="s">
        <v>227</v>
      </c>
      <c r="C112" t="s">
        <v>775</v>
      </c>
      <c r="D112"/>
      <c r="E112" t="str">
        <f t="shared" si="2"/>
        <v>USAIndiaF - Chief</v>
      </c>
      <c r="F112" s="662" cm="1">
        <f t="array" ref="F112">_xlfn.XLOOKUP(B112&amp;A112,FX!$A$2:$A$26&amp;FX!$B$2:$B$26,FX!$C$2:$C$26)</f>
        <v>1.2019999999999999E-2</v>
      </c>
      <c r="G112" cm="1">
        <f t="array" ref="G112">_xlfn.IFS(B112="Canada",2,B112="India",3,B112="UK",4,B112="USA",5)</f>
        <v>3</v>
      </c>
      <c r="H112" s="662">
        <f>VLOOKUP(C112,'StdCosts and StdRates'!$A$2:$E$7,G112)*F112</f>
        <v>69.114999999999995</v>
      </c>
      <c r="I112" s="967"/>
      <c r="J112" s="967"/>
      <c r="K112" s="967"/>
      <c r="L112" s="967"/>
      <c r="M112" s="967"/>
      <c r="N112" s="967">
        <v>70.103999999999999</v>
      </c>
    </row>
    <row r="113" spans="1:14">
      <c r="A113" t="s">
        <v>308</v>
      </c>
      <c r="B113" t="s">
        <v>247</v>
      </c>
      <c r="C113" t="s">
        <v>753</v>
      </c>
      <c r="D113"/>
      <c r="E113" t="str">
        <f t="shared" si="2"/>
        <v>USAUKA - Associate</v>
      </c>
      <c r="F113" s="662" cm="1">
        <f t="array" ref="F113">_xlfn.XLOOKUP(B113&amp;A113,FX!$A$2:$A$26&amp;FX!$B$2:$B$26,FX!$C$2:$C$26)</f>
        <v>1.2772699999999999</v>
      </c>
      <c r="G113" cm="1">
        <f t="array" ref="G113">_xlfn.IFS(B113="Canada",2,B113="India",3,B113="UK",4,B113="USA",5)</f>
        <v>4</v>
      </c>
      <c r="H113" s="662">
        <f>VLOOKUP(C113,'StdCosts and StdRates'!$A$2:$E$7,G113)*F113</f>
        <v>31.931749999999997</v>
      </c>
      <c r="I113" s="967"/>
      <c r="J113" s="967"/>
      <c r="K113" s="967"/>
      <c r="L113" s="967"/>
      <c r="M113" s="967"/>
      <c r="N113" s="967">
        <v>32.670749999999998</v>
      </c>
    </row>
    <row r="114" spans="1:14">
      <c r="A114" t="s">
        <v>308</v>
      </c>
      <c r="B114" t="s">
        <v>247</v>
      </c>
      <c r="C114" t="s">
        <v>352</v>
      </c>
      <c r="D114"/>
      <c r="E114" t="str">
        <f t="shared" si="2"/>
        <v>USAUKB - Staff</v>
      </c>
      <c r="F114" s="662" cm="1">
        <f t="array" ref="F114">_xlfn.XLOOKUP(B114&amp;A114,FX!$A$2:$A$26&amp;FX!$B$2:$B$26,FX!$C$2:$C$26)</f>
        <v>1.2772699999999999</v>
      </c>
      <c r="G114" cm="1">
        <f t="array" ref="G114">_xlfn.IFS(B114="Canada",2,B114="India",3,B114="UK",4,B114="USA",5)</f>
        <v>4</v>
      </c>
      <c r="H114" s="662">
        <f>VLOOKUP(C114,'StdCosts and StdRates'!$A$2:$E$7,G114)*F114</f>
        <v>57.477149999999995</v>
      </c>
      <c r="I114" s="967"/>
      <c r="J114" s="967"/>
      <c r="K114" s="967"/>
      <c r="L114" s="967"/>
      <c r="M114" s="967"/>
      <c r="N114" s="967">
        <v>58.80735</v>
      </c>
    </row>
    <row r="115" spans="1:14">
      <c r="A115" t="s">
        <v>308</v>
      </c>
      <c r="B115" t="s">
        <v>247</v>
      </c>
      <c r="C115" t="s">
        <v>355</v>
      </c>
      <c r="D115"/>
      <c r="E115" t="str">
        <f t="shared" si="2"/>
        <v>USAUKC - Senior</v>
      </c>
      <c r="F115" s="662" cm="1">
        <f t="array" ref="F115">_xlfn.XLOOKUP(B115&amp;A115,FX!$A$2:$A$26&amp;FX!$B$2:$B$26,FX!$C$2:$C$26)</f>
        <v>1.2772699999999999</v>
      </c>
      <c r="G115" cm="1">
        <f t="array" ref="G115">_xlfn.IFS(B115="Canada",2,B115="India",3,B115="UK",4,B115="USA",5)</f>
        <v>4</v>
      </c>
      <c r="H115" s="662">
        <f>VLOOKUP(C115,'StdCosts and StdRates'!$A$2:$E$7,G115)*F115</f>
        <v>76.636199999999988</v>
      </c>
      <c r="I115" s="967"/>
      <c r="J115" s="967"/>
      <c r="K115" s="967"/>
      <c r="L115" s="967"/>
      <c r="M115" s="967"/>
      <c r="N115" s="967">
        <v>78.40979999999999</v>
      </c>
    </row>
    <row r="116" spans="1:14">
      <c r="A116" t="s">
        <v>308</v>
      </c>
      <c r="B116" t="s">
        <v>247</v>
      </c>
      <c r="C116" t="s">
        <v>358</v>
      </c>
      <c r="D116"/>
      <c r="E116" t="str">
        <f t="shared" si="2"/>
        <v>USAUKD - Lead</v>
      </c>
      <c r="F116" s="662" cm="1">
        <f t="array" ref="F116">_xlfn.XLOOKUP(B116&amp;A116,FX!$A$2:$A$26&amp;FX!$B$2:$B$26,FX!$C$2:$C$26)</f>
        <v>1.2772699999999999</v>
      </c>
      <c r="G116" cm="1">
        <f t="array" ref="G116">_xlfn.IFS(B116="Canada",2,B116="India",3,B116="UK",4,B116="USA",5)</f>
        <v>4</v>
      </c>
      <c r="H116" s="662">
        <f>VLOOKUP(C116,'StdCosts and StdRates'!$A$2:$E$7,G116)*F116</f>
        <v>95.795249999999996</v>
      </c>
      <c r="I116" s="967"/>
      <c r="J116" s="967"/>
      <c r="K116" s="967"/>
      <c r="L116" s="967"/>
      <c r="M116" s="967"/>
      <c r="N116" s="967">
        <v>98.012249999999995</v>
      </c>
    </row>
    <row r="117" spans="1:14">
      <c r="A117" t="s">
        <v>308</v>
      </c>
      <c r="B117" t="s">
        <v>247</v>
      </c>
      <c r="C117" t="s">
        <v>772</v>
      </c>
      <c r="D117"/>
      <c r="E117" t="str">
        <f t="shared" si="2"/>
        <v>USAUKE - Principal</v>
      </c>
      <c r="F117" s="662" cm="1">
        <f t="array" ref="F117">_xlfn.XLOOKUP(B117&amp;A117,FX!$A$2:$A$26&amp;FX!$B$2:$B$26,FX!$C$2:$C$26)</f>
        <v>1.2772699999999999</v>
      </c>
      <c r="G117" cm="1">
        <f t="array" ref="G117">_xlfn.IFS(B117="Canada",2,B117="India",3,B117="UK",4,B117="USA",5)</f>
        <v>4</v>
      </c>
      <c r="H117" s="662">
        <f>VLOOKUP(C117,'StdCosts and StdRates'!$A$2:$E$7,G117)*F117</f>
        <v>132.83607999999998</v>
      </c>
      <c r="I117" s="967"/>
      <c r="J117" s="967"/>
      <c r="K117" s="967"/>
      <c r="L117" s="967"/>
      <c r="M117" s="967"/>
      <c r="N117" s="967">
        <v>135.91031999999998</v>
      </c>
    </row>
    <row r="118" spans="1:14">
      <c r="A118" t="s">
        <v>308</v>
      </c>
      <c r="B118" t="s">
        <v>247</v>
      </c>
      <c r="C118" t="s">
        <v>775</v>
      </c>
      <c r="D118"/>
      <c r="E118" t="str">
        <f t="shared" si="2"/>
        <v>USAUKF - Chief</v>
      </c>
      <c r="F118" s="662" cm="1">
        <f t="array" ref="F118">_xlfn.XLOOKUP(B118&amp;A118,FX!$A$2:$A$26&amp;FX!$B$2:$B$26,FX!$C$2:$C$26)</f>
        <v>1.2772699999999999</v>
      </c>
      <c r="G118" cm="1">
        <f t="array" ref="G118">_xlfn.IFS(B118="Canada",2,B118="India",3,B118="UK",4,B118="USA",5)</f>
        <v>4</v>
      </c>
      <c r="H118" s="662">
        <f>VLOOKUP(C118,'StdCosts and StdRates'!$A$2:$E$7,G118)*F118</f>
        <v>185.20415</v>
      </c>
      <c r="I118" s="967"/>
      <c r="J118" s="967"/>
      <c r="K118" s="967"/>
      <c r="L118" s="967"/>
      <c r="M118" s="967"/>
      <c r="N118" s="967">
        <v>189.49034999999998</v>
      </c>
    </row>
    <row r="119" spans="1:14">
      <c r="A119" t="s">
        <v>308</v>
      </c>
      <c r="B119" t="s">
        <v>308</v>
      </c>
      <c r="C119" t="s">
        <v>753</v>
      </c>
      <c r="D119"/>
      <c r="E119" t="str">
        <f t="shared" si="2"/>
        <v>USAUSAA - Associate</v>
      </c>
      <c r="F119" s="662" cm="1">
        <f t="array" ref="F119">_xlfn.XLOOKUP(B119&amp;A119,FX!$A$2:$A$26&amp;FX!$B$2:$B$26,FX!$C$2:$C$26)</f>
        <v>1</v>
      </c>
      <c r="G119" cm="1">
        <f t="array" ref="G119">_xlfn.IFS(B119="Canada",2,B119="India",3,B119="UK",4,B119="USA",5)</f>
        <v>5</v>
      </c>
      <c r="H119" s="662">
        <f>VLOOKUP(C119,'StdCosts and StdRates'!$A$2:$E$7,G119)*F119</f>
        <v>65</v>
      </c>
      <c r="I119" s="967"/>
      <c r="J119" s="967"/>
      <c r="K119" s="967"/>
      <c r="L119" s="967"/>
      <c r="M119" s="967"/>
      <c r="N119" s="967">
        <v>65</v>
      </c>
    </row>
    <row r="120" spans="1:14">
      <c r="A120" t="s">
        <v>308</v>
      </c>
      <c r="B120" t="s">
        <v>308</v>
      </c>
      <c r="C120" t="s">
        <v>352</v>
      </c>
      <c r="D120"/>
      <c r="E120" t="str">
        <f t="shared" si="2"/>
        <v>USAUSAB - Staff</v>
      </c>
      <c r="F120" s="662" cm="1">
        <f t="array" ref="F120">_xlfn.XLOOKUP(B120&amp;A120,FX!$A$2:$A$26&amp;FX!$B$2:$B$26,FX!$C$2:$C$26)</f>
        <v>1</v>
      </c>
      <c r="G120" cm="1">
        <f t="array" ref="G120">_xlfn.IFS(B120="Canada",2,B120="India",3,B120="UK",4,B120="USA",5)</f>
        <v>5</v>
      </c>
      <c r="H120" s="662">
        <f>VLOOKUP(C120,'StdCosts and StdRates'!$A$2:$E$7,G120)*F120</f>
        <v>80</v>
      </c>
      <c r="I120" s="967"/>
      <c r="J120" s="967"/>
      <c r="K120" s="967"/>
      <c r="L120" s="967"/>
      <c r="M120" s="967"/>
      <c r="N120" s="967">
        <v>80</v>
      </c>
    </row>
    <row r="121" spans="1:14">
      <c r="A121" t="s">
        <v>308</v>
      </c>
      <c r="B121" t="s">
        <v>308</v>
      </c>
      <c r="C121" t="s">
        <v>355</v>
      </c>
      <c r="D121"/>
      <c r="E121" t="str">
        <f t="shared" si="2"/>
        <v>USAUSAC - Senior</v>
      </c>
      <c r="F121" s="662" cm="1">
        <f t="array" ref="F121">_xlfn.XLOOKUP(B121&amp;A121,FX!$A$2:$A$26&amp;FX!$B$2:$B$26,FX!$C$2:$C$26)</f>
        <v>1</v>
      </c>
      <c r="G121" cm="1">
        <f t="array" ref="G121">_xlfn.IFS(B121="Canada",2,B121="India",3,B121="UK",4,B121="USA",5)</f>
        <v>5</v>
      </c>
      <c r="H121" s="662">
        <f>VLOOKUP(C121,'StdCosts and StdRates'!$A$2:$E$7,G121)*F121</f>
        <v>100</v>
      </c>
      <c r="I121" s="967"/>
      <c r="J121" s="967"/>
      <c r="K121" s="967"/>
      <c r="L121" s="967"/>
      <c r="M121" s="967"/>
      <c r="N121" s="967">
        <v>100</v>
      </c>
    </row>
    <row r="122" spans="1:14">
      <c r="A122" t="s">
        <v>308</v>
      </c>
      <c r="B122" t="s">
        <v>308</v>
      </c>
      <c r="C122" t="s">
        <v>358</v>
      </c>
      <c r="D122"/>
      <c r="E122" t="str">
        <f t="shared" si="2"/>
        <v>USAUSAD - Lead</v>
      </c>
      <c r="F122" s="662" cm="1">
        <f t="array" ref="F122">_xlfn.XLOOKUP(B122&amp;A122,FX!$A$2:$A$26&amp;FX!$B$2:$B$26,FX!$C$2:$C$26)</f>
        <v>1</v>
      </c>
      <c r="G122" cm="1">
        <f t="array" ref="G122">_xlfn.IFS(B122="Canada",2,B122="India",3,B122="UK",4,B122="USA",5)</f>
        <v>5</v>
      </c>
      <c r="H122" s="662">
        <f>VLOOKUP(C122,'StdCosts and StdRates'!$A$2:$E$7,G122)*F122</f>
        <v>115</v>
      </c>
      <c r="I122" s="967"/>
      <c r="J122" s="967"/>
      <c r="K122" s="967"/>
      <c r="L122" s="967"/>
      <c r="M122" s="967"/>
      <c r="N122" s="967">
        <v>115</v>
      </c>
    </row>
    <row r="123" spans="1:14">
      <c r="A123" t="s">
        <v>308</v>
      </c>
      <c r="B123" t="s">
        <v>308</v>
      </c>
      <c r="C123" t="s">
        <v>772</v>
      </c>
      <c r="D123"/>
      <c r="E123" t="str">
        <f t="shared" si="2"/>
        <v>USAUSAE - Principal</v>
      </c>
      <c r="F123" s="662" cm="1">
        <f t="array" ref="F123">_xlfn.XLOOKUP(B123&amp;A123,FX!$A$2:$A$26&amp;FX!$B$2:$B$26,FX!$C$2:$C$26)</f>
        <v>1</v>
      </c>
      <c r="G123" cm="1">
        <f t="array" ref="G123">_xlfn.IFS(B123="Canada",2,B123="India",3,B123="UK",4,B123="USA",5)</f>
        <v>5</v>
      </c>
      <c r="H123" s="662">
        <f>VLOOKUP(C123,'StdCosts and StdRates'!$A$2:$E$7,G123)*F123</f>
        <v>170</v>
      </c>
      <c r="I123" s="967"/>
      <c r="J123" s="967"/>
      <c r="K123" s="967"/>
      <c r="L123" s="967"/>
      <c r="M123" s="967"/>
      <c r="N123" s="967">
        <v>170</v>
      </c>
    </row>
    <row r="124" spans="1:14">
      <c r="A124" t="s">
        <v>308</v>
      </c>
      <c r="B124" t="s">
        <v>308</v>
      </c>
      <c r="C124" t="s">
        <v>775</v>
      </c>
      <c r="D124"/>
      <c r="E124" t="str">
        <f t="shared" si="2"/>
        <v>USAUSAF - Chief</v>
      </c>
      <c r="F124" s="662" cm="1">
        <f t="array" ref="F124">_xlfn.XLOOKUP(B124&amp;A124,FX!$A$2:$A$26&amp;FX!$B$2:$B$26,FX!$C$2:$C$26)</f>
        <v>1</v>
      </c>
      <c r="G124" cm="1">
        <f t="array" ref="G124">_xlfn.IFS(B124="Canada",2,B124="India",3,B124="UK",4,B124="USA",5)</f>
        <v>5</v>
      </c>
      <c r="H124" s="662">
        <f>VLOOKUP(C124,'StdCosts and StdRates'!$A$2:$E$7,G124)*F124</f>
        <v>215</v>
      </c>
      <c r="I124" s="967"/>
      <c r="J124" s="967"/>
      <c r="K124" s="967"/>
      <c r="L124" s="967"/>
      <c r="M124" s="967"/>
      <c r="N124" s="967">
        <v>215</v>
      </c>
    </row>
    <row r="125" spans="1:14">
      <c r="A125" s="773" t="s">
        <v>308</v>
      </c>
      <c r="B125" s="773" t="s">
        <v>308</v>
      </c>
      <c r="C125" s="773"/>
      <c r="D125" s="773" t="s">
        <v>70</v>
      </c>
      <c r="E125" s="773" t="str">
        <f>A125&amp;B125&amp;C125&amp;D125</f>
        <v>USAUSAArchitect</v>
      </c>
      <c r="F125" s="774" cm="1">
        <f t="array" ref="F125">_xlfn.XLOOKUP(B125&amp;A125,FX!$A$2:$A$26&amp;FX!$B$2:$B$26,FX!$C$2:$C$26)</f>
        <v>1</v>
      </c>
      <c r="G125" s="773" cm="1">
        <f t="array" ref="G125">_xlfn.IFS(B125="Canada",2,B125="India",3,B125="UK",4,B125="USA",5)</f>
        <v>5</v>
      </c>
      <c r="H125" s="774">
        <f>VLOOKUP(D125,'StdCosts and StdRates'!$A$17:$E$34,G125)*F125</f>
        <v>200</v>
      </c>
      <c r="I125" s="967"/>
      <c r="J125" s="967"/>
      <c r="K125" s="967"/>
      <c r="L125" s="967"/>
      <c r="M125" s="967"/>
      <c r="N125" s="967">
        <v>170</v>
      </c>
    </row>
    <row r="126" spans="1:14">
      <c r="A126" s="773" t="s">
        <v>308</v>
      </c>
      <c r="B126" s="773" t="s">
        <v>227</v>
      </c>
      <c r="C126" s="773"/>
      <c r="D126" s="773" t="s">
        <v>70</v>
      </c>
      <c r="E126" s="773" t="str">
        <f>A126&amp;B126&amp;C126&amp;D126</f>
        <v>USAIndiaArchitect</v>
      </c>
      <c r="F126" s="774" cm="1">
        <f t="array" ref="F126">_xlfn.XLOOKUP(B126&amp;A126,FX!$A$2:$A$26&amp;FX!$B$2:$B$26,FX!$C$2:$C$26)</f>
        <v>1.2019999999999999E-2</v>
      </c>
      <c r="G126" s="773" cm="1">
        <f t="array" ref="G126">_xlfn.IFS(B126="Canada",2,B126="India",3,B126="UK",4,B126="USA",5)</f>
        <v>3</v>
      </c>
      <c r="H126" s="774">
        <f>VLOOKUP(D126,'StdCosts and StdRates'!$A$17:$E$34,G126)*F126</f>
        <v>69.018839999999997</v>
      </c>
      <c r="I126" s="967"/>
      <c r="J126" s="967"/>
      <c r="K126" s="967"/>
      <c r="L126" s="967"/>
      <c r="M126" s="967"/>
      <c r="N126" s="967">
        <v>57.241439999999997</v>
      </c>
    </row>
    <row r="127" spans="1:14">
      <c r="A127" s="773"/>
      <c r="B127" s="773"/>
      <c r="C127" s="773"/>
      <c r="D127" s="773"/>
      <c r="E127" s="773"/>
      <c r="F127" s="774"/>
      <c r="G127" s="773"/>
      <c r="H127" s="774"/>
      <c r="I127" s="967"/>
      <c r="J127" s="967"/>
      <c r="K127" s="967"/>
      <c r="L127" s="967"/>
      <c r="M127" s="967"/>
      <c r="N127" s="967"/>
    </row>
    <row r="128" spans="1:14">
      <c r="A128" s="773"/>
      <c r="B128" s="773"/>
      <c r="C128" s="773"/>
      <c r="D128" s="773"/>
      <c r="E128" s="773"/>
      <c r="F128" s="774"/>
      <c r="G128" s="773"/>
      <c r="H128" s="774"/>
      <c r="I128" s="967"/>
      <c r="J128" s="967"/>
      <c r="K128" s="967"/>
      <c r="L128" s="967"/>
      <c r="M128" s="967"/>
      <c r="N128" s="967"/>
    </row>
    <row r="129" spans="1:8">
      <c r="A129" s="773"/>
      <c r="B129" s="773"/>
      <c r="C129" s="773"/>
      <c r="D129" s="773"/>
      <c r="E129" s="773"/>
      <c r="F129" s="774"/>
      <c r="G129" s="773"/>
      <c r="H129" s="774"/>
    </row>
    <row r="130" spans="1:8">
      <c r="A130" s="773"/>
      <c r="B130" s="773"/>
      <c r="C130" s="773"/>
      <c r="D130" s="773"/>
      <c r="E130" s="773"/>
      <c r="F130" s="774"/>
      <c r="G130" s="773"/>
      <c r="H130" s="774"/>
    </row>
    <row r="131" spans="1:8">
      <c r="A131" s="773"/>
      <c r="B131" s="773"/>
      <c r="C131" s="773"/>
      <c r="D131" s="773"/>
      <c r="E131" s="773"/>
      <c r="F131" s="774"/>
      <c r="G131" s="773"/>
      <c r="H131" s="774"/>
    </row>
    <row r="132" spans="1:8">
      <c r="A132" s="773"/>
      <c r="B132" s="773"/>
      <c r="C132" s="773"/>
      <c r="D132" s="773"/>
      <c r="E132" s="773"/>
      <c r="F132" s="774"/>
      <c r="G132" s="773"/>
      <c r="H132" s="774"/>
    </row>
    <row r="133" spans="1:8">
      <c r="A133" s="773"/>
      <c r="B133" s="773"/>
      <c r="C133" s="773"/>
      <c r="D133" s="773"/>
      <c r="E133" s="773"/>
      <c r="F133" s="774"/>
      <c r="G133" s="773"/>
      <c r="H133" s="774"/>
    </row>
    <row r="134" spans="1:8">
      <c r="A134" s="773"/>
      <c r="B134" s="773"/>
      <c r="C134" s="773"/>
      <c r="D134" s="773"/>
      <c r="E134" s="773"/>
      <c r="F134" s="774"/>
      <c r="G134" s="773"/>
      <c r="H134" s="774"/>
    </row>
    <row r="135" spans="1:8">
      <c r="A135" s="773"/>
      <c r="B135" s="773"/>
      <c r="C135" s="773"/>
      <c r="D135" s="773"/>
      <c r="E135" s="773"/>
      <c r="F135" s="774"/>
      <c r="G135" s="773"/>
      <c r="H135" s="774"/>
    </row>
    <row r="136" spans="1:8">
      <c r="A136" s="773"/>
      <c r="B136" s="773"/>
      <c r="C136" s="773"/>
      <c r="D136" s="773"/>
      <c r="E136" s="773"/>
      <c r="F136" s="774"/>
      <c r="G136" s="773"/>
      <c r="H136" s="774"/>
    </row>
    <row r="137" spans="1:8">
      <c r="A137" s="773"/>
      <c r="B137" s="773"/>
      <c r="C137" s="773"/>
      <c r="D137" s="773"/>
      <c r="E137" s="773"/>
      <c r="F137" s="774"/>
      <c r="G137" s="773"/>
      <c r="H137" s="774"/>
    </row>
    <row r="138" spans="1:8">
      <c r="A138" s="773"/>
      <c r="B138" s="773"/>
      <c r="C138" s="773"/>
      <c r="D138" s="773"/>
      <c r="E138" s="773"/>
      <c r="F138" s="774"/>
      <c r="G138" s="773"/>
      <c r="H138" s="774"/>
    </row>
    <row r="139" spans="1:8">
      <c r="A139" s="773"/>
      <c r="B139" s="773"/>
      <c r="C139" s="773"/>
      <c r="D139" s="773"/>
      <c r="E139" s="773"/>
      <c r="F139" s="774"/>
      <c r="G139" s="773"/>
      <c r="H139" s="774"/>
    </row>
    <row r="140" spans="1:8">
      <c r="A140" s="773"/>
      <c r="B140" s="773"/>
      <c r="C140" s="773"/>
      <c r="D140" s="773"/>
      <c r="E140" s="773"/>
      <c r="F140" s="774"/>
      <c r="G140" s="773"/>
      <c r="H140" s="774"/>
    </row>
    <row r="141" spans="1:8">
      <c r="A141" s="773"/>
      <c r="B141" s="773"/>
      <c r="C141" s="773"/>
      <c r="D141" s="773"/>
      <c r="E141" s="773"/>
      <c r="F141" s="774"/>
      <c r="G141" s="773"/>
      <c r="H141" s="774"/>
    </row>
    <row r="142" spans="1:8">
      <c r="A142" s="773"/>
      <c r="B142" s="773"/>
      <c r="C142" s="773"/>
      <c r="D142" s="773"/>
      <c r="E142" s="773"/>
      <c r="F142" s="774"/>
      <c r="G142" s="773"/>
      <c r="H142" s="774"/>
    </row>
    <row r="143" spans="1:8">
      <c r="A143" s="773"/>
      <c r="B143" s="773"/>
      <c r="C143" s="773"/>
      <c r="D143" s="773"/>
      <c r="E143" s="773"/>
      <c r="F143" s="774"/>
      <c r="G143" s="773"/>
      <c r="H143" s="774"/>
    </row>
    <row r="144" spans="1:8">
      <c r="A144" s="773"/>
      <c r="B144" s="773"/>
      <c r="C144" s="773"/>
      <c r="D144" s="773"/>
      <c r="E144" s="773"/>
      <c r="F144" s="774"/>
      <c r="G144" s="773"/>
      <c r="H144" s="774"/>
    </row>
    <row r="145" spans="1:14">
      <c r="A145" s="773"/>
      <c r="B145" s="773"/>
      <c r="C145" s="773"/>
      <c r="D145" s="773"/>
      <c r="E145" s="773"/>
      <c r="F145" s="774"/>
      <c r="G145" s="773"/>
      <c r="H145" s="774"/>
      <c r="I145" s="967"/>
      <c r="J145" s="967"/>
      <c r="K145" s="967"/>
      <c r="L145" s="967"/>
      <c r="M145" s="967"/>
      <c r="N145" s="967"/>
    </row>
    <row r="146" spans="1:14">
      <c r="A146" s="773"/>
      <c r="B146" s="773"/>
      <c r="C146" s="773"/>
      <c r="D146" s="773"/>
      <c r="E146" s="773"/>
      <c r="F146" s="774"/>
      <c r="G146" s="773"/>
      <c r="H146" s="774"/>
      <c r="I146" s="967"/>
      <c r="J146" s="967"/>
      <c r="K146" s="967"/>
      <c r="L146" s="967"/>
      <c r="M146" s="967"/>
      <c r="N146" s="967"/>
    </row>
    <row r="147" spans="1:14">
      <c r="A147" t="s">
        <v>736</v>
      </c>
      <c r="B147" t="s">
        <v>405</v>
      </c>
      <c r="C147" t="s">
        <v>753</v>
      </c>
      <c r="D147"/>
      <c r="E147" t="str">
        <f t="shared" si="2"/>
        <v>EUCanadaA - Associate</v>
      </c>
      <c r="F147" s="662" cm="1">
        <f t="array" ref="F147">_xlfn.XLOOKUP(B147&amp;A147,FX!$A$2:$A$26&amp;FX!$B$2:$B$26,FX!$C$2:$C$26)</f>
        <v>0.67474000000000001</v>
      </c>
      <c r="G147" cm="1">
        <f t="array" ref="G147">_xlfn.IFS(B147="Canada",2,B147="India",3,B147="UK",4,B147="USA",5)</f>
        <v>2</v>
      </c>
      <c r="H147" s="662">
        <f>VLOOKUP(C147,'StdCosts and StdRates'!$A$2:$E$7,G147)*F147</f>
        <v>37.110700000000001</v>
      </c>
      <c r="I147" s="967"/>
      <c r="J147" s="967"/>
      <c r="K147" s="967"/>
      <c r="L147" s="967"/>
      <c r="M147" s="967"/>
      <c r="N147" s="967">
        <v>37.041399999999996</v>
      </c>
    </row>
    <row r="148" spans="1:14">
      <c r="A148" t="s">
        <v>736</v>
      </c>
      <c r="B148" t="s">
        <v>405</v>
      </c>
      <c r="C148" t="s">
        <v>352</v>
      </c>
      <c r="D148"/>
      <c r="E148" t="str">
        <f t="shared" si="2"/>
        <v>EUCanadaB - Staff</v>
      </c>
      <c r="F148" s="662" cm="1">
        <f t="array" ref="F148">_xlfn.XLOOKUP(B148&amp;A148,FX!$A$2:$A$26&amp;FX!$B$2:$B$26,FX!$C$2:$C$26)</f>
        <v>0.67474000000000001</v>
      </c>
      <c r="G148" cm="1">
        <f t="array" ref="G148">_xlfn.IFS(B148="Canada",2,B148="India",3,B148="UK",4,B148="USA",5)</f>
        <v>2</v>
      </c>
      <c r="H148" s="662">
        <f>VLOOKUP(C148,'StdCosts and StdRates'!$A$2:$E$7,G148)*F148</f>
        <v>50.605499999999999</v>
      </c>
      <c r="I148" s="967"/>
      <c r="J148" s="967"/>
      <c r="K148" s="967"/>
      <c r="L148" s="967"/>
      <c r="M148" s="967"/>
      <c r="N148" s="967">
        <v>50.510999999999996</v>
      </c>
    </row>
    <row r="149" spans="1:14">
      <c r="A149" t="s">
        <v>736</v>
      </c>
      <c r="B149" t="s">
        <v>405</v>
      </c>
      <c r="C149" t="s">
        <v>355</v>
      </c>
      <c r="D149"/>
      <c r="E149" t="str">
        <f t="shared" si="2"/>
        <v>EUCanadaC - Senior</v>
      </c>
      <c r="F149" s="662" cm="1">
        <f t="array" ref="F149">_xlfn.XLOOKUP(B149&amp;A149,FX!$A$2:$A$26&amp;FX!$B$2:$B$26,FX!$C$2:$C$26)</f>
        <v>0.67474000000000001</v>
      </c>
      <c r="G149" cm="1">
        <f t="array" ref="G149">_xlfn.IFS(B149="Canada",2,B149="India",3,B149="UK",4,B149="USA",5)</f>
        <v>2</v>
      </c>
      <c r="H149" s="662">
        <f>VLOOKUP(C149,'StdCosts and StdRates'!$A$2:$E$7,G149)*F149</f>
        <v>64.100300000000004</v>
      </c>
      <c r="I149" s="967"/>
      <c r="J149" s="967"/>
      <c r="K149" s="967"/>
      <c r="L149" s="967"/>
      <c r="M149" s="967"/>
      <c r="N149" s="967">
        <v>63.980599999999995</v>
      </c>
    </row>
    <row r="150" spans="1:14">
      <c r="A150" t="s">
        <v>736</v>
      </c>
      <c r="B150" t="s">
        <v>405</v>
      </c>
      <c r="C150" t="s">
        <v>358</v>
      </c>
      <c r="D150"/>
      <c r="E150" t="str">
        <f t="shared" si="2"/>
        <v>EUCanadaD - Lead</v>
      </c>
      <c r="F150" s="662" cm="1">
        <f t="array" ref="F150">_xlfn.XLOOKUP(B150&amp;A150,FX!$A$2:$A$26&amp;FX!$B$2:$B$26,FX!$C$2:$C$26)</f>
        <v>0.67474000000000001</v>
      </c>
      <c r="G150" cm="1">
        <f t="array" ref="G150">_xlfn.IFS(B150="Canada",2,B150="India",3,B150="UK",4,B150="USA",5)</f>
        <v>2</v>
      </c>
      <c r="H150" s="662">
        <f>VLOOKUP(C150,'StdCosts and StdRates'!$A$2:$E$7,G150)*F150</f>
        <v>77.595100000000002</v>
      </c>
      <c r="I150" s="967"/>
      <c r="J150" s="967"/>
      <c r="K150" s="967"/>
      <c r="L150" s="967"/>
      <c r="M150" s="967"/>
      <c r="N150" s="967">
        <v>77.450199999999995</v>
      </c>
    </row>
    <row r="151" spans="1:14">
      <c r="A151" t="s">
        <v>736</v>
      </c>
      <c r="B151" t="s">
        <v>405</v>
      </c>
      <c r="C151" t="s">
        <v>772</v>
      </c>
      <c r="D151"/>
      <c r="E151" t="str">
        <f t="shared" si="2"/>
        <v>EUCanadaE - Principal</v>
      </c>
      <c r="F151" s="662" cm="1">
        <f t="array" ref="F151">_xlfn.XLOOKUP(B151&amp;A151,FX!$A$2:$A$26&amp;FX!$B$2:$B$26,FX!$C$2:$C$26)</f>
        <v>0.67474000000000001</v>
      </c>
      <c r="G151" cm="1">
        <f t="array" ref="G151">_xlfn.IFS(B151="Canada",2,B151="India",3,B151="UK",4,B151="USA",5)</f>
        <v>2</v>
      </c>
      <c r="H151" s="662">
        <f>VLOOKUP(C151,'StdCosts and StdRates'!$A$2:$E$7,G151)*F151</f>
        <v>111.3321</v>
      </c>
      <c r="I151" s="967"/>
      <c r="J151" s="967"/>
      <c r="K151" s="967"/>
      <c r="L151" s="967"/>
      <c r="M151" s="967"/>
      <c r="N151" s="967">
        <v>111.12419999999999</v>
      </c>
    </row>
    <row r="152" spans="1:14">
      <c r="A152" t="s">
        <v>736</v>
      </c>
      <c r="B152" t="s">
        <v>405</v>
      </c>
      <c r="C152" t="s">
        <v>775</v>
      </c>
      <c r="D152"/>
      <c r="E152" t="str">
        <f t="shared" si="2"/>
        <v>EUCanadaF - Chief</v>
      </c>
      <c r="F152" s="662" cm="1">
        <f t="array" ref="F152">_xlfn.XLOOKUP(B152&amp;A152,FX!$A$2:$A$26&amp;FX!$B$2:$B$26,FX!$C$2:$C$26)</f>
        <v>0.67474000000000001</v>
      </c>
      <c r="G152" cm="1">
        <f t="array" ref="G152">_xlfn.IFS(B152="Canada",2,B152="India",3,B152="UK",4,B152="USA",5)</f>
        <v>2</v>
      </c>
      <c r="H152" s="662">
        <f>VLOOKUP(C152,'StdCosts and StdRates'!$A$2:$E$7,G152)*F152</f>
        <v>165.31129999999999</v>
      </c>
      <c r="I152" s="967"/>
      <c r="J152" s="967"/>
      <c r="K152" s="967"/>
      <c r="L152" s="967"/>
      <c r="M152" s="967"/>
      <c r="N152" s="967">
        <v>165.0026</v>
      </c>
    </row>
    <row r="153" spans="1:14">
      <c r="A153" t="s">
        <v>736</v>
      </c>
      <c r="B153" t="s">
        <v>227</v>
      </c>
      <c r="C153" t="s">
        <v>753</v>
      </c>
      <c r="D153"/>
      <c r="E153" t="str">
        <f t="shared" si="2"/>
        <v>EUIndiaA - Associate</v>
      </c>
      <c r="F153" s="662" cm="1">
        <f t="array" ref="F153">_xlfn.XLOOKUP(B153&amp;A153,FX!$A$2:$A$26&amp;FX!$B$2:$B$26,FX!$C$2:$C$26)</f>
        <v>1.106E-2</v>
      </c>
      <c r="G153" cm="1">
        <f t="array" ref="G153">_xlfn.IFS(B153="Canada",2,B153="India",3,B153="UK",4,B153="USA",5)</f>
        <v>3</v>
      </c>
      <c r="H153" s="662">
        <f>VLOOKUP(C153,'StdCosts and StdRates'!$A$2:$E$7,G153)*F153</f>
        <v>5.3087999999999997</v>
      </c>
      <c r="I153" s="967"/>
      <c r="J153" s="967"/>
      <c r="K153" s="967"/>
      <c r="L153" s="967"/>
      <c r="M153" s="967"/>
      <c r="N153" s="967">
        <v>5.2032000000000007</v>
      </c>
    </row>
    <row r="154" spans="1:14">
      <c r="A154" t="s">
        <v>736</v>
      </c>
      <c r="B154" t="s">
        <v>227</v>
      </c>
      <c r="C154" t="s">
        <v>352</v>
      </c>
      <c r="D154"/>
      <c r="E154" t="str">
        <f t="shared" si="2"/>
        <v>EUIndiaB - Staff</v>
      </c>
      <c r="F154" s="662" cm="1">
        <f t="array" ref="F154">_xlfn.XLOOKUP(B154&amp;A154,FX!$A$2:$A$26&amp;FX!$B$2:$B$26,FX!$C$2:$C$26)</f>
        <v>1.106E-2</v>
      </c>
      <c r="G154" cm="1">
        <f t="array" ref="G154">_xlfn.IFS(B154="Canada",2,B154="India",3,B154="UK",4,B154="USA",5)</f>
        <v>3</v>
      </c>
      <c r="H154" s="662">
        <f>VLOOKUP(C154,'StdCosts and StdRates'!$A$2:$E$7,G154)*F154</f>
        <v>11.447100000000001</v>
      </c>
      <c r="I154" s="967"/>
      <c r="J154" s="967"/>
      <c r="K154" s="967"/>
      <c r="L154" s="967"/>
      <c r="M154" s="967"/>
      <c r="N154" s="967">
        <v>11.2194</v>
      </c>
    </row>
    <row r="155" spans="1:14">
      <c r="A155" t="s">
        <v>736</v>
      </c>
      <c r="B155" t="s">
        <v>227</v>
      </c>
      <c r="C155" t="s">
        <v>355</v>
      </c>
      <c r="D155"/>
      <c r="E155" t="str">
        <f t="shared" si="2"/>
        <v>EUIndiaC - Senior</v>
      </c>
      <c r="F155" s="662" cm="1">
        <f t="array" ref="F155">_xlfn.XLOOKUP(B155&amp;A155,FX!$A$2:$A$26&amp;FX!$B$2:$B$26,FX!$C$2:$C$26)</f>
        <v>1.106E-2</v>
      </c>
      <c r="G155" cm="1">
        <f t="array" ref="G155">_xlfn.IFS(B155="Canada",2,B155="India",3,B155="UK",4,B155="USA",5)</f>
        <v>3</v>
      </c>
      <c r="H155" s="662">
        <f>VLOOKUP(C155,'StdCosts and StdRates'!$A$2:$E$7,G155)*F155</f>
        <v>16.700600000000001</v>
      </c>
      <c r="I155" s="967"/>
      <c r="J155" s="967"/>
      <c r="K155" s="967"/>
      <c r="L155" s="967"/>
      <c r="M155" s="967"/>
      <c r="N155" s="967">
        <v>16.368400000000001</v>
      </c>
    </row>
    <row r="156" spans="1:14">
      <c r="A156" t="s">
        <v>736</v>
      </c>
      <c r="B156" t="s">
        <v>227</v>
      </c>
      <c r="C156" t="s">
        <v>358</v>
      </c>
      <c r="D156"/>
      <c r="E156" t="str">
        <f t="shared" si="2"/>
        <v>EUIndiaD - Lead</v>
      </c>
      <c r="F156" s="662" cm="1">
        <f t="array" ref="F156">_xlfn.XLOOKUP(B156&amp;A156,FX!$A$2:$A$26&amp;FX!$B$2:$B$26,FX!$C$2:$C$26)</f>
        <v>1.106E-2</v>
      </c>
      <c r="G156" cm="1">
        <f t="array" ref="G156">_xlfn.IFS(B156="Canada",2,B156="India",3,B156="UK",4,B156="USA",5)</f>
        <v>3</v>
      </c>
      <c r="H156" s="662">
        <f>VLOOKUP(C156,'StdCosts and StdRates'!$A$2:$E$7,G156)*F156</f>
        <v>30.027900000000002</v>
      </c>
      <c r="I156" s="967"/>
      <c r="J156" s="967"/>
      <c r="K156" s="967"/>
      <c r="L156" s="967"/>
      <c r="M156" s="967"/>
      <c r="N156" s="967">
        <v>29.430600000000002</v>
      </c>
    </row>
    <row r="157" spans="1:14">
      <c r="A157" t="s">
        <v>736</v>
      </c>
      <c r="B157" t="s">
        <v>227</v>
      </c>
      <c r="C157" t="s">
        <v>772</v>
      </c>
      <c r="D157"/>
      <c r="E157" t="str">
        <f t="shared" si="2"/>
        <v>EUIndiaE - Principal</v>
      </c>
      <c r="F157" s="662" cm="1">
        <f t="array" ref="F157">_xlfn.XLOOKUP(B157&amp;A157,FX!$A$2:$A$26&amp;FX!$B$2:$B$26,FX!$C$2:$C$26)</f>
        <v>1.106E-2</v>
      </c>
      <c r="G157" cm="1">
        <f t="array" ref="G157">_xlfn.IFS(B157="Canada",2,B157="India",3,B157="UK",4,B157="USA",5)</f>
        <v>3</v>
      </c>
      <c r="H157" s="662">
        <f>VLOOKUP(C157,'StdCosts and StdRates'!$A$2:$E$7,G157)*F157</f>
        <v>51.926700000000004</v>
      </c>
      <c r="I157" s="967"/>
      <c r="J157" s="967"/>
      <c r="K157" s="967"/>
      <c r="L157" s="967"/>
      <c r="M157" s="967"/>
      <c r="N157" s="967">
        <v>50.893800000000006</v>
      </c>
    </row>
    <row r="158" spans="1:14">
      <c r="A158" t="s">
        <v>736</v>
      </c>
      <c r="B158" t="s">
        <v>227</v>
      </c>
      <c r="C158" t="s">
        <v>775</v>
      </c>
      <c r="D158"/>
      <c r="E158" t="str">
        <f t="shared" si="2"/>
        <v>EUIndiaF - Chief</v>
      </c>
      <c r="F158" s="662" cm="1">
        <f t="array" ref="F158">_xlfn.XLOOKUP(B158&amp;A158,FX!$A$2:$A$26&amp;FX!$B$2:$B$26,FX!$C$2:$C$26)</f>
        <v>1.106E-2</v>
      </c>
      <c r="G158" cm="1">
        <f t="array" ref="G158">_xlfn.IFS(B158="Canada",2,B158="India",3,B158="UK",4,B158="USA",5)</f>
        <v>3</v>
      </c>
      <c r="H158" s="662">
        <f>VLOOKUP(C158,'StdCosts and StdRates'!$A$2:$E$7,G158)*F158</f>
        <v>63.594999999999999</v>
      </c>
      <c r="I158" s="967"/>
      <c r="J158" s="967"/>
      <c r="K158" s="967"/>
      <c r="L158" s="967"/>
      <c r="M158" s="967"/>
      <c r="N158" s="967">
        <v>62.330000000000005</v>
      </c>
    </row>
    <row r="159" spans="1:14">
      <c r="A159" t="s">
        <v>736</v>
      </c>
      <c r="B159" t="s">
        <v>247</v>
      </c>
      <c r="C159" t="s">
        <v>753</v>
      </c>
      <c r="D159"/>
      <c r="E159" t="str">
        <f t="shared" si="2"/>
        <v>EUUKA - Associate</v>
      </c>
      <c r="F159" s="662" cm="1">
        <f t="array" ref="F159">_xlfn.XLOOKUP(B159&amp;A159,FX!$A$2:$A$26&amp;FX!$B$2:$B$26,FX!$C$2:$C$26)</f>
        <v>1.1749799999999999</v>
      </c>
      <c r="G159" cm="1">
        <f t="array" ref="G159">_xlfn.IFS(B159="Canada",2,B159="India",3,B159="UK",4,B159="USA",5)</f>
        <v>4</v>
      </c>
      <c r="H159" s="662">
        <f>VLOOKUP(C159,'StdCosts and StdRates'!$A$2:$E$7,G159)*F159</f>
        <v>29.374499999999998</v>
      </c>
      <c r="I159" s="967"/>
      <c r="J159" s="967"/>
      <c r="K159" s="967"/>
      <c r="L159" s="967"/>
      <c r="M159" s="967"/>
      <c r="N159" s="967">
        <v>29.148249999999997</v>
      </c>
    </row>
    <row r="160" spans="1:14">
      <c r="A160" t="s">
        <v>736</v>
      </c>
      <c r="B160" t="s">
        <v>247</v>
      </c>
      <c r="C160" t="s">
        <v>352</v>
      </c>
      <c r="D160"/>
      <c r="E160" t="str">
        <f t="shared" si="2"/>
        <v>EUUKB - Staff</v>
      </c>
      <c r="F160" s="662" cm="1">
        <f t="array" ref="F160">_xlfn.XLOOKUP(B160&amp;A160,FX!$A$2:$A$26&amp;FX!$B$2:$B$26,FX!$C$2:$C$26)</f>
        <v>1.1749799999999999</v>
      </c>
      <c r="G160" cm="1">
        <f t="array" ref="G160">_xlfn.IFS(B160="Canada",2,B160="India",3,B160="UK",4,B160="USA",5)</f>
        <v>4</v>
      </c>
      <c r="H160" s="662">
        <f>VLOOKUP(C160,'StdCosts and StdRates'!$A$2:$E$7,G160)*F160</f>
        <v>52.874099999999999</v>
      </c>
      <c r="I160" s="967"/>
      <c r="J160" s="967"/>
      <c r="K160" s="967"/>
      <c r="L160" s="967"/>
      <c r="M160" s="967"/>
      <c r="N160" s="967">
        <v>52.466849999999994</v>
      </c>
    </row>
    <row r="161" spans="1:14">
      <c r="A161" t="s">
        <v>736</v>
      </c>
      <c r="B161" t="s">
        <v>247</v>
      </c>
      <c r="C161" t="s">
        <v>355</v>
      </c>
      <c r="D161"/>
      <c r="E161" t="str">
        <f t="shared" si="2"/>
        <v>EUUKC - Senior</v>
      </c>
      <c r="F161" s="662" cm="1">
        <f t="array" ref="F161">_xlfn.XLOOKUP(B161&amp;A161,FX!$A$2:$A$26&amp;FX!$B$2:$B$26,FX!$C$2:$C$26)</f>
        <v>1.1749799999999999</v>
      </c>
      <c r="G161" cm="1">
        <f t="array" ref="G161">_xlfn.IFS(B161="Canada",2,B161="India",3,B161="UK",4,B161="USA",5)</f>
        <v>4</v>
      </c>
      <c r="H161" s="662">
        <f>VLOOKUP(C161,'StdCosts and StdRates'!$A$2:$E$7,G161)*F161</f>
        <v>70.498799999999989</v>
      </c>
      <c r="I161" s="967"/>
      <c r="J161" s="967"/>
      <c r="K161" s="967"/>
      <c r="L161" s="967"/>
      <c r="M161" s="967"/>
      <c r="N161" s="967">
        <v>69.955799999999996</v>
      </c>
    </row>
    <row r="162" spans="1:14">
      <c r="A162" t="s">
        <v>736</v>
      </c>
      <c r="B162" t="s">
        <v>247</v>
      </c>
      <c r="C162" t="s">
        <v>358</v>
      </c>
      <c r="D162"/>
      <c r="E162" t="str">
        <f t="shared" si="2"/>
        <v>EUUKD - Lead</v>
      </c>
      <c r="F162" s="662" cm="1">
        <f t="array" ref="F162">_xlfn.XLOOKUP(B162&amp;A162,FX!$A$2:$A$26&amp;FX!$B$2:$B$26,FX!$C$2:$C$26)</f>
        <v>1.1749799999999999</v>
      </c>
      <c r="G162" cm="1">
        <f t="array" ref="G162">_xlfn.IFS(B162="Canada",2,B162="India",3,B162="UK",4,B162="USA",5)</f>
        <v>4</v>
      </c>
      <c r="H162" s="662">
        <f>VLOOKUP(C162,'StdCosts and StdRates'!$A$2:$E$7,G162)*F162</f>
        <v>88.123499999999993</v>
      </c>
      <c r="I162" s="967"/>
      <c r="J162" s="967"/>
      <c r="K162" s="967"/>
      <c r="L162" s="967"/>
      <c r="M162" s="967"/>
      <c r="N162" s="967">
        <v>87.444749999999999</v>
      </c>
    </row>
    <row r="163" spans="1:14">
      <c r="A163" t="s">
        <v>736</v>
      </c>
      <c r="B163" t="s">
        <v>247</v>
      </c>
      <c r="C163" t="s">
        <v>772</v>
      </c>
      <c r="D163"/>
      <c r="E163" t="str">
        <f t="shared" si="2"/>
        <v>EUUKE - Principal</v>
      </c>
      <c r="F163" s="662" cm="1">
        <f t="array" ref="F163">_xlfn.XLOOKUP(B163&amp;A163,FX!$A$2:$A$26&amp;FX!$B$2:$B$26,FX!$C$2:$C$26)</f>
        <v>1.1749799999999999</v>
      </c>
      <c r="G163" cm="1">
        <f t="array" ref="G163">_xlfn.IFS(B163="Canada",2,B163="India",3,B163="UK",4,B163="USA",5)</f>
        <v>4</v>
      </c>
      <c r="H163" s="662">
        <f>VLOOKUP(C163,'StdCosts and StdRates'!$A$2:$E$7,G163)*F163</f>
        <v>122.19792</v>
      </c>
      <c r="I163" s="967"/>
      <c r="J163" s="967"/>
      <c r="K163" s="967"/>
      <c r="L163" s="967"/>
      <c r="M163" s="967"/>
      <c r="N163" s="967">
        <v>121.25671999999999</v>
      </c>
    </row>
    <row r="164" spans="1:14">
      <c r="A164" t="s">
        <v>736</v>
      </c>
      <c r="B164" t="s">
        <v>247</v>
      </c>
      <c r="C164" t="s">
        <v>775</v>
      </c>
      <c r="D164"/>
      <c r="E164" t="str">
        <f t="shared" si="2"/>
        <v>EUUKF - Chief</v>
      </c>
      <c r="F164" s="662" cm="1">
        <f t="array" ref="F164">_xlfn.XLOOKUP(B164&amp;A164,FX!$A$2:$A$26&amp;FX!$B$2:$B$26,FX!$C$2:$C$26)</f>
        <v>1.1749799999999999</v>
      </c>
      <c r="G164" cm="1">
        <f t="array" ref="G164">_xlfn.IFS(B164="Canada",2,B164="India",3,B164="UK",4,B164="USA",5)</f>
        <v>4</v>
      </c>
      <c r="H164" s="662">
        <f>VLOOKUP(C164,'StdCosts and StdRates'!$A$2:$E$7,G164)*F164</f>
        <v>170.37209999999999</v>
      </c>
      <c r="I164" s="967"/>
      <c r="J164" s="967"/>
      <c r="K164" s="967"/>
      <c r="L164" s="967"/>
      <c r="M164" s="967"/>
      <c r="N164" s="967">
        <v>169.05984999999998</v>
      </c>
    </row>
    <row r="165" spans="1:14">
      <c r="A165" t="s">
        <v>736</v>
      </c>
      <c r="B165" t="s">
        <v>308</v>
      </c>
      <c r="C165" t="s">
        <v>753</v>
      </c>
      <c r="D165"/>
      <c r="E165" t="str">
        <f t="shared" si="2"/>
        <v>EUUSAA - Associate</v>
      </c>
      <c r="F165" s="662" cm="1">
        <f t="array" ref="F165">_xlfn.XLOOKUP(B165&amp;A165,FX!$A$2:$A$26&amp;FX!$B$2:$B$26,FX!$C$2:$C$26)</f>
        <v>0.91986999999999997</v>
      </c>
      <c r="G165" cm="1">
        <f t="array" ref="G165">_xlfn.IFS(B165="Canada",2,B165="India",3,B165="UK",4,B165="USA",5)</f>
        <v>5</v>
      </c>
      <c r="H165" s="662">
        <f>VLOOKUP(C165,'StdCosts and StdRates'!$A$2:$E$7,G165)*F165</f>
        <v>59.791550000000001</v>
      </c>
      <c r="I165" s="967"/>
      <c r="J165" s="967"/>
      <c r="K165" s="967"/>
      <c r="L165" s="967"/>
      <c r="M165" s="967"/>
      <c r="N165" s="967">
        <v>57.879899999999999</v>
      </c>
    </row>
    <row r="166" spans="1:14">
      <c r="A166" t="s">
        <v>736</v>
      </c>
      <c r="B166" t="s">
        <v>308</v>
      </c>
      <c r="C166" t="s">
        <v>352</v>
      </c>
      <c r="D166"/>
      <c r="E166" t="str">
        <f t="shared" si="2"/>
        <v>EUUSAB - Staff</v>
      </c>
      <c r="F166" s="662" cm="1">
        <f t="array" ref="F166">_xlfn.XLOOKUP(B166&amp;A166,FX!$A$2:$A$26&amp;FX!$B$2:$B$26,FX!$C$2:$C$26)</f>
        <v>0.91986999999999997</v>
      </c>
      <c r="G166" cm="1">
        <f t="array" ref="G166">_xlfn.IFS(B166="Canada",2,B166="India",3,B166="UK",4,B166="USA",5)</f>
        <v>5</v>
      </c>
      <c r="H166" s="662">
        <f>VLOOKUP(C166,'StdCosts and StdRates'!$A$2:$E$7,G166)*F166</f>
        <v>73.58959999999999</v>
      </c>
      <c r="I166" s="967"/>
      <c r="J166" s="967"/>
      <c r="K166" s="967"/>
      <c r="L166" s="967"/>
      <c r="M166" s="967"/>
      <c r="N166" s="967">
        <v>71.236800000000002</v>
      </c>
    </row>
    <row r="167" spans="1:14">
      <c r="A167" t="s">
        <v>736</v>
      </c>
      <c r="B167" t="s">
        <v>308</v>
      </c>
      <c r="C167" t="s">
        <v>355</v>
      </c>
      <c r="D167"/>
      <c r="E167" t="str">
        <f t="shared" si="2"/>
        <v>EUUSAC - Senior</v>
      </c>
      <c r="F167" s="662" cm="1">
        <f t="array" ref="F167">_xlfn.XLOOKUP(B167&amp;A167,FX!$A$2:$A$26&amp;FX!$B$2:$B$26,FX!$C$2:$C$26)</f>
        <v>0.91986999999999997</v>
      </c>
      <c r="G167" cm="1">
        <f t="array" ref="G167">_xlfn.IFS(B167="Canada",2,B167="India",3,B167="UK",4,B167="USA",5)</f>
        <v>5</v>
      </c>
      <c r="H167" s="662">
        <f>VLOOKUP(C167,'StdCosts and StdRates'!$A$2:$E$7,G167)*F167</f>
        <v>91.986999999999995</v>
      </c>
      <c r="I167" s="967"/>
      <c r="J167" s="967"/>
      <c r="K167" s="967"/>
      <c r="L167" s="967"/>
      <c r="M167" s="967"/>
      <c r="N167" s="967">
        <v>89.046000000000006</v>
      </c>
    </row>
    <row r="168" spans="1:14">
      <c r="A168" t="s">
        <v>736</v>
      </c>
      <c r="B168" t="s">
        <v>308</v>
      </c>
      <c r="C168" t="s">
        <v>358</v>
      </c>
      <c r="D168"/>
      <c r="E168" t="str">
        <f t="shared" si="2"/>
        <v>EUUSAD - Lead</v>
      </c>
      <c r="F168" s="662" cm="1">
        <f t="array" ref="F168">_xlfn.XLOOKUP(B168&amp;A168,FX!$A$2:$A$26&amp;FX!$B$2:$B$26,FX!$C$2:$C$26)</f>
        <v>0.91986999999999997</v>
      </c>
      <c r="G168" cm="1">
        <f t="array" ref="G168">_xlfn.IFS(B168="Canada",2,B168="India",3,B168="UK",4,B168="USA",5)</f>
        <v>5</v>
      </c>
      <c r="H168" s="662">
        <f>VLOOKUP(C168,'StdCosts and StdRates'!$A$2:$E$7,G168)*F168</f>
        <v>105.78505</v>
      </c>
      <c r="I168" s="967"/>
      <c r="J168" s="967"/>
      <c r="K168" s="967"/>
      <c r="L168" s="967"/>
      <c r="M168" s="967"/>
      <c r="N168" s="967">
        <v>102.4029</v>
      </c>
    </row>
    <row r="169" spans="1:14">
      <c r="A169" t="s">
        <v>736</v>
      </c>
      <c r="B169" t="s">
        <v>308</v>
      </c>
      <c r="C169" t="s">
        <v>772</v>
      </c>
      <c r="D169"/>
      <c r="E169" t="str">
        <f t="shared" si="2"/>
        <v>EUUSAE - Principal</v>
      </c>
      <c r="F169" s="662" cm="1">
        <f t="array" ref="F169">_xlfn.XLOOKUP(B169&amp;A169,FX!$A$2:$A$26&amp;FX!$B$2:$B$26,FX!$C$2:$C$26)</f>
        <v>0.91986999999999997</v>
      </c>
      <c r="G169" cm="1">
        <f t="array" ref="G169">_xlfn.IFS(B169="Canada",2,B169="India",3,B169="UK",4,B169="USA",5)</f>
        <v>5</v>
      </c>
      <c r="H169" s="662">
        <f>VLOOKUP(C169,'StdCosts and StdRates'!$A$2:$E$7,G169)*F169</f>
        <v>156.37789999999998</v>
      </c>
      <c r="I169" s="967"/>
      <c r="J169" s="967"/>
      <c r="K169" s="967"/>
      <c r="L169" s="967"/>
      <c r="M169" s="967"/>
      <c r="N169" s="967">
        <v>151.37819999999999</v>
      </c>
    </row>
    <row r="170" spans="1:14">
      <c r="A170" t="s">
        <v>736</v>
      </c>
      <c r="B170" t="s">
        <v>308</v>
      </c>
      <c r="C170" t="s">
        <v>775</v>
      </c>
      <c r="D170"/>
      <c r="E170" t="str">
        <f t="shared" si="2"/>
        <v>EUUSAF - Chief</v>
      </c>
      <c r="F170" s="662" cm="1">
        <f t="array" ref="F170">_xlfn.XLOOKUP(B170&amp;A170,FX!$A$2:$A$26&amp;FX!$B$2:$B$26,FX!$C$2:$C$26)</f>
        <v>0.91986999999999997</v>
      </c>
      <c r="G170" cm="1">
        <f t="array" ref="G170">_xlfn.IFS(B170="Canada",2,B170="India",3,B170="UK",4,B170="USA",5)</f>
        <v>5</v>
      </c>
      <c r="H170" s="662">
        <f>VLOOKUP(C170,'StdCosts and StdRates'!$A$2:$E$7,G170)*F170</f>
        <v>197.77204999999998</v>
      </c>
      <c r="I170" s="967"/>
      <c r="J170" s="967"/>
      <c r="K170" s="967"/>
      <c r="L170" s="967"/>
      <c r="M170" s="967"/>
      <c r="N170" s="967">
        <v>191.44890000000001</v>
      </c>
    </row>
    <row r="171" spans="1:14">
      <c r="A171"/>
      <c r="B171"/>
      <c r="C171"/>
      <c r="D171"/>
      <c r="E171"/>
      <c r="F171" s="712"/>
      <c r="G171"/>
      <c r="H171" s="712"/>
      <c r="I171" s="967"/>
      <c r="J171" s="967"/>
      <c r="K171" s="967"/>
      <c r="L171" s="967"/>
      <c r="M171" s="967"/>
      <c r="N171" s="967"/>
    </row>
    <row r="172" spans="1:14">
      <c r="A172"/>
      <c r="B172"/>
      <c r="C172"/>
      <c r="D172"/>
      <c r="E172"/>
      <c r="F172" s="712"/>
      <c r="G172"/>
      <c r="H172" s="712"/>
      <c r="I172" s="967"/>
      <c r="J172" s="967"/>
      <c r="K172" s="967"/>
      <c r="L172" s="967"/>
      <c r="M172" s="967"/>
      <c r="N172" s="967"/>
    </row>
    <row r="173" spans="1:14">
      <c r="A173" t="s">
        <v>812</v>
      </c>
      <c r="B173"/>
      <c r="C173"/>
      <c r="D173"/>
      <c r="E173"/>
      <c r="F173" s="712"/>
      <c r="G173"/>
      <c r="H173" s="712"/>
      <c r="I173" s="967"/>
      <c r="J173" s="967"/>
      <c r="K173" s="967"/>
      <c r="L173" s="967"/>
      <c r="M173" s="967"/>
      <c r="N173" s="967"/>
    </row>
  </sheetData>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4BB2E-7BA0-4B98-BD80-161E519E331B}">
  <sheetPr>
    <tabColor rgb="FFFF0000"/>
  </sheetPr>
  <dimension ref="A1:R575"/>
  <sheetViews>
    <sheetView zoomScaleNormal="100" workbookViewId="0">
      <pane ySplit="1" topLeftCell="A134" activePane="bottomLeft" state="frozen"/>
      <selection pane="bottomLeft" activeCell="B6" sqref="B6"/>
      <selection activeCell="B6" sqref="B6"/>
    </sheetView>
  </sheetViews>
  <sheetFormatPr defaultColWidth="8.85546875" defaultRowHeight="15"/>
  <cols>
    <col min="1" max="1" width="8.85546875" style="580"/>
    <col min="2" max="2" width="18.85546875" style="580" customWidth="1"/>
    <col min="3" max="3" width="17.140625" style="580" customWidth="1"/>
    <col min="4" max="4" width="21.42578125" style="580" customWidth="1"/>
    <col min="5" max="5" width="13" style="580" customWidth="1"/>
    <col min="6" max="8" width="43.85546875" style="580" customWidth="1"/>
    <col min="9" max="9" width="43.85546875" style="779" bestFit="1" customWidth="1"/>
    <col min="10" max="10" width="43.85546875" style="661" bestFit="1" customWidth="1"/>
    <col min="11" max="11" width="14.140625" style="580" customWidth="1"/>
    <col min="12" max="12" width="33.42578125" style="580" customWidth="1"/>
    <col min="13" max="15" width="14.140625" style="580" customWidth="1"/>
    <col min="16" max="16384" width="8.85546875" style="580"/>
  </cols>
  <sheetData>
    <row r="1" spans="1:16" s="660" customFormat="1" ht="60">
      <c r="A1" s="656" t="s">
        <v>246</v>
      </c>
      <c r="B1" s="656" t="s">
        <v>725</v>
      </c>
      <c r="C1" s="656" t="s">
        <v>726</v>
      </c>
      <c r="D1" s="656" t="s">
        <v>230</v>
      </c>
      <c r="E1" s="656" t="s">
        <v>348</v>
      </c>
      <c r="F1" s="656" t="s">
        <v>349</v>
      </c>
      <c r="G1" s="656" t="s">
        <v>276</v>
      </c>
      <c r="H1" s="656" t="s">
        <v>727</v>
      </c>
      <c r="I1" s="656" t="s">
        <v>728</v>
      </c>
      <c r="J1" s="656" t="s">
        <v>729</v>
      </c>
      <c r="K1" s="780" t="s">
        <v>730</v>
      </c>
      <c r="L1" s="659" t="s">
        <v>731</v>
      </c>
      <c r="M1" s="491" t="s">
        <v>732</v>
      </c>
      <c r="N1" s="490" t="s">
        <v>733</v>
      </c>
      <c r="O1" s="491" t="s">
        <v>734</v>
      </c>
      <c r="P1" s="656" t="s">
        <v>735</v>
      </c>
    </row>
    <row r="2" spans="1:16">
      <c r="A2" t="s">
        <v>308</v>
      </c>
      <c r="B2"/>
      <c r="C2"/>
      <c r="D2" t="s">
        <v>750</v>
      </c>
      <c r="E2" t="s">
        <v>779</v>
      </c>
      <c r="F2" t="s">
        <v>355</v>
      </c>
      <c r="G2"/>
      <c r="H2"/>
      <c r="I2" t="e">
        <f t="shared" ref="I2:I4" si="0">#REF!&amp;A2&amp;C2&amp;D2&amp;E2</f>
        <v>#REF!</v>
      </c>
      <c r="J2" t="str">
        <f t="shared" ref="J2:J65" si="1">A2&amp;C2&amp;D2&amp;E2&amp;F2</f>
        <v>USAAdvisoryEnablementC - Senior</v>
      </c>
      <c r="K2" s="662"/>
      <c r="L2" s="711">
        <v>219</v>
      </c>
      <c r="M2" s="662" t="e" cm="1">
        <f t="array" ref="M2">_xlfn.XLOOKUP(C2&amp;A2,FX!$A$2:$A$26&amp;FX!$B$2:$B$26,FX!$C$2:$C$26)</f>
        <v>#N/A</v>
      </c>
      <c r="N2" t="e" cm="1">
        <f t="array" ref="N2">_xlfn.IFS(F2="Canada",2,F2="India",3,F2="UK",4,F2="USA",5)</f>
        <v>#N/A</v>
      </c>
      <c r="O2" s="662" t="e">
        <f>VLOOKUP(G2,'StdCosts and StdRates'!$A$2:$E$7,N2)*M2</f>
        <v>#N/A</v>
      </c>
      <c r="P2"/>
    </row>
    <row r="3" spans="1:16">
      <c r="A3" t="s">
        <v>308</v>
      </c>
      <c r="B3"/>
      <c r="C3"/>
      <c r="D3" t="s">
        <v>750</v>
      </c>
      <c r="E3" t="s">
        <v>764</v>
      </c>
      <c r="F3" t="s">
        <v>358</v>
      </c>
      <c r="G3"/>
      <c r="H3"/>
      <c r="I3" t="e">
        <f t="shared" si="0"/>
        <v>#REF!</v>
      </c>
      <c r="J3" t="str">
        <f t="shared" si="1"/>
        <v>USAAdvisoryChange ManagementD - Lead</v>
      </c>
      <c r="K3" s="711"/>
      <c r="L3" s="711">
        <v>259</v>
      </c>
      <c r="M3" s="711"/>
      <c r="N3" s="711"/>
      <c r="O3" s="711"/>
      <c r="P3"/>
    </row>
    <row r="4" spans="1:16">
      <c r="A4" t="s">
        <v>308</v>
      </c>
      <c r="B4"/>
      <c r="C4"/>
      <c r="D4" t="s">
        <v>750</v>
      </c>
      <c r="E4" t="s">
        <v>784</v>
      </c>
      <c r="F4" t="s">
        <v>355</v>
      </c>
      <c r="G4"/>
      <c r="H4"/>
      <c r="I4" t="e">
        <f t="shared" si="0"/>
        <v>#REF!</v>
      </c>
      <c r="J4" t="str">
        <f t="shared" si="1"/>
        <v>USAAdvisoryStrategyC - Senior</v>
      </c>
      <c r="K4" s="711"/>
      <c r="L4" s="711">
        <v>279</v>
      </c>
      <c r="M4" s="711"/>
      <c r="N4" s="711"/>
      <c r="O4" s="711"/>
      <c r="P4"/>
    </row>
    <row r="5" spans="1:16">
      <c r="A5" t="s">
        <v>308</v>
      </c>
      <c r="B5"/>
      <c r="C5"/>
      <c r="D5" t="s">
        <v>750</v>
      </c>
      <c r="E5" t="s">
        <v>784</v>
      </c>
      <c r="F5" t="s">
        <v>358</v>
      </c>
      <c r="G5"/>
      <c r="H5"/>
      <c r="I5" t="str">
        <f t="shared" ref="I5:I68" si="2">A5&amp;B5&amp;D5&amp;E5&amp;F5&amp;G5</f>
        <v>USAAdvisoryStrategyD - Lead</v>
      </c>
      <c r="J5" t="str">
        <f t="shared" si="1"/>
        <v>USAAdvisoryStrategyD - Lead</v>
      </c>
      <c r="K5" s="711"/>
      <c r="L5" s="711">
        <v>339</v>
      </c>
      <c r="M5" s="711"/>
      <c r="N5" s="711"/>
      <c r="O5" s="711"/>
      <c r="P5"/>
    </row>
    <row r="6" spans="1:16">
      <c r="A6" t="s">
        <v>308</v>
      </c>
      <c r="B6"/>
      <c r="C6"/>
      <c r="D6" t="s">
        <v>750</v>
      </c>
      <c r="E6" t="s">
        <v>784</v>
      </c>
      <c r="F6" t="s">
        <v>772</v>
      </c>
      <c r="G6"/>
      <c r="H6"/>
      <c r="I6" t="str">
        <f t="shared" si="2"/>
        <v>USAAdvisoryStrategyE - Principal</v>
      </c>
      <c r="J6" t="str">
        <f t="shared" si="1"/>
        <v>USAAdvisoryStrategyE - Principal</v>
      </c>
      <c r="K6" s="711"/>
      <c r="L6" s="711">
        <v>349</v>
      </c>
      <c r="M6" s="711"/>
      <c r="N6" s="711"/>
      <c r="O6" s="711"/>
      <c r="P6"/>
    </row>
    <row r="7" spans="1:16">
      <c r="A7" t="s">
        <v>308</v>
      </c>
      <c r="B7"/>
      <c r="C7"/>
      <c r="D7" t="s">
        <v>750</v>
      </c>
      <c r="E7" t="s">
        <v>784</v>
      </c>
      <c r="F7" t="s">
        <v>775</v>
      </c>
      <c r="G7"/>
      <c r="H7"/>
      <c r="I7" t="str">
        <f t="shared" si="2"/>
        <v>USAAdvisoryStrategyF - Chief</v>
      </c>
      <c r="J7" t="str">
        <f t="shared" si="1"/>
        <v>USAAdvisoryStrategyF - Chief</v>
      </c>
      <c r="K7" s="711"/>
      <c r="L7" s="711">
        <v>389</v>
      </c>
      <c r="M7" s="711"/>
      <c r="N7" s="711"/>
      <c r="O7" s="711"/>
      <c r="P7"/>
    </row>
    <row r="8" spans="1:16">
      <c r="A8" t="s">
        <v>308</v>
      </c>
      <c r="B8"/>
      <c r="C8"/>
      <c r="D8" t="s">
        <v>404</v>
      </c>
      <c r="E8"/>
      <c r="F8" t="s">
        <v>753</v>
      </c>
      <c r="G8"/>
      <c r="H8"/>
      <c r="I8" t="str">
        <f t="shared" si="2"/>
        <v>USACustomerA - Associate</v>
      </c>
      <c r="J8" t="str">
        <f t="shared" si="1"/>
        <v>USACustomerA - Associate</v>
      </c>
      <c r="K8" s="711"/>
      <c r="L8" s="711">
        <v>209</v>
      </c>
      <c r="M8" s="711"/>
      <c r="N8" s="711"/>
      <c r="O8" s="711"/>
      <c r="P8" s="711">
        <v>129</v>
      </c>
    </row>
    <row r="9" spans="1:16">
      <c r="A9" t="s">
        <v>308</v>
      </c>
      <c r="B9"/>
      <c r="C9"/>
      <c r="D9" t="s">
        <v>404</v>
      </c>
      <c r="E9"/>
      <c r="F9" t="s">
        <v>352</v>
      </c>
      <c r="G9"/>
      <c r="H9"/>
      <c r="I9" t="str">
        <f t="shared" si="2"/>
        <v>USACustomerB - Staff</v>
      </c>
      <c r="J9" t="str">
        <f t="shared" si="1"/>
        <v>USACustomerB - Staff</v>
      </c>
      <c r="K9" s="711"/>
      <c r="L9" s="711">
        <v>209</v>
      </c>
      <c r="M9" s="711"/>
      <c r="N9" s="711"/>
      <c r="O9" s="711"/>
      <c r="P9"/>
    </row>
    <row r="10" spans="1:16">
      <c r="A10" t="s">
        <v>308</v>
      </c>
      <c r="B10"/>
      <c r="C10"/>
      <c r="D10" t="s">
        <v>404</v>
      </c>
      <c r="E10"/>
      <c r="F10" t="s">
        <v>355</v>
      </c>
      <c r="G10"/>
      <c r="H10"/>
      <c r="I10" t="str">
        <f t="shared" si="2"/>
        <v>USACustomerC - Senior</v>
      </c>
      <c r="J10" t="str">
        <f t="shared" si="1"/>
        <v>USACustomerC - Senior</v>
      </c>
      <c r="K10" s="711"/>
      <c r="L10" s="711">
        <v>239</v>
      </c>
      <c r="M10" s="711"/>
      <c r="N10" s="711"/>
      <c r="O10" s="711"/>
      <c r="P10"/>
    </row>
    <row r="11" spans="1:16">
      <c r="A11" t="s">
        <v>308</v>
      </c>
      <c r="B11"/>
      <c r="C11"/>
      <c r="D11" t="s">
        <v>404</v>
      </c>
      <c r="E11"/>
      <c r="F11" t="s">
        <v>358</v>
      </c>
      <c r="G11"/>
      <c r="H11"/>
      <c r="I11" t="str">
        <f t="shared" si="2"/>
        <v>USACustomerD - Lead</v>
      </c>
      <c r="J11" t="str">
        <f t="shared" si="1"/>
        <v>USACustomerD - Lead</v>
      </c>
      <c r="K11" s="711"/>
      <c r="L11" s="711">
        <v>289</v>
      </c>
      <c r="M11" s="711"/>
      <c r="N11" s="711"/>
      <c r="O11" s="711"/>
      <c r="P11"/>
    </row>
    <row r="12" spans="1:16">
      <c r="A12" t="s">
        <v>308</v>
      </c>
      <c r="B12"/>
      <c r="C12"/>
      <c r="D12" t="s">
        <v>404</v>
      </c>
      <c r="E12"/>
      <c r="F12" t="s">
        <v>772</v>
      </c>
      <c r="G12"/>
      <c r="H12"/>
      <c r="I12" t="str">
        <f t="shared" si="2"/>
        <v>USACustomerE - Principal</v>
      </c>
      <c r="J12" t="str">
        <f t="shared" si="1"/>
        <v>USACustomerE - Principal</v>
      </c>
      <c r="K12" s="711"/>
      <c r="L12" s="711">
        <v>299</v>
      </c>
      <c r="M12" s="711"/>
      <c r="N12" s="711"/>
      <c r="O12" s="711"/>
      <c r="P12"/>
    </row>
    <row r="13" spans="1:16">
      <c r="A13" t="s">
        <v>308</v>
      </c>
      <c r="B13"/>
      <c r="C13"/>
      <c r="D13" t="s">
        <v>404</v>
      </c>
      <c r="E13"/>
      <c r="F13" t="s">
        <v>775</v>
      </c>
      <c r="G13"/>
      <c r="H13"/>
      <c r="I13" t="str">
        <f t="shared" si="2"/>
        <v>USACustomerF - Chief</v>
      </c>
      <c r="J13" t="str">
        <f t="shared" si="1"/>
        <v>USACustomerF - Chief</v>
      </c>
      <c r="K13" s="711"/>
      <c r="L13" s="711">
        <v>329</v>
      </c>
      <c r="M13" s="711"/>
      <c r="N13" s="711"/>
      <c r="O13" s="711"/>
      <c r="P13"/>
    </row>
    <row r="14" spans="1:16">
      <c r="A14" t="s">
        <v>308</v>
      </c>
      <c r="B14"/>
      <c r="C14"/>
      <c r="D14" t="s">
        <v>761</v>
      </c>
      <c r="E14"/>
      <c r="F14" t="s">
        <v>753</v>
      </c>
      <c r="G14"/>
      <c r="H14"/>
      <c r="I14" t="str">
        <f t="shared" si="2"/>
        <v>USAEmployeeA - Associate</v>
      </c>
      <c r="J14" t="str">
        <f t="shared" si="1"/>
        <v>USAEmployeeA - Associate</v>
      </c>
      <c r="K14" s="711"/>
      <c r="L14" s="711">
        <v>209</v>
      </c>
      <c r="M14" s="711"/>
      <c r="N14" s="711"/>
      <c r="O14" s="711"/>
      <c r="P14" s="711">
        <v>129</v>
      </c>
    </row>
    <row r="15" spans="1:16">
      <c r="A15" t="s">
        <v>308</v>
      </c>
      <c r="B15"/>
      <c r="C15"/>
      <c r="D15" t="s">
        <v>761</v>
      </c>
      <c r="E15"/>
      <c r="F15" t="s">
        <v>352</v>
      </c>
      <c r="G15"/>
      <c r="H15"/>
      <c r="I15" t="str">
        <f t="shared" si="2"/>
        <v>USAEmployeeB - Staff</v>
      </c>
      <c r="J15" t="str">
        <f t="shared" si="1"/>
        <v>USAEmployeeB - Staff</v>
      </c>
      <c r="K15" s="711"/>
      <c r="L15" s="711">
        <v>209</v>
      </c>
      <c r="M15" s="711"/>
      <c r="N15" s="711"/>
      <c r="O15" s="711"/>
      <c r="P15"/>
    </row>
    <row r="16" spans="1:16">
      <c r="A16" t="s">
        <v>308</v>
      </c>
      <c r="B16"/>
      <c r="C16"/>
      <c r="D16" t="s">
        <v>761</v>
      </c>
      <c r="E16"/>
      <c r="F16" t="s">
        <v>355</v>
      </c>
      <c r="G16"/>
      <c r="H16"/>
      <c r="I16" t="str">
        <f t="shared" si="2"/>
        <v>USAEmployeeC - Senior</v>
      </c>
      <c r="J16" t="str">
        <f t="shared" si="1"/>
        <v>USAEmployeeC - Senior</v>
      </c>
      <c r="K16" s="711"/>
      <c r="L16" s="711">
        <v>239</v>
      </c>
      <c r="M16" s="711"/>
      <c r="N16" s="711"/>
      <c r="O16" s="711"/>
      <c r="P16"/>
    </row>
    <row r="17" spans="1:16">
      <c r="A17" t="s">
        <v>308</v>
      </c>
      <c r="B17"/>
      <c r="C17"/>
      <c r="D17" t="s">
        <v>761</v>
      </c>
      <c r="E17"/>
      <c r="F17" t="s">
        <v>358</v>
      </c>
      <c r="G17"/>
      <c r="H17"/>
      <c r="I17" t="str">
        <f t="shared" si="2"/>
        <v>USAEmployeeD - Lead</v>
      </c>
      <c r="J17" t="str">
        <f t="shared" si="1"/>
        <v>USAEmployeeD - Lead</v>
      </c>
      <c r="K17" s="711"/>
      <c r="L17" s="711">
        <v>289</v>
      </c>
      <c r="M17" s="711"/>
      <c r="N17" s="711"/>
      <c r="O17" s="711"/>
      <c r="P17"/>
    </row>
    <row r="18" spans="1:16">
      <c r="A18" t="s">
        <v>308</v>
      </c>
      <c r="B18"/>
      <c r="C18"/>
      <c r="D18" t="s">
        <v>761</v>
      </c>
      <c r="E18"/>
      <c r="F18" t="s">
        <v>772</v>
      </c>
      <c r="G18"/>
      <c r="H18"/>
      <c r="I18" t="str">
        <f t="shared" si="2"/>
        <v>USAEmployeeE - Principal</v>
      </c>
      <c r="J18" t="str">
        <f t="shared" si="1"/>
        <v>USAEmployeeE - Principal</v>
      </c>
      <c r="K18" s="711"/>
      <c r="L18" s="711">
        <v>299</v>
      </c>
      <c r="M18" s="711"/>
      <c r="N18" s="711"/>
      <c r="O18" s="711"/>
      <c r="P18"/>
    </row>
    <row r="19" spans="1:16">
      <c r="A19" t="s">
        <v>308</v>
      </c>
      <c r="B19"/>
      <c r="C19"/>
      <c r="D19" t="s">
        <v>761</v>
      </c>
      <c r="E19"/>
      <c r="F19" t="s">
        <v>775</v>
      </c>
      <c r="G19"/>
      <c r="H19"/>
      <c r="I19" t="str">
        <f t="shared" si="2"/>
        <v>USAEmployeeF - Chief</v>
      </c>
      <c r="J19" t="str">
        <f t="shared" si="1"/>
        <v>USAEmployeeF - Chief</v>
      </c>
      <c r="K19" s="711"/>
      <c r="L19" s="711">
        <v>329</v>
      </c>
      <c r="M19" s="711"/>
      <c r="N19" s="711"/>
      <c r="O19" s="711"/>
      <c r="P19"/>
    </row>
    <row r="20" spans="1:16">
      <c r="A20" t="s">
        <v>308</v>
      </c>
      <c r="B20"/>
      <c r="C20"/>
      <c r="D20" t="s">
        <v>425</v>
      </c>
      <c r="E20"/>
      <c r="F20" t="s">
        <v>753</v>
      </c>
      <c r="G20"/>
      <c r="H20"/>
      <c r="I20" t="str">
        <f t="shared" si="2"/>
        <v>USAExperienceA - Associate</v>
      </c>
      <c r="J20" t="str">
        <f t="shared" si="1"/>
        <v>USAExperienceA - Associate</v>
      </c>
      <c r="K20" s="711"/>
      <c r="L20" s="711">
        <v>229</v>
      </c>
      <c r="M20" s="711"/>
      <c r="N20" s="711"/>
      <c r="O20" s="711"/>
      <c r="P20" s="711">
        <v>149</v>
      </c>
    </row>
    <row r="21" spans="1:16">
      <c r="A21" t="s">
        <v>308</v>
      </c>
      <c r="B21"/>
      <c r="C21"/>
      <c r="D21" t="s">
        <v>425</v>
      </c>
      <c r="E21"/>
      <c r="F21" t="s">
        <v>352</v>
      </c>
      <c r="G21"/>
      <c r="H21"/>
      <c r="I21" t="str">
        <f t="shared" si="2"/>
        <v>USAExperienceB - Staff</v>
      </c>
      <c r="J21" t="str">
        <f t="shared" si="1"/>
        <v>USAExperienceB - Staff</v>
      </c>
      <c r="K21" s="711"/>
      <c r="L21" s="711">
        <v>229</v>
      </c>
      <c r="M21" s="711"/>
      <c r="N21" s="711"/>
      <c r="O21" s="711"/>
      <c r="P21"/>
    </row>
    <row r="22" spans="1:16">
      <c r="A22" t="s">
        <v>308</v>
      </c>
      <c r="B22"/>
      <c r="C22"/>
      <c r="D22" t="s">
        <v>425</v>
      </c>
      <c r="E22"/>
      <c r="F22" t="s">
        <v>355</v>
      </c>
      <c r="G22"/>
      <c r="H22"/>
      <c r="I22" t="str">
        <f t="shared" si="2"/>
        <v>USAExperienceC - Senior</v>
      </c>
      <c r="J22" t="str">
        <f t="shared" si="1"/>
        <v>USAExperienceC - Senior</v>
      </c>
      <c r="K22" s="711"/>
      <c r="L22" s="711">
        <v>279</v>
      </c>
      <c r="M22" s="711"/>
      <c r="N22" s="711"/>
      <c r="O22" s="711"/>
      <c r="P22"/>
    </row>
    <row r="23" spans="1:16">
      <c r="A23" t="s">
        <v>308</v>
      </c>
      <c r="B23"/>
      <c r="C23"/>
      <c r="D23" t="s">
        <v>425</v>
      </c>
      <c r="E23"/>
      <c r="F23" t="s">
        <v>358</v>
      </c>
      <c r="G23"/>
      <c r="H23"/>
      <c r="I23" t="str">
        <f t="shared" si="2"/>
        <v>USAExperienceD - Lead</v>
      </c>
      <c r="J23" t="str">
        <f t="shared" si="1"/>
        <v>USAExperienceD - Lead</v>
      </c>
      <c r="K23" s="711"/>
      <c r="L23" s="711">
        <v>339</v>
      </c>
      <c r="M23" s="711"/>
      <c r="N23" s="711"/>
      <c r="O23" s="711"/>
      <c r="P23"/>
    </row>
    <row r="24" spans="1:16">
      <c r="A24" t="s">
        <v>308</v>
      </c>
      <c r="B24"/>
      <c r="C24"/>
      <c r="D24" t="s">
        <v>425</v>
      </c>
      <c r="E24"/>
      <c r="F24" t="s">
        <v>772</v>
      </c>
      <c r="G24"/>
      <c r="H24"/>
      <c r="I24" t="str">
        <f t="shared" si="2"/>
        <v>USAExperienceE - Principal</v>
      </c>
      <c r="J24" t="str">
        <f t="shared" si="1"/>
        <v>USAExperienceE - Principal</v>
      </c>
      <c r="K24" s="711"/>
      <c r="L24" s="711">
        <v>349</v>
      </c>
      <c r="M24" s="711"/>
      <c r="N24" s="711"/>
      <c r="O24" s="711"/>
      <c r="P24"/>
    </row>
    <row r="25" spans="1:16">
      <c r="A25" t="s">
        <v>308</v>
      </c>
      <c r="B25"/>
      <c r="C25"/>
      <c r="D25" t="s">
        <v>425</v>
      </c>
      <c r="E25"/>
      <c r="F25" t="s">
        <v>775</v>
      </c>
      <c r="G25"/>
      <c r="H25"/>
      <c r="I25" t="str">
        <f t="shared" si="2"/>
        <v>USAExperienceF - Chief</v>
      </c>
      <c r="J25" t="str">
        <f t="shared" si="1"/>
        <v>USAExperienceF - Chief</v>
      </c>
      <c r="K25" s="711"/>
      <c r="L25" s="711">
        <v>389</v>
      </c>
      <c r="M25" s="711"/>
      <c r="N25" s="711"/>
      <c r="O25" s="711"/>
      <c r="P25"/>
    </row>
    <row r="26" spans="1:16">
      <c r="A26" t="s">
        <v>308</v>
      </c>
      <c r="B26"/>
      <c r="C26"/>
      <c r="D26" t="s">
        <v>231</v>
      </c>
      <c r="E26"/>
      <c r="F26" t="s">
        <v>753</v>
      </c>
      <c r="G26"/>
      <c r="H26"/>
      <c r="I26" t="str">
        <f t="shared" si="2"/>
        <v>USAManaged ServicesA - Associate</v>
      </c>
      <c r="J26" t="str">
        <f t="shared" si="1"/>
        <v>USAManaged ServicesA - Associate</v>
      </c>
      <c r="K26" s="711"/>
      <c r="L26" s="711">
        <v>199</v>
      </c>
      <c r="M26" s="711"/>
      <c r="N26" s="711"/>
      <c r="O26" s="711"/>
      <c r="P26" s="711">
        <v>119</v>
      </c>
    </row>
    <row r="27" spans="1:16">
      <c r="A27" t="s">
        <v>308</v>
      </c>
      <c r="B27"/>
      <c r="C27"/>
      <c r="D27" t="s">
        <v>231</v>
      </c>
      <c r="E27"/>
      <c r="F27" t="s">
        <v>352</v>
      </c>
      <c r="G27"/>
      <c r="H27"/>
      <c r="I27" t="str">
        <f t="shared" si="2"/>
        <v>USAManaged ServicesB - Staff</v>
      </c>
      <c r="J27" t="str">
        <f t="shared" si="1"/>
        <v>USAManaged ServicesB - Staff</v>
      </c>
      <c r="K27" s="711"/>
      <c r="L27" s="711">
        <v>199</v>
      </c>
      <c r="M27" s="711"/>
      <c r="N27" s="711"/>
      <c r="O27" s="711"/>
      <c r="P27"/>
    </row>
    <row r="28" spans="1:16">
      <c r="A28" t="s">
        <v>308</v>
      </c>
      <c r="B28"/>
      <c r="C28"/>
      <c r="D28" t="s">
        <v>231</v>
      </c>
      <c r="E28"/>
      <c r="F28" t="s">
        <v>355</v>
      </c>
      <c r="G28"/>
      <c r="H28"/>
      <c r="I28" t="str">
        <f t="shared" si="2"/>
        <v>USAManaged ServicesC - Senior</v>
      </c>
      <c r="J28" t="str">
        <f t="shared" si="1"/>
        <v>USAManaged ServicesC - Senior</v>
      </c>
      <c r="K28" s="711"/>
      <c r="L28" s="711">
        <v>219</v>
      </c>
      <c r="M28" s="711"/>
      <c r="N28" s="711"/>
      <c r="O28" s="711"/>
      <c r="P28"/>
    </row>
    <row r="29" spans="1:16">
      <c r="A29" t="s">
        <v>308</v>
      </c>
      <c r="B29"/>
      <c r="C29"/>
      <c r="D29" t="s">
        <v>231</v>
      </c>
      <c r="E29"/>
      <c r="F29" t="s">
        <v>358</v>
      </c>
      <c r="G29"/>
      <c r="H29"/>
      <c r="I29" t="str">
        <f t="shared" si="2"/>
        <v>USAManaged ServicesD - Lead</v>
      </c>
      <c r="J29" t="str">
        <f t="shared" si="1"/>
        <v>USAManaged ServicesD - Lead</v>
      </c>
      <c r="K29" s="711"/>
      <c r="L29" s="711">
        <v>259</v>
      </c>
      <c r="M29" s="711"/>
      <c r="N29" s="711"/>
      <c r="O29" s="711"/>
      <c r="P29"/>
    </row>
    <row r="30" spans="1:16">
      <c r="A30" t="s">
        <v>308</v>
      </c>
      <c r="B30"/>
      <c r="C30"/>
      <c r="D30" t="s">
        <v>231</v>
      </c>
      <c r="E30"/>
      <c r="F30" t="s">
        <v>772</v>
      </c>
      <c r="G30"/>
      <c r="H30"/>
      <c r="I30" t="str">
        <f t="shared" si="2"/>
        <v>USAManaged ServicesE - Principal</v>
      </c>
      <c r="J30" t="str">
        <f t="shared" si="1"/>
        <v>USAManaged ServicesE - Principal</v>
      </c>
      <c r="K30" s="711"/>
      <c r="L30" s="711">
        <v>269</v>
      </c>
      <c r="M30" s="711"/>
      <c r="N30" s="711"/>
      <c r="O30" s="711"/>
      <c r="P30"/>
    </row>
    <row r="31" spans="1:16">
      <c r="A31" t="s">
        <v>308</v>
      </c>
      <c r="B31"/>
      <c r="C31"/>
      <c r="D31" t="s">
        <v>231</v>
      </c>
      <c r="E31"/>
      <c r="F31" t="s">
        <v>775</v>
      </c>
      <c r="G31"/>
      <c r="H31"/>
      <c r="I31" t="str">
        <f t="shared" si="2"/>
        <v>USAManaged ServicesF - Chief</v>
      </c>
      <c r="J31" t="str">
        <f t="shared" si="1"/>
        <v>USAManaged ServicesF - Chief</v>
      </c>
      <c r="K31" s="711"/>
      <c r="L31" s="711">
        <v>329</v>
      </c>
      <c r="M31" s="711"/>
      <c r="N31" s="711"/>
      <c r="O31" s="711"/>
      <c r="P31"/>
    </row>
    <row r="32" spans="1:16">
      <c r="A32" t="s">
        <v>308</v>
      </c>
      <c r="B32"/>
      <c r="C32"/>
      <c r="D32" t="s">
        <v>777</v>
      </c>
      <c r="E32"/>
      <c r="F32" t="s">
        <v>753</v>
      </c>
      <c r="G32"/>
      <c r="H32"/>
      <c r="I32" t="str">
        <f t="shared" si="2"/>
        <v>USAPublic SectorA - Associate</v>
      </c>
      <c r="J32" t="str">
        <f t="shared" si="1"/>
        <v>USAPublic SectorA - Associate</v>
      </c>
      <c r="K32" s="711"/>
      <c r="L32" s="711">
        <v>199</v>
      </c>
      <c r="M32" s="711"/>
      <c r="N32" s="711"/>
      <c r="O32" s="711"/>
      <c r="P32" s="711">
        <v>119</v>
      </c>
    </row>
    <row r="33" spans="1:16">
      <c r="A33" t="s">
        <v>308</v>
      </c>
      <c r="B33"/>
      <c r="C33"/>
      <c r="D33" t="s">
        <v>777</v>
      </c>
      <c r="E33"/>
      <c r="F33" t="s">
        <v>352</v>
      </c>
      <c r="G33"/>
      <c r="H33"/>
      <c r="I33" t="str">
        <f t="shared" si="2"/>
        <v>USAPublic SectorB - Staff</v>
      </c>
      <c r="J33" t="str">
        <f t="shared" si="1"/>
        <v>USAPublic SectorB - Staff</v>
      </c>
      <c r="K33" s="711"/>
      <c r="L33" s="711">
        <v>199</v>
      </c>
      <c r="M33" s="711"/>
      <c r="N33" s="711"/>
      <c r="O33" s="711"/>
      <c r="P33"/>
    </row>
    <row r="34" spans="1:16">
      <c r="A34" t="s">
        <v>308</v>
      </c>
      <c r="B34"/>
      <c r="C34"/>
      <c r="D34" t="s">
        <v>777</v>
      </c>
      <c r="E34"/>
      <c r="F34" t="s">
        <v>355</v>
      </c>
      <c r="G34"/>
      <c r="H34"/>
      <c r="I34" t="str">
        <f t="shared" si="2"/>
        <v>USAPublic SectorC - Senior</v>
      </c>
      <c r="J34" t="str">
        <f t="shared" si="1"/>
        <v>USAPublic SectorC - Senior</v>
      </c>
      <c r="K34" s="711"/>
      <c r="L34" s="711">
        <v>219</v>
      </c>
      <c r="M34" s="711"/>
      <c r="N34" s="711"/>
      <c r="O34" s="711"/>
      <c r="P34"/>
    </row>
    <row r="35" spans="1:16">
      <c r="A35" t="s">
        <v>308</v>
      </c>
      <c r="B35"/>
      <c r="C35"/>
      <c r="D35" t="s">
        <v>777</v>
      </c>
      <c r="E35"/>
      <c r="F35" t="s">
        <v>358</v>
      </c>
      <c r="G35"/>
      <c r="H35"/>
      <c r="I35" t="str">
        <f t="shared" si="2"/>
        <v>USAPublic SectorD - Lead</v>
      </c>
      <c r="J35" t="str">
        <f t="shared" si="1"/>
        <v>USAPublic SectorD - Lead</v>
      </c>
      <c r="K35" s="711"/>
      <c r="L35" s="711">
        <v>259</v>
      </c>
      <c r="M35" s="711"/>
      <c r="N35" s="711"/>
      <c r="O35" s="711"/>
      <c r="P35"/>
    </row>
    <row r="36" spans="1:16">
      <c r="A36" t="s">
        <v>308</v>
      </c>
      <c r="B36"/>
      <c r="C36"/>
      <c r="D36" t="s">
        <v>777</v>
      </c>
      <c r="E36"/>
      <c r="F36" t="s">
        <v>772</v>
      </c>
      <c r="G36"/>
      <c r="H36"/>
      <c r="I36" t="str">
        <f t="shared" si="2"/>
        <v>USAPublic SectorE - Principal</v>
      </c>
      <c r="J36" t="str">
        <f t="shared" si="1"/>
        <v>USAPublic SectorE - Principal</v>
      </c>
      <c r="K36" s="711"/>
      <c r="L36" s="711">
        <v>269</v>
      </c>
      <c r="M36" s="711"/>
      <c r="N36" s="711"/>
      <c r="O36" s="711"/>
      <c r="P36"/>
    </row>
    <row r="37" spans="1:16">
      <c r="A37" t="s">
        <v>308</v>
      </c>
      <c r="B37"/>
      <c r="C37"/>
      <c r="D37" t="s">
        <v>777</v>
      </c>
      <c r="E37"/>
      <c r="F37" t="s">
        <v>775</v>
      </c>
      <c r="G37"/>
      <c r="H37"/>
      <c r="I37" t="str">
        <f t="shared" si="2"/>
        <v>USAPublic SectorF - Chief</v>
      </c>
      <c r="J37" t="str">
        <f t="shared" si="1"/>
        <v>USAPublic SectorF - Chief</v>
      </c>
      <c r="K37" s="711"/>
      <c r="L37" s="711">
        <v>329</v>
      </c>
      <c r="M37" s="711"/>
      <c r="N37" s="711"/>
      <c r="O37" s="711"/>
      <c r="P37"/>
    </row>
    <row r="38" spans="1:16">
      <c r="A38" t="s">
        <v>308</v>
      </c>
      <c r="B38"/>
      <c r="C38"/>
      <c r="D38" t="s">
        <v>780</v>
      </c>
      <c r="E38"/>
      <c r="F38" t="s">
        <v>753</v>
      </c>
      <c r="G38"/>
      <c r="H38"/>
      <c r="I38" t="str">
        <f t="shared" si="2"/>
        <v>USARisk and ResilienceA - Associate</v>
      </c>
      <c r="J38" t="str">
        <f t="shared" si="1"/>
        <v>USARisk and ResilienceA - Associate</v>
      </c>
      <c r="K38" s="711"/>
      <c r="L38" s="711">
        <v>219</v>
      </c>
      <c r="M38" s="711"/>
      <c r="N38" s="711"/>
      <c r="O38" s="711"/>
      <c r="P38" s="711">
        <v>139</v>
      </c>
    </row>
    <row r="39" spans="1:16">
      <c r="A39" t="s">
        <v>308</v>
      </c>
      <c r="B39"/>
      <c r="C39"/>
      <c r="D39" t="s">
        <v>780</v>
      </c>
      <c r="E39"/>
      <c r="F39" t="s">
        <v>352</v>
      </c>
      <c r="G39"/>
      <c r="H39"/>
      <c r="I39" t="str">
        <f t="shared" si="2"/>
        <v>USARisk and ResilienceB - Staff</v>
      </c>
      <c r="J39" t="str">
        <f t="shared" si="1"/>
        <v>USARisk and ResilienceB - Staff</v>
      </c>
      <c r="K39" s="711"/>
      <c r="L39" s="711">
        <v>219</v>
      </c>
      <c r="M39" s="711"/>
      <c r="N39" s="711"/>
      <c r="O39" s="711"/>
      <c r="P39"/>
    </row>
    <row r="40" spans="1:16">
      <c r="A40" t="s">
        <v>308</v>
      </c>
      <c r="B40"/>
      <c r="C40"/>
      <c r="D40" t="s">
        <v>780</v>
      </c>
      <c r="E40"/>
      <c r="F40" t="s">
        <v>355</v>
      </c>
      <c r="G40"/>
      <c r="H40"/>
      <c r="I40" t="str">
        <f t="shared" si="2"/>
        <v>USARisk and ResilienceC - Senior</v>
      </c>
      <c r="J40" t="str">
        <f t="shared" si="1"/>
        <v>USARisk and ResilienceC - Senior</v>
      </c>
      <c r="K40" s="711"/>
      <c r="L40" s="711">
        <v>259</v>
      </c>
      <c r="M40" s="711"/>
      <c r="N40" s="711"/>
      <c r="O40" s="711"/>
      <c r="P40"/>
    </row>
    <row r="41" spans="1:16">
      <c r="A41" t="s">
        <v>308</v>
      </c>
      <c r="B41"/>
      <c r="C41"/>
      <c r="D41" t="s">
        <v>780</v>
      </c>
      <c r="E41"/>
      <c r="F41" t="s">
        <v>358</v>
      </c>
      <c r="G41"/>
      <c r="H41"/>
      <c r="I41" t="str">
        <f t="shared" si="2"/>
        <v>USARisk and ResilienceD - Lead</v>
      </c>
      <c r="J41" t="str">
        <f t="shared" si="1"/>
        <v>USARisk and ResilienceD - Lead</v>
      </c>
      <c r="K41" s="711"/>
      <c r="L41" s="711">
        <v>309</v>
      </c>
      <c r="M41" s="711"/>
      <c r="N41" s="711"/>
      <c r="O41" s="711"/>
      <c r="P41"/>
    </row>
    <row r="42" spans="1:16">
      <c r="A42" t="s">
        <v>308</v>
      </c>
      <c r="B42"/>
      <c r="C42"/>
      <c r="D42" t="s">
        <v>780</v>
      </c>
      <c r="E42"/>
      <c r="F42" t="s">
        <v>772</v>
      </c>
      <c r="G42"/>
      <c r="H42"/>
      <c r="I42" t="str">
        <f t="shared" si="2"/>
        <v>USARisk and ResilienceE - Principal</v>
      </c>
      <c r="J42" t="str">
        <f t="shared" si="1"/>
        <v>USARisk and ResilienceE - Principal</v>
      </c>
      <c r="K42" s="711"/>
      <c r="L42" s="711">
        <v>319</v>
      </c>
      <c r="M42" s="711"/>
      <c r="N42" s="711"/>
      <c r="O42" s="711"/>
      <c r="P42"/>
    </row>
    <row r="43" spans="1:16">
      <c r="A43" t="s">
        <v>308</v>
      </c>
      <c r="B43"/>
      <c r="C43"/>
      <c r="D43" t="s">
        <v>780</v>
      </c>
      <c r="E43"/>
      <c r="F43" t="s">
        <v>775</v>
      </c>
      <c r="G43"/>
      <c r="H43"/>
      <c r="I43" t="str">
        <f t="shared" si="2"/>
        <v>USARisk and ResilienceF - Chief</v>
      </c>
      <c r="J43" t="str">
        <f t="shared" si="1"/>
        <v>USARisk and ResilienceF - Chief</v>
      </c>
      <c r="K43" s="711"/>
      <c r="L43" s="711">
        <v>359</v>
      </c>
      <c r="M43" s="711"/>
      <c r="N43" s="711"/>
      <c r="O43" s="711"/>
      <c r="P43"/>
    </row>
    <row r="44" spans="1:16">
      <c r="A44" t="s">
        <v>308</v>
      </c>
      <c r="B44"/>
      <c r="C44"/>
      <c r="D44" t="s">
        <v>399</v>
      </c>
      <c r="E44"/>
      <c r="F44" t="s">
        <v>753</v>
      </c>
      <c r="G44"/>
      <c r="H44"/>
      <c r="I44" t="str">
        <f t="shared" si="2"/>
        <v>USATechnologyA - Associate</v>
      </c>
      <c r="J44" t="str">
        <f t="shared" si="1"/>
        <v>USATechnologyA - Associate</v>
      </c>
      <c r="K44" s="711"/>
      <c r="L44" s="711">
        <v>199</v>
      </c>
      <c r="M44" s="711"/>
      <c r="N44" s="711"/>
      <c r="O44" s="711"/>
      <c r="P44" s="711">
        <v>119</v>
      </c>
    </row>
    <row r="45" spans="1:16">
      <c r="A45" t="s">
        <v>308</v>
      </c>
      <c r="B45"/>
      <c r="C45"/>
      <c r="D45" t="s">
        <v>399</v>
      </c>
      <c r="E45"/>
      <c r="F45" t="s">
        <v>352</v>
      </c>
      <c r="G45"/>
      <c r="H45"/>
      <c r="I45" t="str">
        <f t="shared" si="2"/>
        <v>USATechnologyB - Staff</v>
      </c>
      <c r="J45" t="str">
        <f t="shared" si="1"/>
        <v>USATechnologyB - Staff</v>
      </c>
      <c r="K45" s="711"/>
      <c r="L45" s="711">
        <v>199</v>
      </c>
      <c r="M45" s="711"/>
      <c r="N45" s="711"/>
      <c r="O45" s="711"/>
      <c r="P45"/>
    </row>
    <row r="46" spans="1:16">
      <c r="A46" t="s">
        <v>308</v>
      </c>
      <c r="B46"/>
      <c r="C46"/>
      <c r="D46" t="s">
        <v>399</v>
      </c>
      <c r="E46"/>
      <c r="F46" t="s">
        <v>355</v>
      </c>
      <c r="G46"/>
      <c r="H46"/>
      <c r="I46" t="str">
        <f t="shared" si="2"/>
        <v>USATechnologyC - Senior</v>
      </c>
      <c r="J46" t="str">
        <f t="shared" si="1"/>
        <v>USATechnologyC - Senior</v>
      </c>
      <c r="K46" s="711"/>
      <c r="L46" s="711">
        <v>219</v>
      </c>
      <c r="M46" s="711"/>
      <c r="N46" s="711"/>
      <c r="O46" s="711"/>
      <c r="P46"/>
    </row>
    <row r="47" spans="1:16">
      <c r="A47" t="s">
        <v>308</v>
      </c>
      <c r="B47"/>
      <c r="C47"/>
      <c r="D47" t="s">
        <v>399</v>
      </c>
      <c r="E47"/>
      <c r="F47" t="s">
        <v>358</v>
      </c>
      <c r="G47"/>
      <c r="H47"/>
      <c r="I47" t="str">
        <f t="shared" si="2"/>
        <v>USATechnologyD - Lead</v>
      </c>
      <c r="J47" t="str">
        <f t="shared" si="1"/>
        <v>USATechnologyD - Lead</v>
      </c>
      <c r="K47" s="711"/>
      <c r="L47" s="711">
        <v>259</v>
      </c>
      <c r="M47" s="711"/>
      <c r="N47" s="711"/>
      <c r="O47" s="711"/>
      <c r="P47"/>
    </row>
    <row r="48" spans="1:16">
      <c r="A48" t="s">
        <v>308</v>
      </c>
      <c r="B48"/>
      <c r="C48"/>
      <c r="D48" t="s">
        <v>399</v>
      </c>
      <c r="E48"/>
      <c r="F48" t="s">
        <v>772</v>
      </c>
      <c r="G48"/>
      <c r="H48"/>
      <c r="I48" t="str">
        <f t="shared" si="2"/>
        <v>USATechnologyE - Principal</v>
      </c>
      <c r="J48" t="str">
        <f t="shared" si="1"/>
        <v>USATechnologyE - Principal</v>
      </c>
      <c r="K48" s="711"/>
      <c r="L48" s="711">
        <v>269</v>
      </c>
      <c r="M48" s="711"/>
      <c r="N48" s="711"/>
      <c r="O48" s="711"/>
      <c r="P48"/>
    </row>
    <row r="49" spans="1:16">
      <c r="A49" t="s">
        <v>308</v>
      </c>
      <c r="B49"/>
      <c r="C49"/>
      <c r="D49" t="s">
        <v>399</v>
      </c>
      <c r="E49"/>
      <c r="F49" t="s">
        <v>775</v>
      </c>
      <c r="G49"/>
      <c r="H49"/>
      <c r="I49" t="str">
        <f t="shared" si="2"/>
        <v>USATechnologyF - Chief</v>
      </c>
      <c r="J49" t="str">
        <f t="shared" si="1"/>
        <v>USATechnologyF - Chief</v>
      </c>
      <c r="K49" s="711"/>
      <c r="L49" s="711">
        <v>329</v>
      </c>
      <c r="M49" s="711"/>
      <c r="N49" s="711"/>
      <c r="O49" s="711"/>
      <c r="P49"/>
    </row>
    <row r="50" spans="1:16">
      <c r="A50" t="s">
        <v>308</v>
      </c>
      <c r="B50"/>
      <c r="C50"/>
      <c r="D50" t="s">
        <v>360</v>
      </c>
      <c r="E50"/>
      <c r="F50" t="s">
        <v>753</v>
      </c>
      <c r="G50"/>
      <c r="H50"/>
      <c r="I50" t="str">
        <f t="shared" si="2"/>
        <v>USAPMOA - Associate</v>
      </c>
      <c r="J50" t="str">
        <f t="shared" si="1"/>
        <v>USAPMOA - Associate</v>
      </c>
      <c r="K50" s="711"/>
      <c r="L50" s="711">
        <v>199</v>
      </c>
      <c r="M50" s="711"/>
      <c r="N50" s="711"/>
      <c r="O50" s="711"/>
      <c r="P50" s="711">
        <v>119</v>
      </c>
    </row>
    <row r="51" spans="1:16">
      <c r="A51" t="s">
        <v>308</v>
      </c>
      <c r="B51"/>
      <c r="C51"/>
      <c r="D51" t="s">
        <v>360</v>
      </c>
      <c r="E51"/>
      <c r="F51" t="s">
        <v>352</v>
      </c>
      <c r="G51"/>
      <c r="H51"/>
      <c r="I51" t="str">
        <f t="shared" si="2"/>
        <v>USAPMOB - Staff</v>
      </c>
      <c r="J51" t="str">
        <f t="shared" si="1"/>
        <v>USAPMOB - Staff</v>
      </c>
      <c r="K51" s="711"/>
      <c r="L51" s="711">
        <v>199</v>
      </c>
      <c r="M51" s="711"/>
      <c r="N51" s="711"/>
      <c r="O51" s="711"/>
      <c r="P51"/>
    </row>
    <row r="52" spans="1:16">
      <c r="A52" t="s">
        <v>308</v>
      </c>
      <c r="B52"/>
      <c r="C52"/>
      <c r="D52" t="s">
        <v>360</v>
      </c>
      <c r="E52"/>
      <c r="F52" t="s">
        <v>355</v>
      </c>
      <c r="G52"/>
      <c r="H52"/>
      <c r="I52" t="str">
        <f t="shared" si="2"/>
        <v>USAPMOC - Senior</v>
      </c>
      <c r="J52" t="str">
        <f t="shared" si="1"/>
        <v>USAPMOC - Senior</v>
      </c>
      <c r="K52" s="711"/>
      <c r="L52" s="711">
        <v>219</v>
      </c>
      <c r="M52" s="711"/>
      <c r="N52" s="711"/>
      <c r="O52" s="711"/>
      <c r="P52"/>
    </row>
    <row r="53" spans="1:16">
      <c r="A53" t="s">
        <v>308</v>
      </c>
      <c r="B53"/>
      <c r="C53"/>
      <c r="D53" t="s">
        <v>360</v>
      </c>
      <c r="E53"/>
      <c r="F53" t="s">
        <v>358</v>
      </c>
      <c r="G53"/>
      <c r="H53"/>
      <c r="I53" t="str">
        <f t="shared" si="2"/>
        <v>USAPMOD - Lead</v>
      </c>
      <c r="J53" t="str">
        <f t="shared" si="1"/>
        <v>USAPMOD - Lead</v>
      </c>
      <c r="K53" s="711"/>
      <c r="L53" s="711">
        <v>259</v>
      </c>
      <c r="M53" s="711"/>
      <c r="N53" s="711"/>
      <c r="O53" s="711"/>
      <c r="P53"/>
    </row>
    <row r="54" spans="1:16">
      <c r="A54" t="s">
        <v>308</v>
      </c>
      <c r="B54"/>
      <c r="C54"/>
      <c r="D54" t="s">
        <v>360</v>
      </c>
      <c r="E54"/>
      <c r="F54" t="s">
        <v>772</v>
      </c>
      <c r="G54"/>
      <c r="H54"/>
      <c r="I54" t="str">
        <f t="shared" si="2"/>
        <v>USAPMOE - Principal</v>
      </c>
      <c r="J54" t="str">
        <f t="shared" si="1"/>
        <v>USAPMOE - Principal</v>
      </c>
      <c r="K54" s="711"/>
      <c r="L54" s="711">
        <v>269</v>
      </c>
      <c r="M54" s="711"/>
      <c r="N54" s="711"/>
      <c r="O54" s="711"/>
      <c r="P54"/>
    </row>
    <row r="55" spans="1:16">
      <c r="A55" t="s">
        <v>308</v>
      </c>
      <c r="B55"/>
      <c r="C55"/>
      <c r="D55" t="s">
        <v>360</v>
      </c>
      <c r="E55"/>
      <c r="F55" t="s">
        <v>775</v>
      </c>
      <c r="G55"/>
      <c r="H55"/>
      <c r="I55" t="str">
        <f t="shared" si="2"/>
        <v>USAPMOF - Chief</v>
      </c>
      <c r="J55" t="str">
        <f t="shared" si="1"/>
        <v>USAPMOF - Chief</v>
      </c>
      <c r="K55" s="711"/>
      <c r="L55" s="711">
        <v>329</v>
      </c>
      <c r="M55" s="711"/>
      <c r="N55" s="711"/>
      <c r="O55" s="711"/>
      <c r="P55"/>
    </row>
    <row r="56" spans="1:16">
      <c r="A56" t="s">
        <v>308</v>
      </c>
      <c r="B56"/>
      <c r="C56" t="s">
        <v>227</v>
      </c>
      <c r="D56" t="s">
        <v>750</v>
      </c>
      <c r="E56" t="s">
        <v>779</v>
      </c>
      <c r="F56" t="s">
        <v>355</v>
      </c>
      <c r="G56"/>
      <c r="H56"/>
      <c r="I56" t="str">
        <f t="shared" si="2"/>
        <v>USAAdvisoryEnablementC - Senior</v>
      </c>
      <c r="J56" t="str">
        <f t="shared" si="1"/>
        <v>USAIndiaAdvisoryEnablementC - Senior</v>
      </c>
      <c r="K56" s="711"/>
      <c r="L56" s="711">
        <v>89</v>
      </c>
      <c r="M56" s="711"/>
      <c r="N56" s="711"/>
      <c r="O56" s="711"/>
      <c r="P56"/>
    </row>
    <row r="57" spans="1:16">
      <c r="A57" t="s">
        <v>308</v>
      </c>
      <c r="B57"/>
      <c r="C57" t="s">
        <v>227</v>
      </c>
      <c r="D57" t="s">
        <v>750</v>
      </c>
      <c r="E57" t="s">
        <v>764</v>
      </c>
      <c r="F57" t="s">
        <v>358</v>
      </c>
      <c r="G57"/>
      <c r="H57"/>
      <c r="I57" t="str">
        <f t="shared" si="2"/>
        <v>USAAdvisoryChange ManagementD - Lead</v>
      </c>
      <c r="J57" t="str">
        <f t="shared" si="1"/>
        <v>USAIndiaAdvisoryChange ManagementD - Lead</v>
      </c>
      <c r="K57" s="711"/>
      <c r="L57" s="711">
        <v>99</v>
      </c>
      <c r="M57" s="711"/>
      <c r="N57" s="711"/>
      <c r="O57" s="711"/>
      <c r="P57"/>
    </row>
    <row r="58" spans="1:16">
      <c r="A58" t="s">
        <v>308</v>
      </c>
      <c r="B58"/>
      <c r="C58" t="s">
        <v>227</v>
      </c>
      <c r="D58" t="s">
        <v>750</v>
      </c>
      <c r="E58" t="s">
        <v>784</v>
      </c>
      <c r="F58" t="s">
        <v>355</v>
      </c>
      <c r="G58"/>
      <c r="H58"/>
      <c r="I58" t="str">
        <f t="shared" si="2"/>
        <v>USAAdvisoryStrategyC - Senior</v>
      </c>
      <c r="J58" t="str">
        <f t="shared" si="1"/>
        <v>USAIndiaAdvisoryStrategyC - Senior</v>
      </c>
      <c r="K58" s="711"/>
      <c r="L58" s="711">
        <v>109</v>
      </c>
      <c r="M58" s="711"/>
      <c r="N58" s="711"/>
      <c r="O58" s="711"/>
      <c r="P58"/>
    </row>
    <row r="59" spans="1:16">
      <c r="A59" t="s">
        <v>308</v>
      </c>
      <c r="B59"/>
      <c r="C59" t="s">
        <v>227</v>
      </c>
      <c r="D59" t="s">
        <v>750</v>
      </c>
      <c r="E59" t="s">
        <v>784</v>
      </c>
      <c r="F59" t="s">
        <v>358</v>
      </c>
      <c r="G59"/>
      <c r="H59"/>
      <c r="I59" t="str">
        <f t="shared" si="2"/>
        <v>USAAdvisoryStrategyD - Lead</v>
      </c>
      <c r="J59" t="str">
        <f t="shared" si="1"/>
        <v>USAIndiaAdvisoryStrategyD - Lead</v>
      </c>
      <c r="K59" s="711"/>
      <c r="L59" s="711">
        <v>129</v>
      </c>
      <c r="M59" s="711"/>
      <c r="N59" s="711"/>
      <c r="O59" s="711"/>
      <c r="P59"/>
    </row>
    <row r="60" spans="1:16">
      <c r="A60" t="s">
        <v>308</v>
      </c>
      <c r="B60"/>
      <c r="C60" t="s">
        <v>227</v>
      </c>
      <c r="D60" t="s">
        <v>750</v>
      </c>
      <c r="E60" t="s">
        <v>784</v>
      </c>
      <c r="F60" t="s">
        <v>772</v>
      </c>
      <c r="G60"/>
      <c r="H60"/>
      <c r="I60" t="str">
        <f t="shared" si="2"/>
        <v>USAAdvisoryStrategyE - Principal</v>
      </c>
      <c r="J60" t="str">
        <f t="shared" si="1"/>
        <v>USAIndiaAdvisoryStrategyE - Principal</v>
      </c>
      <c r="K60" s="711"/>
      <c r="L60" s="711">
        <v>139</v>
      </c>
      <c r="M60" s="711"/>
      <c r="N60" s="711"/>
      <c r="O60" s="711"/>
      <c r="P60"/>
    </row>
    <row r="61" spans="1:16">
      <c r="A61" t="s">
        <v>308</v>
      </c>
      <c r="B61"/>
      <c r="C61" t="s">
        <v>227</v>
      </c>
      <c r="D61" t="s">
        <v>750</v>
      </c>
      <c r="E61" t="s">
        <v>784</v>
      </c>
      <c r="F61" t="s">
        <v>775</v>
      </c>
      <c r="G61"/>
      <c r="H61"/>
      <c r="I61" t="str">
        <f t="shared" si="2"/>
        <v>USAAdvisoryStrategyF - Chief</v>
      </c>
      <c r="J61" t="str">
        <f t="shared" si="1"/>
        <v>USAIndiaAdvisoryStrategyF - Chief</v>
      </c>
      <c r="K61" s="711"/>
      <c r="L61" s="711">
        <v>329</v>
      </c>
      <c r="M61" s="711"/>
      <c r="N61" s="711"/>
      <c r="O61" s="711"/>
      <c r="P61"/>
    </row>
    <row r="62" spans="1:16">
      <c r="A62" t="s">
        <v>308</v>
      </c>
      <c r="B62"/>
      <c r="C62" t="s">
        <v>227</v>
      </c>
      <c r="D62" t="s">
        <v>404</v>
      </c>
      <c r="E62"/>
      <c r="F62" t="s">
        <v>753</v>
      </c>
      <c r="G62"/>
      <c r="H62"/>
      <c r="I62" t="str">
        <f t="shared" si="2"/>
        <v>USACustomerA - Associate</v>
      </c>
      <c r="J62" t="str">
        <f t="shared" si="1"/>
        <v>USAIndiaCustomerA - Associate</v>
      </c>
      <c r="K62" s="711"/>
      <c r="L62" s="711">
        <v>85</v>
      </c>
      <c r="M62" s="711"/>
      <c r="N62" s="711"/>
      <c r="O62" s="711"/>
      <c r="P62" s="711">
        <v>55</v>
      </c>
    </row>
    <row r="63" spans="1:16">
      <c r="A63" t="s">
        <v>308</v>
      </c>
      <c r="B63"/>
      <c r="C63" t="s">
        <v>227</v>
      </c>
      <c r="D63" t="s">
        <v>404</v>
      </c>
      <c r="E63"/>
      <c r="F63" t="s">
        <v>352</v>
      </c>
      <c r="G63"/>
      <c r="H63"/>
      <c r="I63" t="str">
        <f t="shared" si="2"/>
        <v>USACustomerB - Staff</v>
      </c>
      <c r="J63" t="str">
        <f t="shared" si="1"/>
        <v>USAIndiaCustomerB - Staff</v>
      </c>
      <c r="K63" s="711"/>
      <c r="L63" s="711">
        <v>85</v>
      </c>
      <c r="M63" s="711"/>
      <c r="N63" s="711"/>
      <c r="O63" s="711"/>
      <c r="P63"/>
    </row>
    <row r="64" spans="1:16">
      <c r="A64" t="s">
        <v>308</v>
      </c>
      <c r="B64"/>
      <c r="C64" t="s">
        <v>227</v>
      </c>
      <c r="D64" t="s">
        <v>404</v>
      </c>
      <c r="E64"/>
      <c r="F64" t="s">
        <v>355</v>
      </c>
      <c r="G64"/>
      <c r="H64"/>
      <c r="I64" t="str">
        <f t="shared" si="2"/>
        <v>USACustomerC - Senior</v>
      </c>
      <c r="J64" t="str">
        <f t="shared" si="1"/>
        <v>USAIndiaCustomerC - Senior</v>
      </c>
      <c r="K64" s="711"/>
      <c r="L64" s="711">
        <v>95</v>
      </c>
      <c r="M64" s="711"/>
      <c r="N64" s="711"/>
      <c r="O64" s="711"/>
      <c r="P64"/>
    </row>
    <row r="65" spans="1:16">
      <c r="A65" t="s">
        <v>308</v>
      </c>
      <c r="B65"/>
      <c r="C65" t="s">
        <v>227</v>
      </c>
      <c r="D65" t="s">
        <v>404</v>
      </c>
      <c r="E65"/>
      <c r="F65" t="s">
        <v>358</v>
      </c>
      <c r="G65"/>
      <c r="H65"/>
      <c r="I65" t="str">
        <f t="shared" si="2"/>
        <v>USACustomerD - Lead</v>
      </c>
      <c r="J65" t="str">
        <f t="shared" si="1"/>
        <v>USAIndiaCustomerD - Lead</v>
      </c>
      <c r="K65" s="711"/>
      <c r="L65" s="711">
        <v>109</v>
      </c>
      <c r="M65" s="711"/>
      <c r="N65" s="711"/>
      <c r="O65" s="711"/>
      <c r="P65"/>
    </row>
    <row r="66" spans="1:16">
      <c r="A66" t="s">
        <v>308</v>
      </c>
      <c r="B66"/>
      <c r="C66" t="s">
        <v>227</v>
      </c>
      <c r="D66" t="s">
        <v>404</v>
      </c>
      <c r="E66"/>
      <c r="F66" t="s">
        <v>772</v>
      </c>
      <c r="G66"/>
      <c r="H66"/>
      <c r="I66" t="str">
        <f t="shared" si="2"/>
        <v>USACustomerE - Principal</v>
      </c>
      <c r="J66" t="str">
        <f t="shared" ref="J66:J109" si="3">A66&amp;C66&amp;D66&amp;E66&amp;F66</f>
        <v>USAIndiaCustomerE - Principal</v>
      </c>
      <c r="K66" s="711"/>
      <c r="L66" s="711">
        <v>119</v>
      </c>
      <c r="M66" s="711"/>
      <c r="N66" s="711"/>
      <c r="O66" s="711"/>
      <c r="P66"/>
    </row>
    <row r="67" spans="1:16">
      <c r="A67" t="s">
        <v>308</v>
      </c>
      <c r="B67"/>
      <c r="C67" t="s">
        <v>227</v>
      </c>
      <c r="D67" t="s">
        <v>404</v>
      </c>
      <c r="E67"/>
      <c r="F67" t="s">
        <v>775</v>
      </c>
      <c r="G67"/>
      <c r="H67"/>
      <c r="I67" t="str">
        <f t="shared" si="2"/>
        <v>USACustomerF - Chief</v>
      </c>
      <c r="J67" t="str">
        <f t="shared" si="3"/>
        <v>USAIndiaCustomerF - Chief</v>
      </c>
      <c r="K67" s="711"/>
      <c r="L67" s="711">
        <v>299</v>
      </c>
      <c r="M67" s="711"/>
      <c r="N67" s="711"/>
      <c r="O67" s="711"/>
      <c r="P67"/>
    </row>
    <row r="68" spans="1:16">
      <c r="A68" t="s">
        <v>308</v>
      </c>
      <c r="B68"/>
      <c r="C68" t="s">
        <v>227</v>
      </c>
      <c r="D68" t="s">
        <v>761</v>
      </c>
      <c r="E68"/>
      <c r="F68" t="s">
        <v>753</v>
      </c>
      <c r="G68"/>
      <c r="H68"/>
      <c r="I68" t="str">
        <f t="shared" si="2"/>
        <v>USAEmployeeA - Associate</v>
      </c>
      <c r="J68" t="str">
        <f t="shared" si="3"/>
        <v>USAIndiaEmployeeA - Associate</v>
      </c>
      <c r="K68" s="711"/>
      <c r="L68" s="711">
        <v>85</v>
      </c>
      <c r="M68" s="711"/>
      <c r="N68" s="711"/>
      <c r="O68" s="711"/>
      <c r="P68" s="711">
        <v>55</v>
      </c>
    </row>
    <row r="69" spans="1:16">
      <c r="A69" t="s">
        <v>308</v>
      </c>
      <c r="B69"/>
      <c r="C69" t="s">
        <v>227</v>
      </c>
      <c r="D69" t="s">
        <v>761</v>
      </c>
      <c r="E69"/>
      <c r="F69" t="s">
        <v>352</v>
      </c>
      <c r="G69"/>
      <c r="H69"/>
      <c r="I69" t="str">
        <f t="shared" ref="I69:I109" si="4">A69&amp;B69&amp;D69&amp;E69&amp;F69&amp;G69</f>
        <v>USAEmployeeB - Staff</v>
      </c>
      <c r="J69" t="str">
        <f t="shared" si="3"/>
        <v>USAIndiaEmployeeB - Staff</v>
      </c>
      <c r="K69" s="711"/>
      <c r="L69" s="711">
        <v>85</v>
      </c>
      <c r="M69" s="711"/>
      <c r="N69" s="711"/>
      <c r="O69" s="711"/>
      <c r="P69"/>
    </row>
    <row r="70" spans="1:16">
      <c r="A70" t="s">
        <v>308</v>
      </c>
      <c r="B70"/>
      <c r="C70" t="s">
        <v>227</v>
      </c>
      <c r="D70" t="s">
        <v>761</v>
      </c>
      <c r="E70"/>
      <c r="F70" t="s">
        <v>355</v>
      </c>
      <c r="G70"/>
      <c r="H70"/>
      <c r="I70" t="str">
        <f t="shared" si="4"/>
        <v>USAEmployeeC - Senior</v>
      </c>
      <c r="J70" t="str">
        <f t="shared" si="3"/>
        <v>USAIndiaEmployeeC - Senior</v>
      </c>
      <c r="K70" s="711"/>
      <c r="L70" s="711">
        <v>95</v>
      </c>
      <c r="M70" s="711"/>
      <c r="N70" s="711"/>
      <c r="O70" s="711"/>
      <c r="P70"/>
    </row>
    <row r="71" spans="1:16">
      <c r="A71" t="s">
        <v>308</v>
      </c>
      <c r="B71"/>
      <c r="C71" t="s">
        <v>227</v>
      </c>
      <c r="D71" t="s">
        <v>761</v>
      </c>
      <c r="E71"/>
      <c r="F71" t="s">
        <v>358</v>
      </c>
      <c r="G71"/>
      <c r="H71"/>
      <c r="I71" t="str">
        <f t="shared" si="4"/>
        <v>USAEmployeeD - Lead</v>
      </c>
      <c r="J71" t="str">
        <f t="shared" si="3"/>
        <v>USAIndiaEmployeeD - Lead</v>
      </c>
      <c r="K71" s="711"/>
      <c r="L71" s="711">
        <v>109</v>
      </c>
      <c r="M71" s="711"/>
      <c r="N71" s="711"/>
      <c r="O71" s="711"/>
      <c r="P71"/>
    </row>
    <row r="72" spans="1:16">
      <c r="A72" t="s">
        <v>308</v>
      </c>
      <c r="B72"/>
      <c r="C72" t="s">
        <v>227</v>
      </c>
      <c r="D72" t="s">
        <v>761</v>
      </c>
      <c r="E72"/>
      <c r="F72" t="s">
        <v>772</v>
      </c>
      <c r="G72"/>
      <c r="H72"/>
      <c r="I72" t="str">
        <f t="shared" si="4"/>
        <v>USAEmployeeE - Principal</v>
      </c>
      <c r="J72" t="str">
        <f t="shared" si="3"/>
        <v>USAIndiaEmployeeE - Principal</v>
      </c>
      <c r="K72" s="711"/>
      <c r="L72" s="711">
        <v>119</v>
      </c>
      <c r="M72" s="711"/>
      <c r="N72" s="711"/>
      <c r="O72" s="711"/>
      <c r="P72"/>
    </row>
    <row r="73" spans="1:16">
      <c r="A73" t="s">
        <v>308</v>
      </c>
      <c r="B73"/>
      <c r="C73" t="s">
        <v>227</v>
      </c>
      <c r="D73" t="s">
        <v>761</v>
      </c>
      <c r="E73"/>
      <c r="F73" t="s">
        <v>775</v>
      </c>
      <c r="G73"/>
      <c r="H73"/>
      <c r="I73" t="str">
        <f t="shared" si="4"/>
        <v>USAEmployeeF - Chief</v>
      </c>
      <c r="J73" t="str">
        <f t="shared" si="3"/>
        <v>USAIndiaEmployeeF - Chief</v>
      </c>
      <c r="K73" s="711"/>
      <c r="L73" s="711">
        <v>299</v>
      </c>
      <c r="M73" s="711"/>
      <c r="N73" s="711"/>
      <c r="O73" s="711"/>
      <c r="P73"/>
    </row>
    <row r="74" spans="1:16">
      <c r="A74" t="s">
        <v>308</v>
      </c>
      <c r="B74"/>
      <c r="C74" t="s">
        <v>227</v>
      </c>
      <c r="D74" t="s">
        <v>425</v>
      </c>
      <c r="E74"/>
      <c r="F74" t="s">
        <v>753</v>
      </c>
      <c r="G74"/>
      <c r="H74"/>
      <c r="I74" t="str">
        <f t="shared" si="4"/>
        <v>USAExperienceA - Associate</v>
      </c>
      <c r="J74" t="str">
        <f t="shared" si="3"/>
        <v>USAIndiaExperienceA - Associate</v>
      </c>
      <c r="K74" s="711"/>
      <c r="L74" s="711">
        <v>95</v>
      </c>
      <c r="M74" s="711"/>
      <c r="N74" s="711"/>
      <c r="O74" s="711"/>
      <c r="P74" s="711">
        <v>65</v>
      </c>
    </row>
    <row r="75" spans="1:16">
      <c r="A75" t="s">
        <v>308</v>
      </c>
      <c r="B75"/>
      <c r="C75" t="s">
        <v>227</v>
      </c>
      <c r="D75" t="s">
        <v>425</v>
      </c>
      <c r="E75"/>
      <c r="F75" t="s">
        <v>352</v>
      </c>
      <c r="G75"/>
      <c r="H75"/>
      <c r="I75" t="str">
        <f t="shared" si="4"/>
        <v>USAExperienceB - Staff</v>
      </c>
      <c r="J75" t="str">
        <f t="shared" si="3"/>
        <v>USAIndiaExperienceB - Staff</v>
      </c>
      <c r="K75" s="711"/>
      <c r="L75" s="711">
        <v>95</v>
      </c>
      <c r="M75" s="711"/>
      <c r="N75" s="711"/>
      <c r="O75" s="711"/>
      <c r="P75"/>
    </row>
    <row r="76" spans="1:16">
      <c r="A76" t="s">
        <v>308</v>
      </c>
      <c r="B76"/>
      <c r="C76" t="s">
        <v>227</v>
      </c>
      <c r="D76" t="s">
        <v>425</v>
      </c>
      <c r="E76"/>
      <c r="F76" t="s">
        <v>355</v>
      </c>
      <c r="G76"/>
      <c r="H76"/>
      <c r="I76" t="str">
        <f t="shared" si="4"/>
        <v>USAExperienceC - Senior</v>
      </c>
      <c r="J76" t="str">
        <f t="shared" si="3"/>
        <v>USAIndiaExperienceC - Senior</v>
      </c>
      <c r="K76" s="711"/>
      <c r="L76" s="711">
        <v>109</v>
      </c>
      <c r="M76" s="711"/>
      <c r="N76" s="711"/>
      <c r="O76" s="711"/>
      <c r="P76"/>
    </row>
    <row r="77" spans="1:16">
      <c r="A77" t="s">
        <v>308</v>
      </c>
      <c r="B77"/>
      <c r="C77" t="s">
        <v>227</v>
      </c>
      <c r="D77" t="s">
        <v>425</v>
      </c>
      <c r="E77"/>
      <c r="F77" t="s">
        <v>358</v>
      </c>
      <c r="G77"/>
      <c r="H77"/>
      <c r="I77" t="str">
        <f t="shared" si="4"/>
        <v>USAExperienceD - Lead</v>
      </c>
      <c r="J77" t="str">
        <f t="shared" si="3"/>
        <v>USAIndiaExperienceD - Lead</v>
      </c>
      <c r="K77" s="711"/>
      <c r="L77" s="711">
        <v>129</v>
      </c>
      <c r="M77" s="711"/>
      <c r="N77" s="711"/>
      <c r="O77" s="711"/>
      <c r="P77"/>
    </row>
    <row r="78" spans="1:16">
      <c r="A78" t="s">
        <v>308</v>
      </c>
      <c r="B78"/>
      <c r="C78" t="s">
        <v>227</v>
      </c>
      <c r="D78" t="s">
        <v>425</v>
      </c>
      <c r="E78"/>
      <c r="F78" t="s">
        <v>772</v>
      </c>
      <c r="G78"/>
      <c r="H78"/>
      <c r="I78" t="str">
        <f t="shared" si="4"/>
        <v>USAExperienceE - Principal</v>
      </c>
      <c r="J78" t="str">
        <f t="shared" si="3"/>
        <v>USAIndiaExperienceE - Principal</v>
      </c>
      <c r="K78" s="711"/>
      <c r="L78" s="711">
        <v>139</v>
      </c>
      <c r="M78" s="711"/>
      <c r="N78" s="711"/>
      <c r="O78" s="711"/>
      <c r="P78"/>
    </row>
    <row r="79" spans="1:16">
      <c r="A79" t="s">
        <v>308</v>
      </c>
      <c r="B79"/>
      <c r="C79" t="s">
        <v>227</v>
      </c>
      <c r="D79" t="s">
        <v>425</v>
      </c>
      <c r="E79"/>
      <c r="F79" t="s">
        <v>775</v>
      </c>
      <c r="G79"/>
      <c r="H79"/>
      <c r="I79" t="str">
        <f t="shared" si="4"/>
        <v>USAExperienceF - Chief</v>
      </c>
      <c r="J79" t="str">
        <f t="shared" si="3"/>
        <v>USAIndiaExperienceF - Chief</v>
      </c>
      <c r="K79" s="711"/>
      <c r="L79" s="711">
        <v>329</v>
      </c>
      <c r="M79" s="711"/>
      <c r="N79" s="711"/>
      <c r="O79" s="711"/>
      <c r="P79"/>
    </row>
    <row r="80" spans="1:16">
      <c r="A80" t="s">
        <v>308</v>
      </c>
      <c r="B80"/>
      <c r="C80" t="s">
        <v>227</v>
      </c>
      <c r="D80" t="s">
        <v>231</v>
      </c>
      <c r="E80"/>
      <c r="F80" t="s">
        <v>753</v>
      </c>
      <c r="G80"/>
      <c r="H80"/>
      <c r="I80" t="str">
        <f t="shared" si="4"/>
        <v>USAManaged ServicesA - Associate</v>
      </c>
      <c r="J80" t="str">
        <f t="shared" si="3"/>
        <v>USAIndiaManaged ServicesA - Associate</v>
      </c>
      <c r="K80" s="711"/>
      <c r="L80" s="711">
        <v>79</v>
      </c>
      <c r="M80" s="711"/>
      <c r="N80" s="711"/>
      <c r="O80" s="711"/>
      <c r="P80" s="711">
        <v>49</v>
      </c>
    </row>
    <row r="81" spans="1:16">
      <c r="A81" t="s">
        <v>308</v>
      </c>
      <c r="B81"/>
      <c r="C81" t="s">
        <v>227</v>
      </c>
      <c r="D81" t="s">
        <v>231</v>
      </c>
      <c r="E81"/>
      <c r="F81" t="s">
        <v>352</v>
      </c>
      <c r="G81"/>
      <c r="H81"/>
      <c r="I81" t="str">
        <f t="shared" si="4"/>
        <v>USAManaged ServicesB - Staff</v>
      </c>
      <c r="J81" t="str">
        <f t="shared" si="3"/>
        <v>USAIndiaManaged ServicesB - Staff</v>
      </c>
      <c r="K81" s="711"/>
      <c r="L81" s="711">
        <v>79</v>
      </c>
      <c r="M81" s="711"/>
      <c r="N81" s="711"/>
      <c r="O81" s="711"/>
      <c r="P81"/>
    </row>
    <row r="82" spans="1:16">
      <c r="A82" t="s">
        <v>308</v>
      </c>
      <c r="B82"/>
      <c r="C82" t="s">
        <v>227</v>
      </c>
      <c r="D82" t="s">
        <v>231</v>
      </c>
      <c r="E82"/>
      <c r="F82" t="s">
        <v>355</v>
      </c>
      <c r="G82"/>
      <c r="H82"/>
      <c r="I82" t="str">
        <f t="shared" si="4"/>
        <v>USAManaged ServicesC - Senior</v>
      </c>
      <c r="J82" t="str">
        <f t="shared" si="3"/>
        <v>USAIndiaManaged ServicesC - Senior</v>
      </c>
      <c r="K82" s="711"/>
      <c r="L82" s="711">
        <v>89</v>
      </c>
      <c r="M82" s="711"/>
      <c r="N82" s="711"/>
      <c r="O82" s="711"/>
      <c r="P82"/>
    </row>
    <row r="83" spans="1:16">
      <c r="A83" t="s">
        <v>308</v>
      </c>
      <c r="B83"/>
      <c r="C83" t="s">
        <v>227</v>
      </c>
      <c r="D83" t="s">
        <v>231</v>
      </c>
      <c r="E83"/>
      <c r="F83" t="s">
        <v>358</v>
      </c>
      <c r="G83"/>
      <c r="H83"/>
      <c r="I83" t="str">
        <f t="shared" si="4"/>
        <v>USAManaged ServicesD - Lead</v>
      </c>
      <c r="J83" t="str">
        <f t="shared" si="3"/>
        <v>USAIndiaManaged ServicesD - Lead</v>
      </c>
      <c r="K83" s="711"/>
      <c r="L83" s="711">
        <v>99</v>
      </c>
      <c r="M83" s="711"/>
      <c r="N83" s="711"/>
      <c r="O83" s="711"/>
      <c r="P83"/>
    </row>
    <row r="84" spans="1:16">
      <c r="A84" t="s">
        <v>308</v>
      </c>
      <c r="B84"/>
      <c r="C84" t="s">
        <v>227</v>
      </c>
      <c r="D84" t="s">
        <v>231</v>
      </c>
      <c r="E84"/>
      <c r="F84" t="s">
        <v>772</v>
      </c>
      <c r="G84"/>
      <c r="H84"/>
      <c r="I84" t="str">
        <f t="shared" si="4"/>
        <v>USAManaged ServicesE - Principal</v>
      </c>
      <c r="J84" t="str">
        <f t="shared" si="3"/>
        <v>USAIndiaManaged ServicesE - Principal</v>
      </c>
      <c r="K84" s="711"/>
      <c r="L84" s="711">
        <v>109</v>
      </c>
      <c r="M84" s="711"/>
      <c r="N84" s="711"/>
      <c r="O84" s="711"/>
      <c r="P84"/>
    </row>
    <row r="85" spans="1:16">
      <c r="A85" t="s">
        <v>308</v>
      </c>
      <c r="B85"/>
      <c r="C85" t="s">
        <v>227</v>
      </c>
      <c r="D85" t="s">
        <v>231</v>
      </c>
      <c r="E85"/>
      <c r="F85" t="s">
        <v>775</v>
      </c>
      <c r="G85"/>
      <c r="H85"/>
      <c r="I85" t="str">
        <f t="shared" si="4"/>
        <v>USAManaged ServicesF - Chief</v>
      </c>
      <c r="J85" t="str">
        <f t="shared" si="3"/>
        <v>USAIndiaManaged ServicesF - Chief</v>
      </c>
      <c r="K85" s="711"/>
      <c r="L85" s="711">
        <v>299</v>
      </c>
      <c r="M85" s="711"/>
      <c r="N85" s="711"/>
      <c r="O85" s="711"/>
      <c r="P85"/>
    </row>
    <row r="86" spans="1:16">
      <c r="A86" t="s">
        <v>308</v>
      </c>
      <c r="B86"/>
      <c r="C86" t="s">
        <v>227</v>
      </c>
      <c r="D86" t="s">
        <v>777</v>
      </c>
      <c r="E86"/>
      <c r="F86" t="s">
        <v>753</v>
      </c>
      <c r="G86"/>
      <c r="H86"/>
      <c r="I86" t="str">
        <f t="shared" si="4"/>
        <v>USAPublic SectorA - Associate</v>
      </c>
      <c r="J86" t="str">
        <f t="shared" si="3"/>
        <v>USAIndiaPublic SectorA - Associate</v>
      </c>
      <c r="K86" s="711"/>
      <c r="L86" s="711">
        <v>79</v>
      </c>
      <c r="M86" s="711"/>
      <c r="N86" s="711"/>
      <c r="O86" s="711"/>
      <c r="P86" s="711">
        <v>49</v>
      </c>
    </row>
    <row r="87" spans="1:16">
      <c r="A87" t="s">
        <v>308</v>
      </c>
      <c r="B87"/>
      <c r="C87" t="s">
        <v>227</v>
      </c>
      <c r="D87" t="s">
        <v>777</v>
      </c>
      <c r="E87"/>
      <c r="F87" t="s">
        <v>352</v>
      </c>
      <c r="G87"/>
      <c r="H87"/>
      <c r="I87" t="str">
        <f t="shared" si="4"/>
        <v>USAPublic SectorB - Staff</v>
      </c>
      <c r="J87" t="str">
        <f t="shared" si="3"/>
        <v>USAIndiaPublic SectorB - Staff</v>
      </c>
      <c r="K87" s="711"/>
      <c r="L87" s="711">
        <v>79</v>
      </c>
      <c r="M87" s="711"/>
      <c r="N87" s="711"/>
      <c r="O87" s="711"/>
      <c r="P87"/>
    </row>
    <row r="88" spans="1:16">
      <c r="A88" t="s">
        <v>308</v>
      </c>
      <c r="B88"/>
      <c r="C88" t="s">
        <v>227</v>
      </c>
      <c r="D88" t="s">
        <v>777</v>
      </c>
      <c r="E88"/>
      <c r="F88" t="s">
        <v>355</v>
      </c>
      <c r="G88"/>
      <c r="H88"/>
      <c r="I88" t="str">
        <f t="shared" si="4"/>
        <v>USAPublic SectorC - Senior</v>
      </c>
      <c r="J88" t="str">
        <f t="shared" si="3"/>
        <v>USAIndiaPublic SectorC - Senior</v>
      </c>
      <c r="K88" s="711"/>
      <c r="L88" s="711">
        <v>89</v>
      </c>
      <c r="M88" s="711"/>
      <c r="N88" s="711"/>
      <c r="O88" s="711"/>
      <c r="P88"/>
    </row>
    <row r="89" spans="1:16">
      <c r="A89" t="s">
        <v>308</v>
      </c>
      <c r="B89"/>
      <c r="C89" t="s">
        <v>227</v>
      </c>
      <c r="D89" t="s">
        <v>777</v>
      </c>
      <c r="E89"/>
      <c r="F89" t="s">
        <v>358</v>
      </c>
      <c r="G89"/>
      <c r="H89"/>
      <c r="I89" t="str">
        <f t="shared" si="4"/>
        <v>USAPublic SectorD - Lead</v>
      </c>
      <c r="J89" t="str">
        <f t="shared" si="3"/>
        <v>USAIndiaPublic SectorD - Lead</v>
      </c>
      <c r="K89" s="711"/>
      <c r="L89" s="711">
        <v>99</v>
      </c>
      <c r="M89" s="711"/>
      <c r="N89" s="711"/>
      <c r="O89" s="711"/>
      <c r="P89"/>
    </row>
    <row r="90" spans="1:16">
      <c r="A90" t="s">
        <v>308</v>
      </c>
      <c r="B90"/>
      <c r="C90" t="s">
        <v>227</v>
      </c>
      <c r="D90" t="s">
        <v>777</v>
      </c>
      <c r="E90"/>
      <c r="F90" t="s">
        <v>772</v>
      </c>
      <c r="G90"/>
      <c r="H90"/>
      <c r="I90" t="str">
        <f t="shared" si="4"/>
        <v>USAPublic SectorE - Principal</v>
      </c>
      <c r="J90" t="str">
        <f t="shared" si="3"/>
        <v>USAIndiaPublic SectorE - Principal</v>
      </c>
      <c r="K90" s="711"/>
      <c r="L90" s="711">
        <v>109</v>
      </c>
      <c r="M90" s="711"/>
      <c r="N90" s="711"/>
      <c r="O90" s="711"/>
      <c r="P90"/>
    </row>
    <row r="91" spans="1:16">
      <c r="A91" t="s">
        <v>308</v>
      </c>
      <c r="B91"/>
      <c r="C91" t="s">
        <v>227</v>
      </c>
      <c r="D91" t="s">
        <v>777</v>
      </c>
      <c r="E91"/>
      <c r="F91" t="s">
        <v>775</v>
      </c>
      <c r="G91"/>
      <c r="H91"/>
      <c r="I91" t="str">
        <f t="shared" si="4"/>
        <v>USAPublic SectorF - Chief</v>
      </c>
      <c r="J91" t="str">
        <f t="shared" si="3"/>
        <v>USAIndiaPublic SectorF - Chief</v>
      </c>
      <c r="K91" s="711"/>
      <c r="L91" s="711">
        <v>299</v>
      </c>
      <c r="M91" s="711"/>
      <c r="N91" s="711"/>
      <c r="O91" s="711"/>
      <c r="P91"/>
    </row>
    <row r="92" spans="1:16">
      <c r="A92" t="s">
        <v>308</v>
      </c>
      <c r="B92"/>
      <c r="C92" t="s">
        <v>227</v>
      </c>
      <c r="D92" t="s">
        <v>780</v>
      </c>
      <c r="E92"/>
      <c r="F92" t="s">
        <v>753</v>
      </c>
      <c r="G92"/>
      <c r="H92"/>
      <c r="I92" t="str">
        <f t="shared" si="4"/>
        <v>USARisk and ResilienceA - Associate</v>
      </c>
      <c r="J92" t="str">
        <f t="shared" si="3"/>
        <v>USAIndiaRisk and ResilienceA - Associate</v>
      </c>
      <c r="K92" s="711"/>
      <c r="L92" s="711">
        <v>89</v>
      </c>
      <c r="M92" s="711"/>
      <c r="N92" s="711"/>
      <c r="O92" s="711"/>
      <c r="P92" s="711">
        <v>59</v>
      </c>
    </row>
    <row r="93" spans="1:16">
      <c r="A93" t="s">
        <v>308</v>
      </c>
      <c r="B93"/>
      <c r="C93" t="s">
        <v>227</v>
      </c>
      <c r="D93" t="s">
        <v>780</v>
      </c>
      <c r="E93"/>
      <c r="F93" t="s">
        <v>352</v>
      </c>
      <c r="G93"/>
      <c r="H93"/>
      <c r="I93" t="str">
        <f t="shared" si="4"/>
        <v>USARisk and ResilienceB - Staff</v>
      </c>
      <c r="J93" t="str">
        <f t="shared" si="3"/>
        <v>USAIndiaRisk and ResilienceB - Staff</v>
      </c>
      <c r="K93" s="711"/>
      <c r="L93" s="711">
        <v>89</v>
      </c>
      <c r="M93" s="711"/>
      <c r="N93" s="711"/>
      <c r="O93" s="711"/>
      <c r="P93"/>
    </row>
    <row r="94" spans="1:16">
      <c r="A94" t="s">
        <v>308</v>
      </c>
      <c r="B94"/>
      <c r="C94" t="s">
        <v>227</v>
      </c>
      <c r="D94" t="s">
        <v>780</v>
      </c>
      <c r="E94"/>
      <c r="F94" t="s">
        <v>355</v>
      </c>
      <c r="G94"/>
      <c r="H94"/>
      <c r="I94" t="str">
        <f t="shared" si="4"/>
        <v>USARisk and ResilienceC - Senior</v>
      </c>
      <c r="J94" t="str">
        <f t="shared" si="3"/>
        <v>USAIndiaRisk and ResilienceC - Senior</v>
      </c>
      <c r="K94" s="711"/>
      <c r="L94" s="711">
        <v>99</v>
      </c>
      <c r="M94" s="711"/>
      <c r="N94" s="711"/>
      <c r="O94" s="711"/>
      <c r="P94"/>
    </row>
    <row r="95" spans="1:16">
      <c r="A95" t="s">
        <v>308</v>
      </c>
      <c r="B95"/>
      <c r="C95" t="s">
        <v>227</v>
      </c>
      <c r="D95" t="s">
        <v>780</v>
      </c>
      <c r="E95"/>
      <c r="F95" t="s">
        <v>358</v>
      </c>
      <c r="G95"/>
      <c r="H95"/>
      <c r="I95" t="str">
        <f t="shared" si="4"/>
        <v>USARisk and ResilienceD - Lead</v>
      </c>
      <c r="J95" t="str">
        <f t="shared" si="3"/>
        <v>USAIndiaRisk and ResilienceD - Lead</v>
      </c>
      <c r="K95" s="711"/>
      <c r="L95" s="711">
        <v>119</v>
      </c>
      <c r="M95" s="711"/>
      <c r="N95" s="711"/>
      <c r="O95" s="711"/>
      <c r="P95"/>
    </row>
    <row r="96" spans="1:16">
      <c r="A96" t="s">
        <v>308</v>
      </c>
      <c r="B96"/>
      <c r="C96" t="s">
        <v>227</v>
      </c>
      <c r="D96" t="s">
        <v>780</v>
      </c>
      <c r="E96"/>
      <c r="F96" t="s">
        <v>772</v>
      </c>
      <c r="G96"/>
      <c r="H96"/>
      <c r="I96" t="str">
        <f t="shared" si="4"/>
        <v>USARisk and ResilienceE - Principal</v>
      </c>
      <c r="J96" t="str">
        <f t="shared" si="3"/>
        <v>USAIndiaRisk and ResilienceE - Principal</v>
      </c>
      <c r="K96" s="711"/>
      <c r="L96" s="711">
        <v>129</v>
      </c>
      <c r="M96" s="711"/>
      <c r="N96" s="711"/>
      <c r="O96" s="711"/>
      <c r="P96"/>
    </row>
    <row r="97" spans="1:18">
      <c r="A97" t="s">
        <v>308</v>
      </c>
      <c r="B97"/>
      <c r="C97" t="s">
        <v>227</v>
      </c>
      <c r="D97" t="s">
        <v>780</v>
      </c>
      <c r="E97"/>
      <c r="F97" t="s">
        <v>775</v>
      </c>
      <c r="G97"/>
      <c r="H97"/>
      <c r="I97" t="str">
        <f t="shared" si="4"/>
        <v>USARisk and ResilienceF - Chief</v>
      </c>
      <c r="J97" t="str">
        <f t="shared" si="3"/>
        <v>USAIndiaRisk and ResilienceF - Chief</v>
      </c>
      <c r="K97" s="711"/>
      <c r="L97" s="711">
        <v>319</v>
      </c>
      <c r="M97" s="711"/>
      <c r="N97" s="711"/>
      <c r="O97" s="711"/>
      <c r="P97"/>
    </row>
    <row r="98" spans="1:18">
      <c r="A98" t="s">
        <v>308</v>
      </c>
      <c r="B98"/>
      <c r="C98" t="s">
        <v>227</v>
      </c>
      <c r="D98" t="s">
        <v>399</v>
      </c>
      <c r="E98"/>
      <c r="F98" t="s">
        <v>753</v>
      </c>
      <c r="G98"/>
      <c r="H98"/>
      <c r="I98" t="str">
        <f t="shared" si="4"/>
        <v>USATechnologyA - Associate</v>
      </c>
      <c r="J98" t="str">
        <f t="shared" si="3"/>
        <v>USAIndiaTechnologyA - Associate</v>
      </c>
      <c r="K98" s="711"/>
      <c r="L98" s="711">
        <v>79</v>
      </c>
      <c r="M98" s="711"/>
      <c r="N98" s="711"/>
      <c r="O98" s="711"/>
      <c r="P98" s="711">
        <v>49</v>
      </c>
    </row>
    <row r="99" spans="1:18">
      <c r="A99" t="s">
        <v>308</v>
      </c>
      <c r="B99"/>
      <c r="C99" t="s">
        <v>227</v>
      </c>
      <c r="D99" t="s">
        <v>399</v>
      </c>
      <c r="E99"/>
      <c r="F99" t="s">
        <v>352</v>
      </c>
      <c r="G99"/>
      <c r="H99"/>
      <c r="I99" t="str">
        <f t="shared" si="4"/>
        <v>USATechnologyB - Staff</v>
      </c>
      <c r="J99" t="str">
        <f t="shared" si="3"/>
        <v>USAIndiaTechnologyB - Staff</v>
      </c>
      <c r="K99" s="711"/>
      <c r="L99" s="711">
        <v>79</v>
      </c>
      <c r="M99" s="711"/>
      <c r="N99" s="711"/>
      <c r="O99" s="711"/>
      <c r="P99"/>
    </row>
    <row r="100" spans="1:18">
      <c r="A100" t="s">
        <v>308</v>
      </c>
      <c r="B100"/>
      <c r="C100" t="s">
        <v>227</v>
      </c>
      <c r="D100" t="s">
        <v>399</v>
      </c>
      <c r="E100"/>
      <c r="F100" t="s">
        <v>355</v>
      </c>
      <c r="G100"/>
      <c r="H100"/>
      <c r="I100" t="str">
        <f t="shared" si="4"/>
        <v>USATechnologyC - Senior</v>
      </c>
      <c r="J100" t="str">
        <f t="shared" si="3"/>
        <v>USAIndiaTechnologyC - Senior</v>
      </c>
      <c r="K100" s="711"/>
      <c r="L100" s="711">
        <v>89</v>
      </c>
      <c r="M100" s="711"/>
      <c r="N100" s="711"/>
      <c r="O100" s="711"/>
      <c r="P100"/>
    </row>
    <row r="101" spans="1:18">
      <c r="A101" t="s">
        <v>308</v>
      </c>
      <c r="B101"/>
      <c r="C101" t="s">
        <v>227</v>
      </c>
      <c r="D101" t="s">
        <v>399</v>
      </c>
      <c r="E101"/>
      <c r="F101" t="s">
        <v>358</v>
      </c>
      <c r="G101"/>
      <c r="H101"/>
      <c r="I101" t="str">
        <f t="shared" si="4"/>
        <v>USATechnologyD - Lead</v>
      </c>
      <c r="J101" t="str">
        <f t="shared" si="3"/>
        <v>USAIndiaTechnologyD - Lead</v>
      </c>
      <c r="K101" s="711"/>
      <c r="L101" s="711">
        <v>99</v>
      </c>
      <c r="M101" s="711"/>
      <c r="N101" s="711"/>
      <c r="O101" s="711"/>
      <c r="P101"/>
    </row>
    <row r="102" spans="1:18">
      <c r="A102" t="s">
        <v>308</v>
      </c>
      <c r="B102"/>
      <c r="C102" t="s">
        <v>227</v>
      </c>
      <c r="D102" t="s">
        <v>399</v>
      </c>
      <c r="E102"/>
      <c r="F102" t="s">
        <v>772</v>
      </c>
      <c r="G102"/>
      <c r="H102"/>
      <c r="I102" t="str">
        <f t="shared" si="4"/>
        <v>USATechnologyE - Principal</v>
      </c>
      <c r="J102" t="str">
        <f t="shared" si="3"/>
        <v>USAIndiaTechnologyE - Principal</v>
      </c>
      <c r="K102" s="711"/>
      <c r="L102" s="711">
        <v>109</v>
      </c>
      <c r="M102" s="711"/>
      <c r="N102" s="711"/>
      <c r="O102" s="711"/>
      <c r="P102"/>
    </row>
    <row r="103" spans="1:18">
      <c r="A103" t="s">
        <v>308</v>
      </c>
      <c r="B103"/>
      <c r="C103" t="s">
        <v>227</v>
      </c>
      <c r="D103" t="s">
        <v>399</v>
      </c>
      <c r="E103"/>
      <c r="F103" t="s">
        <v>775</v>
      </c>
      <c r="G103"/>
      <c r="H103"/>
      <c r="I103" t="str">
        <f t="shared" si="4"/>
        <v>USATechnologyF - Chief</v>
      </c>
      <c r="J103" t="str">
        <f t="shared" si="3"/>
        <v>USAIndiaTechnologyF - Chief</v>
      </c>
      <c r="K103" s="711"/>
      <c r="L103" s="711">
        <v>299</v>
      </c>
      <c r="M103" s="711"/>
      <c r="N103" s="711"/>
      <c r="O103" s="711"/>
      <c r="P103"/>
    </row>
    <row r="104" spans="1:18">
      <c r="A104" t="s">
        <v>308</v>
      </c>
      <c r="B104"/>
      <c r="C104" t="s">
        <v>227</v>
      </c>
      <c r="D104" t="s">
        <v>360</v>
      </c>
      <c r="E104"/>
      <c r="F104" t="s">
        <v>753</v>
      </c>
      <c r="G104"/>
      <c r="H104"/>
      <c r="I104" t="str">
        <f t="shared" si="4"/>
        <v>USAPMOA - Associate</v>
      </c>
      <c r="J104" t="str">
        <f t="shared" si="3"/>
        <v>USAIndiaPMOA - Associate</v>
      </c>
      <c r="K104" s="711"/>
      <c r="L104" s="711">
        <v>79</v>
      </c>
      <c r="M104" s="711"/>
      <c r="N104" s="711"/>
      <c r="O104" s="711"/>
      <c r="P104" s="711">
        <v>49</v>
      </c>
    </row>
    <row r="105" spans="1:18">
      <c r="A105" t="s">
        <v>308</v>
      </c>
      <c r="B105"/>
      <c r="C105" t="s">
        <v>227</v>
      </c>
      <c r="D105" t="s">
        <v>360</v>
      </c>
      <c r="E105"/>
      <c r="F105" t="s">
        <v>352</v>
      </c>
      <c r="G105"/>
      <c r="H105"/>
      <c r="I105" t="str">
        <f t="shared" si="4"/>
        <v>USAPMOB - Staff</v>
      </c>
      <c r="J105" t="str">
        <f t="shared" si="3"/>
        <v>USAIndiaPMOB - Staff</v>
      </c>
      <c r="K105" s="711"/>
      <c r="L105" s="711">
        <v>79</v>
      </c>
      <c r="M105" s="711"/>
      <c r="N105" s="711"/>
      <c r="O105" s="711"/>
      <c r="P105"/>
    </row>
    <row r="106" spans="1:18">
      <c r="A106" t="s">
        <v>308</v>
      </c>
      <c r="B106"/>
      <c r="C106" t="s">
        <v>227</v>
      </c>
      <c r="D106" t="s">
        <v>360</v>
      </c>
      <c r="E106"/>
      <c r="F106" t="s">
        <v>355</v>
      </c>
      <c r="G106"/>
      <c r="H106"/>
      <c r="I106" t="str">
        <f t="shared" si="4"/>
        <v>USAPMOC - Senior</v>
      </c>
      <c r="J106" t="str">
        <f t="shared" si="3"/>
        <v>USAIndiaPMOC - Senior</v>
      </c>
      <c r="K106" s="711"/>
      <c r="L106" s="711">
        <v>89</v>
      </c>
      <c r="M106" s="711"/>
      <c r="N106" s="711"/>
      <c r="O106" s="711"/>
      <c r="P106"/>
    </row>
    <row r="107" spans="1:18">
      <c r="A107" t="s">
        <v>308</v>
      </c>
      <c r="B107"/>
      <c r="C107" t="s">
        <v>227</v>
      </c>
      <c r="D107" t="s">
        <v>360</v>
      </c>
      <c r="E107"/>
      <c r="F107" t="s">
        <v>358</v>
      </c>
      <c r="G107"/>
      <c r="H107"/>
      <c r="I107" t="str">
        <f t="shared" si="4"/>
        <v>USAPMOD - Lead</v>
      </c>
      <c r="J107" t="str">
        <f t="shared" si="3"/>
        <v>USAIndiaPMOD - Lead</v>
      </c>
      <c r="K107" s="711"/>
      <c r="L107" s="711">
        <v>99</v>
      </c>
      <c r="M107" s="711"/>
      <c r="N107" s="711"/>
      <c r="O107" s="711"/>
      <c r="P107"/>
    </row>
    <row r="108" spans="1:18">
      <c r="A108" t="s">
        <v>308</v>
      </c>
      <c r="B108"/>
      <c r="C108" t="s">
        <v>227</v>
      </c>
      <c r="D108" t="s">
        <v>360</v>
      </c>
      <c r="E108"/>
      <c r="F108" t="s">
        <v>772</v>
      </c>
      <c r="G108"/>
      <c r="H108"/>
      <c r="I108" t="str">
        <f t="shared" si="4"/>
        <v>USAPMOE - Principal</v>
      </c>
      <c r="J108" t="str">
        <f t="shared" si="3"/>
        <v>USAIndiaPMOE - Principal</v>
      </c>
      <c r="K108" s="711"/>
      <c r="L108" s="711">
        <v>109</v>
      </c>
      <c r="M108" s="711"/>
      <c r="N108" s="711"/>
      <c r="O108" s="711"/>
      <c r="P108"/>
    </row>
    <row r="109" spans="1:18">
      <c r="A109" t="s">
        <v>308</v>
      </c>
      <c r="B109"/>
      <c r="C109" t="s">
        <v>227</v>
      </c>
      <c r="D109" t="s">
        <v>360</v>
      </c>
      <c r="E109"/>
      <c r="F109" t="s">
        <v>775</v>
      </c>
      <c r="G109"/>
      <c r="H109"/>
      <c r="I109" t="str">
        <f t="shared" si="4"/>
        <v>USAPMOF - Chief</v>
      </c>
      <c r="J109" t="str">
        <f t="shared" si="3"/>
        <v>USAIndiaPMOF - Chief</v>
      </c>
      <c r="K109" s="711"/>
      <c r="L109" s="711">
        <v>299</v>
      </c>
      <c r="M109" s="711"/>
      <c r="N109" s="711"/>
      <c r="O109" s="711"/>
      <c r="P109"/>
      <c r="R109" s="778" t="s">
        <v>813</v>
      </c>
    </row>
    <row r="110" spans="1:18">
      <c r="A110" s="773" t="s">
        <v>308</v>
      </c>
      <c r="B110" s="773"/>
      <c r="C110" s="773" t="s">
        <v>308</v>
      </c>
      <c r="D110" s="773"/>
      <c r="E110" s="773"/>
      <c r="F110" s="773"/>
      <c r="G110" s="967" t="s">
        <v>430</v>
      </c>
      <c r="H110" s="967" t="str">
        <f>B110&amp;G110</f>
        <v>Advisor</v>
      </c>
      <c r="I110" t="str">
        <f>A110&amp;B110&amp;D110&amp;E110&amp;F110&amp;G110</f>
        <v>USAAdvisor</v>
      </c>
      <c r="J110" s="773" t="str">
        <f>A110&amp;C110&amp;D110&amp;E110&amp;F110&amp;G110</f>
        <v>USAUSAAdvisor</v>
      </c>
      <c r="K110" cm="1">
        <f t="array" ref="K110">_xlfn.IFS(A110="Canada",4,A110="India",5,A110="UK",6,A110="USA",7,A110="EU",8)</f>
        <v>7</v>
      </c>
      <c r="L110" s="662" t="e">
        <f>VLOOKUP(H110,'StdCosts and StdRates'!$A$41:$H$86,K110,FALSE)</f>
        <v>#N/A</v>
      </c>
      <c r="M110" s="662" cm="1">
        <f t="array" ref="M110">_xlfn.XLOOKUP(C110&amp;A110,FX!$A$2:$A$26&amp;FX!$B$2:$B$26,FX!$C$2:$C$26)</f>
        <v>1</v>
      </c>
      <c r="N110" cm="1">
        <f t="array" ref="N110">_xlfn.IFS(C110="Canada",2,C110="India",3,C110="UK",4,C110="USA",5)</f>
        <v>5</v>
      </c>
      <c r="O110" s="662" t="e">
        <f>VLOOKUP(G110,'StdCosts and StdRates'!$A$17:$E$34,N110,FALSE)*M110</f>
        <v>#N/A</v>
      </c>
      <c r="P110"/>
      <c r="R110" s="967" t="s">
        <v>430</v>
      </c>
    </row>
    <row r="111" spans="1:18">
      <c r="A111" s="773" t="s">
        <v>308</v>
      </c>
      <c r="B111" s="773"/>
      <c r="C111" s="773" t="s">
        <v>308</v>
      </c>
      <c r="D111" s="773"/>
      <c r="E111" s="773"/>
      <c r="F111" s="773"/>
      <c r="G111" s="967" t="s">
        <v>70</v>
      </c>
      <c r="H111" s="967" t="str">
        <f t="shared" ref="H111:H141" si="5">B111&amp;G111</f>
        <v>Architect</v>
      </c>
      <c r="I111" t="str">
        <f t="shared" ref="I111:I174" si="6">A111&amp;B111&amp;D111&amp;E111&amp;F111&amp;G111</f>
        <v>USAArchitect</v>
      </c>
      <c r="J111" s="773" t="str">
        <f>A111&amp;C111&amp;D111&amp;E111&amp;F111&amp;G111</f>
        <v>USAUSAArchitect</v>
      </c>
      <c r="K111" cm="1">
        <f t="array" ref="K111">_xlfn.IFS(A111="Canada",4,A111="India",5,A111="UK",6,A111="USA",7,A111="EU",8)</f>
        <v>7</v>
      </c>
      <c r="L111" s="662" t="e">
        <f>VLOOKUP(H111,'StdCosts and StdRates'!$A$41:$H$86,K111,FALSE)</f>
        <v>#N/A</v>
      </c>
      <c r="M111" s="662" cm="1">
        <f t="array" ref="M111">_xlfn.XLOOKUP(C111&amp;A111,FX!$A$2:$A$26&amp;FX!$B$2:$B$26,FX!$C$2:$C$26)</f>
        <v>1</v>
      </c>
      <c r="N111" cm="1">
        <f t="array" ref="N111">_xlfn.IFS(C111="Canada",2,C111="India",3,C111="UK",4,C111="USA",5)</f>
        <v>5</v>
      </c>
      <c r="O111" s="662" t="e">
        <f>VLOOKUP(G111,'StdCosts and StdRates'!$A$17:$E$34,N111,FALSE)*M111</f>
        <v>#N/A</v>
      </c>
      <c r="P111"/>
      <c r="R111" s="967" t="s">
        <v>70</v>
      </c>
    </row>
    <row r="112" spans="1:18">
      <c r="A112" s="773" t="s">
        <v>308</v>
      </c>
      <c r="B112" s="773"/>
      <c r="C112" s="773" t="s">
        <v>308</v>
      </c>
      <c r="D112" s="773"/>
      <c r="E112" s="773"/>
      <c r="F112" s="773"/>
      <c r="G112" s="967" t="s">
        <v>814</v>
      </c>
      <c r="H112" s="967" t="str">
        <f t="shared" si="5"/>
        <v>Business Process Architect</v>
      </c>
      <c r="I112" t="str">
        <f t="shared" si="6"/>
        <v>USABusiness Process Architect</v>
      </c>
      <c r="J112" s="773" t="str">
        <f t="shared" ref="J112:J141" si="7">A112&amp;C112&amp;D112&amp;E112&amp;F112&amp;G112</f>
        <v>USAUSABusiness Process Architect</v>
      </c>
      <c r="K112" cm="1">
        <f t="array" ref="K112">_xlfn.IFS(A112="Canada",4,A112="India",5,A112="UK",6,A112="USA",7,A112="EU",8)</f>
        <v>7</v>
      </c>
      <c r="L112" s="662" t="e">
        <f>VLOOKUP(H112,'StdCosts and StdRates'!$A$41:$H$86,K112,FALSE)</f>
        <v>#N/A</v>
      </c>
      <c r="M112" s="662" cm="1">
        <f t="array" ref="M112">_xlfn.XLOOKUP(C112&amp;A112,FX!$A$2:$A$26&amp;FX!$B$2:$B$26,FX!$C$2:$C$26)</f>
        <v>1</v>
      </c>
      <c r="N112" cm="1">
        <f t="array" ref="N112">_xlfn.IFS(C112="Canada",2,C112="India",3,C112="UK",4,C112="USA",5)</f>
        <v>5</v>
      </c>
      <c r="O112" s="662" t="e">
        <f>VLOOKUP(G112,'StdCosts and StdRates'!$A$17:$E$34,N112,FALSE)*M112</f>
        <v>#N/A</v>
      </c>
      <c r="P112"/>
      <c r="R112" s="967" t="s">
        <v>814</v>
      </c>
    </row>
    <row r="113" spans="1:18">
      <c r="A113" s="773" t="s">
        <v>308</v>
      </c>
      <c r="B113" s="773"/>
      <c r="C113" s="773" t="s">
        <v>308</v>
      </c>
      <c r="D113" s="773"/>
      <c r="E113" s="773"/>
      <c r="F113" s="773"/>
      <c r="G113" s="967" t="s">
        <v>382</v>
      </c>
      <c r="H113" s="967" t="str">
        <f t="shared" si="5"/>
        <v>Change Adoption Specialist</v>
      </c>
      <c r="I113" t="str">
        <f t="shared" si="6"/>
        <v>USAChange Adoption Specialist</v>
      </c>
      <c r="J113" s="773" t="str">
        <f t="shared" si="7"/>
        <v>USAUSAChange Adoption Specialist</v>
      </c>
      <c r="K113" cm="1">
        <f t="array" ref="K113">_xlfn.IFS(A113="Canada",4,A113="India",5,A113="UK",6,A113="USA",7,A113="EU",8)</f>
        <v>7</v>
      </c>
      <c r="L113" s="662">
        <f>VLOOKUP(H113,'StdCosts and StdRates'!$A$41:$H$86,K113,FALSE)</f>
        <v>259</v>
      </c>
      <c r="M113" s="662" cm="1">
        <f t="array" ref="M113">_xlfn.XLOOKUP(C113&amp;A113,FX!$A$2:$A$26&amp;FX!$B$2:$B$26,FX!$C$2:$C$26)</f>
        <v>1</v>
      </c>
      <c r="N113" cm="1">
        <f t="array" ref="N113">_xlfn.IFS(C113="Canada",2,C113="India",3,C113="UK",4,C113="USA",5)</f>
        <v>5</v>
      </c>
      <c r="O113" s="662">
        <f>VLOOKUP(G113,'StdCosts and StdRates'!$A$17:$E$34,N113,FALSE)*M113</f>
        <v>141</v>
      </c>
      <c r="P113"/>
      <c r="R113" s="967" t="s">
        <v>382</v>
      </c>
    </row>
    <row r="114" spans="1:18">
      <c r="A114" s="773" t="s">
        <v>308</v>
      </c>
      <c r="B114" s="773"/>
      <c r="C114" s="773" t="s">
        <v>308</v>
      </c>
      <c r="D114" s="773"/>
      <c r="E114" s="773"/>
      <c r="F114" s="773"/>
      <c r="G114" s="967" t="s">
        <v>385</v>
      </c>
      <c r="H114" s="967" t="str">
        <f t="shared" si="5"/>
        <v>Content Strategist</v>
      </c>
      <c r="I114" t="str">
        <f t="shared" si="6"/>
        <v>USAContent Strategist</v>
      </c>
      <c r="J114" s="773" t="str">
        <f t="shared" si="7"/>
        <v>USAUSAContent Strategist</v>
      </c>
      <c r="K114" cm="1">
        <f t="array" ref="K114">_xlfn.IFS(A114="Canada",4,A114="India",5,A114="UK",6,A114="USA",7,A114="EU",8)</f>
        <v>7</v>
      </c>
      <c r="L114" s="662">
        <f>VLOOKUP(H114,'StdCosts and StdRates'!$A$41:$H$86,K114,FALSE)</f>
        <v>239</v>
      </c>
      <c r="M114" s="662" cm="1">
        <f t="array" ref="M114">_xlfn.XLOOKUP(C114&amp;A114,FX!$A$2:$A$26&amp;FX!$B$2:$B$26,FX!$C$2:$C$26)</f>
        <v>1</v>
      </c>
      <c r="N114" cm="1">
        <f t="array" ref="N114">_xlfn.IFS(C114="Canada",2,C114="India",3,C114="UK",4,C114="USA",5)</f>
        <v>5</v>
      </c>
      <c r="O114" s="662">
        <f>VLOOKUP(G114,'StdCosts and StdRates'!$A$17:$E$34,N114,FALSE)*M114</f>
        <v>152</v>
      </c>
      <c r="P114"/>
      <c r="R114" s="967" t="s">
        <v>385</v>
      </c>
    </row>
    <row r="115" spans="1:18">
      <c r="A115" s="773" t="s">
        <v>308</v>
      </c>
      <c r="B115" s="773"/>
      <c r="C115" s="773" t="s">
        <v>308</v>
      </c>
      <c r="D115" s="773"/>
      <c r="E115" s="773"/>
      <c r="F115" s="773"/>
      <c r="G115" s="967" t="s">
        <v>737</v>
      </c>
      <c r="H115" s="967" t="str">
        <f t="shared" si="5"/>
        <v>Designer</v>
      </c>
      <c r="I115" t="str">
        <f t="shared" si="6"/>
        <v>USADesigner</v>
      </c>
      <c r="J115" s="773" t="str">
        <f t="shared" si="7"/>
        <v>USAUSADesigner</v>
      </c>
      <c r="K115" cm="1">
        <f t="array" ref="K115">_xlfn.IFS(A115="Canada",4,A115="India",5,A115="UK",6,A115="USA",7,A115="EU",8)</f>
        <v>7</v>
      </c>
      <c r="L115" s="662">
        <f>VLOOKUP(H115,'StdCosts and StdRates'!$A$41:$H$86,K115,FALSE)</f>
        <v>239</v>
      </c>
      <c r="M115" s="662" cm="1">
        <f t="array" ref="M115">_xlfn.XLOOKUP(C115&amp;A115,FX!$A$2:$A$26&amp;FX!$B$2:$B$26,FX!$C$2:$C$26)</f>
        <v>1</v>
      </c>
      <c r="N115" cm="1">
        <f t="array" ref="N115">_xlfn.IFS(C115="Canada",2,C115="India",3,C115="UK",4,C115="USA",5)</f>
        <v>5</v>
      </c>
      <c r="O115" s="662">
        <f>VLOOKUP(G115,'StdCosts and StdRates'!$A$17:$E$34,N115,FALSE)*M115</f>
        <v>102</v>
      </c>
      <c r="P115"/>
      <c r="R115" s="967" t="s">
        <v>737</v>
      </c>
    </row>
    <row r="116" spans="1:18">
      <c r="A116" s="773" t="s">
        <v>308</v>
      </c>
      <c r="B116" s="773"/>
      <c r="C116" s="773" t="s">
        <v>308</v>
      </c>
      <c r="D116" s="773"/>
      <c r="E116" s="773"/>
      <c r="F116" s="773"/>
      <c r="G116" s="967" t="s">
        <v>815</v>
      </c>
      <c r="H116" s="967" t="str">
        <f t="shared" si="5"/>
        <v>Application Developer/Engineer</v>
      </c>
      <c r="I116" t="str">
        <f t="shared" si="6"/>
        <v>USAApplication Developer/Engineer</v>
      </c>
      <c r="J116" s="773" t="str">
        <f t="shared" si="7"/>
        <v>USAUSAApplication Developer/Engineer</v>
      </c>
      <c r="K116" cm="1">
        <f t="array" ref="K116">_xlfn.IFS(A116="Canada",4,A116="India",5,A116="UK",6,A116="USA",7,A116="EU",8)</f>
        <v>7</v>
      </c>
      <c r="L116" s="662" t="e">
        <f>VLOOKUP(H116,'StdCosts and StdRates'!$A$41:$H$86,K116,FALSE)</f>
        <v>#N/A</v>
      </c>
      <c r="M116" s="662" cm="1">
        <f t="array" ref="M116">_xlfn.XLOOKUP(C116&amp;A116,FX!$A$2:$A$26&amp;FX!$B$2:$B$26,FX!$C$2:$C$26)</f>
        <v>1</v>
      </c>
      <c r="N116" cm="1">
        <f t="array" ref="N116">_xlfn.IFS(C116="Canada",2,C116="India",3,C116="UK",4,C116="USA",5)</f>
        <v>5</v>
      </c>
      <c r="O116" s="662" t="e">
        <f>VLOOKUP(G116,'StdCosts and StdRates'!$A$17:$E$34,N116,FALSE)*M116</f>
        <v>#N/A</v>
      </c>
      <c r="P116"/>
      <c r="R116" s="967" t="s">
        <v>815</v>
      </c>
    </row>
    <row r="117" spans="1:18">
      <c r="A117" s="773" t="s">
        <v>308</v>
      </c>
      <c r="B117" s="773"/>
      <c r="C117" s="773" t="s">
        <v>308</v>
      </c>
      <c r="D117" s="773"/>
      <c r="E117" s="773"/>
      <c r="F117" s="773"/>
      <c r="G117" s="967" t="s">
        <v>816</v>
      </c>
      <c r="H117" s="967" t="str">
        <f t="shared" si="5"/>
        <v>Senior Application Developer/Engineer</v>
      </c>
      <c r="I117" t="str">
        <f t="shared" si="6"/>
        <v>USASenior Application Developer/Engineer</v>
      </c>
      <c r="J117" s="773" t="str">
        <f t="shared" si="7"/>
        <v>USAUSASenior Application Developer/Engineer</v>
      </c>
      <c r="K117" cm="1">
        <f t="array" ref="K117">_xlfn.IFS(A117="Canada",4,A117="India",5,A117="UK",6,A117="USA",7,A117="EU",8)</f>
        <v>7</v>
      </c>
      <c r="L117" s="662" t="e">
        <f>VLOOKUP(H117,'StdCosts and StdRates'!$A$41:$H$86,K117,FALSE)</f>
        <v>#N/A</v>
      </c>
      <c r="M117" s="662" cm="1">
        <f t="array" ref="M117">_xlfn.XLOOKUP(C117&amp;A117,FX!$A$2:$A$26&amp;FX!$B$2:$B$26,FX!$C$2:$C$26)</f>
        <v>1</v>
      </c>
      <c r="N117" cm="1">
        <f t="array" ref="N117">_xlfn.IFS(C117="Canada",2,C117="India",3,C117="UK",4,C117="USA",5)</f>
        <v>5</v>
      </c>
      <c r="O117" s="662" t="e">
        <f>VLOOKUP(G117,'StdCosts and StdRates'!$A$17:$E$34,N117,FALSE)*M117</f>
        <v>#N/A</v>
      </c>
      <c r="P117"/>
      <c r="R117" s="967" t="s">
        <v>816</v>
      </c>
    </row>
    <row r="118" spans="1:18">
      <c r="A118" s="773" t="s">
        <v>308</v>
      </c>
      <c r="B118" s="773"/>
      <c r="C118" s="773" t="s">
        <v>308</v>
      </c>
      <c r="D118" s="773"/>
      <c r="E118" s="773"/>
      <c r="F118" s="773"/>
      <c r="G118" s="967" t="s">
        <v>375</v>
      </c>
      <c r="H118" s="967" t="str">
        <f t="shared" si="5"/>
        <v>Project Coordinator</v>
      </c>
      <c r="I118" t="str">
        <f t="shared" si="6"/>
        <v>USAProject Coordinator</v>
      </c>
      <c r="J118" s="773" t="str">
        <f t="shared" si="7"/>
        <v>USAUSAProject Coordinator</v>
      </c>
      <c r="K118" cm="1">
        <f t="array" ref="K118">_xlfn.IFS(A118="Canada",4,A118="India",5,A118="UK",6,A118="USA",7,A118="EU",8)</f>
        <v>7</v>
      </c>
      <c r="L118" s="662">
        <f>VLOOKUP(H118,'StdCosts and StdRates'!$A$41:$H$86,K118,FALSE)</f>
        <v>199</v>
      </c>
      <c r="M118" s="662" cm="1">
        <f t="array" ref="M118">_xlfn.XLOOKUP(C118&amp;A118,FX!$A$2:$A$26&amp;FX!$B$2:$B$26,FX!$C$2:$C$26)</f>
        <v>1</v>
      </c>
      <c r="N118" cm="1">
        <f t="array" ref="N118">_xlfn.IFS(C118="Canada",2,C118="India",3,C118="UK",4,C118="USA",5)</f>
        <v>5</v>
      </c>
      <c r="O118" s="662">
        <f>VLOOKUP(G118,'StdCosts and StdRates'!$A$17:$E$34,N118,FALSE)*M118</f>
        <v>92</v>
      </c>
      <c r="P118"/>
      <c r="R118" s="967" t="s">
        <v>375</v>
      </c>
    </row>
    <row r="119" spans="1:18">
      <c r="A119" s="773" t="s">
        <v>308</v>
      </c>
      <c r="B119" s="773"/>
      <c r="C119" s="773" t="s">
        <v>308</v>
      </c>
      <c r="D119" s="773"/>
      <c r="E119" s="773"/>
      <c r="F119" s="773"/>
      <c r="G119" s="967" t="s">
        <v>158</v>
      </c>
      <c r="H119" s="967" t="str">
        <f t="shared" si="5"/>
        <v>Project Manager</v>
      </c>
      <c r="I119" t="str">
        <f t="shared" si="6"/>
        <v>USAProject Manager</v>
      </c>
      <c r="J119" s="773" t="str">
        <f t="shared" si="7"/>
        <v>USAUSAProject Manager</v>
      </c>
      <c r="K119" cm="1">
        <f t="array" ref="K119">_xlfn.IFS(A119="Canada",4,A119="India",5,A119="UK",6,A119="USA",7,A119="EU",8)</f>
        <v>7</v>
      </c>
      <c r="L119" s="662">
        <f>VLOOKUP(H119,'StdCosts and StdRates'!$A$41:$H$86,K119,FALSE)</f>
        <v>219</v>
      </c>
      <c r="M119" s="662" cm="1">
        <f t="array" ref="M119">_xlfn.XLOOKUP(C119&amp;A119,FX!$A$2:$A$26&amp;FX!$B$2:$B$26,FX!$C$2:$C$26)</f>
        <v>1</v>
      </c>
      <c r="N119" cm="1">
        <f t="array" ref="N119">_xlfn.IFS(C119="Canada",2,C119="India",3,C119="UK",4,C119="USA",5)</f>
        <v>5</v>
      </c>
      <c r="O119" s="662">
        <f>VLOOKUP(G119,'StdCosts and StdRates'!$A$17:$E$34,N119,FALSE)*M119</f>
        <v>123</v>
      </c>
      <c r="P119"/>
      <c r="R119" s="967" t="s">
        <v>158</v>
      </c>
    </row>
    <row r="120" spans="1:18">
      <c r="A120" s="773" t="s">
        <v>308</v>
      </c>
      <c r="B120" s="773"/>
      <c r="C120" s="773" t="s">
        <v>308</v>
      </c>
      <c r="D120" s="773"/>
      <c r="E120" s="773"/>
      <c r="F120" s="773"/>
      <c r="G120" s="967" t="s">
        <v>311</v>
      </c>
      <c r="H120" s="967" t="str">
        <f t="shared" si="5"/>
        <v>Senior Project Manager or Program Manager</v>
      </c>
      <c r="I120" t="str">
        <f t="shared" si="6"/>
        <v>USASenior Project Manager or Program Manager</v>
      </c>
      <c r="J120" s="773" t="str">
        <f t="shared" si="7"/>
        <v>USAUSASenior Project Manager or Program Manager</v>
      </c>
      <c r="K120" cm="1">
        <f t="array" ref="K120">_xlfn.IFS(A120="Canada",4,A120="India",5,A120="UK",6,A120="USA",7,A120="EU",8)</f>
        <v>7</v>
      </c>
      <c r="L120" s="662">
        <f>VLOOKUP(H120,'StdCosts and StdRates'!$A$41:$H$86,K120,FALSE)</f>
        <v>259</v>
      </c>
      <c r="M120" s="662" cm="1">
        <f t="array" ref="M120">_xlfn.XLOOKUP(C120&amp;A120,FX!$A$2:$A$26&amp;FX!$B$2:$B$26,FX!$C$2:$C$26)</f>
        <v>1</v>
      </c>
      <c r="N120" cm="1">
        <f t="array" ref="N120">_xlfn.IFS(C120="Canada",2,C120="India",3,C120="UK",4,C120="USA",5)</f>
        <v>5</v>
      </c>
      <c r="O120" s="662">
        <f>VLOOKUP(G120,'StdCosts and StdRates'!$A$17:$E$34,N120,FALSE)*M120</f>
        <v>153</v>
      </c>
      <c r="P120"/>
      <c r="R120" s="967" t="s">
        <v>311</v>
      </c>
    </row>
    <row r="121" spans="1:18">
      <c r="A121" s="773" t="s">
        <v>308</v>
      </c>
      <c r="B121" s="773"/>
      <c r="C121" s="773" t="s">
        <v>308</v>
      </c>
      <c r="D121" s="773"/>
      <c r="E121" s="773"/>
      <c r="F121" s="773"/>
      <c r="G121" s="967" t="s">
        <v>381</v>
      </c>
      <c r="H121" s="967" t="str">
        <f t="shared" si="5"/>
        <v>Tester</v>
      </c>
      <c r="I121" t="str">
        <f t="shared" si="6"/>
        <v>USATester</v>
      </c>
      <c r="J121" s="773" t="str">
        <f t="shared" si="7"/>
        <v>USAUSATester</v>
      </c>
      <c r="K121" cm="1">
        <f t="array" ref="K121">_xlfn.IFS(A121="Canada",4,A121="India",5,A121="UK",6,A121="USA",7,A121="EU",8)</f>
        <v>7</v>
      </c>
      <c r="L121" s="662">
        <f>VLOOKUP(H121,'StdCosts and StdRates'!$A$41:$H$86,K121,FALSE)</f>
        <v>219</v>
      </c>
      <c r="M121" s="662" cm="1">
        <f t="array" ref="M121">_xlfn.XLOOKUP(C121&amp;A121,FX!$A$2:$A$26&amp;FX!$B$2:$B$26,FX!$C$2:$C$26)</f>
        <v>1</v>
      </c>
      <c r="N121" cm="1">
        <f t="array" ref="N121">_xlfn.IFS(C121="Canada",2,C121="India",3,C121="UK",4,C121="USA",5)</f>
        <v>5</v>
      </c>
      <c r="O121" s="662">
        <f>VLOOKUP(G121,'StdCosts and StdRates'!$A$17:$E$34,N121,FALSE)*M121</f>
        <v>92</v>
      </c>
      <c r="P121"/>
      <c r="R121" s="967" t="s">
        <v>381</v>
      </c>
    </row>
    <row r="122" spans="1:18">
      <c r="A122" s="773" t="s">
        <v>308</v>
      </c>
      <c r="B122" s="773"/>
      <c r="C122" s="773" t="s">
        <v>308</v>
      </c>
      <c r="D122" s="773"/>
      <c r="E122" s="773"/>
      <c r="F122" s="773"/>
      <c r="G122" s="967" t="s">
        <v>383</v>
      </c>
      <c r="H122" s="967" t="str">
        <f t="shared" si="5"/>
        <v>Trainer</v>
      </c>
      <c r="I122" t="str">
        <f t="shared" si="6"/>
        <v>USATrainer</v>
      </c>
      <c r="J122" s="773" t="str">
        <f t="shared" si="7"/>
        <v>USAUSATrainer</v>
      </c>
      <c r="K122" cm="1">
        <f t="array" ref="K122">_xlfn.IFS(A122="Canada",4,A122="India",5,A122="UK",6,A122="USA",7,A122="EU",8)</f>
        <v>7</v>
      </c>
      <c r="L122" s="662">
        <f>VLOOKUP(H122,'StdCosts and StdRates'!$A$41:$H$86,K122,FALSE)</f>
        <v>219</v>
      </c>
      <c r="M122" s="662" cm="1">
        <f t="array" ref="M122">_xlfn.XLOOKUP(C122&amp;A122,FX!$A$2:$A$26&amp;FX!$B$2:$B$26,FX!$C$2:$C$26)</f>
        <v>1</v>
      </c>
      <c r="N122" cm="1">
        <f t="array" ref="N122">_xlfn.IFS(C122="Canada",2,C122="India",3,C122="UK",4,C122="USA",5)</f>
        <v>5</v>
      </c>
      <c r="O122" s="662">
        <f>VLOOKUP(G122,'StdCosts and StdRates'!$A$17:$E$34,N122,FALSE)*M122</f>
        <v>104</v>
      </c>
      <c r="P122"/>
      <c r="R122" s="967" t="s">
        <v>383</v>
      </c>
    </row>
    <row r="123" spans="1:18">
      <c r="A123" s="773" t="s">
        <v>308</v>
      </c>
      <c r="B123" s="773"/>
      <c r="C123" s="773" t="s">
        <v>308</v>
      </c>
      <c r="D123" s="773"/>
      <c r="E123" s="773"/>
      <c r="F123" s="773"/>
      <c r="G123" s="967" t="s">
        <v>312</v>
      </c>
      <c r="H123" s="967" t="str">
        <f t="shared" si="5"/>
        <v>MS - Platform Analyst</v>
      </c>
      <c r="I123" t="str">
        <f t="shared" si="6"/>
        <v>USAMS - Platform Analyst</v>
      </c>
      <c r="J123" s="773" t="str">
        <f t="shared" si="7"/>
        <v>USAUSAMS - Platform Analyst</v>
      </c>
      <c r="K123" cm="1">
        <f t="array" ref="K123">_xlfn.IFS(A123="Canada",4,A123="India",5,A123="UK",6,A123="USA",7,A123="EU",8)</f>
        <v>7</v>
      </c>
      <c r="L123" s="662">
        <f>VLOOKUP(H123,'StdCosts and StdRates'!$A$41:$H$86,K123,FALSE)</f>
        <v>199</v>
      </c>
      <c r="M123" s="662" cm="1">
        <f t="array" ref="M123">_xlfn.XLOOKUP(C123&amp;A123,FX!$A$2:$A$26&amp;FX!$B$2:$B$26,FX!$C$2:$C$26)</f>
        <v>1</v>
      </c>
      <c r="N123" cm="1">
        <f t="array" ref="N123">_xlfn.IFS(C123="Canada",2,C123="India",3,C123="UK",4,C123="USA",5)</f>
        <v>5</v>
      </c>
      <c r="O123" s="662">
        <f>VLOOKUP(G123,'StdCosts and StdRates'!$A$17:$E$34,N123,FALSE)*M123</f>
        <v>123</v>
      </c>
      <c r="P123"/>
      <c r="R123" s="967" t="s">
        <v>312</v>
      </c>
    </row>
    <row r="124" spans="1:18">
      <c r="A124" s="773" t="s">
        <v>308</v>
      </c>
      <c r="B124" s="773"/>
      <c r="C124" s="773" t="s">
        <v>308</v>
      </c>
      <c r="D124" s="773"/>
      <c r="E124" s="773"/>
      <c r="F124" s="773"/>
      <c r="G124" s="967" t="s">
        <v>307</v>
      </c>
      <c r="H124" s="967" t="str">
        <f t="shared" si="5"/>
        <v>MS - Architect</v>
      </c>
      <c r="I124" t="str">
        <f t="shared" si="6"/>
        <v>USAMS - Architect</v>
      </c>
      <c r="J124" s="773" t="str">
        <f t="shared" si="7"/>
        <v>USAUSAMS - Architect</v>
      </c>
      <c r="K124" cm="1">
        <f t="array" ref="K124">_xlfn.IFS(A124="Canada",4,A124="India",5,A124="UK",6,A124="USA",7,A124="EU",8)</f>
        <v>7</v>
      </c>
      <c r="L124" s="662">
        <f>VLOOKUP(H124,'StdCosts and StdRates'!$A$41:$H$86,K124,FALSE)</f>
        <v>259</v>
      </c>
      <c r="M124" s="662" cm="1">
        <f t="array" ref="M124">_xlfn.XLOOKUP(C124&amp;A124,FX!$A$2:$A$26&amp;FX!$B$2:$B$26,FX!$C$2:$C$26)</f>
        <v>1</v>
      </c>
      <c r="N124" cm="1">
        <f t="array" ref="N124">_xlfn.IFS(C124="Canada",2,C124="India",3,C124="UK",4,C124="USA",5)</f>
        <v>5</v>
      </c>
      <c r="O124" s="662">
        <f>VLOOKUP(G124,'StdCosts and StdRates'!$A$17:$E$34,N124,FALSE)*M124</f>
        <v>178</v>
      </c>
      <c r="P124"/>
      <c r="R124" s="967" t="s">
        <v>307</v>
      </c>
    </row>
    <row r="125" spans="1:18">
      <c r="A125" s="773" t="s">
        <v>308</v>
      </c>
      <c r="B125" s="773"/>
      <c r="C125" s="773" t="s">
        <v>308</v>
      </c>
      <c r="D125" s="773"/>
      <c r="E125" s="773"/>
      <c r="F125" s="773"/>
      <c r="G125" s="967" t="s">
        <v>309</v>
      </c>
      <c r="H125" s="967" t="str">
        <f t="shared" si="5"/>
        <v>MS - Engineer</v>
      </c>
      <c r="I125" t="str">
        <f t="shared" si="6"/>
        <v>USAMS - Engineer</v>
      </c>
      <c r="J125" s="773" t="str">
        <f t="shared" si="7"/>
        <v>USAUSAMS - Engineer</v>
      </c>
      <c r="K125" cm="1">
        <f t="array" ref="K125">_xlfn.IFS(A125="Canada",4,A125="India",5,A125="UK",6,A125="USA",7,A125="EU",8)</f>
        <v>7</v>
      </c>
      <c r="L125" s="662">
        <f>VLOOKUP(H125,'StdCosts and StdRates'!$A$41:$H$86,K125,FALSE)</f>
        <v>219</v>
      </c>
      <c r="M125" s="662" cm="1">
        <f t="array" ref="M125">_xlfn.XLOOKUP(C125&amp;A125,FX!$A$2:$A$26&amp;FX!$B$2:$B$26,FX!$C$2:$C$26)</f>
        <v>1</v>
      </c>
      <c r="N125" cm="1">
        <f t="array" ref="N125">_xlfn.IFS(C125="Canada",2,C125="India",3,C125="UK",4,C125="USA",5)</f>
        <v>5</v>
      </c>
      <c r="O125" s="662">
        <f>VLOOKUP(G125,'StdCosts and StdRates'!$A$17:$E$34,N125,FALSE)*M125</f>
        <v>137</v>
      </c>
      <c r="P125"/>
      <c r="R125" s="967" t="s">
        <v>309</v>
      </c>
    </row>
    <row r="126" spans="1:18">
      <c r="A126" s="773" t="s">
        <v>308</v>
      </c>
      <c r="B126" s="773" t="s">
        <v>227</v>
      </c>
      <c r="C126" s="773" t="s">
        <v>227</v>
      </c>
      <c r="D126" s="773"/>
      <c r="E126" s="773"/>
      <c r="F126" s="773"/>
      <c r="G126" s="967" t="s">
        <v>430</v>
      </c>
      <c r="H126" s="967" t="str">
        <f t="shared" si="5"/>
        <v>IndiaAdvisor</v>
      </c>
      <c r="I126" t="str">
        <f t="shared" si="6"/>
        <v>USAIndiaAdvisor</v>
      </c>
      <c r="J126" s="773" t="str">
        <f t="shared" si="7"/>
        <v>USAIndiaAdvisor</v>
      </c>
      <c r="K126" cm="1">
        <f t="array" ref="K126">_xlfn.IFS(A126="Canada",4,A126="India",5,A126="UK",6,A126="USA",7,A126="EU",8)</f>
        <v>7</v>
      </c>
      <c r="L126" s="662" t="e">
        <f>VLOOKUP(H126,'StdCosts and StdRates'!$A$41:$H$86,K126,FALSE)</f>
        <v>#N/A</v>
      </c>
      <c r="M126" s="662" cm="1">
        <f t="array" ref="M126">_xlfn.XLOOKUP(C126&amp;A126,FX!$A$2:$A$26&amp;FX!$B$2:$B$26,FX!$C$2:$C$26)</f>
        <v>1.2019999999999999E-2</v>
      </c>
      <c r="N126" cm="1">
        <f t="array" ref="N126">_xlfn.IFS(C126="Canada",2,C126="India",3,C126="UK",4,C126="USA",5)</f>
        <v>3</v>
      </c>
      <c r="O126" s="662" t="e">
        <f>VLOOKUP(G126,'StdCosts and StdRates'!$A$17:$E$34,N126,FALSE)*M126</f>
        <v>#N/A</v>
      </c>
      <c r="P126"/>
    </row>
    <row r="127" spans="1:18">
      <c r="A127" s="773" t="s">
        <v>308</v>
      </c>
      <c r="B127" s="773" t="s">
        <v>227</v>
      </c>
      <c r="C127" s="773" t="s">
        <v>227</v>
      </c>
      <c r="D127" s="773"/>
      <c r="E127" s="773"/>
      <c r="F127" s="773"/>
      <c r="G127" s="967" t="s">
        <v>70</v>
      </c>
      <c r="H127" s="967" t="str">
        <f t="shared" si="5"/>
        <v>IndiaArchitect</v>
      </c>
      <c r="I127" t="str">
        <f t="shared" si="6"/>
        <v>USAIndiaArchitect</v>
      </c>
      <c r="J127" s="773" t="str">
        <f t="shared" si="7"/>
        <v>USAIndiaArchitect</v>
      </c>
      <c r="K127" cm="1">
        <f t="array" ref="K127">_xlfn.IFS(A127="Canada",4,A127="India",5,A127="UK",6,A127="USA",7,A127="EU",8)</f>
        <v>7</v>
      </c>
      <c r="L127" s="662" t="e">
        <f>VLOOKUP(H127,'StdCosts and StdRates'!$A$41:$H$86,K127,FALSE)</f>
        <v>#N/A</v>
      </c>
      <c r="M127" s="662" cm="1">
        <f t="array" ref="M127">_xlfn.XLOOKUP(C127&amp;A127,FX!$A$2:$A$26&amp;FX!$B$2:$B$26,FX!$C$2:$C$26)</f>
        <v>1.2019999999999999E-2</v>
      </c>
      <c r="N127" cm="1">
        <f t="array" ref="N127">_xlfn.IFS(C127="Canada",2,C127="India",3,C127="UK",4,C127="USA",5)</f>
        <v>3</v>
      </c>
      <c r="O127" s="662" t="e">
        <f>VLOOKUP(G127,'StdCosts and StdRates'!$A$17:$E$34,N127,FALSE)*M127</f>
        <v>#N/A</v>
      </c>
      <c r="P127"/>
    </row>
    <row r="128" spans="1:18">
      <c r="A128" s="773" t="s">
        <v>308</v>
      </c>
      <c r="B128" s="773" t="s">
        <v>227</v>
      </c>
      <c r="C128" s="773" t="s">
        <v>227</v>
      </c>
      <c r="D128" s="773"/>
      <c r="E128" s="773"/>
      <c r="F128" s="773"/>
      <c r="G128" s="967" t="s">
        <v>814</v>
      </c>
      <c r="H128" s="967" t="str">
        <f t="shared" si="5"/>
        <v>IndiaBusiness Process Architect</v>
      </c>
      <c r="I128" t="str">
        <f t="shared" si="6"/>
        <v>USAIndiaBusiness Process Architect</v>
      </c>
      <c r="J128" s="773" t="str">
        <f t="shared" si="7"/>
        <v>USAIndiaBusiness Process Architect</v>
      </c>
      <c r="K128" cm="1">
        <f t="array" ref="K128">_xlfn.IFS(A128="Canada",4,A128="India",5,A128="UK",6,A128="USA",7,A128="EU",8)</f>
        <v>7</v>
      </c>
      <c r="L128" s="662" t="e">
        <f>VLOOKUP(H128,'StdCosts and StdRates'!$A$41:$H$86,K128,FALSE)</f>
        <v>#N/A</v>
      </c>
      <c r="M128" s="662" cm="1">
        <f t="array" ref="M128">_xlfn.XLOOKUP(C128&amp;A128,FX!$A$2:$A$26&amp;FX!$B$2:$B$26,FX!$C$2:$C$26)</f>
        <v>1.2019999999999999E-2</v>
      </c>
      <c r="N128" cm="1">
        <f t="array" ref="N128">_xlfn.IFS(C128="Canada",2,C128="India",3,C128="UK",4,C128="USA",5)</f>
        <v>3</v>
      </c>
      <c r="O128" s="662" t="e">
        <f>VLOOKUP(G128,'StdCosts and StdRates'!$A$17:$E$34,N128,FALSE)*M128</f>
        <v>#N/A</v>
      </c>
      <c r="P128"/>
    </row>
    <row r="129" spans="1:16">
      <c r="A129" s="773" t="s">
        <v>308</v>
      </c>
      <c r="B129" s="773" t="s">
        <v>227</v>
      </c>
      <c r="C129" s="773" t="s">
        <v>227</v>
      </c>
      <c r="D129" s="773"/>
      <c r="E129" s="773"/>
      <c r="F129" s="773"/>
      <c r="G129" s="967" t="s">
        <v>382</v>
      </c>
      <c r="H129" s="967" t="str">
        <f t="shared" si="5"/>
        <v>IndiaChange Adoption Specialist</v>
      </c>
      <c r="I129" t="str">
        <f t="shared" si="6"/>
        <v>USAIndiaChange Adoption Specialist</v>
      </c>
      <c r="J129" s="773" t="str">
        <f t="shared" si="7"/>
        <v>USAIndiaChange Adoption Specialist</v>
      </c>
      <c r="K129" cm="1">
        <f t="array" ref="K129">_xlfn.IFS(A129="Canada",4,A129="India",5,A129="UK",6,A129="USA",7,A129="EU",8)</f>
        <v>7</v>
      </c>
      <c r="L129" s="662">
        <f>VLOOKUP(H129,'StdCosts and StdRates'!$A$41:$H$86,K129,FALSE)</f>
        <v>99</v>
      </c>
      <c r="M129" s="662" cm="1">
        <f t="array" ref="M129">_xlfn.XLOOKUP(C129&amp;A129,FX!$A$2:$A$26&amp;FX!$B$2:$B$26,FX!$C$2:$C$26)</f>
        <v>1.2019999999999999E-2</v>
      </c>
      <c r="N129" cm="1">
        <f t="array" ref="N129">_xlfn.IFS(C129="Canada",2,C129="India",3,C129="UK",4,C129="USA",5)</f>
        <v>3</v>
      </c>
      <c r="O129" s="662">
        <f>VLOOKUP(G129,'StdCosts and StdRates'!$A$17:$E$34,N129,FALSE)*M129</f>
        <v>23.463039999999999</v>
      </c>
      <c r="P129"/>
    </row>
    <row r="130" spans="1:16">
      <c r="A130" s="773" t="s">
        <v>308</v>
      </c>
      <c r="B130" s="773" t="s">
        <v>227</v>
      </c>
      <c r="C130" s="773" t="s">
        <v>227</v>
      </c>
      <c r="D130" s="773"/>
      <c r="E130" s="773"/>
      <c r="F130" s="773"/>
      <c r="G130" s="967" t="s">
        <v>385</v>
      </c>
      <c r="H130" s="967" t="str">
        <f t="shared" si="5"/>
        <v>IndiaContent Strategist</v>
      </c>
      <c r="I130" t="str">
        <f t="shared" si="6"/>
        <v>USAIndiaContent Strategist</v>
      </c>
      <c r="J130" s="773" t="str">
        <f t="shared" si="7"/>
        <v>USAIndiaContent Strategist</v>
      </c>
      <c r="K130" cm="1">
        <f t="array" ref="K130">_xlfn.IFS(A130="Canada",4,A130="India",5,A130="UK",6,A130="USA",7,A130="EU",8)</f>
        <v>7</v>
      </c>
      <c r="L130" s="662">
        <f>VLOOKUP(H130,'StdCosts and StdRates'!$A$41:$H$86,K130,FALSE)</f>
        <v>95</v>
      </c>
      <c r="M130" s="662" cm="1">
        <f t="array" ref="M130">_xlfn.XLOOKUP(C130&amp;A130,FX!$A$2:$A$26&amp;FX!$B$2:$B$26,FX!$C$2:$C$26)</f>
        <v>1.2019999999999999E-2</v>
      </c>
      <c r="N130" cm="1">
        <f t="array" ref="N130">_xlfn.IFS(C130="Canada",2,C130="India",3,C130="UK",4,C130="USA",5)</f>
        <v>3</v>
      </c>
      <c r="O130" s="662">
        <f>VLOOKUP(G130,'StdCosts and StdRates'!$A$17:$E$34,N130,FALSE)*M130</f>
        <v>23.463039999999999</v>
      </c>
      <c r="P130"/>
    </row>
    <row r="131" spans="1:16">
      <c r="A131" s="773" t="s">
        <v>308</v>
      </c>
      <c r="B131" s="773" t="s">
        <v>227</v>
      </c>
      <c r="C131" s="773" t="s">
        <v>227</v>
      </c>
      <c r="D131" s="773"/>
      <c r="E131" s="773"/>
      <c r="F131" s="773"/>
      <c r="G131" s="967" t="s">
        <v>737</v>
      </c>
      <c r="H131" s="967" t="str">
        <f t="shared" si="5"/>
        <v>IndiaDesigner</v>
      </c>
      <c r="I131" t="str">
        <f t="shared" si="6"/>
        <v>USAIndiaDesigner</v>
      </c>
      <c r="J131" s="773" t="str">
        <f t="shared" si="7"/>
        <v>USAIndiaDesigner</v>
      </c>
      <c r="K131" cm="1">
        <f t="array" ref="K131">_xlfn.IFS(A131="Canada",4,A131="India",5,A131="UK",6,A131="USA",7,A131="EU",8)</f>
        <v>7</v>
      </c>
      <c r="L131" s="662">
        <f>VLOOKUP(H131,'StdCosts and StdRates'!$A$41:$H$86,K131,FALSE)</f>
        <v>95</v>
      </c>
      <c r="M131" s="662" cm="1">
        <f t="array" ref="M131">_xlfn.XLOOKUP(C131&amp;A131,FX!$A$2:$A$26&amp;FX!$B$2:$B$26,FX!$C$2:$C$26)</f>
        <v>1.2019999999999999E-2</v>
      </c>
      <c r="N131" cm="1">
        <f t="array" ref="N131">_xlfn.IFS(C131="Canada",2,C131="India",3,C131="UK",4,C131="USA",5)</f>
        <v>3</v>
      </c>
      <c r="O131" s="662">
        <f>VLOOKUP(G131,'StdCosts and StdRates'!$A$17:$E$34,N131,FALSE)*M131</f>
        <v>22.72982</v>
      </c>
      <c r="P131"/>
    </row>
    <row r="132" spans="1:16">
      <c r="A132" s="773" t="s">
        <v>308</v>
      </c>
      <c r="B132" s="773" t="s">
        <v>227</v>
      </c>
      <c r="C132" s="773" t="s">
        <v>227</v>
      </c>
      <c r="D132" s="773"/>
      <c r="E132" s="773"/>
      <c r="F132" s="773"/>
      <c r="G132" s="967" t="s">
        <v>815</v>
      </c>
      <c r="H132" s="967" t="str">
        <f t="shared" si="5"/>
        <v>IndiaApplication Developer/Engineer</v>
      </c>
      <c r="I132" t="str">
        <f t="shared" si="6"/>
        <v>USAIndiaApplication Developer/Engineer</v>
      </c>
      <c r="J132" s="773" t="str">
        <f t="shared" si="7"/>
        <v>USAIndiaApplication Developer/Engineer</v>
      </c>
      <c r="K132" cm="1">
        <f t="array" ref="K132">_xlfn.IFS(A132="Canada",4,A132="India",5,A132="UK",6,A132="USA",7,A132="EU",8)</f>
        <v>7</v>
      </c>
      <c r="L132" s="662" t="e">
        <f>VLOOKUP(H132,'StdCosts and StdRates'!$A$41:$H$86,K132,FALSE)</f>
        <v>#N/A</v>
      </c>
      <c r="M132" s="662" cm="1">
        <f t="array" ref="M132">_xlfn.XLOOKUP(C132&amp;A132,FX!$A$2:$A$26&amp;FX!$B$2:$B$26,FX!$C$2:$C$26)</f>
        <v>1.2019999999999999E-2</v>
      </c>
      <c r="N132" cm="1">
        <f t="array" ref="N132">_xlfn.IFS(C132="Canada",2,C132="India",3,C132="UK",4,C132="USA",5)</f>
        <v>3</v>
      </c>
      <c r="O132" s="662" t="e">
        <f>VLOOKUP(G132,'StdCosts and StdRates'!$A$17:$E$34,N132,FALSE)*M132</f>
        <v>#N/A</v>
      </c>
      <c r="P132"/>
    </row>
    <row r="133" spans="1:16">
      <c r="A133" s="773" t="s">
        <v>308</v>
      </c>
      <c r="B133" s="773" t="s">
        <v>227</v>
      </c>
      <c r="C133" s="773" t="s">
        <v>227</v>
      </c>
      <c r="D133" s="773"/>
      <c r="E133" s="773"/>
      <c r="F133" s="773"/>
      <c r="G133" s="967" t="s">
        <v>816</v>
      </c>
      <c r="H133" s="967" t="str">
        <f t="shared" si="5"/>
        <v>IndiaSenior Application Developer/Engineer</v>
      </c>
      <c r="I133" t="str">
        <f t="shared" si="6"/>
        <v>USAIndiaSenior Application Developer/Engineer</v>
      </c>
      <c r="J133" s="773" t="str">
        <f t="shared" si="7"/>
        <v>USAIndiaSenior Application Developer/Engineer</v>
      </c>
      <c r="K133" cm="1">
        <f t="array" ref="K133">_xlfn.IFS(A133="Canada",4,A133="India",5,A133="UK",6,A133="USA",7,A133="EU",8)</f>
        <v>7</v>
      </c>
      <c r="L133" s="662" t="e">
        <f>VLOOKUP(H133,'StdCosts and StdRates'!$A$41:$H$86,K133,FALSE)</f>
        <v>#N/A</v>
      </c>
      <c r="M133" s="662" cm="1">
        <f t="array" ref="M133">_xlfn.XLOOKUP(C133&amp;A133,FX!$A$2:$A$26&amp;FX!$B$2:$B$26,FX!$C$2:$C$26)</f>
        <v>1.2019999999999999E-2</v>
      </c>
      <c r="N133" cm="1">
        <f t="array" ref="N133">_xlfn.IFS(C133="Canada",2,C133="India",3,C133="UK",4,C133="USA",5)</f>
        <v>3</v>
      </c>
      <c r="O133" s="662" t="e">
        <f>VLOOKUP(G133,'StdCosts and StdRates'!$A$17:$E$34,N133,FALSE)*M133</f>
        <v>#N/A</v>
      </c>
      <c r="P133"/>
    </row>
    <row r="134" spans="1:16">
      <c r="A134" s="773" t="s">
        <v>308</v>
      </c>
      <c r="B134" s="773" t="s">
        <v>227</v>
      </c>
      <c r="C134" s="773" t="s">
        <v>227</v>
      </c>
      <c r="D134" s="773"/>
      <c r="E134" s="773"/>
      <c r="F134" s="773"/>
      <c r="G134" s="967" t="s">
        <v>375</v>
      </c>
      <c r="H134" s="967" t="str">
        <f t="shared" si="5"/>
        <v>IndiaProject Coordinator</v>
      </c>
      <c r="I134" t="str">
        <f t="shared" si="6"/>
        <v>USAIndiaProject Coordinator</v>
      </c>
      <c r="J134" s="773" t="str">
        <f t="shared" si="7"/>
        <v>USAIndiaProject Coordinator</v>
      </c>
      <c r="K134" cm="1">
        <f t="array" ref="K134">_xlfn.IFS(A134="Canada",4,A134="India",5,A134="UK",6,A134="USA",7,A134="EU",8)</f>
        <v>7</v>
      </c>
      <c r="L134" s="662">
        <f>VLOOKUP(H134,'StdCosts and StdRates'!$A$41:$H$86,K134,FALSE)</f>
        <v>79</v>
      </c>
      <c r="M134" s="662" cm="1">
        <f t="array" ref="M134">_xlfn.XLOOKUP(C134&amp;A134,FX!$A$2:$A$26&amp;FX!$B$2:$B$26,FX!$C$2:$C$26)</f>
        <v>1.2019999999999999E-2</v>
      </c>
      <c r="N134" cm="1">
        <f t="array" ref="N134">_xlfn.IFS(C134="Canada",2,C134="India",3,C134="UK",4,C134="USA",5)</f>
        <v>3</v>
      </c>
      <c r="O134" s="662">
        <f>VLOOKUP(G134,'StdCosts and StdRates'!$A$17:$E$34,N134,FALSE)*M134</f>
        <v>14.0634</v>
      </c>
      <c r="P134"/>
    </row>
    <row r="135" spans="1:16">
      <c r="A135" s="773" t="s">
        <v>308</v>
      </c>
      <c r="B135" s="773" t="s">
        <v>227</v>
      </c>
      <c r="C135" s="773" t="s">
        <v>227</v>
      </c>
      <c r="D135" s="773"/>
      <c r="E135" s="773"/>
      <c r="F135" s="773"/>
      <c r="G135" s="967" t="s">
        <v>158</v>
      </c>
      <c r="H135" s="967" t="str">
        <f t="shared" si="5"/>
        <v>IndiaProject Manager</v>
      </c>
      <c r="I135" t="str">
        <f t="shared" si="6"/>
        <v>USAIndiaProject Manager</v>
      </c>
      <c r="J135" s="773" t="str">
        <f t="shared" si="7"/>
        <v>USAIndiaProject Manager</v>
      </c>
      <c r="K135" cm="1">
        <f t="array" ref="K135">_xlfn.IFS(A135="Canada",4,A135="India",5,A135="UK",6,A135="USA",7,A135="EU",8)</f>
        <v>7</v>
      </c>
      <c r="L135" s="662">
        <f>VLOOKUP(H135,'StdCosts and StdRates'!$A$41:$H$86,K135,FALSE)</f>
        <v>89</v>
      </c>
      <c r="M135" s="662" cm="1">
        <f t="array" ref="M135">_xlfn.XLOOKUP(C135&amp;A135,FX!$A$2:$A$26&amp;FX!$B$2:$B$26,FX!$C$2:$C$26)</f>
        <v>1.2019999999999999E-2</v>
      </c>
      <c r="N135" cm="1">
        <f t="array" ref="N135">_xlfn.IFS(C135="Canada",2,C135="India",3,C135="UK",4,C135="USA",5)</f>
        <v>3</v>
      </c>
      <c r="O135" s="662">
        <f>VLOOKUP(G135,'StdCosts and StdRates'!$A$17:$E$34,N135,FALSE)*M135</f>
        <v>23.463039999999999</v>
      </c>
      <c r="P135"/>
    </row>
    <row r="136" spans="1:16">
      <c r="A136" s="773" t="s">
        <v>308</v>
      </c>
      <c r="B136" s="773" t="s">
        <v>227</v>
      </c>
      <c r="C136" s="773" t="s">
        <v>227</v>
      </c>
      <c r="D136" s="773"/>
      <c r="E136" s="773"/>
      <c r="F136" s="773"/>
      <c r="G136" s="967" t="s">
        <v>311</v>
      </c>
      <c r="H136" s="967" t="str">
        <f t="shared" si="5"/>
        <v>IndiaSenior Project Manager or Program Manager</v>
      </c>
      <c r="I136" t="str">
        <f t="shared" si="6"/>
        <v>USAIndiaSenior Project Manager or Program Manager</v>
      </c>
      <c r="J136" s="773" t="str">
        <f t="shared" si="7"/>
        <v>USAIndiaSenior Project Manager or Program Manager</v>
      </c>
      <c r="K136" cm="1">
        <f t="array" ref="K136">_xlfn.IFS(A136="Canada",4,A136="India",5,A136="UK",6,A136="USA",7,A136="EU",8)</f>
        <v>7</v>
      </c>
      <c r="L136" s="662">
        <f>VLOOKUP(H136,'StdCosts and StdRates'!$A$41:$H$86,K136,FALSE)</f>
        <v>99</v>
      </c>
      <c r="M136" s="662" cm="1">
        <f t="array" ref="M136">_xlfn.XLOOKUP(C136&amp;A136,FX!$A$2:$A$26&amp;FX!$B$2:$B$26,FX!$C$2:$C$26)</f>
        <v>1.2019999999999999E-2</v>
      </c>
      <c r="N136" cm="1">
        <f t="array" ref="N136">_xlfn.IFS(C136="Canada",2,C136="India",3,C136="UK",4,C136="USA",5)</f>
        <v>3</v>
      </c>
      <c r="O136" s="662">
        <f>VLOOKUP(G136,'StdCosts and StdRates'!$A$17:$E$34,N136,FALSE)*M136</f>
        <v>38.764499999999998</v>
      </c>
      <c r="P136"/>
    </row>
    <row r="137" spans="1:16">
      <c r="A137" s="773" t="s">
        <v>308</v>
      </c>
      <c r="B137" s="773" t="s">
        <v>227</v>
      </c>
      <c r="C137" s="773" t="s">
        <v>227</v>
      </c>
      <c r="D137" s="773"/>
      <c r="E137" s="773"/>
      <c r="F137" s="773"/>
      <c r="G137" s="967" t="s">
        <v>381</v>
      </c>
      <c r="H137" s="967" t="str">
        <f t="shared" si="5"/>
        <v>IndiaTester</v>
      </c>
      <c r="I137" t="str">
        <f t="shared" si="6"/>
        <v>USAIndiaTester</v>
      </c>
      <c r="J137" s="773" t="str">
        <f t="shared" si="7"/>
        <v>USAIndiaTester</v>
      </c>
      <c r="K137" cm="1">
        <f t="array" ref="K137">_xlfn.IFS(A137="Canada",4,A137="India",5,A137="UK",6,A137="USA",7,A137="EU",8)</f>
        <v>7</v>
      </c>
      <c r="L137" s="662">
        <f>VLOOKUP(H137,'StdCosts and StdRates'!$A$41:$H$86,K137,FALSE)</f>
        <v>89</v>
      </c>
      <c r="M137" s="662" cm="1">
        <f t="array" ref="M137">_xlfn.XLOOKUP(C137&amp;A137,FX!$A$2:$A$26&amp;FX!$B$2:$B$26,FX!$C$2:$C$26)</f>
        <v>1.2019999999999999E-2</v>
      </c>
      <c r="N137" cm="1">
        <f t="array" ref="N137">_xlfn.IFS(C137="Canada",2,C137="India",3,C137="UK",4,C137="USA",5)</f>
        <v>3</v>
      </c>
      <c r="O137" s="662">
        <f>VLOOKUP(G137,'StdCosts and StdRates'!$A$17:$E$34,N137,FALSE)*M137</f>
        <v>17.044359999999998</v>
      </c>
      <c r="P137"/>
    </row>
    <row r="138" spans="1:16">
      <c r="A138" s="773" t="s">
        <v>308</v>
      </c>
      <c r="B138" s="773" t="s">
        <v>227</v>
      </c>
      <c r="C138" s="773" t="s">
        <v>227</v>
      </c>
      <c r="D138" s="773"/>
      <c r="E138" s="773"/>
      <c r="F138" s="773"/>
      <c r="G138" s="967" t="s">
        <v>383</v>
      </c>
      <c r="H138" s="967" t="str">
        <f t="shared" si="5"/>
        <v>IndiaTrainer</v>
      </c>
      <c r="I138" t="str">
        <f t="shared" si="6"/>
        <v>USAIndiaTrainer</v>
      </c>
      <c r="J138" s="773" t="str">
        <f t="shared" si="7"/>
        <v>USAIndiaTrainer</v>
      </c>
      <c r="K138" cm="1">
        <f t="array" ref="K138">_xlfn.IFS(A138="Canada",4,A138="India",5,A138="UK",6,A138="USA",7,A138="EU",8)</f>
        <v>7</v>
      </c>
      <c r="L138" s="662">
        <f>VLOOKUP(H138,'StdCosts and StdRates'!$A$41:$H$86,K138,FALSE)</f>
        <v>89</v>
      </c>
      <c r="M138" s="662" cm="1">
        <f t="array" ref="M138">_xlfn.XLOOKUP(C138&amp;A138,FX!$A$2:$A$26&amp;FX!$B$2:$B$26,FX!$C$2:$C$26)</f>
        <v>1.2019999999999999E-2</v>
      </c>
      <c r="N138" cm="1">
        <f t="array" ref="N138">_xlfn.IFS(C138="Canada",2,C138="India",3,C138="UK",4,C138="USA",5)</f>
        <v>3</v>
      </c>
      <c r="O138" s="662">
        <f>VLOOKUP(G138,'StdCosts and StdRates'!$A$17:$E$34,N138,FALSE)*M138</f>
        <v>23.463039999999999</v>
      </c>
      <c r="P138"/>
    </row>
    <row r="139" spans="1:16">
      <c r="A139" s="773" t="s">
        <v>308</v>
      </c>
      <c r="B139" s="773" t="s">
        <v>227</v>
      </c>
      <c r="C139" s="773" t="s">
        <v>227</v>
      </c>
      <c r="D139" s="773"/>
      <c r="E139" s="773"/>
      <c r="F139" s="773"/>
      <c r="G139" s="967" t="s">
        <v>312</v>
      </c>
      <c r="H139" s="967" t="str">
        <f t="shared" si="5"/>
        <v>IndiaMS - Platform Analyst</v>
      </c>
      <c r="I139" t="str">
        <f t="shared" si="6"/>
        <v>USAIndiaMS - Platform Analyst</v>
      </c>
      <c r="J139" s="773" t="str">
        <f t="shared" si="7"/>
        <v>USAIndiaMS - Platform Analyst</v>
      </c>
      <c r="K139" cm="1">
        <f t="array" ref="K139">_xlfn.IFS(A139="Canada",4,A139="India",5,A139="UK",6,A139="USA",7,A139="EU",8)</f>
        <v>7</v>
      </c>
      <c r="L139" s="662">
        <f>VLOOKUP(H139,'StdCosts and StdRates'!$A$41:$H$86,K139,FALSE)</f>
        <v>79</v>
      </c>
      <c r="M139" s="662" cm="1">
        <f t="array" ref="M139">_xlfn.XLOOKUP(C139&amp;A139,FX!$A$2:$A$26&amp;FX!$B$2:$B$26,FX!$C$2:$C$26)</f>
        <v>1.2019999999999999E-2</v>
      </c>
      <c r="N139" cm="1">
        <f t="array" ref="N139">_xlfn.IFS(C139="Canada",2,C139="India",3,C139="UK",4,C139="USA",5)</f>
        <v>3</v>
      </c>
      <c r="O139" s="662">
        <f>VLOOKUP(G139,'StdCosts and StdRates'!$A$17:$E$34,N139,FALSE)*M139</f>
        <v>14.25572</v>
      </c>
      <c r="P139"/>
    </row>
    <row r="140" spans="1:16">
      <c r="A140" s="773" t="s">
        <v>308</v>
      </c>
      <c r="B140" s="773" t="s">
        <v>227</v>
      </c>
      <c r="C140" s="773" t="s">
        <v>227</v>
      </c>
      <c r="D140" s="773"/>
      <c r="E140" s="773"/>
      <c r="F140" s="773"/>
      <c r="G140" s="967" t="s">
        <v>307</v>
      </c>
      <c r="H140" s="967" t="str">
        <f t="shared" si="5"/>
        <v>IndiaMS - Architect</v>
      </c>
      <c r="I140" t="str">
        <f t="shared" si="6"/>
        <v>USAIndiaMS - Architect</v>
      </c>
      <c r="J140" s="773" t="str">
        <f t="shared" si="7"/>
        <v>USAIndiaMS - Architect</v>
      </c>
      <c r="K140" cm="1">
        <f t="array" ref="K140">_xlfn.IFS(A140="Canada",4,A140="India",5,A140="UK",6,A140="USA",7,A140="EU",8)</f>
        <v>7</v>
      </c>
      <c r="L140" s="662">
        <f>VLOOKUP(H140,'StdCosts and StdRates'!$A$41:$H$86,K140,FALSE)</f>
        <v>99</v>
      </c>
      <c r="M140" s="662" cm="1">
        <f t="array" ref="M140">_xlfn.XLOOKUP(C140&amp;A140,FX!$A$2:$A$26&amp;FX!$B$2:$B$26,FX!$C$2:$C$26)</f>
        <v>1.2019999999999999E-2</v>
      </c>
      <c r="N140" cm="1">
        <f t="array" ref="N140">_xlfn.IFS(C140="Canada",2,C140="India",3,C140="UK",4,C140="USA",5)</f>
        <v>3</v>
      </c>
      <c r="O140" s="662">
        <f>VLOOKUP(G140,'StdCosts and StdRates'!$A$17:$E$34,N140,FALSE)*M140</f>
        <v>37.790880000000001</v>
      </c>
      <c r="P140"/>
    </row>
    <row r="141" spans="1:16">
      <c r="A141" s="773" t="s">
        <v>308</v>
      </c>
      <c r="B141" s="773" t="s">
        <v>227</v>
      </c>
      <c r="C141" s="773" t="s">
        <v>227</v>
      </c>
      <c r="D141" s="773"/>
      <c r="E141" s="773"/>
      <c r="F141" s="773"/>
      <c r="G141" s="967" t="s">
        <v>309</v>
      </c>
      <c r="H141" s="967" t="str">
        <f t="shared" si="5"/>
        <v>IndiaMS - Engineer</v>
      </c>
      <c r="I141" t="str">
        <f t="shared" si="6"/>
        <v>USAIndiaMS - Engineer</v>
      </c>
      <c r="J141" s="773" t="str">
        <f t="shared" si="7"/>
        <v>USAIndiaMS - Engineer</v>
      </c>
      <c r="K141" cm="1">
        <f t="array" ref="K141">_xlfn.IFS(A141="Canada",4,A141="India",5,A141="UK",6,A141="USA",7,A141="EU",8)</f>
        <v>7</v>
      </c>
      <c r="L141" s="662">
        <f>VLOOKUP(H141,'StdCosts and StdRates'!$A$41:$H$86,K141,FALSE)</f>
        <v>89</v>
      </c>
      <c r="M141" s="662" cm="1">
        <f t="array" ref="M141">_xlfn.XLOOKUP(C141&amp;A141,FX!$A$2:$A$26&amp;FX!$B$2:$B$26,FX!$C$2:$C$26)</f>
        <v>1.2019999999999999E-2</v>
      </c>
      <c r="N141" cm="1">
        <f t="array" ref="N141">_xlfn.IFS(C141="Canada",2,C141="India",3,C141="UK",4,C141="USA",5)</f>
        <v>3</v>
      </c>
      <c r="O141" s="662">
        <f>VLOOKUP(G141,'StdCosts and StdRates'!$A$17:$E$34,N141,FALSE)*M141</f>
        <v>25.470379999999999</v>
      </c>
      <c r="P141"/>
    </row>
    <row r="142" spans="1:16">
      <c r="A142" t="s">
        <v>247</v>
      </c>
      <c r="B142"/>
      <c r="C142" s="773" t="s">
        <v>308</v>
      </c>
      <c r="D142"/>
      <c r="E142"/>
      <c r="F142"/>
      <c r="G142" s="967" t="s">
        <v>70</v>
      </c>
      <c r="H142"/>
      <c r="I142" t="str">
        <f t="shared" si="6"/>
        <v>UKArchitect</v>
      </c>
      <c r="J142" t="str">
        <f t="shared" ref="J142" si="8">A142&amp;C142&amp;D142&amp;E142&amp;F142</f>
        <v>UKUSA</v>
      </c>
      <c r="K142" cm="1">
        <f t="array" ref="K142">_xlfn.IFS(A142="Canada",4,A142="India",5,A142="UK",6,A142="USA",7,A142="EU",8)</f>
        <v>6</v>
      </c>
      <c r="L142" s="662" t="e">
        <f>VLOOKUP(H142,'StdCosts and StdRates'!$A$41:$H$86,K142,FALSE)</f>
        <v>#N/A</v>
      </c>
      <c r="M142" s="711" cm="1">
        <f t="array" ref="M142">_xlfn.XLOOKUP(C142&amp;A142,FX!$A$2:$A$26&amp;FX!$B$2:$B$26,FX!$C$2:$C$26)</f>
        <v>0.78280000000000005</v>
      </c>
      <c r="N142" s="711" cm="1">
        <f t="array" ref="N142">_xlfn.IFS(C142="Canada",2,C142="India",3,C142="UK",4,C142="USA",5)</f>
        <v>5</v>
      </c>
      <c r="O142" s="711"/>
      <c r="P142"/>
    </row>
    <row r="143" spans="1:16">
      <c r="A143" s="773" t="s">
        <v>227</v>
      </c>
      <c r="B143" s="773" t="s">
        <v>227</v>
      </c>
      <c r="C143" s="773" t="s">
        <v>227</v>
      </c>
      <c r="D143" s="773"/>
      <c r="E143" s="773"/>
      <c r="F143" s="773"/>
      <c r="G143" s="967" t="s">
        <v>70</v>
      </c>
      <c r="H143" s="967" t="str">
        <f t="shared" ref="H143:H144" si="9">B143&amp;G143</f>
        <v>IndiaArchitect</v>
      </c>
      <c r="I143" t="str">
        <f t="shared" si="6"/>
        <v>IndiaIndiaArchitect</v>
      </c>
      <c r="J143" s="773" t="str">
        <f t="shared" ref="J143:J144" si="10">A143&amp;C143&amp;D143&amp;E143&amp;F143&amp;G143</f>
        <v>IndiaIndiaArchitect</v>
      </c>
      <c r="K143" cm="1">
        <f t="array" ref="K143">_xlfn.IFS(A143="Canada",4,A143="India",5,A143="UK",6,A143="USA",7,A143="EU",8)</f>
        <v>5</v>
      </c>
      <c r="L143" s="662" t="e">
        <f>VLOOKUP(H143,'StdCosts and StdRates'!$A$41:$H$86,K143,FALSE)</f>
        <v>#N/A</v>
      </c>
      <c r="M143" s="662" cm="1">
        <f t="array" ref="M143">_xlfn.XLOOKUP(C143&amp;A143,FX!$A$2:$A$26&amp;FX!$B$2:$B$26,FX!$C$2:$C$26)</f>
        <v>1</v>
      </c>
      <c r="N143" cm="1">
        <f t="array" ref="N143">_xlfn.IFS(C143="Canada",2,C143="India",3,C143="UK",4,C143="USA",5)</f>
        <v>3</v>
      </c>
      <c r="O143" s="662" t="e">
        <f>VLOOKUP(G143,'StdCosts and StdRates'!$A$17:$E$34,N143,FALSE)*M143</f>
        <v>#N/A</v>
      </c>
      <c r="P143"/>
    </row>
    <row r="144" spans="1:16">
      <c r="A144" s="773" t="s">
        <v>736</v>
      </c>
      <c r="B144" s="773"/>
      <c r="C144" s="773" t="s">
        <v>308</v>
      </c>
      <c r="D144" s="773"/>
      <c r="E144" s="773"/>
      <c r="F144" s="773"/>
      <c r="G144" s="967" t="s">
        <v>430</v>
      </c>
      <c r="H144" s="967" t="str">
        <f t="shared" si="9"/>
        <v>Advisor</v>
      </c>
      <c r="I144" t="str">
        <f t="shared" si="6"/>
        <v>EUAdvisor</v>
      </c>
      <c r="J144" s="773" t="str">
        <f t="shared" si="10"/>
        <v>EUUSAAdvisor</v>
      </c>
      <c r="K144" cm="1">
        <f t="array" ref="K144">_xlfn.IFS(A144="Canada",4,A144="India",5,A144="UK",6,A144="USA",7,A144="EU",8)</f>
        <v>8</v>
      </c>
      <c r="L144" s="662" t="e">
        <f>VLOOKUP(H144,'StdCosts and StdRates'!$A$41:$H$86,K144,FALSE)</f>
        <v>#N/A</v>
      </c>
      <c r="M144" s="662" cm="1">
        <f t="array" ref="M144">_xlfn.XLOOKUP(C144&amp;A144,FX!$A$2:$A$26&amp;FX!$B$2:$B$26,FX!$C$2:$C$26)</f>
        <v>0.91986999999999997</v>
      </c>
      <c r="N144" cm="1">
        <f t="array" ref="N144">_xlfn.IFS(C144="Canada",2,C144="India",3,C144="UK",4,C144="USA",5)</f>
        <v>5</v>
      </c>
      <c r="O144" s="662" t="e">
        <f>VLOOKUP(G144,'StdCosts and StdRates'!$A$17:$E$34,N144,FALSE)*M144</f>
        <v>#N/A</v>
      </c>
      <c r="P144"/>
    </row>
    <row r="145" spans="1:16">
      <c r="A145" t="s">
        <v>247</v>
      </c>
      <c r="B145"/>
      <c r="C145"/>
      <c r="D145" t="s">
        <v>750</v>
      </c>
      <c r="E145" t="s">
        <v>764</v>
      </c>
      <c r="F145" t="s">
        <v>358</v>
      </c>
      <c r="G145"/>
      <c r="H145"/>
      <c r="I145" t="str">
        <f t="shared" si="6"/>
        <v>UKAdvisoryChange ManagementD - Lead</v>
      </c>
      <c r="J145" t="str">
        <f t="shared" ref="J145:J210" si="11">A145&amp;C145&amp;D145&amp;E145&amp;F145</f>
        <v>UKAdvisoryChange ManagementD - Lead</v>
      </c>
      <c r="K145" s="711"/>
      <c r="L145" s="711">
        <v>169</v>
      </c>
      <c r="M145" s="711"/>
      <c r="N145" s="711"/>
      <c r="O145" s="711"/>
      <c r="P145"/>
    </row>
    <row r="146" spans="1:16">
      <c r="A146" t="s">
        <v>247</v>
      </c>
      <c r="B146"/>
      <c r="C146"/>
      <c r="D146" t="s">
        <v>750</v>
      </c>
      <c r="E146" t="s">
        <v>784</v>
      </c>
      <c r="F146" t="s">
        <v>355</v>
      </c>
      <c r="G146"/>
      <c r="H146"/>
      <c r="I146" t="str">
        <f t="shared" si="6"/>
        <v>UKAdvisoryStrategyC - Senior</v>
      </c>
      <c r="J146" t="str">
        <f t="shared" si="11"/>
        <v>UKAdvisoryStrategyC - Senior</v>
      </c>
      <c r="K146" s="711"/>
      <c r="L146" s="711">
        <v>185</v>
      </c>
      <c r="M146" s="711"/>
      <c r="N146" s="711"/>
      <c r="O146" s="711"/>
      <c r="P146"/>
    </row>
    <row r="147" spans="1:16">
      <c r="A147" t="s">
        <v>247</v>
      </c>
      <c r="B147"/>
      <c r="C147"/>
      <c r="D147" t="s">
        <v>750</v>
      </c>
      <c r="E147" t="s">
        <v>784</v>
      </c>
      <c r="F147" t="s">
        <v>358</v>
      </c>
      <c r="G147"/>
      <c r="H147"/>
      <c r="I147" t="str">
        <f t="shared" si="6"/>
        <v>UKAdvisoryStrategyD - Lead</v>
      </c>
      <c r="J147" t="str">
        <f t="shared" si="11"/>
        <v>UKAdvisoryStrategyD - Lead</v>
      </c>
      <c r="K147" s="711"/>
      <c r="L147" s="711">
        <v>219</v>
      </c>
      <c r="M147" s="711"/>
      <c r="N147" s="711"/>
      <c r="O147" s="711"/>
      <c r="P147"/>
    </row>
    <row r="148" spans="1:16">
      <c r="A148" t="s">
        <v>247</v>
      </c>
      <c r="B148"/>
      <c r="C148"/>
      <c r="D148" t="s">
        <v>750</v>
      </c>
      <c r="E148" t="s">
        <v>784</v>
      </c>
      <c r="F148" t="s">
        <v>772</v>
      </c>
      <c r="G148"/>
      <c r="H148"/>
      <c r="I148" t="str">
        <f t="shared" si="6"/>
        <v>UKAdvisoryStrategyE - Principal</v>
      </c>
      <c r="J148" t="str">
        <f t="shared" si="11"/>
        <v>UKAdvisoryStrategyE - Principal</v>
      </c>
      <c r="K148" s="711"/>
      <c r="L148" s="711">
        <v>225</v>
      </c>
      <c r="M148" s="711"/>
      <c r="N148" s="711"/>
      <c r="O148" s="711"/>
      <c r="P148"/>
    </row>
    <row r="149" spans="1:16">
      <c r="A149" t="s">
        <v>247</v>
      </c>
      <c r="B149"/>
      <c r="C149"/>
      <c r="D149" t="s">
        <v>750</v>
      </c>
      <c r="E149" t="s">
        <v>784</v>
      </c>
      <c r="F149" t="s">
        <v>775</v>
      </c>
      <c r="G149"/>
      <c r="H149"/>
      <c r="I149" t="str">
        <f t="shared" si="6"/>
        <v>UKAdvisoryStrategyF - Chief</v>
      </c>
      <c r="J149" t="str">
        <f t="shared" si="11"/>
        <v>UKAdvisoryStrategyF - Chief</v>
      </c>
      <c r="K149" s="711"/>
      <c r="L149" s="711">
        <v>255</v>
      </c>
      <c r="M149" s="711"/>
      <c r="N149" s="711"/>
      <c r="O149" s="711"/>
      <c r="P149"/>
    </row>
    <row r="150" spans="1:16">
      <c r="A150" t="s">
        <v>247</v>
      </c>
      <c r="B150"/>
      <c r="C150"/>
      <c r="D150" t="s">
        <v>404</v>
      </c>
      <c r="E150"/>
      <c r="F150" t="s">
        <v>753</v>
      </c>
      <c r="G150"/>
      <c r="H150"/>
      <c r="I150" t="str">
        <f t="shared" si="6"/>
        <v>UKCustomerA - Associate</v>
      </c>
      <c r="J150" t="str">
        <f t="shared" si="11"/>
        <v>UKCustomerA - Associate</v>
      </c>
      <c r="K150" s="711"/>
      <c r="L150" s="711">
        <v>135</v>
      </c>
      <c r="M150" s="711"/>
      <c r="N150" s="711"/>
      <c r="O150" s="711"/>
      <c r="P150" s="711">
        <v>85</v>
      </c>
    </row>
    <row r="151" spans="1:16">
      <c r="A151" t="s">
        <v>247</v>
      </c>
      <c r="B151"/>
      <c r="C151"/>
      <c r="D151" t="s">
        <v>404</v>
      </c>
      <c r="E151"/>
      <c r="F151" t="s">
        <v>352</v>
      </c>
      <c r="G151"/>
      <c r="H151"/>
      <c r="I151" t="str">
        <f t="shared" si="6"/>
        <v>UKCustomerB - Staff</v>
      </c>
      <c r="J151" t="str">
        <f t="shared" si="11"/>
        <v>UKCustomerB - Staff</v>
      </c>
      <c r="K151" s="711"/>
      <c r="L151" s="711">
        <v>135</v>
      </c>
      <c r="M151" s="711"/>
      <c r="N151" s="711"/>
      <c r="O151" s="711"/>
      <c r="P151"/>
    </row>
    <row r="152" spans="1:16">
      <c r="A152" t="s">
        <v>247</v>
      </c>
      <c r="B152"/>
      <c r="C152"/>
      <c r="D152" t="s">
        <v>404</v>
      </c>
      <c r="E152"/>
      <c r="F152" t="s">
        <v>355</v>
      </c>
      <c r="G152"/>
      <c r="H152"/>
      <c r="I152" t="str">
        <f t="shared" si="6"/>
        <v>UKCustomerC - Senior</v>
      </c>
      <c r="J152" t="str">
        <f t="shared" si="11"/>
        <v>UKCustomerC - Senior</v>
      </c>
      <c r="K152" s="711"/>
      <c r="L152" s="711">
        <v>155</v>
      </c>
      <c r="M152" s="711"/>
      <c r="N152" s="711"/>
      <c r="O152" s="711"/>
      <c r="P152"/>
    </row>
    <row r="153" spans="1:16">
      <c r="A153" t="s">
        <v>247</v>
      </c>
      <c r="B153"/>
      <c r="C153"/>
      <c r="D153" t="s">
        <v>404</v>
      </c>
      <c r="E153"/>
      <c r="F153" t="s">
        <v>358</v>
      </c>
      <c r="G153"/>
      <c r="H153"/>
      <c r="I153" t="str">
        <f t="shared" si="6"/>
        <v>UKCustomerD - Lead</v>
      </c>
      <c r="J153" t="str">
        <f t="shared" si="11"/>
        <v>UKCustomerD - Lead</v>
      </c>
      <c r="K153" s="711"/>
      <c r="L153" s="711">
        <v>185</v>
      </c>
      <c r="M153" s="711"/>
      <c r="N153" s="711"/>
      <c r="O153" s="711"/>
      <c r="P153"/>
    </row>
    <row r="154" spans="1:16">
      <c r="A154" t="s">
        <v>247</v>
      </c>
      <c r="B154"/>
      <c r="C154"/>
      <c r="D154" t="s">
        <v>404</v>
      </c>
      <c r="E154"/>
      <c r="F154" t="s">
        <v>772</v>
      </c>
      <c r="G154"/>
      <c r="H154"/>
      <c r="I154" t="str">
        <f t="shared" si="6"/>
        <v>UKCustomerE - Principal</v>
      </c>
      <c r="J154" t="str">
        <f t="shared" si="11"/>
        <v>UKCustomerE - Principal</v>
      </c>
      <c r="K154" s="711"/>
      <c r="L154" s="711">
        <v>189</v>
      </c>
      <c r="M154" s="711"/>
      <c r="N154" s="711"/>
      <c r="O154" s="711"/>
      <c r="P154"/>
    </row>
    <row r="155" spans="1:16">
      <c r="A155" t="s">
        <v>247</v>
      </c>
      <c r="B155"/>
      <c r="C155"/>
      <c r="D155" t="s">
        <v>404</v>
      </c>
      <c r="E155"/>
      <c r="F155" t="s">
        <v>775</v>
      </c>
      <c r="G155"/>
      <c r="H155"/>
      <c r="I155" t="str">
        <f t="shared" si="6"/>
        <v>UKCustomerF - Chief</v>
      </c>
      <c r="J155" t="str">
        <f t="shared" si="11"/>
        <v>UKCustomerF - Chief</v>
      </c>
      <c r="K155" s="711"/>
      <c r="L155" s="711">
        <v>219</v>
      </c>
      <c r="M155" s="711"/>
      <c r="N155" s="711"/>
      <c r="O155" s="711"/>
      <c r="P155"/>
    </row>
    <row r="156" spans="1:16">
      <c r="A156" t="s">
        <v>247</v>
      </c>
      <c r="B156"/>
      <c r="C156"/>
      <c r="D156" t="s">
        <v>761</v>
      </c>
      <c r="E156"/>
      <c r="F156" t="s">
        <v>753</v>
      </c>
      <c r="G156"/>
      <c r="H156"/>
      <c r="I156" t="str">
        <f t="shared" si="6"/>
        <v>UKEmployeeA - Associate</v>
      </c>
      <c r="J156" t="str">
        <f t="shared" si="11"/>
        <v>UKEmployeeA - Associate</v>
      </c>
      <c r="K156" s="711"/>
      <c r="L156" s="711">
        <v>135</v>
      </c>
      <c r="M156" s="711"/>
      <c r="N156" s="711"/>
      <c r="O156" s="711"/>
      <c r="P156" s="711">
        <v>85</v>
      </c>
    </row>
    <row r="157" spans="1:16">
      <c r="A157" t="s">
        <v>247</v>
      </c>
      <c r="B157"/>
      <c r="C157"/>
      <c r="D157" t="s">
        <v>761</v>
      </c>
      <c r="E157"/>
      <c r="F157" t="s">
        <v>352</v>
      </c>
      <c r="G157"/>
      <c r="H157"/>
      <c r="I157" t="str">
        <f t="shared" si="6"/>
        <v>UKEmployeeB - Staff</v>
      </c>
      <c r="J157" t="str">
        <f t="shared" si="11"/>
        <v>UKEmployeeB - Staff</v>
      </c>
      <c r="K157" s="711"/>
      <c r="L157" s="711">
        <v>135</v>
      </c>
      <c r="M157" s="711"/>
      <c r="N157" s="711"/>
      <c r="O157" s="711"/>
      <c r="P157"/>
    </row>
    <row r="158" spans="1:16">
      <c r="A158" t="s">
        <v>247</v>
      </c>
      <c r="B158"/>
      <c r="C158"/>
      <c r="D158" t="s">
        <v>761</v>
      </c>
      <c r="E158"/>
      <c r="F158" t="s">
        <v>355</v>
      </c>
      <c r="G158"/>
      <c r="H158"/>
      <c r="I158" t="str">
        <f t="shared" si="6"/>
        <v>UKEmployeeC - Senior</v>
      </c>
      <c r="J158" t="str">
        <f t="shared" si="11"/>
        <v>UKEmployeeC - Senior</v>
      </c>
      <c r="K158" s="711"/>
      <c r="L158" s="711">
        <v>155</v>
      </c>
      <c r="M158" s="711"/>
      <c r="N158" s="711"/>
      <c r="O158" s="711"/>
      <c r="P158"/>
    </row>
    <row r="159" spans="1:16">
      <c r="A159" t="s">
        <v>247</v>
      </c>
      <c r="B159"/>
      <c r="C159"/>
      <c r="D159" t="s">
        <v>761</v>
      </c>
      <c r="E159"/>
      <c r="F159" t="s">
        <v>358</v>
      </c>
      <c r="G159"/>
      <c r="H159"/>
      <c r="I159" t="str">
        <f t="shared" si="6"/>
        <v>UKEmployeeD - Lead</v>
      </c>
      <c r="J159" t="str">
        <f t="shared" si="11"/>
        <v>UKEmployeeD - Lead</v>
      </c>
      <c r="K159" s="711"/>
      <c r="L159" s="711">
        <v>185</v>
      </c>
      <c r="M159" s="711"/>
      <c r="N159" s="711"/>
      <c r="O159" s="711"/>
      <c r="P159"/>
    </row>
    <row r="160" spans="1:16">
      <c r="A160" t="s">
        <v>247</v>
      </c>
      <c r="B160"/>
      <c r="C160"/>
      <c r="D160" t="s">
        <v>761</v>
      </c>
      <c r="E160"/>
      <c r="F160" t="s">
        <v>772</v>
      </c>
      <c r="G160"/>
      <c r="H160"/>
      <c r="I160" t="str">
        <f t="shared" si="6"/>
        <v>UKEmployeeE - Principal</v>
      </c>
      <c r="J160" t="str">
        <f t="shared" si="11"/>
        <v>UKEmployeeE - Principal</v>
      </c>
      <c r="K160" s="711"/>
      <c r="L160" s="711">
        <v>189</v>
      </c>
      <c r="M160" s="711"/>
      <c r="N160" s="711"/>
      <c r="O160" s="711"/>
      <c r="P160"/>
    </row>
    <row r="161" spans="1:16">
      <c r="A161" t="s">
        <v>247</v>
      </c>
      <c r="B161"/>
      <c r="C161"/>
      <c r="D161" t="s">
        <v>761</v>
      </c>
      <c r="E161"/>
      <c r="F161" t="s">
        <v>775</v>
      </c>
      <c r="G161"/>
      <c r="H161"/>
      <c r="I161" t="str">
        <f t="shared" si="6"/>
        <v>UKEmployeeF - Chief</v>
      </c>
      <c r="J161" t="str">
        <f t="shared" si="11"/>
        <v>UKEmployeeF - Chief</v>
      </c>
      <c r="K161" s="711"/>
      <c r="L161" s="711">
        <v>219</v>
      </c>
      <c r="M161" s="711"/>
      <c r="N161" s="711"/>
      <c r="O161" s="711"/>
      <c r="P161"/>
    </row>
    <row r="162" spans="1:16">
      <c r="A162" t="s">
        <v>247</v>
      </c>
      <c r="B162"/>
      <c r="C162"/>
      <c r="D162" t="s">
        <v>425</v>
      </c>
      <c r="E162"/>
      <c r="F162" t="s">
        <v>753</v>
      </c>
      <c r="G162"/>
      <c r="H162"/>
      <c r="I162" t="str">
        <f t="shared" si="6"/>
        <v>UKExperienceA - Associate</v>
      </c>
      <c r="J162" t="str">
        <f t="shared" si="11"/>
        <v>UKExperienceA - Associate</v>
      </c>
      <c r="K162" s="711"/>
      <c r="L162" s="711">
        <v>145</v>
      </c>
      <c r="M162" s="711"/>
      <c r="N162" s="711"/>
      <c r="O162" s="711"/>
      <c r="P162" s="711">
        <v>95</v>
      </c>
    </row>
    <row r="163" spans="1:16">
      <c r="A163" t="s">
        <v>247</v>
      </c>
      <c r="B163"/>
      <c r="C163"/>
      <c r="D163" t="s">
        <v>425</v>
      </c>
      <c r="E163"/>
      <c r="F163" t="s">
        <v>352</v>
      </c>
      <c r="G163"/>
      <c r="H163"/>
      <c r="I163" t="str">
        <f t="shared" si="6"/>
        <v>UKExperienceB - Staff</v>
      </c>
      <c r="J163" t="str">
        <f t="shared" si="11"/>
        <v>UKExperienceB - Staff</v>
      </c>
      <c r="K163" s="711"/>
      <c r="L163" s="711">
        <v>145</v>
      </c>
      <c r="M163" s="711"/>
      <c r="N163" s="711"/>
      <c r="O163" s="711"/>
      <c r="P163"/>
    </row>
    <row r="164" spans="1:16">
      <c r="A164" t="s">
        <v>247</v>
      </c>
      <c r="B164"/>
      <c r="C164"/>
      <c r="D164" t="s">
        <v>425</v>
      </c>
      <c r="E164"/>
      <c r="F164" t="s">
        <v>355</v>
      </c>
      <c r="G164"/>
      <c r="H164"/>
      <c r="I164" t="str">
        <f t="shared" si="6"/>
        <v>UKExperienceC - Senior</v>
      </c>
      <c r="J164" t="str">
        <f t="shared" si="11"/>
        <v>UKExperienceC - Senior</v>
      </c>
      <c r="K164" s="711"/>
      <c r="L164" s="711">
        <v>185</v>
      </c>
      <c r="M164" s="711"/>
      <c r="N164" s="711"/>
      <c r="O164" s="711"/>
      <c r="P164"/>
    </row>
    <row r="165" spans="1:16">
      <c r="A165" t="s">
        <v>247</v>
      </c>
      <c r="B165"/>
      <c r="C165"/>
      <c r="D165" t="s">
        <v>425</v>
      </c>
      <c r="E165"/>
      <c r="F165" t="s">
        <v>358</v>
      </c>
      <c r="G165"/>
      <c r="H165"/>
      <c r="I165" t="str">
        <f t="shared" si="6"/>
        <v>UKExperienceD - Lead</v>
      </c>
      <c r="J165" t="str">
        <f t="shared" si="11"/>
        <v>UKExperienceD - Lead</v>
      </c>
      <c r="K165" s="711"/>
      <c r="L165" s="711">
        <v>219</v>
      </c>
      <c r="M165" s="711"/>
      <c r="N165" s="711"/>
      <c r="O165" s="711"/>
      <c r="P165"/>
    </row>
    <row r="166" spans="1:16">
      <c r="A166" t="s">
        <v>247</v>
      </c>
      <c r="B166"/>
      <c r="C166"/>
      <c r="D166" t="s">
        <v>425</v>
      </c>
      <c r="E166"/>
      <c r="F166" t="s">
        <v>772</v>
      </c>
      <c r="G166"/>
      <c r="H166"/>
      <c r="I166" t="str">
        <f t="shared" si="6"/>
        <v>UKExperienceE - Principal</v>
      </c>
      <c r="J166" t="str">
        <f t="shared" si="11"/>
        <v>UKExperienceE - Principal</v>
      </c>
      <c r="K166" s="711"/>
      <c r="L166" s="711">
        <v>225</v>
      </c>
      <c r="M166" s="711"/>
      <c r="N166" s="711"/>
      <c r="O166" s="711"/>
      <c r="P166"/>
    </row>
    <row r="167" spans="1:16">
      <c r="A167" t="s">
        <v>247</v>
      </c>
      <c r="B167"/>
      <c r="C167"/>
      <c r="D167" t="s">
        <v>425</v>
      </c>
      <c r="E167"/>
      <c r="F167" t="s">
        <v>775</v>
      </c>
      <c r="G167"/>
      <c r="H167"/>
      <c r="I167" t="str">
        <f t="shared" si="6"/>
        <v>UKExperienceF - Chief</v>
      </c>
      <c r="J167" t="str">
        <f t="shared" si="11"/>
        <v>UKExperienceF - Chief</v>
      </c>
      <c r="K167" s="711"/>
      <c r="L167" s="711">
        <v>255</v>
      </c>
      <c r="M167" s="711"/>
      <c r="N167" s="711"/>
      <c r="O167" s="711"/>
      <c r="P167"/>
    </row>
    <row r="168" spans="1:16">
      <c r="A168" t="s">
        <v>247</v>
      </c>
      <c r="B168"/>
      <c r="C168"/>
      <c r="D168" t="s">
        <v>231</v>
      </c>
      <c r="E168"/>
      <c r="F168" t="s">
        <v>753</v>
      </c>
      <c r="G168"/>
      <c r="H168"/>
      <c r="I168" t="str">
        <f t="shared" si="6"/>
        <v>UKManaged ServicesA - Associate</v>
      </c>
      <c r="J168" t="str">
        <f t="shared" si="11"/>
        <v>UKManaged ServicesA - Associate</v>
      </c>
      <c r="K168" s="711"/>
      <c r="L168" s="711">
        <v>129</v>
      </c>
      <c r="M168" s="711"/>
      <c r="N168" s="711"/>
      <c r="O168" s="711"/>
      <c r="P168" s="711">
        <v>79</v>
      </c>
    </row>
    <row r="169" spans="1:16">
      <c r="A169" t="s">
        <v>247</v>
      </c>
      <c r="B169"/>
      <c r="C169"/>
      <c r="D169" t="s">
        <v>231</v>
      </c>
      <c r="E169"/>
      <c r="F169" t="s">
        <v>352</v>
      </c>
      <c r="G169"/>
      <c r="H169"/>
      <c r="I169" t="str">
        <f t="shared" si="6"/>
        <v>UKManaged ServicesB - Staff</v>
      </c>
      <c r="J169" t="str">
        <f t="shared" si="11"/>
        <v>UKManaged ServicesB - Staff</v>
      </c>
      <c r="K169" s="711"/>
      <c r="L169" s="711">
        <v>129</v>
      </c>
      <c r="M169" s="711"/>
      <c r="N169" s="711"/>
      <c r="O169" s="711"/>
      <c r="P169"/>
    </row>
    <row r="170" spans="1:16">
      <c r="A170" t="s">
        <v>247</v>
      </c>
      <c r="B170"/>
      <c r="C170"/>
      <c r="D170" t="s">
        <v>231</v>
      </c>
      <c r="E170"/>
      <c r="F170" t="s">
        <v>355</v>
      </c>
      <c r="G170"/>
      <c r="H170"/>
      <c r="I170" t="str">
        <f t="shared" si="6"/>
        <v>UKManaged ServicesC - Senior</v>
      </c>
      <c r="J170" t="str">
        <f t="shared" si="11"/>
        <v>UKManaged ServicesC - Senior</v>
      </c>
      <c r="K170" s="711"/>
      <c r="L170" s="711">
        <v>139</v>
      </c>
      <c r="M170" s="711"/>
      <c r="N170" s="711"/>
      <c r="O170" s="711"/>
      <c r="P170"/>
    </row>
    <row r="171" spans="1:16">
      <c r="A171" t="s">
        <v>247</v>
      </c>
      <c r="B171"/>
      <c r="C171"/>
      <c r="D171" t="s">
        <v>231</v>
      </c>
      <c r="E171"/>
      <c r="F171" t="s">
        <v>358</v>
      </c>
      <c r="G171"/>
      <c r="H171"/>
      <c r="I171" t="str">
        <f t="shared" si="6"/>
        <v>UKManaged ServicesD - Lead</v>
      </c>
      <c r="J171" t="str">
        <f t="shared" si="11"/>
        <v>UKManaged ServicesD - Lead</v>
      </c>
      <c r="K171" s="711"/>
      <c r="L171" s="711">
        <v>169</v>
      </c>
      <c r="M171" s="711"/>
      <c r="N171" s="711"/>
      <c r="O171" s="711"/>
      <c r="P171"/>
    </row>
    <row r="172" spans="1:16">
      <c r="A172" t="s">
        <v>247</v>
      </c>
      <c r="B172"/>
      <c r="C172"/>
      <c r="D172" t="s">
        <v>231</v>
      </c>
      <c r="E172"/>
      <c r="F172" t="s">
        <v>772</v>
      </c>
      <c r="G172"/>
      <c r="H172"/>
      <c r="I172" t="str">
        <f t="shared" si="6"/>
        <v>UKManaged ServicesE - Principal</v>
      </c>
      <c r="J172" t="str">
        <f t="shared" si="11"/>
        <v>UKManaged ServicesE - Principal</v>
      </c>
      <c r="K172" s="711"/>
      <c r="L172" s="711">
        <v>175</v>
      </c>
      <c r="M172" s="711"/>
      <c r="N172" s="711"/>
      <c r="O172" s="711"/>
      <c r="P172"/>
    </row>
    <row r="173" spans="1:16">
      <c r="A173" t="s">
        <v>247</v>
      </c>
      <c r="B173"/>
      <c r="C173"/>
      <c r="D173" t="s">
        <v>231</v>
      </c>
      <c r="E173"/>
      <c r="F173" t="s">
        <v>775</v>
      </c>
      <c r="G173"/>
      <c r="H173"/>
      <c r="I173" t="str">
        <f t="shared" si="6"/>
        <v>UKManaged ServicesF - Chief</v>
      </c>
      <c r="J173" t="str">
        <f t="shared" si="11"/>
        <v>UKManaged ServicesF - Chief</v>
      </c>
      <c r="K173" s="711"/>
      <c r="L173" s="711">
        <v>219</v>
      </c>
      <c r="M173" s="711"/>
      <c r="N173" s="711"/>
      <c r="O173" s="711"/>
      <c r="P173"/>
    </row>
    <row r="174" spans="1:16">
      <c r="A174" t="s">
        <v>247</v>
      </c>
      <c r="B174"/>
      <c r="C174"/>
      <c r="D174" t="s">
        <v>777</v>
      </c>
      <c r="E174"/>
      <c r="F174" t="s">
        <v>753</v>
      </c>
      <c r="G174"/>
      <c r="H174"/>
      <c r="I174" t="str">
        <f t="shared" si="6"/>
        <v>UKPublic SectorA - Associate</v>
      </c>
      <c r="J174" t="str">
        <f t="shared" si="11"/>
        <v>UKPublic SectorA - Associate</v>
      </c>
      <c r="K174" s="711"/>
      <c r="L174" s="711">
        <v>129</v>
      </c>
      <c r="M174" s="711"/>
      <c r="N174" s="711"/>
      <c r="O174" s="711"/>
      <c r="P174" s="711">
        <v>79</v>
      </c>
    </row>
    <row r="175" spans="1:16">
      <c r="A175" t="s">
        <v>247</v>
      </c>
      <c r="B175"/>
      <c r="C175"/>
      <c r="D175" t="s">
        <v>777</v>
      </c>
      <c r="E175"/>
      <c r="F175" t="s">
        <v>352</v>
      </c>
      <c r="G175"/>
      <c r="H175"/>
      <c r="I175" t="str">
        <f t="shared" ref="I175:I238" si="12">A175&amp;B175&amp;D175&amp;E175&amp;F175&amp;G175</f>
        <v>UKPublic SectorB - Staff</v>
      </c>
      <c r="J175" t="str">
        <f t="shared" si="11"/>
        <v>UKPublic SectorB - Staff</v>
      </c>
      <c r="K175" s="711"/>
      <c r="L175" s="711">
        <v>129</v>
      </c>
      <c r="M175" s="711"/>
      <c r="N175" s="711"/>
      <c r="O175" s="711"/>
      <c r="P175"/>
    </row>
    <row r="176" spans="1:16">
      <c r="A176" t="s">
        <v>247</v>
      </c>
      <c r="B176"/>
      <c r="C176"/>
      <c r="D176" t="s">
        <v>777</v>
      </c>
      <c r="E176"/>
      <c r="F176" t="s">
        <v>355</v>
      </c>
      <c r="G176"/>
      <c r="H176"/>
      <c r="I176" t="str">
        <f t="shared" si="12"/>
        <v>UKPublic SectorC - Senior</v>
      </c>
      <c r="J176" t="str">
        <f t="shared" si="11"/>
        <v>UKPublic SectorC - Senior</v>
      </c>
      <c r="K176" s="711"/>
      <c r="L176" s="711">
        <v>139</v>
      </c>
      <c r="M176" s="711"/>
      <c r="N176" s="711"/>
      <c r="O176" s="711"/>
      <c r="P176"/>
    </row>
    <row r="177" spans="1:16">
      <c r="A177" t="s">
        <v>247</v>
      </c>
      <c r="B177"/>
      <c r="C177"/>
      <c r="D177" t="s">
        <v>777</v>
      </c>
      <c r="E177"/>
      <c r="F177" t="s">
        <v>358</v>
      </c>
      <c r="G177"/>
      <c r="H177"/>
      <c r="I177" t="str">
        <f t="shared" si="12"/>
        <v>UKPublic SectorD - Lead</v>
      </c>
      <c r="J177" t="str">
        <f t="shared" si="11"/>
        <v>UKPublic SectorD - Lead</v>
      </c>
      <c r="K177" s="711"/>
      <c r="L177" s="711">
        <v>169</v>
      </c>
      <c r="M177" s="711"/>
      <c r="N177" s="711"/>
      <c r="O177" s="711"/>
      <c r="P177"/>
    </row>
    <row r="178" spans="1:16">
      <c r="A178" t="s">
        <v>247</v>
      </c>
      <c r="B178"/>
      <c r="C178"/>
      <c r="D178" t="s">
        <v>777</v>
      </c>
      <c r="E178"/>
      <c r="F178" t="s">
        <v>772</v>
      </c>
      <c r="G178"/>
      <c r="H178"/>
      <c r="I178" t="str">
        <f t="shared" si="12"/>
        <v>UKPublic SectorE - Principal</v>
      </c>
      <c r="J178" t="str">
        <f t="shared" si="11"/>
        <v>UKPublic SectorE - Principal</v>
      </c>
      <c r="K178" s="711"/>
      <c r="L178" s="711">
        <v>175</v>
      </c>
      <c r="M178" s="711"/>
      <c r="N178" s="711"/>
      <c r="O178" s="711"/>
      <c r="P178"/>
    </row>
    <row r="179" spans="1:16">
      <c r="A179" t="s">
        <v>247</v>
      </c>
      <c r="B179"/>
      <c r="C179"/>
      <c r="D179" t="s">
        <v>777</v>
      </c>
      <c r="E179"/>
      <c r="F179" t="s">
        <v>775</v>
      </c>
      <c r="G179"/>
      <c r="H179"/>
      <c r="I179" t="str">
        <f t="shared" si="12"/>
        <v>UKPublic SectorF - Chief</v>
      </c>
      <c r="J179" t="str">
        <f t="shared" si="11"/>
        <v>UKPublic SectorF - Chief</v>
      </c>
      <c r="K179" s="711"/>
      <c r="L179" s="711">
        <v>219</v>
      </c>
      <c r="M179" s="711"/>
      <c r="N179" s="711"/>
      <c r="O179" s="711"/>
      <c r="P179"/>
    </row>
    <row r="180" spans="1:16">
      <c r="A180" t="s">
        <v>247</v>
      </c>
      <c r="B180"/>
      <c r="C180"/>
      <c r="D180" t="s">
        <v>780</v>
      </c>
      <c r="E180"/>
      <c r="F180" t="s">
        <v>753</v>
      </c>
      <c r="G180"/>
      <c r="H180"/>
      <c r="I180" t="str">
        <f t="shared" si="12"/>
        <v>UKRisk and ResilienceA - Associate</v>
      </c>
      <c r="J180" t="str">
        <f t="shared" si="11"/>
        <v>UKRisk and ResilienceA - Associate</v>
      </c>
      <c r="K180" s="711"/>
      <c r="L180" s="711">
        <v>139</v>
      </c>
      <c r="M180" s="711"/>
      <c r="N180" s="711"/>
      <c r="O180" s="711"/>
      <c r="P180" s="711">
        <v>89</v>
      </c>
    </row>
    <row r="181" spans="1:16">
      <c r="A181" t="s">
        <v>247</v>
      </c>
      <c r="B181"/>
      <c r="C181"/>
      <c r="D181" t="s">
        <v>780</v>
      </c>
      <c r="E181"/>
      <c r="F181" t="s">
        <v>352</v>
      </c>
      <c r="G181"/>
      <c r="H181"/>
      <c r="I181" t="str">
        <f t="shared" si="12"/>
        <v>UKRisk and ResilienceB - Staff</v>
      </c>
      <c r="J181" t="str">
        <f t="shared" si="11"/>
        <v>UKRisk and ResilienceB - Staff</v>
      </c>
      <c r="K181" s="711"/>
      <c r="L181" s="711">
        <v>139</v>
      </c>
      <c r="M181" s="711"/>
      <c r="N181" s="711"/>
      <c r="O181" s="711"/>
      <c r="P181"/>
    </row>
    <row r="182" spans="1:16">
      <c r="A182" t="s">
        <v>247</v>
      </c>
      <c r="B182"/>
      <c r="C182"/>
      <c r="D182" t="s">
        <v>780</v>
      </c>
      <c r="E182"/>
      <c r="F182" t="s">
        <v>355</v>
      </c>
      <c r="G182"/>
      <c r="H182"/>
      <c r="I182" t="str">
        <f t="shared" si="12"/>
        <v>UKRisk and ResilienceC - Senior</v>
      </c>
      <c r="J182" t="str">
        <f t="shared" si="11"/>
        <v>UKRisk and ResilienceC - Senior</v>
      </c>
      <c r="K182" s="711"/>
      <c r="L182" s="711">
        <v>169</v>
      </c>
      <c r="M182" s="711"/>
      <c r="N182" s="711"/>
      <c r="O182" s="711"/>
      <c r="P182"/>
    </row>
    <row r="183" spans="1:16">
      <c r="A183" t="s">
        <v>247</v>
      </c>
      <c r="B183"/>
      <c r="C183"/>
      <c r="D183" t="s">
        <v>780</v>
      </c>
      <c r="E183"/>
      <c r="F183" t="s">
        <v>358</v>
      </c>
      <c r="G183"/>
      <c r="H183"/>
      <c r="I183" t="str">
        <f t="shared" si="12"/>
        <v>UKRisk and ResilienceD - Lead</v>
      </c>
      <c r="J183" t="str">
        <f t="shared" si="11"/>
        <v>UKRisk and ResilienceD - Lead</v>
      </c>
      <c r="K183" s="711"/>
      <c r="L183" s="711">
        <v>199</v>
      </c>
      <c r="M183" s="711"/>
      <c r="N183" s="711"/>
      <c r="O183" s="711"/>
      <c r="P183"/>
    </row>
    <row r="184" spans="1:16">
      <c r="A184" t="s">
        <v>247</v>
      </c>
      <c r="B184"/>
      <c r="C184"/>
      <c r="D184" t="s">
        <v>780</v>
      </c>
      <c r="E184"/>
      <c r="F184" t="s">
        <v>772</v>
      </c>
      <c r="G184"/>
      <c r="H184"/>
      <c r="I184" t="str">
        <f t="shared" si="12"/>
        <v>UKRisk and ResilienceE - Principal</v>
      </c>
      <c r="J184" t="str">
        <f t="shared" si="11"/>
        <v>UKRisk and ResilienceE - Principal</v>
      </c>
      <c r="K184" s="711"/>
      <c r="L184" s="711">
        <v>209</v>
      </c>
      <c r="M184" s="711"/>
      <c r="N184" s="711"/>
      <c r="O184" s="711"/>
      <c r="P184"/>
    </row>
    <row r="185" spans="1:16">
      <c r="A185" t="s">
        <v>247</v>
      </c>
      <c r="B185"/>
      <c r="C185"/>
      <c r="D185" t="s">
        <v>780</v>
      </c>
      <c r="E185"/>
      <c r="F185" t="s">
        <v>775</v>
      </c>
      <c r="G185"/>
      <c r="H185"/>
      <c r="I185" t="str">
        <f t="shared" si="12"/>
        <v>UKRisk and ResilienceF - Chief</v>
      </c>
      <c r="J185" t="str">
        <f t="shared" si="11"/>
        <v>UKRisk and ResilienceF - Chief</v>
      </c>
      <c r="K185" s="711"/>
      <c r="L185" s="711">
        <v>235</v>
      </c>
      <c r="M185" s="711"/>
      <c r="N185" s="711"/>
      <c r="O185" s="711"/>
      <c r="P185"/>
    </row>
    <row r="186" spans="1:16">
      <c r="A186" t="s">
        <v>247</v>
      </c>
      <c r="B186"/>
      <c r="C186"/>
      <c r="D186" t="s">
        <v>399</v>
      </c>
      <c r="E186"/>
      <c r="F186" t="s">
        <v>753</v>
      </c>
      <c r="G186"/>
      <c r="H186"/>
      <c r="I186" t="str">
        <f t="shared" si="12"/>
        <v>UKTechnologyA - Associate</v>
      </c>
      <c r="J186" t="str">
        <f t="shared" si="11"/>
        <v>UKTechnologyA - Associate</v>
      </c>
      <c r="K186" s="711"/>
      <c r="L186" s="711">
        <v>129</v>
      </c>
      <c r="M186" s="711"/>
      <c r="N186" s="711"/>
      <c r="O186" s="711"/>
      <c r="P186" s="711">
        <v>79</v>
      </c>
    </row>
    <row r="187" spans="1:16">
      <c r="A187" t="s">
        <v>247</v>
      </c>
      <c r="B187"/>
      <c r="C187"/>
      <c r="D187" t="s">
        <v>399</v>
      </c>
      <c r="E187"/>
      <c r="F187" t="s">
        <v>352</v>
      </c>
      <c r="G187"/>
      <c r="H187"/>
      <c r="I187" t="str">
        <f t="shared" si="12"/>
        <v>UKTechnologyB - Staff</v>
      </c>
      <c r="J187" t="str">
        <f t="shared" si="11"/>
        <v>UKTechnologyB - Staff</v>
      </c>
      <c r="K187" s="711"/>
      <c r="L187" s="711">
        <v>129</v>
      </c>
      <c r="M187" s="711"/>
      <c r="N187" s="711"/>
      <c r="O187" s="711"/>
      <c r="P187"/>
    </row>
    <row r="188" spans="1:16">
      <c r="A188" t="s">
        <v>247</v>
      </c>
      <c r="B188"/>
      <c r="C188"/>
      <c r="D188" t="s">
        <v>399</v>
      </c>
      <c r="E188"/>
      <c r="F188" t="s">
        <v>355</v>
      </c>
      <c r="G188"/>
      <c r="H188"/>
      <c r="I188" t="str">
        <f t="shared" si="12"/>
        <v>UKTechnologyC - Senior</v>
      </c>
      <c r="J188" t="str">
        <f t="shared" si="11"/>
        <v>UKTechnologyC - Senior</v>
      </c>
      <c r="K188" s="711"/>
      <c r="L188" s="711">
        <v>139</v>
      </c>
      <c r="M188" s="711"/>
      <c r="N188" s="711"/>
      <c r="O188" s="711"/>
      <c r="P188"/>
    </row>
    <row r="189" spans="1:16">
      <c r="A189" t="s">
        <v>247</v>
      </c>
      <c r="B189"/>
      <c r="C189"/>
      <c r="D189" t="s">
        <v>399</v>
      </c>
      <c r="E189"/>
      <c r="F189" t="s">
        <v>358</v>
      </c>
      <c r="G189"/>
      <c r="H189"/>
      <c r="I189" t="str">
        <f t="shared" si="12"/>
        <v>UKTechnologyD - Lead</v>
      </c>
      <c r="J189" t="str">
        <f t="shared" si="11"/>
        <v>UKTechnologyD - Lead</v>
      </c>
      <c r="K189" s="711"/>
      <c r="L189" s="711">
        <v>169</v>
      </c>
      <c r="M189" s="711"/>
      <c r="N189" s="711"/>
      <c r="O189" s="711"/>
      <c r="P189"/>
    </row>
    <row r="190" spans="1:16">
      <c r="A190" t="s">
        <v>247</v>
      </c>
      <c r="B190"/>
      <c r="C190"/>
      <c r="D190" t="s">
        <v>399</v>
      </c>
      <c r="E190"/>
      <c r="F190" t="s">
        <v>772</v>
      </c>
      <c r="G190"/>
      <c r="H190"/>
      <c r="I190" t="str">
        <f t="shared" si="12"/>
        <v>UKTechnologyE - Principal</v>
      </c>
      <c r="J190" t="str">
        <f t="shared" si="11"/>
        <v>UKTechnologyE - Principal</v>
      </c>
      <c r="K190" s="711"/>
      <c r="L190" s="711">
        <v>175</v>
      </c>
      <c r="M190" s="711"/>
      <c r="N190" s="711"/>
      <c r="O190" s="711"/>
      <c r="P190"/>
    </row>
    <row r="191" spans="1:16">
      <c r="A191" t="s">
        <v>247</v>
      </c>
      <c r="B191"/>
      <c r="C191"/>
      <c r="D191" t="s">
        <v>399</v>
      </c>
      <c r="E191"/>
      <c r="F191" t="s">
        <v>775</v>
      </c>
      <c r="G191"/>
      <c r="H191"/>
      <c r="I191" t="str">
        <f t="shared" si="12"/>
        <v>UKTechnologyF - Chief</v>
      </c>
      <c r="J191" t="str">
        <f t="shared" si="11"/>
        <v>UKTechnologyF - Chief</v>
      </c>
      <c r="K191" s="711"/>
      <c r="L191" s="711">
        <v>219</v>
      </c>
      <c r="M191" s="711"/>
      <c r="N191" s="711"/>
      <c r="O191" s="711"/>
      <c r="P191"/>
    </row>
    <row r="192" spans="1:16">
      <c r="A192" t="s">
        <v>247</v>
      </c>
      <c r="B192"/>
      <c r="C192"/>
      <c r="D192" t="s">
        <v>360</v>
      </c>
      <c r="E192"/>
      <c r="F192" t="s">
        <v>753</v>
      </c>
      <c r="G192"/>
      <c r="H192"/>
      <c r="I192" t="str">
        <f t="shared" si="12"/>
        <v>UKPMOA - Associate</v>
      </c>
      <c r="J192" t="str">
        <f t="shared" si="11"/>
        <v>UKPMOA - Associate</v>
      </c>
      <c r="K192" s="711"/>
      <c r="L192" s="711">
        <v>129</v>
      </c>
      <c r="M192" s="711"/>
      <c r="N192" s="711"/>
      <c r="O192" s="711"/>
      <c r="P192" s="711">
        <v>79</v>
      </c>
    </row>
    <row r="193" spans="1:16">
      <c r="A193" t="s">
        <v>247</v>
      </c>
      <c r="B193"/>
      <c r="C193"/>
      <c r="D193" t="s">
        <v>360</v>
      </c>
      <c r="E193"/>
      <c r="F193" t="s">
        <v>352</v>
      </c>
      <c r="G193"/>
      <c r="H193"/>
      <c r="I193" t="str">
        <f t="shared" si="12"/>
        <v>UKPMOB - Staff</v>
      </c>
      <c r="J193" t="str">
        <f t="shared" si="11"/>
        <v>UKPMOB - Staff</v>
      </c>
      <c r="K193" s="711"/>
      <c r="L193" s="711">
        <v>129</v>
      </c>
      <c r="M193" s="711"/>
      <c r="N193" s="711"/>
      <c r="O193" s="711"/>
      <c r="P193"/>
    </row>
    <row r="194" spans="1:16">
      <c r="A194" t="s">
        <v>247</v>
      </c>
      <c r="B194"/>
      <c r="C194"/>
      <c r="D194" t="s">
        <v>360</v>
      </c>
      <c r="E194"/>
      <c r="F194" t="s">
        <v>355</v>
      </c>
      <c r="G194"/>
      <c r="H194"/>
      <c r="I194" t="str">
        <f t="shared" si="12"/>
        <v>UKPMOC - Senior</v>
      </c>
      <c r="J194" t="str">
        <f t="shared" si="11"/>
        <v>UKPMOC - Senior</v>
      </c>
      <c r="K194" s="711"/>
      <c r="L194" s="711">
        <v>139</v>
      </c>
      <c r="M194" s="711"/>
      <c r="N194" s="711"/>
      <c r="O194" s="711"/>
      <c r="P194"/>
    </row>
    <row r="195" spans="1:16">
      <c r="A195" t="s">
        <v>247</v>
      </c>
      <c r="B195"/>
      <c r="C195"/>
      <c r="D195" t="s">
        <v>360</v>
      </c>
      <c r="E195"/>
      <c r="F195" t="s">
        <v>358</v>
      </c>
      <c r="G195"/>
      <c r="H195"/>
      <c r="I195" t="str">
        <f t="shared" si="12"/>
        <v>UKPMOD - Lead</v>
      </c>
      <c r="J195" t="str">
        <f t="shared" si="11"/>
        <v>UKPMOD - Lead</v>
      </c>
      <c r="K195" s="711"/>
      <c r="L195" s="711">
        <v>169</v>
      </c>
      <c r="M195" s="711"/>
      <c r="N195" s="711"/>
      <c r="O195" s="711"/>
      <c r="P195"/>
    </row>
    <row r="196" spans="1:16">
      <c r="A196" t="s">
        <v>247</v>
      </c>
      <c r="B196"/>
      <c r="C196"/>
      <c r="D196" t="s">
        <v>360</v>
      </c>
      <c r="E196"/>
      <c r="F196" t="s">
        <v>772</v>
      </c>
      <c r="G196"/>
      <c r="H196"/>
      <c r="I196" t="str">
        <f t="shared" si="12"/>
        <v>UKPMOE - Principal</v>
      </c>
      <c r="J196" t="str">
        <f t="shared" si="11"/>
        <v>UKPMOE - Principal</v>
      </c>
      <c r="K196" s="711"/>
      <c r="L196" s="711">
        <v>175</v>
      </c>
      <c r="M196" s="711"/>
      <c r="N196" s="711"/>
      <c r="O196" s="711"/>
      <c r="P196"/>
    </row>
    <row r="197" spans="1:16">
      <c r="A197" t="s">
        <v>247</v>
      </c>
      <c r="B197"/>
      <c r="C197"/>
      <c r="D197" t="s">
        <v>360</v>
      </c>
      <c r="E197"/>
      <c r="F197" t="s">
        <v>775</v>
      </c>
      <c r="G197"/>
      <c r="H197"/>
      <c r="I197" t="str">
        <f t="shared" si="12"/>
        <v>UKPMOF - Chief</v>
      </c>
      <c r="J197" t="str">
        <f t="shared" si="11"/>
        <v>UKPMOF - Chief</v>
      </c>
      <c r="K197" s="711"/>
      <c r="L197" s="711">
        <v>219</v>
      </c>
      <c r="M197" s="711"/>
      <c r="N197" s="711"/>
      <c r="O197" s="711"/>
      <c r="P197"/>
    </row>
    <row r="198" spans="1:16">
      <c r="A198" t="s">
        <v>247</v>
      </c>
      <c r="B198"/>
      <c r="C198" t="s">
        <v>227</v>
      </c>
      <c r="D198" t="s">
        <v>750</v>
      </c>
      <c r="E198" t="s">
        <v>779</v>
      </c>
      <c r="F198" t="s">
        <v>355</v>
      </c>
      <c r="G198"/>
      <c r="H198"/>
      <c r="I198" t="str">
        <f t="shared" si="12"/>
        <v>UKAdvisoryEnablementC - Senior</v>
      </c>
      <c r="J198" t="str">
        <f t="shared" si="11"/>
        <v>UKIndiaAdvisoryEnablementC - Senior</v>
      </c>
      <c r="K198" s="711"/>
      <c r="L198" s="711">
        <v>65</v>
      </c>
      <c r="M198" s="711"/>
      <c r="N198" s="711"/>
      <c r="O198" s="711"/>
      <c r="P198"/>
    </row>
    <row r="199" spans="1:16">
      <c r="A199" t="s">
        <v>247</v>
      </c>
      <c r="B199"/>
      <c r="C199" t="s">
        <v>227</v>
      </c>
      <c r="D199" t="s">
        <v>750</v>
      </c>
      <c r="E199" t="s">
        <v>764</v>
      </c>
      <c r="F199" t="s">
        <v>358</v>
      </c>
      <c r="G199"/>
      <c r="H199"/>
      <c r="I199" t="str">
        <f t="shared" si="12"/>
        <v>UKAdvisoryChange ManagementD - Lead</v>
      </c>
      <c r="J199" t="str">
        <f t="shared" si="11"/>
        <v>UKIndiaAdvisoryChange ManagementD - Lead</v>
      </c>
      <c r="K199" s="711"/>
      <c r="L199" s="711">
        <v>75</v>
      </c>
      <c r="M199" s="711"/>
      <c r="N199" s="711"/>
      <c r="O199" s="711"/>
      <c r="P199"/>
    </row>
    <row r="200" spans="1:16">
      <c r="A200" t="s">
        <v>247</v>
      </c>
      <c r="B200"/>
      <c r="C200" t="s">
        <v>227</v>
      </c>
      <c r="D200" t="s">
        <v>750</v>
      </c>
      <c r="E200" t="s">
        <v>784</v>
      </c>
      <c r="F200" t="s">
        <v>355</v>
      </c>
      <c r="G200"/>
      <c r="H200"/>
      <c r="I200" t="str">
        <f t="shared" si="12"/>
        <v>UKAdvisoryStrategyC - Senior</v>
      </c>
      <c r="J200" t="str">
        <f t="shared" si="11"/>
        <v>UKIndiaAdvisoryStrategyC - Senior</v>
      </c>
      <c r="K200" s="711"/>
      <c r="L200" s="711">
        <v>79</v>
      </c>
      <c r="M200" s="711"/>
      <c r="N200" s="711"/>
      <c r="O200" s="711"/>
      <c r="P200"/>
    </row>
    <row r="201" spans="1:16">
      <c r="A201" t="s">
        <v>247</v>
      </c>
      <c r="B201"/>
      <c r="C201" t="s">
        <v>227</v>
      </c>
      <c r="D201" t="s">
        <v>750</v>
      </c>
      <c r="E201" t="s">
        <v>784</v>
      </c>
      <c r="F201" t="s">
        <v>358</v>
      </c>
      <c r="G201"/>
      <c r="H201"/>
      <c r="I201" t="str">
        <f t="shared" si="12"/>
        <v>UKAdvisoryStrategyD - Lead</v>
      </c>
      <c r="J201" t="str">
        <f t="shared" si="11"/>
        <v>UKIndiaAdvisoryStrategyD - Lead</v>
      </c>
      <c r="K201" s="711"/>
      <c r="L201" s="711">
        <v>95</v>
      </c>
      <c r="M201" s="711"/>
      <c r="N201" s="711"/>
      <c r="O201" s="711"/>
      <c r="P201"/>
    </row>
    <row r="202" spans="1:16">
      <c r="A202" t="s">
        <v>247</v>
      </c>
      <c r="B202"/>
      <c r="C202" t="s">
        <v>227</v>
      </c>
      <c r="D202" t="s">
        <v>750</v>
      </c>
      <c r="E202" t="s">
        <v>784</v>
      </c>
      <c r="F202" t="s">
        <v>772</v>
      </c>
      <c r="G202"/>
      <c r="H202"/>
      <c r="I202" t="str">
        <f t="shared" si="12"/>
        <v>UKAdvisoryStrategyE - Principal</v>
      </c>
      <c r="J202" t="str">
        <f t="shared" si="11"/>
        <v>UKIndiaAdvisoryStrategyE - Principal</v>
      </c>
      <c r="K202" s="711"/>
      <c r="L202" s="711">
        <v>105</v>
      </c>
      <c r="M202" s="711"/>
      <c r="N202" s="711"/>
      <c r="O202" s="711"/>
      <c r="P202"/>
    </row>
    <row r="203" spans="1:16">
      <c r="A203" t="s">
        <v>247</v>
      </c>
      <c r="B203"/>
      <c r="C203" t="s">
        <v>227</v>
      </c>
      <c r="D203" t="s">
        <v>750</v>
      </c>
      <c r="E203" t="s">
        <v>784</v>
      </c>
      <c r="F203" t="s">
        <v>775</v>
      </c>
      <c r="G203"/>
      <c r="H203"/>
      <c r="I203" t="str">
        <f t="shared" si="12"/>
        <v>UKAdvisoryStrategyF - Chief</v>
      </c>
      <c r="J203" t="str">
        <f t="shared" si="11"/>
        <v>UKIndiaAdvisoryStrategyF - Chief</v>
      </c>
      <c r="K203" s="711"/>
      <c r="L203" s="711">
        <v>245</v>
      </c>
      <c r="M203" s="711"/>
      <c r="N203" s="711"/>
      <c r="O203" s="711"/>
      <c r="P203"/>
    </row>
    <row r="204" spans="1:16">
      <c r="A204" t="s">
        <v>247</v>
      </c>
      <c r="B204"/>
      <c r="C204" t="s">
        <v>227</v>
      </c>
      <c r="D204" t="s">
        <v>404</v>
      </c>
      <c r="E204"/>
      <c r="F204" t="s">
        <v>753</v>
      </c>
      <c r="G204"/>
      <c r="H204"/>
      <c r="I204" t="str">
        <f t="shared" si="12"/>
        <v>UKCustomerA - Associate</v>
      </c>
      <c r="J204" t="str">
        <f t="shared" si="11"/>
        <v>UKIndiaCustomerA - Associate</v>
      </c>
      <c r="K204" s="711"/>
      <c r="L204" s="711">
        <v>65</v>
      </c>
      <c r="M204" s="711"/>
      <c r="N204" s="711"/>
      <c r="O204" s="711"/>
      <c r="P204" s="711">
        <v>39</v>
      </c>
    </row>
    <row r="205" spans="1:16">
      <c r="A205" t="s">
        <v>247</v>
      </c>
      <c r="B205"/>
      <c r="C205" t="s">
        <v>227</v>
      </c>
      <c r="D205" t="s">
        <v>404</v>
      </c>
      <c r="E205"/>
      <c r="F205" t="s">
        <v>352</v>
      </c>
      <c r="G205"/>
      <c r="H205"/>
      <c r="I205" t="str">
        <f t="shared" si="12"/>
        <v>UKCustomerB - Staff</v>
      </c>
      <c r="J205" t="str">
        <f t="shared" si="11"/>
        <v>UKIndiaCustomerB - Staff</v>
      </c>
      <c r="K205" s="711"/>
      <c r="L205" s="711">
        <v>65</v>
      </c>
      <c r="M205" s="711"/>
      <c r="N205" s="711"/>
      <c r="O205" s="711"/>
      <c r="P205"/>
    </row>
    <row r="206" spans="1:16">
      <c r="A206" t="s">
        <v>247</v>
      </c>
      <c r="B206"/>
      <c r="C206" t="s">
        <v>227</v>
      </c>
      <c r="D206" t="s">
        <v>404</v>
      </c>
      <c r="E206"/>
      <c r="F206" t="s">
        <v>355</v>
      </c>
      <c r="G206"/>
      <c r="H206"/>
      <c r="I206" t="str">
        <f t="shared" si="12"/>
        <v>UKCustomerC - Senior</v>
      </c>
      <c r="J206" t="str">
        <f t="shared" si="11"/>
        <v>UKIndiaCustomerC - Senior</v>
      </c>
      <c r="K206" s="711"/>
      <c r="L206" s="711">
        <v>69</v>
      </c>
      <c r="M206" s="711"/>
      <c r="N206" s="711"/>
      <c r="O206" s="711"/>
      <c r="P206"/>
    </row>
    <row r="207" spans="1:16">
      <c r="A207" t="s">
        <v>247</v>
      </c>
      <c r="B207"/>
      <c r="C207" t="s">
        <v>227</v>
      </c>
      <c r="D207" t="s">
        <v>404</v>
      </c>
      <c r="E207"/>
      <c r="F207" t="s">
        <v>358</v>
      </c>
      <c r="G207"/>
      <c r="H207"/>
      <c r="I207" t="str">
        <f t="shared" si="12"/>
        <v>UKCustomerD - Lead</v>
      </c>
      <c r="J207" t="str">
        <f t="shared" si="11"/>
        <v>UKIndiaCustomerD - Lead</v>
      </c>
      <c r="K207" s="711"/>
      <c r="L207" s="711">
        <v>79</v>
      </c>
      <c r="M207" s="711"/>
      <c r="N207" s="711"/>
      <c r="O207" s="711"/>
      <c r="P207"/>
    </row>
    <row r="208" spans="1:16">
      <c r="A208" t="s">
        <v>247</v>
      </c>
      <c r="B208"/>
      <c r="C208" t="s">
        <v>227</v>
      </c>
      <c r="D208" t="s">
        <v>404</v>
      </c>
      <c r="E208"/>
      <c r="F208" t="s">
        <v>772</v>
      </c>
      <c r="G208"/>
      <c r="H208"/>
      <c r="I208" t="str">
        <f t="shared" si="12"/>
        <v>UKCustomerE - Principal</v>
      </c>
      <c r="J208" t="str">
        <f t="shared" si="11"/>
        <v>UKIndiaCustomerE - Principal</v>
      </c>
      <c r="K208" s="711"/>
      <c r="L208" s="711">
        <v>89</v>
      </c>
      <c r="M208" s="711"/>
      <c r="N208" s="711"/>
      <c r="O208" s="711"/>
      <c r="P208"/>
    </row>
    <row r="209" spans="1:16">
      <c r="A209" t="s">
        <v>247</v>
      </c>
      <c r="B209"/>
      <c r="C209" t="s">
        <v>227</v>
      </c>
      <c r="D209" t="s">
        <v>404</v>
      </c>
      <c r="E209"/>
      <c r="F209" t="s">
        <v>775</v>
      </c>
      <c r="G209"/>
      <c r="H209"/>
      <c r="I209" t="str">
        <f t="shared" si="12"/>
        <v>UKCustomerF - Chief</v>
      </c>
      <c r="J209" t="str">
        <f t="shared" si="11"/>
        <v>UKIndiaCustomerF - Chief</v>
      </c>
      <c r="K209" s="711"/>
      <c r="L209" s="711">
        <v>219</v>
      </c>
      <c r="M209" s="711"/>
      <c r="N209" s="711"/>
      <c r="O209" s="711"/>
      <c r="P209"/>
    </row>
    <row r="210" spans="1:16">
      <c r="A210" t="s">
        <v>247</v>
      </c>
      <c r="B210"/>
      <c r="C210" t="s">
        <v>227</v>
      </c>
      <c r="D210" t="s">
        <v>761</v>
      </c>
      <c r="E210"/>
      <c r="F210" t="s">
        <v>753</v>
      </c>
      <c r="G210"/>
      <c r="H210"/>
      <c r="I210" t="str">
        <f t="shared" si="12"/>
        <v>UKEmployeeA - Associate</v>
      </c>
      <c r="J210" t="str">
        <f t="shared" si="11"/>
        <v>UKIndiaEmployeeA - Associate</v>
      </c>
      <c r="K210" s="711"/>
      <c r="L210" s="711">
        <v>65</v>
      </c>
      <c r="M210" s="711"/>
      <c r="N210" s="711"/>
      <c r="O210" s="711"/>
      <c r="P210" s="711">
        <v>39</v>
      </c>
    </row>
    <row r="211" spans="1:16">
      <c r="A211" t="s">
        <v>247</v>
      </c>
      <c r="B211"/>
      <c r="C211" t="s">
        <v>227</v>
      </c>
      <c r="D211" t="s">
        <v>761</v>
      </c>
      <c r="E211"/>
      <c r="F211" t="s">
        <v>352</v>
      </c>
      <c r="G211"/>
      <c r="H211"/>
      <c r="I211" t="str">
        <f t="shared" si="12"/>
        <v>UKEmployeeB - Staff</v>
      </c>
      <c r="J211" t="str">
        <f t="shared" ref="J211:J274" si="13">A211&amp;C211&amp;D211&amp;E211&amp;F211</f>
        <v>UKIndiaEmployeeB - Staff</v>
      </c>
      <c r="K211" s="711"/>
      <c r="L211" s="711">
        <v>65</v>
      </c>
      <c r="M211" s="711"/>
      <c r="N211" s="711"/>
      <c r="O211" s="711"/>
      <c r="P211"/>
    </row>
    <row r="212" spans="1:16">
      <c r="A212" t="s">
        <v>247</v>
      </c>
      <c r="B212"/>
      <c r="C212" t="s">
        <v>227</v>
      </c>
      <c r="D212" t="s">
        <v>761</v>
      </c>
      <c r="E212"/>
      <c r="F212" t="s">
        <v>355</v>
      </c>
      <c r="G212"/>
      <c r="H212"/>
      <c r="I212" t="str">
        <f t="shared" si="12"/>
        <v>UKEmployeeC - Senior</v>
      </c>
      <c r="J212" t="str">
        <f t="shared" si="13"/>
        <v>UKIndiaEmployeeC - Senior</v>
      </c>
      <c r="K212" s="711"/>
      <c r="L212" s="711">
        <v>69</v>
      </c>
      <c r="M212" s="711"/>
      <c r="N212" s="711"/>
      <c r="O212" s="711"/>
      <c r="P212"/>
    </row>
    <row r="213" spans="1:16">
      <c r="A213" t="s">
        <v>247</v>
      </c>
      <c r="B213"/>
      <c r="C213" t="s">
        <v>227</v>
      </c>
      <c r="D213" t="s">
        <v>761</v>
      </c>
      <c r="E213"/>
      <c r="F213" t="s">
        <v>358</v>
      </c>
      <c r="G213"/>
      <c r="H213"/>
      <c r="I213" t="str">
        <f t="shared" si="12"/>
        <v>UKEmployeeD - Lead</v>
      </c>
      <c r="J213" t="str">
        <f t="shared" si="13"/>
        <v>UKIndiaEmployeeD - Lead</v>
      </c>
      <c r="K213" s="711"/>
      <c r="L213" s="711">
        <v>79</v>
      </c>
      <c r="M213" s="711"/>
      <c r="N213" s="711"/>
      <c r="O213" s="711"/>
      <c r="P213"/>
    </row>
    <row r="214" spans="1:16">
      <c r="A214" t="s">
        <v>247</v>
      </c>
      <c r="B214"/>
      <c r="C214" t="s">
        <v>227</v>
      </c>
      <c r="D214" t="s">
        <v>761</v>
      </c>
      <c r="E214"/>
      <c r="F214" t="s">
        <v>772</v>
      </c>
      <c r="G214"/>
      <c r="H214"/>
      <c r="I214" t="str">
        <f t="shared" si="12"/>
        <v>UKEmployeeE - Principal</v>
      </c>
      <c r="J214" t="str">
        <f t="shared" si="13"/>
        <v>UKIndiaEmployeeE - Principal</v>
      </c>
      <c r="K214" s="711"/>
      <c r="L214" s="711">
        <v>89</v>
      </c>
      <c r="M214" s="711"/>
      <c r="N214" s="711"/>
      <c r="O214" s="711"/>
      <c r="P214"/>
    </row>
    <row r="215" spans="1:16">
      <c r="A215" t="s">
        <v>247</v>
      </c>
      <c r="B215"/>
      <c r="C215" t="s">
        <v>227</v>
      </c>
      <c r="D215" t="s">
        <v>761</v>
      </c>
      <c r="E215"/>
      <c r="F215" t="s">
        <v>775</v>
      </c>
      <c r="G215"/>
      <c r="H215"/>
      <c r="I215" t="str">
        <f t="shared" si="12"/>
        <v>UKEmployeeF - Chief</v>
      </c>
      <c r="J215" t="str">
        <f t="shared" si="13"/>
        <v>UKIndiaEmployeeF - Chief</v>
      </c>
      <c r="K215" s="711"/>
      <c r="L215" s="711">
        <v>219</v>
      </c>
      <c r="M215" s="711"/>
      <c r="N215" s="711"/>
      <c r="O215" s="711"/>
      <c r="P215"/>
    </row>
    <row r="216" spans="1:16">
      <c r="A216" t="s">
        <v>247</v>
      </c>
      <c r="B216"/>
      <c r="C216" t="s">
        <v>227</v>
      </c>
      <c r="D216" t="s">
        <v>425</v>
      </c>
      <c r="E216"/>
      <c r="F216" t="s">
        <v>753</v>
      </c>
      <c r="G216"/>
      <c r="H216"/>
      <c r="I216" t="str">
        <f t="shared" si="12"/>
        <v>UKExperienceA - Associate</v>
      </c>
      <c r="J216" t="str">
        <f t="shared" si="13"/>
        <v>UKIndiaExperienceA - Associate</v>
      </c>
      <c r="K216" s="711"/>
      <c r="L216" s="711">
        <v>69</v>
      </c>
      <c r="M216" s="711"/>
      <c r="N216" s="711"/>
      <c r="O216" s="711"/>
      <c r="P216" s="711">
        <v>49</v>
      </c>
    </row>
    <row r="217" spans="1:16">
      <c r="A217" t="s">
        <v>247</v>
      </c>
      <c r="B217"/>
      <c r="C217" t="s">
        <v>227</v>
      </c>
      <c r="D217" t="s">
        <v>425</v>
      </c>
      <c r="E217"/>
      <c r="F217" t="s">
        <v>352</v>
      </c>
      <c r="G217"/>
      <c r="H217"/>
      <c r="I217" t="str">
        <f t="shared" si="12"/>
        <v>UKExperienceB - Staff</v>
      </c>
      <c r="J217" t="str">
        <f t="shared" si="13"/>
        <v>UKIndiaExperienceB - Staff</v>
      </c>
      <c r="K217" s="711"/>
      <c r="L217" s="711">
        <v>69</v>
      </c>
      <c r="M217" s="711"/>
      <c r="N217" s="711"/>
      <c r="O217" s="711"/>
      <c r="P217"/>
    </row>
    <row r="218" spans="1:16">
      <c r="A218" t="s">
        <v>247</v>
      </c>
      <c r="B218"/>
      <c r="C218" t="s">
        <v>227</v>
      </c>
      <c r="D218" t="s">
        <v>425</v>
      </c>
      <c r="E218"/>
      <c r="F218" t="s">
        <v>355</v>
      </c>
      <c r="G218"/>
      <c r="H218"/>
      <c r="I218" t="str">
        <f t="shared" si="12"/>
        <v>UKExperienceC - Senior</v>
      </c>
      <c r="J218" t="str">
        <f t="shared" si="13"/>
        <v>UKIndiaExperienceC - Senior</v>
      </c>
      <c r="K218" s="711"/>
      <c r="L218" s="711">
        <v>79</v>
      </c>
      <c r="M218" s="711"/>
      <c r="N218" s="711"/>
      <c r="O218" s="711"/>
      <c r="P218"/>
    </row>
    <row r="219" spans="1:16">
      <c r="A219" t="s">
        <v>247</v>
      </c>
      <c r="B219"/>
      <c r="C219" t="s">
        <v>227</v>
      </c>
      <c r="D219" t="s">
        <v>425</v>
      </c>
      <c r="E219"/>
      <c r="F219" t="s">
        <v>358</v>
      </c>
      <c r="G219"/>
      <c r="H219"/>
      <c r="I219" t="str">
        <f t="shared" si="12"/>
        <v>UKExperienceD - Lead</v>
      </c>
      <c r="J219" t="str">
        <f t="shared" si="13"/>
        <v>UKIndiaExperienceD - Lead</v>
      </c>
      <c r="K219" s="711"/>
      <c r="L219" s="711">
        <v>95</v>
      </c>
      <c r="M219" s="711"/>
      <c r="N219" s="711"/>
      <c r="O219" s="711"/>
      <c r="P219"/>
    </row>
    <row r="220" spans="1:16">
      <c r="A220" t="s">
        <v>247</v>
      </c>
      <c r="B220"/>
      <c r="C220" t="s">
        <v>227</v>
      </c>
      <c r="D220" t="s">
        <v>425</v>
      </c>
      <c r="E220"/>
      <c r="F220" t="s">
        <v>772</v>
      </c>
      <c r="G220"/>
      <c r="H220"/>
      <c r="I220" t="str">
        <f t="shared" si="12"/>
        <v>UKExperienceE - Principal</v>
      </c>
      <c r="J220" t="str">
        <f t="shared" si="13"/>
        <v>UKIndiaExperienceE - Principal</v>
      </c>
      <c r="K220" s="711"/>
      <c r="L220" s="711">
        <v>105</v>
      </c>
      <c r="M220" s="711"/>
      <c r="N220" s="711"/>
      <c r="O220" s="711"/>
      <c r="P220"/>
    </row>
    <row r="221" spans="1:16">
      <c r="A221" t="s">
        <v>247</v>
      </c>
      <c r="B221"/>
      <c r="C221" t="s">
        <v>227</v>
      </c>
      <c r="D221" t="s">
        <v>425</v>
      </c>
      <c r="E221"/>
      <c r="F221" t="s">
        <v>775</v>
      </c>
      <c r="G221"/>
      <c r="H221"/>
      <c r="I221" t="str">
        <f t="shared" si="12"/>
        <v>UKExperienceF - Chief</v>
      </c>
      <c r="J221" t="str">
        <f t="shared" si="13"/>
        <v>UKIndiaExperienceF - Chief</v>
      </c>
      <c r="K221" s="711"/>
      <c r="L221" s="711">
        <v>245</v>
      </c>
      <c r="M221" s="711"/>
      <c r="N221" s="711"/>
      <c r="O221" s="711"/>
      <c r="P221"/>
    </row>
    <row r="222" spans="1:16">
      <c r="A222" t="s">
        <v>247</v>
      </c>
      <c r="B222"/>
      <c r="C222" t="s">
        <v>227</v>
      </c>
      <c r="D222" t="s">
        <v>231</v>
      </c>
      <c r="E222"/>
      <c r="F222" t="s">
        <v>753</v>
      </c>
      <c r="G222"/>
      <c r="H222"/>
      <c r="I222" t="str">
        <f t="shared" si="12"/>
        <v>UKManaged ServicesA - Associate</v>
      </c>
      <c r="J222" t="str">
        <f t="shared" si="13"/>
        <v>UKIndiaManaged ServicesA - Associate</v>
      </c>
      <c r="K222" s="711"/>
      <c r="L222" s="711">
        <v>59</v>
      </c>
      <c r="M222" s="711"/>
      <c r="N222" s="711"/>
      <c r="O222" s="711"/>
      <c r="P222" s="711">
        <v>35</v>
      </c>
    </row>
    <row r="223" spans="1:16">
      <c r="A223" t="s">
        <v>247</v>
      </c>
      <c r="B223"/>
      <c r="C223" t="s">
        <v>227</v>
      </c>
      <c r="D223" t="s">
        <v>231</v>
      </c>
      <c r="E223"/>
      <c r="F223" t="s">
        <v>352</v>
      </c>
      <c r="G223"/>
      <c r="H223"/>
      <c r="I223" t="str">
        <f t="shared" si="12"/>
        <v>UKManaged ServicesB - Staff</v>
      </c>
      <c r="J223" t="str">
        <f t="shared" si="13"/>
        <v>UKIndiaManaged ServicesB - Staff</v>
      </c>
      <c r="K223" s="711"/>
      <c r="L223" s="711">
        <v>59</v>
      </c>
      <c r="M223" s="711"/>
      <c r="N223" s="711"/>
      <c r="O223" s="711"/>
      <c r="P223"/>
    </row>
    <row r="224" spans="1:16">
      <c r="A224" t="s">
        <v>247</v>
      </c>
      <c r="B224"/>
      <c r="C224" t="s">
        <v>227</v>
      </c>
      <c r="D224" t="s">
        <v>231</v>
      </c>
      <c r="E224"/>
      <c r="F224" t="s">
        <v>355</v>
      </c>
      <c r="G224"/>
      <c r="H224"/>
      <c r="I224" t="str">
        <f t="shared" si="12"/>
        <v>UKManaged ServicesC - Senior</v>
      </c>
      <c r="J224" t="str">
        <f t="shared" si="13"/>
        <v>UKIndiaManaged ServicesC - Senior</v>
      </c>
      <c r="K224" s="711"/>
      <c r="L224" s="711">
        <v>65</v>
      </c>
      <c r="M224" s="711"/>
      <c r="N224" s="711"/>
      <c r="O224" s="711"/>
      <c r="P224"/>
    </row>
    <row r="225" spans="1:16">
      <c r="A225" t="s">
        <v>247</v>
      </c>
      <c r="B225"/>
      <c r="C225" t="s">
        <v>227</v>
      </c>
      <c r="D225" t="s">
        <v>231</v>
      </c>
      <c r="E225"/>
      <c r="F225" t="s">
        <v>358</v>
      </c>
      <c r="G225"/>
      <c r="H225"/>
      <c r="I225" t="str">
        <f t="shared" si="12"/>
        <v>UKManaged ServicesD - Lead</v>
      </c>
      <c r="J225" t="str">
        <f t="shared" si="13"/>
        <v>UKIndiaManaged ServicesD - Lead</v>
      </c>
      <c r="K225" s="711"/>
      <c r="L225" s="711">
        <v>75</v>
      </c>
      <c r="M225" s="711"/>
      <c r="N225" s="711"/>
      <c r="O225" s="711"/>
      <c r="P225"/>
    </row>
    <row r="226" spans="1:16">
      <c r="A226" t="s">
        <v>247</v>
      </c>
      <c r="B226"/>
      <c r="C226" t="s">
        <v>227</v>
      </c>
      <c r="D226" t="s">
        <v>231</v>
      </c>
      <c r="E226"/>
      <c r="F226" t="s">
        <v>772</v>
      </c>
      <c r="G226"/>
      <c r="H226"/>
      <c r="I226" t="str">
        <f t="shared" si="12"/>
        <v>UKManaged ServicesE - Principal</v>
      </c>
      <c r="J226" t="str">
        <f t="shared" si="13"/>
        <v>UKIndiaManaged ServicesE - Principal</v>
      </c>
      <c r="K226" s="711"/>
      <c r="L226" s="711">
        <v>79</v>
      </c>
      <c r="M226" s="711"/>
      <c r="N226" s="711"/>
      <c r="O226" s="711"/>
      <c r="P226"/>
    </row>
    <row r="227" spans="1:16">
      <c r="A227" t="s">
        <v>247</v>
      </c>
      <c r="B227"/>
      <c r="C227" t="s">
        <v>227</v>
      </c>
      <c r="D227" t="s">
        <v>231</v>
      </c>
      <c r="E227"/>
      <c r="F227" t="s">
        <v>775</v>
      </c>
      <c r="G227"/>
      <c r="H227"/>
      <c r="I227" t="str">
        <f t="shared" si="12"/>
        <v>UKManaged ServicesF - Chief</v>
      </c>
      <c r="J227" t="str">
        <f t="shared" si="13"/>
        <v>UKIndiaManaged ServicesF - Chief</v>
      </c>
      <c r="K227" s="711"/>
      <c r="L227" s="711">
        <v>219</v>
      </c>
      <c r="M227" s="711"/>
      <c r="N227" s="711"/>
      <c r="O227" s="711"/>
      <c r="P227"/>
    </row>
    <row r="228" spans="1:16">
      <c r="A228" t="s">
        <v>247</v>
      </c>
      <c r="B228"/>
      <c r="C228" t="s">
        <v>227</v>
      </c>
      <c r="D228" t="s">
        <v>777</v>
      </c>
      <c r="E228"/>
      <c r="F228" t="s">
        <v>753</v>
      </c>
      <c r="G228"/>
      <c r="H228"/>
      <c r="I228" t="str">
        <f t="shared" si="12"/>
        <v>UKPublic SectorA - Associate</v>
      </c>
      <c r="J228" t="str">
        <f t="shared" si="13"/>
        <v>UKIndiaPublic SectorA - Associate</v>
      </c>
      <c r="K228" s="711"/>
      <c r="L228" s="711">
        <v>59</v>
      </c>
      <c r="M228" s="711"/>
      <c r="N228" s="711"/>
      <c r="O228" s="711"/>
      <c r="P228" s="711">
        <v>35</v>
      </c>
    </row>
    <row r="229" spans="1:16">
      <c r="A229" t="s">
        <v>247</v>
      </c>
      <c r="B229"/>
      <c r="C229" t="s">
        <v>227</v>
      </c>
      <c r="D229" t="s">
        <v>777</v>
      </c>
      <c r="E229"/>
      <c r="F229" t="s">
        <v>352</v>
      </c>
      <c r="G229"/>
      <c r="H229"/>
      <c r="I229" t="str">
        <f t="shared" si="12"/>
        <v>UKPublic SectorB - Staff</v>
      </c>
      <c r="J229" t="str">
        <f t="shared" si="13"/>
        <v>UKIndiaPublic SectorB - Staff</v>
      </c>
      <c r="K229" s="711"/>
      <c r="L229" s="711">
        <v>59</v>
      </c>
      <c r="M229" s="711"/>
      <c r="N229" s="711"/>
      <c r="O229" s="711"/>
      <c r="P229"/>
    </row>
    <row r="230" spans="1:16">
      <c r="A230" t="s">
        <v>247</v>
      </c>
      <c r="B230"/>
      <c r="C230" t="s">
        <v>227</v>
      </c>
      <c r="D230" t="s">
        <v>777</v>
      </c>
      <c r="E230"/>
      <c r="F230" t="s">
        <v>355</v>
      </c>
      <c r="G230"/>
      <c r="H230"/>
      <c r="I230" t="str">
        <f t="shared" si="12"/>
        <v>UKPublic SectorC - Senior</v>
      </c>
      <c r="J230" t="str">
        <f t="shared" si="13"/>
        <v>UKIndiaPublic SectorC - Senior</v>
      </c>
      <c r="K230" s="711"/>
      <c r="L230" s="711">
        <v>65</v>
      </c>
      <c r="M230" s="711"/>
      <c r="N230" s="711"/>
      <c r="O230" s="711"/>
      <c r="P230"/>
    </row>
    <row r="231" spans="1:16">
      <c r="A231" t="s">
        <v>247</v>
      </c>
      <c r="B231"/>
      <c r="C231" t="s">
        <v>227</v>
      </c>
      <c r="D231" t="s">
        <v>777</v>
      </c>
      <c r="E231"/>
      <c r="F231" t="s">
        <v>358</v>
      </c>
      <c r="G231"/>
      <c r="H231"/>
      <c r="I231" t="str">
        <f t="shared" si="12"/>
        <v>UKPublic SectorD - Lead</v>
      </c>
      <c r="J231" t="str">
        <f t="shared" si="13"/>
        <v>UKIndiaPublic SectorD - Lead</v>
      </c>
      <c r="K231" s="711"/>
      <c r="L231" s="711">
        <v>75</v>
      </c>
      <c r="M231" s="711"/>
      <c r="N231" s="711"/>
      <c r="O231" s="711"/>
      <c r="P231"/>
    </row>
    <row r="232" spans="1:16">
      <c r="A232" t="s">
        <v>247</v>
      </c>
      <c r="B232"/>
      <c r="C232" t="s">
        <v>227</v>
      </c>
      <c r="D232" t="s">
        <v>777</v>
      </c>
      <c r="E232"/>
      <c r="F232" t="s">
        <v>772</v>
      </c>
      <c r="G232"/>
      <c r="H232"/>
      <c r="I232" t="str">
        <f t="shared" si="12"/>
        <v>UKPublic SectorE - Principal</v>
      </c>
      <c r="J232" t="str">
        <f t="shared" si="13"/>
        <v>UKIndiaPublic SectorE - Principal</v>
      </c>
      <c r="K232" s="711"/>
      <c r="L232" s="711">
        <v>79</v>
      </c>
      <c r="M232" s="711"/>
      <c r="N232" s="711"/>
      <c r="O232" s="711"/>
      <c r="P232"/>
    </row>
    <row r="233" spans="1:16">
      <c r="A233" t="s">
        <v>247</v>
      </c>
      <c r="B233"/>
      <c r="C233" t="s">
        <v>227</v>
      </c>
      <c r="D233" t="s">
        <v>777</v>
      </c>
      <c r="E233"/>
      <c r="F233" t="s">
        <v>775</v>
      </c>
      <c r="G233"/>
      <c r="H233"/>
      <c r="I233" t="str">
        <f t="shared" si="12"/>
        <v>UKPublic SectorF - Chief</v>
      </c>
      <c r="J233" t="str">
        <f t="shared" si="13"/>
        <v>UKIndiaPublic SectorF - Chief</v>
      </c>
      <c r="K233" s="711"/>
      <c r="L233" s="711">
        <v>219</v>
      </c>
      <c r="M233" s="711"/>
      <c r="N233" s="711"/>
      <c r="O233" s="711"/>
      <c r="P233"/>
    </row>
    <row r="234" spans="1:16">
      <c r="A234" t="s">
        <v>247</v>
      </c>
      <c r="B234"/>
      <c r="C234" t="s">
        <v>227</v>
      </c>
      <c r="D234" t="s">
        <v>780</v>
      </c>
      <c r="E234"/>
      <c r="F234" t="s">
        <v>753</v>
      </c>
      <c r="G234"/>
      <c r="H234"/>
      <c r="I234" t="str">
        <f t="shared" si="12"/>
        <v>UKRisk and ResilienceA - Associate</v>
      </c>
      <c r="J234" t="str">
        <f t="shared" si="13"/>
        <v>UKIndiaRisk and ResilienceA - Associate</v>
      </c>
      <c r="K234" s="711"/>
      <c r="L234" s="711">
        <v>65</v>
      </c>
      <c r="M234" s="711"/>
      <c r="N234" s="711"/>
      <c r="O234" s="711"/>
      <c r="P234" s="711">
        <v>45</v>
      </c>
    </row>
    <row r="235" spans="1:16">
      <c r="A235" t="s">
        <v>247</v>
      </c>
      <c r="B235"/>
      <c r="C235" t="s">
        <v>227</v>
      </c>
      <c r="D235" t="s">
        <v>780</v>
      </c>
      <c r="E235"/>
      <c r="F235" t="s">
        <v>352</v>
      </c>
      <c r="G235"/>
      <c r="H235"/>
      <c r="I235" t="str">
        <f t="shared" si="12"/>
        <v>UKRisk and ResilienceB - Staff</v>
      </c>
      <c r="J235" t="str">
        <f t="shared" si="13"/>
        <v>UKIndiaRisk and ResilienceB - Staff</v>
      </c>
      <c r="K235" s="711"/>
      <c r="L235" s="711">
        <v>65</v>
      </c>
      <c r="M235" s="711"/>
      <c r="N235" s="711"/>
      <c r="O235" s="711"/>
      <c r="P235"/>
    </row>
    <row r="236" spans="1:16">
      <c r="A236" t="s">
        <v>247</v>
      </c>
      <c r="B236"/>
      <c r="C236" t="s">
        <v>227</v>
      </c>
      <c r="D236" t="s">
        <v>780</v>
      </c>
      <c r="E236"/>
      <c r="F236" t="s">
        <v>355</v>
      </c>
      <c r="G236"/>
      <c r="H236"/>
      <c r="I236" t="str">
        <f t="shared" si="12"/>
        <v>UKRisk and ResilienceC - Senior</v>
      </c>
      <c r="J236" t="str">
        <f t="shared" si="13"/>
        <v>UKIndiaRisk and ResilienceC - Senior</v>
      </c>
      <c r="K236" s="711"/>
      <c r="L236" s="711">
        <v>75</v>
      </c>
      <c r="M236" s="711"/>
      <c r="N236" s="711"/>
      <c r="O236" s="711"/>
      <c r="P236"/>
    </row>
    <row r="237" spans="1:16">
      <c r="A237" t="s">
        <v>247</v>
      </c>
      <c r="B237"/>
      <c r="C237" t="s">
        <v>227</v>
      </c>
      <c r="D237" t="s">
        <v>780</v>
      </c>
      <c r="E237"/>
      <c r="F237" t="s">
        <v>358</v>
      </c>
      <c r="G237"/>
      <c r="H237"/>
      <c r="I237" t="str">
        <f t="shared" si="12"/>
        <v>UKRisk and ResilienceD - Lead</v>
      </c>
      <c r="J237" t="str">
        <f t="shared" si="13"/>
        <v>UKIndiaRisk and ResilienceD - Lead</v>
      </c>
      <c r="K237" s="711"/>
      <c r="L237" s="711">
        <v>89</v>
      </c>
      <c r="M237" s="711"/>
      <c r="N237" s="711"/>
      <c r="O237" s="711"/>
      <c r="P237"/>
    </row>
    <row r="238" spans="1:16">
      <c r="A238" t="s">
        <v>247</v>
      </c>
      <c r="B238"/>
      <c r="C238" t="s">
        <v>227</v>
      </c>
      <c r="D238" t="s">
        <v>780</v>
      </c>
      <c r="E238"/>
      <c r="F238" t="s">
        <v>772</v>
      </c>
      <c r="G238"/>
      <c r="H238"/>
      <c r="I238" t="str">
        <f t="shared" si="12"/>
        <v>UKRisk and ResilienceE - Principal</v>
      </c>
      <c r="J238" t="str">
        <f t="shared" si="13"/>
        <v>UKIndiaRisk and ResilienceE - Principal</v>
      </c>
      <c r="K238" s="711"/>
      <c r="L238" s="711">
        <v>95</v>
      </c>
      <c r="M238" s="711"/>
      <c r="N238" s="711"/>
      <c r="O238" s="711"/>
      <c r="P238"/>
    </row>
    <row r="239" spans="1:16">
      <c r="A239" t="s">
        <v>247</v>
      </c>
      <c r="B239"/>
      <c r="C239" t="s">
        <v>227</v>
      </c>
      <c r="D239" t="s">
        <v>780</v>
      </c>
      <c r="E239"/>
      <c r="F239" t="s">
        <v>775</v>
      </c>
      <c r="G239"/>
      <c r="H239"/>
      <c r="I239" t="str">
        <f t="shared" ref="I239:I302" si="14">A239&amp;B239&amp;D239&amp;E239&amp;F239&amp;G239</f>
        <v>UKRisk and ResilienceF - Chief</v>
      </c>
      <c r="J239" t="str">
        <f t="shared" si="13"/>
        <v>UKIndiaRisk and ResilienceF - Chief</v>
      </c>
      <c r="K239" s="711"/>
      <c r="L239" s="711">
        <v>235</v>
      </c>
      <c r="M239" s="711"/>
      <c r="N239" s="711"/>
      <c r="O239" s="711"/>
      <c r="P239"/>
    </row>
    <row r="240" spans="1:16">
      <c r="A240" t="s">
        <v>247</v>
      </c>
      <c r="B240"/>
      <c r="C240" t="s">
        <v>227</v>
      </c>
      <c r="D240" t="s">
        <v>399</v>
      </c>
      <c r="E240"/>
      <c r="F240" t="s">
        <v>753</v>
      </c>
      <c r="G240"/>
      <c r="H240"/>
      <c r="I240" t="str">
        <f t="shared" si="14"/>
        <v>UKTechnologyA - Associate</v>
      </c>
      <c r="J240" t="str">
        <f t="shared" si="13"/>
        <v>UKIndiaTechnologyA - Associate</v>
      </c>
      <c r="K240" s="711"/>
      <c r="L240" s="711">
        <v>59</v>
      </c>
      <c r="M240" s="711"/>
      <c r="N240" s="711"/>
      <c r="O240" s="711"/>
      <c r="P240" s="711">
        <v>35</v>
      </c>
    </row>
    <row r="241" spans="1:16">
      <c r="A241" t="s">
        <v>247</v>
      </c>
      <c r="B241"/>
      <c r="C241" t="s">
        <v>227</v>
      </c>
      <c r="D241" t="s">
        <v>399</v>
      </c>
      <c r="E241"/>
      <c r="F241" t="s">
        <v>352</v>
      </c>
      <c r="G241"/>
      <c r="H241"/>
      <c r="I241" t="str">
        <f t="shared" si="14"/>
        <v>UKTechnologyB - Staff</v>
      </c>
      <c r="J241" t="str">
        <f t="shared" si="13"/>
        <v>UKIndiaTechnologyB - Staff</v>
      </c>
      <c r="K241" s="711"/>
      <c r="L241" s="711">
        <v>59</v>
      </c>
      <c r="M241" s="711"/>
      <c r="N241" s="711"/>
      <c r="O241" s="711"/>
      <c r="P241"/>
    </row>
    <row r="242" spans="1:16">
      <c r="A242" t="s">
        <v>247</v>
      </c>
      <c r="B242"/>
      <c r="C242" t="s">
        <v>227</v>
      </c>
      <c r="D242" t="s">
        <v>399</v>
      </c>
      <c r="E242"/>
      <c r="F242" t="s">
        <v>355</v>
      </c>
      <c r="G242"/>
      <c r="H242"/>
      <c r="I242" t="str">
        <f t="shared" si="14"/>
        <v>UKTechnologyC - Senior</v>
      </c>
      <c r="J242" t="str">
        <f t="shared" si="13"/>
        <v>UKIndiaTechnologyC - Senior</v>
      </c>
      <c r="K242" s="711"/>
      <c r="L242" s="711">
        <v>65</v>
      </c>
      <c r="M242" s="711"/>
      <c r="N242" s="711"/>
      <c r="O242" s="711"/>
      <c r="P242"/>
    </row>
    <row r="243" spans="1:16">
      <c r="A243" t="s">
        <v>247</v>
      </c>
      <c r="B243"/>
      <c r="C243" t="s">
        <v>227</v>
      </c>
      <c r="D243" t="s">
        <v>399</v>
      </c>
      <c r="E243"/>
      <c r="F243" t="s">
        <v>358</v>
      </c>
      <c r="G243"/>
      <c r="H243"/>
      <c r="I243" t="str">
        <f t="shared" si="14"/>
        <v>UKTechnologyD - Lead</v>
      </c>
      <c r="J243" t="str">
        <f t="shared" si="13"/>
        <v>UKIndiaTechnologyD - Lead</v>
      </c>
      <c r="K243" s="711"/>
      <c r="L243" s="711">
        <v>75</v>
      </c>
      <c r="M243" s="711"/>
      <c r="N243" s="711"/>
      <c r="O243" s="711"/>
      <c r="P243"/>
    </row>
    <row r="244" spans="1:16">
      <c r="A244" t="s">
        <v>247</v>
      </c>
      <c r="B244"/>
      <c r="C244" t="s">
        <v>227</v>
      </c>
      <c r="D244" t="s">
        <v>399</v>
      </c>
      <c r="E244"/>
      <c r="F244" t="s">
        <v>772</v>
      </c>
      <c r="G244"/>
      <c r="H244"/>
      <c r="I244" t="str">
        <f t="shared" si="14"/>
        <v>UKTechnologyE - Principal</v>
      </c>
      <c r="J244" t="str">
        <f t="shared" si="13"/>
        <v>UKIndiaTechnologyE - Principal</v>
      </c>
      <c r="K244" s="711"/>
      <c r="L244" s="711">
        <v>79</v>
      </c>
      <c r="M244" s="711"/>
      <c r="N244" s="711"/>
      <c r="O244" s="711"/>
      <c r="P244"/>
    </row>
    <row r="245" spans="1:16">
      <c r="A245" t="s">
        <v>247</v>
      </c>
      <c r="B245"/>
      <c r="C245" t="s">
        <v>227</v>
      </c>
      <c r="D245" t="s">
        <v>399</v>
      </c>
      <c r="E245"/>
      <c r="F245" t="s">
        <v>775</v>
      </c>
      <c r="G245"/>
      <c r="H245"/>
      <c r="I245" t="str">
        <f t="shared" si="14"/>
        <v>UKTechnologyF - Chief</v>
      </c>
      <c r="J245" t="str">
        <f t="shared" si="13"/>
        <v>UKIndiaTechnologyF - Chief</v>
      </c>
      <c r="K245" s="711"/>
      <c r="L245" s="711">
        <v>219</v>
      </c>
      <c r="M245" s="711"/>
      <c r="N245" s="711"/>
      <c r="O245" s="711"/>
      <c r="P245"/>
    </row>
    <row r="246" spans="1:16">
      <c r="A246" t="s">
        <v>247</v>
      </c>
      <c r="B246"/>
      <c r="C246" t="s">
        <v>227</v>
      </c>
      <c r="D246" t="s">
        <v>360</v>
      </c>
      <c r="E246"/>
      <c r="F246" t="s">
        <v>753</v>
      </c>
      <c r="G246"/>
      <c r="H246"/>
      <c r="I246" t="str">
        <f t="shared" si="14"/>
        <v>UKPMOA - Associate</v>
      </c>
      <c r="J246" t="str">
        <f t="shared" si="13"/>
        <v>UKIndiaPMOA - Associate</v>
      </c>
      <c r="K246" s="711"/>
      <c r="L246" s="711">
        <v>59</v>
      </c>
      <c r="M246" s="711"/>
      <c r="N246" s="711"/>
      <c r="O246" s="711"/>
      <c r="P246" s="711">
        <v>35</v>
      </c>
    </row>
    <row r="247" spans="1:16">
      <c r="A247" t="s">
        <v>247</v>
      </c>
      <c r="B247"/>
      <c r="C247" t="s">
        <v>227</v>
      </c>
      <c r="D247" t="s">
        <v>360</v>
      </c>
      <c r="E247"/>
      <c r="F247" t="s">
        <v>352</v>
      </c>
      <c r="G247"/>
      <c r="H247"/>
      <c r="I247" t="str">
        <f t="shared" si="14"/>
        <v>UKPMOB - Staff</v>
      </c>
      <c r="J247" t="str">
        <f t="shared" si="13"/>
        <v>UKIndiaPMOB - Staff</v>
      </c>
      <c r="K247" s="711"/>
      <c r="L247" s="711">
        <v>59</v>
      </c>
      <c r="M247" s="711"/>
      <c r="N247" s="711"/>
      <c r="O247" s="711"/>
      <c r="P247"/>
    </row>
    <row r="248" spans="1:16">
      <c r="A248" t="s">
        <v>247</v>
      </c>
      <c r="B248"/>
      <c r="C248" t="s">
        <v>227</v>
      </c>
      <c r="D248" t="s">
        <v>360</v>
      </c>
      <c r="E248"/>
      <c r="F248" t="s">
        <v>355</v>
      </c>
      <c r="G248"/>
      <c r="H248"/>
      <c r="I248" t="str">
        <f t="shared" si="14"/>
        <v>UKPMOC - Senior</v>
      </c>
      <c r="J248" t="str">
        <f t="shared" si="13"/>
        <v>UKIndiaPMOC - Senior</v>
      </c>
      <c r="K248" s="711"/>
      <c r="L248" s="711">
        <v>65</v>
      </c>
      <c r="M248" s="711"/>
      <c r="N248" s="711"/>
      <c r="O248" s="711"/>
      <c r="P248"/>
    </row>
    <row r="249" spans="1:16">
      <c r="A249" t="s">
        <v>247</v>
      </c>
      <c r="B249"/>
      <c r="C249" t="s">
        <v>227</v>
      </c>
      <c r="D249" t="s">
        <v>360</v>
      </c>
      <c r="E249"/>
      <c r="F249" t="s">
        <v>358</v>
      </c>
      <c r="G249"/>
      <c r="H249"/>
      <c r="I249" t="str">
        <f t="shared" si="14"/>
        <v>UKPMOD - Lead</v>
      </c>
      <c r="J249" t="str">
        <f t="shared" si="13"/>
        <v>UKIndiaPMOD - Lead</v>
      </c>
      <c r="K249" s="711"/>
      <c r="L249" s="711">
        <v>75</v>
      </c>
      <c r="M249" s="711"/>
      <c r="N249" s="711"/>
      <c r="O249" s="711"/>
      <c r="P249"/>
    </row>
    <row r="250" spans="1:16">
      <c r="A250" t="s">
        <v>247</v>
      </c>
      <c r="B250"/>
      <c r="C250" t="s">
        <v>227</v>
      </c>
      <c r="D250" t="s">
        <v>360</v>
      </c>
      <c r="E250"/>
      <c r="F250" t="s">
        <v>772</v>
      </c>
      <c r="G250"/>
      <c r="H250"/>
      <c r="I250" t="str">
        <f t="shared" si="14"/>
        <v>UKPMOE - Principal</v>
      </c>
      <c r="J250" t="str">
        <f t="shared" si="13"/>
        <v>UKIndiaPMOE - Principal</v>
      </c>
      <c r="K250" s="711"/>
      <c r="L250" s="711">
        <v>79</v>
      </c>
      <c r="M250" s="711"/>
      <c r="N250" s="711"/>
      <c r="O250" s="711"/>
      <c r="P250"/>
    </row>
    <row r="251" spans="1:16">
      <c r="A251" t="s">
        <v>247</v>
      </c>
      <c r="B251"/>
      <c r="C251" t="s">
        <v>227</v>
      </c>
      <c r="D251" t="s">
        <v>360</v>
      </c>
      <c r="E251"/>
      <c r="F251" t="s">
        <v>775</v>
      </c>
      <c r="G251"/>
      <c r="H251"/>
      <c r="I251" t="str">
        <f t="shared" si="14"/>
        <v>UKPMOF - Chief</v>
      </c>
      <c r="J251" t="str">
        <f t="shared" si="13"/>
        <v>UKIndiaPMOF - Chief</v>
      </c>
      <c r="K251" s="711"/>
      <c r="L251" s="711">
        <v>219</v>
      </c>
      <c r="M251" s="711"/>
      <c r="N251" s="711"/>
      <c r="O251" s="711"/>
      <c r="P251"/>
    </row>
    <row r="252" spans="1:16">
      <c r="A252" t="s">
        <v>227</v>
      </c>
      <c r="B252"/>
      <c r="C252"/>
      <c r="D252" t="s">
        <v>750</v>
      </c>
      <c r="E252" t="s">
        <v>779</v>
      </c>
      <c r="F252" t="s">
        <v>355</v>
      </c>
      <c r="G252"/>
      <c r="H252"/>
      <c r="I252" t="str">
        <f t="shared" si="14"/>
        <v>IndiaAdvisoryEnablementC - Senior</v>
      </c>
      <c r="J252" t="str">
        <f t="shared" si="13"/>
        <v>IndiaAdvisoryEnablementC - Senior</v>
      </c>
      <c r="K252" s="711"/>
      <c r="L252" s="711">
        <v>6800</v>
      </c>
      <c r="M252" s="711"/>
      <c r="N252" s="711"/>
      <c r="O252" s="711"/>
      <c r="P252"/>
    </row>
    <row r="253" spans="1:16">
      <c r="A253" t="s">
        <v>227</v>
      </c>
      <c r="B253"/>
      <c r="C253"/>
      <c r="D253" t="s">
        <v>750</v>
      </c>
      <c r="E253" t="s">
        <v>764</v>
      </c>
      <c r="F253" t="s">
        <v>358</v>
      </c>
      <c r="G253"/>
      <c r="H253"/>
      <c r="I253" t="str">
        <f t="shared" si="14"/>
        <v>IndiaAdvisoryChange ManagementD - Lead</v>
      </c>
      <c r="J253" t="str">
        <f t="shared" si="13"/>
        <v>IndiaAdvisoryChange ManagementD - Lead</v>
      </c>
      <c r="K253" s="711"/>
      <c r="L253" s="711">
        <v>7500</v>
      </c>
      <c r="M253" s="711"/>
      <c r="N253" s="711"/>
      <c r="O253" s="711"/>
      <c r="P253"/>
    </row>
    <row r="254" spans="1:16">
      <c r="A254" t="s">
        <v>227</v>
      </c>
      <c r="B254"/>
      <c r="C254"/>
      <c r="D254" t="s">
        <v>750</v>
      </c>
      <c r="E254" t="s">
        <v>784</v>
      </c>
      <c r="F254" t="s">
        <v>355</v>
      </c>
      <c r="G254"/>
      <c r="H254"/>
      <c r="I254" t="str">
        <f t="shared" si="14"/>
        <v>IndiaAdvisoryStrategyC - Senior</v>
      </c>
      <c r="J254" t="str">
        <f t="shared" si="13"/>
        <v>IndiaAdvisoryStrategyC - Senior</v>
      </c>
      <c r="K254" s="711"/>
      <c r="L254" s="711">
        <v>8300</v>
      </c>
      <c r="M254" s="711"/>
      <c r="N254" s="711"/>
      <c r="O254" s="711"/>
      <c r="P254"/>
    </row>
    <row r="255" spans="1:16">
      <c r="A255" t="s">
        <v>227</v>
      </c>
      <c r="B255"/>
      <c r="C255"/>
      <c r="D255" t="s">
        <v>750</v>
      </c>
      <c r="E255" t="s">
        <v>784</v>
      </c>
      <c r="F255" t="s">
        <v>358</v>
      </c>
      <c r="G255"/>
      <c r="H255"/>
      <c r="I255" t="str">
        <f t="shared" si="14"/>
        <v>IndiaAdvisoryStrategyD - Lead</v>
      </c>
      <c r="J255" t="str">
        <f t="shared" si="13"/>
        <v>IndiaAdvisoryStrategyD - Lead</v>
      </c>
      <c r="K255" s="711"/>
      <c r="L255" s="711">
        <v>9800</v>
      </c>
      <c r="M255" s="711"/>
      <c r="N255" s="711"/>
      <c r="O255" s="711"/>
      <c r="P255"/>
    </row>
    <row r="256" spans="1:16">
      <c r="A256" t="s">
        <v>227</v>
      </c>
      <c r="B256"/>
      <c r="C256"/>
      <c r="D256" t="s">
        <v>750</v>
      </c>
      <c r="E256" t="s">
        <v>784</v>
      </c>
      <c r="F256" t="s">
        <v>772</v>
      </c>
      <c r="G256"/>
      <c r="H256"/>
      <c r="I256" t="str">
        <f t="shared" si="14"/>
        <v>IndiaAdvisoryStrategyE - Principal</v>
      </c>
      <c r="J256" t="str">
        <f t="shared" si="13"/>
        <v>IndiaAdvisoryStrategyE - Principal</v>
      </c>
      <c r="K256" s="711"/>
      <c r="L256" s="711">
        <v>10600</v>
      </c>
      <c r="M256" s="711"/>
      <c r="N256" s="711"/>
      <c r="O256" s="711"/>
      <c r="P256"/>
    </row>
    <row r="257" spans="1:16">
      <c r="A257" t="s">
        <v>227</v>
      </c>
      <c r="B257"/>
      <c r="C257"/>
      <c r="D257" t="s">
        <v>750</v>
      </c>
      <c r="E257" t="s">
        <v>784</v>
      </c>
      <c r="F257" t="s">
        <v>775</v>
      </c>
      <c r="G257"/>
      <c r="H257"/>
      <c r="I257" t="str">
        <f t="shared" si="14"/>
        <v>IndiaAdvisoryStrategyF - Chief</v>
      </c>
      <c r="J257" t="str">
        <f t="shared" si="13"/>
        <v>IndiaAdvisoryStrategyF - Chief</v>
      </c>
      <c r="K257" s="711"/>
      <c r="L257" s="711">
        <v>25100</v>
      </c>
      <c r="M257" s="711"/>
      <c r="N257" s="711"/>
      <c r="O257" s="711"/>
      <c r="P257"/>
    </row>
    <row r="258" spans="1:16">
      <c r="A258" t="s">
        <v>227</v>
      </c>
      <c r="B258"/>
      <c r="C258"/>
      <c r="D258" t="s">
        <v>404</v>
      </c>
      <c r="E258"/>
      <c r="F258" t="s">
        <v>753</v>
      </c>
      <c r="G258"/>
      <c r="H258"/>
      <c r="I258" t="str">
        <f t="shared" si="14"/>
        <v>IndiaCustomerA - Associate</v>
      </c>
      <c r="J258" t="str">
        <f t="shared" si="13"/>
        <v>IndiaCustomerA - Associate</v>
      </c>
      <c r="K258" s="711"/>
      <c r="L258" s="711">
        <v>6500</v>
      </c>
      <c r="M258" s="711"/>
      <c r="N258" s="711"/>
      <c r="O258" s="711"/>
      <c r="P258" s="711">
        <v>4200</v>
      </c>
    </row>
    <row r="259" spans="1:16">
      <c r="A259" t="s">
        <v>227</v>
      </c>
      <c r="B259"/>
      <c r="C259"/>
      <c r="D259" t="s">
        <v>404</v>
      </c>
      <c r="E259"/>
      <c r="F259" t="s">
        <v>352</v>
      </c>
      <c r="G259"/>
      <c r="H259"/>
      <c r="I259" t="str">
        <f t="shared" si="14"/>
        <v>IndiaCustomerB - Staff</v>
      </c>
      <c r="J259" t="str">
        <f t="shared" si="13"/>
        <v>IndiaCustomerB - Staff</v>
      </c>
      <c r="K259" s="711"/>
      <c r="L259" s="711">
        <v>6500</v>
      </c>
      <c r="M259" s="711"/>
      <c r="N259" s="711"/>
      <c r="O259" s="711"/>
      <c r="P259"/>
    </row>
    <row r="260" spans="1:16">
      <c r="A260" t="s">
        <v>227</v>
      </c>
      <c r="B260"/>
      <c r="C260"/>
      <c r="D260" t="s">
        <v>404</v>
      </c>
      <c r="E260"/>
      <c r="F260" t="s">
        <v>355</v>
      </c>
      <c r="G260"/>
      <c r="H260"/>
      <c r="I260" t="str">
        <f t="shared" si="14"/>
        <v>IndiaCustomerC - Senior</v>
      </c>
      <c r="J260" t="str">
        <f t="shared" si="13"/>
        <v>IndiaCustomerC - Senior</v>
      </c>
      <c r="K260" s="711"/>
      <c r="L260" s="711">
        <v>7200</v>
      </c>
      <c r="M260" s="711"/>
      <c r="N260" s="711"/>
      <c r="O260" s="711"/>
      <c r="P260"/>
    </row>
    <row r="261" spans="1:16">
      <c r="A261" t="s">
        <v>227</v>
      </c>
      <c r="B261"/>
      <c r="C261"/>
      <c r="D261" t="s">
        <v>404</v>
      </c>
      <c r="E261"/>
      <c r="F261" t="s">
        <v>358</v>
      </c>
      <c r="G261"/>
      <c r="H261"/>
      <c r="I261" t="str">
        <f t="shared" si="14"/>
        <v>IndiaCustomerD - Lead</v>
      </c>
      <c r="J261" t="str">
        <f t="shared" si="13"/>
        <v>IndiaCustomerD - Lead</v>
      </c>
      <c r="K261" s="711"/>
      <c r="L261" s="711">
        <v>8300</v>
      </c>
      <c r="M261" s="711"/>
      <c r="N261" s="711"/>
      <c r="O261" s="711"/>
      <c r="P261"/>
    </row>
    <row r="262" spans="1:16">
      <c r="A262" t="s">
        <v>227</v>
      </c>
      <c r="B262"/>
      <c r="C262"/>
      <c r="D262" t="s">
        <v>404</v>
      </c>
      <c r="E262"/>
      <c r="F262" t="s">
        <v>772</v>
      </c>
      <c r="G262"/>
      <c r="H262"/>
      <c r="I262" t="str">
        <f t="shared" si="14"/>
        <v>IndiaCustomerE - Principal</v>
      </c>
      <c r="J262" t="str">
        <f t="shared" si="13"/>
        <v>IndiaCustomerE - Principal</v>
      </c>
      <c r="K262" s="711"/>
      <c r="L262" s="711">
        <v>9100</v>
      </c>
      <c r="M262" s="711"/>
      <c r="N262" s="711"/>
      <c r="O262" s="711"/>
      <c r="P262"/>
    </row>
    <row r="263" spans="1:16">
      <c r="A263" t="s">
        <v>227</v>
      </c>
      <c r="B263"/>
      <c r="C263"/>
      <c r="D263" t="s">
        <v>404</v>
      </c>
      <c r="E263"/>
      <c r="F263" t="s">
        <v>775</v>
      </c>
      <c r="G263"/>
      <c r="H263"/>
      <c r="I263" t="str">
        <f t="shared" si="14"/>
        <v>IndiaCustomerF - Chief</v>
      </c>
      <c r="J263" t="str">
        <f t="shared" si="13"/>
        <v>IndiaCustomerF - Chief</v>
      </c>
      <c r="K263" s="711"/>
      <c r="L263" s="711">
        <v>22800</v>
      </c>
      <c r="M263" s="711"/>
      <c r="N263" s="711"/>
      <c r="O263" s="711"/>
      <c r="P263"/>
    </row>
    <row r="264" spans="1:16">
      <c r="A264" t="s">
        <v>227</v>
      </c>
      <c r="B264"/>
      <c r="C264"/>
      <c r="D264" t="s">
        <v>761</v>
      </c>
      <c r="E264"/>
      <c r="F264" t="s">
        <v>753</v>
      </c>
      <c r="G264"/>
      <c r="H264"/>
      <c r="I264" t="str">
        <f t="shared" si="14"/>
        <v>IndiaEmployeeA - Associate</v>
      </c>
      <c r="J264" t="str">
        <f t="shared" si="13"/>
        <v>IndiaEmployeeA - Associate</v>
      </c>
      <c r="K264" s="711"/>
      <c r="L264" s="711">
        <v>6500</v>
      </c>
      <c r="M264" s="711"/>
      <c r="N264" s="711"/>
      <c r="O264" s="711"/>
      <c r="P264" s="711">
        <v>4200</v>
      </c>
    </row>
    <row r="265" spans="1:16">
      <c r="A265" t="s">
        <v>227</v>
      </c>
      <c r="B265"/>
      <c r="C265"/>
      <c r="D265" t="s">
        <v>761</v>
      </c>
      <c r="E265"/>
      <c r="F265" t="s">
        <v>352</v>
      </c>
      <c r="G265"/>
      <c r="H265"/>
      <c r="I265" t="str">
        <f t="shared" si="14"/>
        <v>IndiaEmployeeB - Staff</v>
      </c>
      <c r="J265" t="str">
        <f t="shared" si="13"/>
        <v>IndiaEmployeeB - Staff</v>
      </c>
      <c r="K265" s="711"/>
      <c r="L265" s="711">
        <v>6500</v>
      </c>
      <c r="M265" s="711"/>
      <c r="N265" s="711"/>
      <c r="O265" s="711"/>
      <c r="P265"/>
    </row>
    <row r="266" spans="1:16">
      <c r="A266" t="s">
        <v>227</v>
      </c>
      <c r="B266"/>
      <c r="C266"/>
      <c r="D266" t="s">
        <v>761</v>
      </c>
      <c r="E266"/>
      <c r="F266" t="s">
        <v>355</v>
      </c>
      <c r="G266"/>
      <c r="H266"/>
      <c r="I266" t="str">
        <f t="shared" si="14"/>
        <v>IndiaEmployeeC - Senior</v>
      </c>
      <c r="J266" t="str">
        <f t="shared" si="13"/>
        <v>IndiaEmployeeC - Senior</v>
      </c>
      <c r="K266" s="711"/>
      <c r="L266" s="711">
        <v>7200</v>
      </c>
      <c r="M266" s="711"/>
      <c r="N266" s="711"/>
      <c r="O266" s="711"/>
      <c r="P266"/>
    </row>
    <row r="267" spans="1:16">
      <c r="A267" t="s">
        <v>227</v>
      </c>
      <c r="B267"/>
      <c r="C267"/>
      <c r="D267" t="s">
        <v>761</v>
      </c>
      <c r="E267"/>
      <c r="F267" t="s">
        <v>358</v>
      </c>
      <c r="G267"/>
      <c r="H267"/>
      <c r="I267" t="str">
        <f t="shared" si="14"/>
        <v>IndiaEmployeeD - Lead</v>
      </c>
      <c r="J267" t="str">
        <f t="shared" si="13"/>
        <v>IndiaEmployeeD - Lead</v>
      </c>
      <c r="K267" s="711"/>
      <c r="L267" s="711">
        <v>8300</v>
      </c>
      <c r="M267" s="711"/>
      <c r="N267" s="711"/>
      <c r="O267" s="711"/>
      <c r="P267"/>
    </row>
    <row r="268" spans="1:16">
      <c r="A268" t="s">
        <v>227</v>
      </c>
      <c r="B268"/>
      <c r="C268"/>
      <c r="D268" t="s">
        <v>761</v>
      </c>
      <c r="E268"/>
      <c r="F268" t="s">
        <v>772</v>
      </c>
      <c r="G268"/>
      <c r="H268"/>
      <c r="I268" t="str">
        <f t="shared" si="14"/>
        <v>IndiaEmployeeE - Principal</v>
      </c>
      <c r="J268" t="str">
        <f t="shared" si="13"/>
        <v>IndiaEmployeeE - Principal</v>
      </c>
      <c r="K268" s="711"/>
      <c r="L268" s="711">
        <v>9100</v>
      </c>
      <c r="M268" s="711"/>
      <c r="N268" s="711"/>
      <c r="O268" s="711"/>
      <c r="P268"/>
    </row>
    <row r="269" spans="1:16">
      <c r="A269" t="s">
        <v>227</v>
      </c>
      <c r="B269"/>
      <c r="C269"/>
      <c r="D269" t="s">
        <v>761</v>
      </c>
      <c r="E269"/>
      <c r="F269" t="s">
        <v>775</v>
      </c>
      <c r="G269"/>
      <c r="H269"/>
      <c r="I269" t="str">
        <f t="shared" si="14"/>
        <v>IndiaEmployeeF - Chief</v>
      </c>
      <c r="J269" t="str">
        <f t="shared" si="13"/>
        <v>IndiaEmployeeF - Chief</v>
      </c>
      <c r="K269" s="711"/>
      <c r="L269" s="711">
        <v>22800</v>
      </c>
      <c r="M269" s="711"/>
      <c r="N269" s="711"/>
      <c r="O269" s="711"/>
      <c r="P269"/>
    </row>
    <row r="270" spans="1:16">
      <c r="A270" t="s">
        <v>227</v>
      </c>
      <c r="B270"/>
      <c r="C270"/>
      <c r="D270" t="s">
        <v>425</v>
      </c>
      <c r="E270"/>
      <c r="F270" t="s">
        <v>753</v>
      </c>
      <c r="G270"/>
      <c r="H270"/>
      <c r="I270" t="str">
        <f t="shared" si="14"/>
        <v>IndiaExperienceA - Associate</v>
      </c>
      <c r="J270" t="str">
        <f t="shared" si="13"/>
        <v>IndiaExperienceA - Associate</v>
      </c>
      <c r="K270" s="711"/>
      <c r="L270" s="711">
        <v>7200</v>
      </c>
      <c r="M270" s="711"/>
      <c r="N270" s="711"/>
      <c r="O270" s="711"/>
      <c r="P270" s="711">
        <v>4900</v>
      </c>
    </row>
    <row r="271" spans="1:16">
      <c r="A271" t="s">
        <v>227</v>
      </c>
      <c r="B271"/>
      <c r="C271"/>
      <c r="D271" t="s">
        <v>425</v>
      </c>
      <c r="E271"/>
      <c r="F271" t="s">
        <v>352</v>
      </c>
      <c r="G271"/>
      <c r="H271"/>
      <c r="I271" t="str">
        <f t="shared" si="14"/>
        <v>IndiaExperienceB - Staff</v>
      </c>
      <c r="J271" t="str">
        <f t="shared" si="13"/>
        <v>IndiaExperienceB - Staff</v>
      </c>
      <c r="K271" s="711"/>
      <c r="L271" s="711">
        <v>7200</v>
      </c>
      <c r="M271" s="711"/>
      <c r="N271" s="711"/>
      <c r="O271" s="711"/>
      <c r="P271"/>
    </row>
    <row r="272" spans="1:16">
      <c r="A272" t="s">
        <v>227</v>
      </c>
      <c r="B272"/>
      <c r="C272"/>
      <c r="D272" t="s">
        <v>425</v>
      </c>
      <c r="E272"/>
      <c r="F272" t="s">
        <v>355</v>
      </c>
      <c r="G272"/>
      <c r="H272"/>
      <c r="I272" t="str">
        <f t="shared" si="14"/>
        <v>IndiaExperienceC - Senior</v>
      </c>
      <c r="J272" t="str">
        <f t="shared" si="13"/>
        <v>IndiaExperienceC - Senior</v>
      </c>
      <c r="K272" s="711"/>
      <c r="L272" s="711">
        <v>8300</v>
      </c>
      <c r="M272" s="711"/>
      <c r="N272" s="711"/>
      <c r="O272" s="711"/>
      <c r="P272"/>
    </row>
    <row r="273" spans="1:16">
      <c r="A273" t="s">
        <v>227</v>
      </c>
      <c r="B273"/>
      <c r="C273"/>
      <c r="D273" t="s">
        <v>425</v>
      </c>
      <c r="E273"/>
      <c r="F273" t="s">
        <v>358</v>
      </c>
      <c r="G273"/>
      <c r="H273"/>
      <c r="I273" t="str">
        <f t="shared" si="14"/>
        <v>IndiaExperienceD - Lead</v>
      </c>
      <c r="J273" t="str">
        <f t="shared" si="13"/>
        <v>IndiaExperienceD - Lead</v>
      </c>
      <c r="K273" s="711"/>
      <c r="L273" s="711">
        <v>9800</v>
      </c>
      <c r="M273" s="711"/>
      <c r="N273" s="711"/>
      <c r="O273" s="711"/>
      <c r="P273"/>
    </row>
    <row r="274" spans="1:16">
      <c r="A274" t="s">
        <v>227</v>
      </c>
      <c r="B274"/>
      <c r="C274"/>
      <c r="D274" t="s">
        <v>425</v>
      </c>
      <c r="E274"/>
      <c r="F274" t="s">
        <v>772</v>
      </c>
      <c r="G274"/>
      <c r="H274"/>
      <c r="I274" t="str">
        <f t="shared" si="14"/>
        <v>IndiaExperienceE - Principal</v>
      </c>
      <c r="J274" t="str">
        <f t="shared" si="13"/>
        <v>IndiaExperienceE - Principal</v>
      </c>
      <c r="K274" s="711"/>
      <c r="L274" s="711">
        <v>10600</v>
      </c>
      <c r="M274" s="711"/>
      <c r="N274" s="711"/>
      <c r="O274" s="711"/>
      <c r="P274"/>
    </row>
    <row r="275" spans="1:16">
      <c r="A275" t="s">
        <v>227</v>
      </c>
      <c r="B275"/>
      <c r="C275"/>
      <c r="D275" t="s">
        <v>425</v>
      </c>
      <c r="E275"/>
      <c r="F275" t="s">
        <v>775</v>
      </c>
      <c r="G275"/>
      <c r="H275"/>
      <c r="I275" t="str">
        <f t="shared" si="14"/>
        <v>IndiaExperienceF - Chief</v>
      </c>
      <c r="J275" t="str">
        <f t="shared" ref="J275:J338" si="15">A275&amp;C275&amp;D275&amp;E275&amp;F275</f>
        <v>IndiaExperienceF - Chief</v>
      </c>
      <c r="K275" s="711"/>
      <c r="L275" s="711">
        <v>25100</v>
      </c>
      <c r="M275" s="711"/>
      <c r="N275" s="711"/>
      <c r="O275" s="711"/>
      <c r="P275"/>
    </row>
    <row r="276" spans="1:16">
      <c r="A276" t="s">
        <v>227</v>
      </c>
      <c r="B276"/>
      <c r="C276"/>
      <c r="D276" t="s">
        <v>231</v>
      </c>
      <c r="E276"/>
      <c r="F276" t="s">
        <v>753</v>
      </c>
      <c r="G276"/>
      <c r="H276"/>
      <c r="I276" t="str">
        <f t="shared" si="14"/>
        <v>IndiaManaged ServicesA - Associate</v>
      </c>
      <c r="J276" t="str">
        <f t="shared" si="15"/>
        <v>IndiaManaged ServicesA - Associate</v>
      </c>
      <c r="K276" s="711"/>
      <c r="L276" s="711">
        <v>6000</v>
      </c>
      <c r="M276" s="711"/>
      <c r="N276" s="711"/>
      <c r="O276" s="711"/>
      <c r="P276" s="711">
        <v>3700</v>
      </c>
    </row>
    <row r="277" spans="1:16">
      <c r="A277" t="s">
        <v>227</v>
      </c>
      <c r="B277"/>
      <c r="C277"/>
      <c r="D277" t="s">
        <v>231</v>
      </c>
      <c r="E277"/>
      <c r="F277" t="s">
        <v>352</v>
      </c>
      <c r="G277"/>
      <c r="H277"/>
      <c r="I277" t="str">
        <f t="shared" si="14"/>
        <v>IndiaManaged ServicesB - Staff</v>
      </c>
      <c r="J277" t="str">
        <f t="shared" si="15"/>
        <v>IndiaManaged ServicesB - Staff</v>
      </c>
      <c r="K277" s="711"/>
      <c r="L277" s="711">
        <v>6000</v>
      </c>
      <c r="M277" s="711"/>
      <c r="N277" s="711"/>
      <c r="O277" s="711"/>
      <c r="P277"/>
    </row>
    <row r="278" spans="1:16">
      <c r="A278" t="s">
        <v>227</v>
      </c>
      <c r="B278"/>
      <c r="C278"/>
      <c r="D278" t="s">
        <v>231</v>
      </c>
      <c r="E278"/>
      <c r="F278" t="s">
        <v>355</v>
      </c>
      <c r="G278"/>
      <c r="H278"/>
      <c r="I278" t="str">
        <f t="shared" si="14"/>
        <v>IndiaManaged ServicesC - Senior</v>
      </c>
      <c r="J278" t="str">
        <f t="shared" si="15"/>
        <v>IndiaManaged ServicesC - Senior</v>
      </c>
      <c r="K278" s="711"/>
      <c r="L278" s="711">
        <v>6800</v>
      </c>
      <c r="M278" s="711"/>
      <c r="N278" s="711"/>
      <c r="O278" s="711"/>
      <c r="P278"/>
    </row>
    <row r="279" spans="1:16">
      <c r="A279" t="s">
        <v>227</v>
      </c>
      <c r="B279"/>
      <c r="C279"/>
      <c r="D279" t="s">
        <v>231</v>
      </c>
      <c r="E279"/>
      <c r="F279" t="s">
        <v>358</v>
      </c>
      <c r="G279"/>
      <c r="H279"/>
      <c r="I279" t="str">
        <f t="shared" si="14"/>
        <v>IndiaManaged ServicesD - Lead</v>
      </c>
      <c r="J279" t="str">
        <f t="shared" si="15"/>
        <v>IndiaManaged ServicesD - Lead</v>
      </c>
      <c r="K279" s="711"/>
      <c r="L279" s="711">
        <v>7500</v>
      </c>
      <c r="M279" s="711"/>
      <c r="N279" s="711"/>
      <c r="O279" s="711"/>
      <c r="P279"/>
    </row>
    <row r="280" spans="1:16">
      <c r="A280" t="s">
        <v>227</v>
      </c>
      <c r="B280"/>
      <c r="C280"/>
      <c r="D280" t="s">
        <v>231</v>
      </c>
      <c r="E280"/>
      <c r="F280" t="s">
        <v>772</v>
      </c>
      <c r="G280"/>
      <c r="H280"/>
      <c r="I280" t="str">
        <f t="shared" si="14"/>
        <v>IndiaManaged ServicesE - Principal</v>
      </c>
      <c r="J280" t="str">
        <f t="shared" si="15"/>
        <v>IndiaManaged ServicesE - Principal</v>
      </c>
      <c r="K280" s="711"/>
      <c r="L280" s="711">
        <v>8300</v>
      </c>
      <c r="M280" s="711"/>
      <c r="N280" s="711"/>
      <c r="O280" s="711"/>
      <c r="P280"/>
    </row>
    <row r="281" spans="1:16">
      <c r="A281" t="s">
        <v>227</v>
      </c>
      <c r="B281"/>
      <c r="C281"/>
      <c r="D281" t="s">
        <v>231</v>
      </c>
      <c r="E281"/>
      <c r="F281" t="s">
        <v>775</v>
      </c>
      <c r="G281"/>
      <c r="H281"/>
      <c r="I281" t="str">
        <f t="shared" si="14"/>
        <v>IndiaManaged ServicesF - Chief</v>
      </c>
      <c r="J281" t="str">
        <f t="shared" si="15"/>
        <v>IndiaManaged ServicesF - Chief</v>
      </c>
      <c r="K281" s="711"/>
      <c r="L281" s="711">
        <v>22800</v>
      </c>
      <c r="M281" s="711"/>
      <c r="N281" s="711"/>
      <c r="O281" s="711"/>
      <c r="P281"/>
    </row>
    <row r="282" spans="1:16">
      <c r="A282" t="s">
        <v>227</v>
      </c>
      <c r="B282"/>
      <c r="C282"/>
      <c r="D282" t="s">
        <v>777</v>
      </c>
      <c r="E282"/>
      <c r="F282" t="s">
        <v>753</v>
      </c>
      <c r="G282"/>
      <c r="H282"/>
      <c r="I282" t="str">
        <f t="shared" si="14"/>
        <v>IndiaPublic SectorA - Associate</v>
      </c>
      <c r="J282" t="str">
        <f t="shared" si="15"/>
        <v>IndiaPublic SectorA - Associate</v>
      </c>
      <c r="K282" s="711"/>
      <c r="L282" s="711">
        <v>6000</v>
      </c>
      <c r="M282" s="711"/>
      <c r="N282" s="711"/>
      <c r="O282" s="711"/>
      <c r="P282" s="711">
        <v>3700</v>
      </c>
    </row>
    <row r="283" spans="1:16">
      <c r="A283" t="s">
        <v>227</v>
      </c>
      <c r="B283"/>
      <c r="C283"/>
      <c r="D283" t="s">
        <v>777</v>
      </c>
      <c r="E283"/>
      <c r="F283" t="s">
        <v>352</v>
      </c>
      <c r="G283"/>
      <c r="H283"/>
      <c r="I283" t="str">
        <f t="shared" si="14"/>
        <v>IndiaPublic SectorB - Staff</v>
      </c>
      <c r="J283" t="str">
        <f t="shared" si="15"/>
        <v>IndiaPublic SectorB - Staff</v>
      </c>
      <c r="K283" s="711"/>
      <c r="L283" s="711">
        <v>6000</v>
      </c>
      <c r="M283" s="711"/>
      <c r="N283" s="711"/>
      <c r="O283" s="711"/>
      <c r="P283"/>
    </row>
    <row r="284" spans="1:16">
      <c r="A284" t="s">
        <v>227</v>
      </c>
      <c r="B284"/>
      <c r="C284"/>
      <c r="D284" t="s">
        <v>777</v>
      </c>
      <c r="E284"/>
      <c r="F284" t="s">
        <v>355</v>
      </c>
      <c r="G284"/>
      <c r="H284"/>
      <c r="I284" t="str">
        <f t="shared" si="14"/>
        <v>IndiaPublic SectorC - Senior</v>
      </c>
      <c r="J284" t="str">
        <f t="shared" si="15"/>
        <v>IndiaPublic SectorC - Senior</v>
      </c>
      <c r="K284" s="711"/>
      <c r="L284" s="711">
        <v>6800</v>
      </c>
      <c r="M284" s="711"/>
      <c r="N284" s="711"/>
      <c r="O284" s="711"/>
      <c r="P284"/>
    </row>
    <row r="285" spans="1:16">
      <c r="A285" t="s">
        <v>227</v>
      </c>
      <c r="B285"/>
      <c r="C285"/>
      <c r="D285" t="s">
        <v>777</v>
      </c>
      <c r="E285"/>
      <c r="F285" t="s">
        <v>358</v>
      </c>
      <c r="G285"/>
      <c r="H285"/>
      <c r="I285" t="str">
        <f t="shared" si="14"/>
        <v>IndiaPublic SectorD - Lead</v>
      </c>
      <c r="J285" t="str">
        <f t="shared" si="15"/>
        <v>IndiaPublic SectorD - Lead</v>
      </c>
      <c r="K285" s="711"/>
      <c r="L285" s="711">
        <v>7500</v>
      </c>
      <c r="M285" s="711"/>
      <c r="N285" s="711"/>
      <c r="O285" s="711"/>
      <c r="P285"/>
    </row>
    <row r="286" spans="1:16">
      <c r="A286" t="s">
        <v>227</v>
      </c>
      <c r="B286"/>
      <c r="C286"/>
      <c r="D286" t="s">
        <v>777</v>
      </c>
      <c r="E286"/>
      <c r="F286" t="s">
        <v>772</v>
      </c>
      <c r="G286"/>
      <c r="H286"/>
      <c r="I286" t="str">
        <f t="shared" si="14"/>
        <v>IndiaPublic SectorE - Principal</v>
      </c>
      <c r="J286" t="str">
        <f t="shared" si="15"/>
        <v>IndiaPublic SectorE - Principal</v>
      </c>
      <c r="K286" s="711"/>
      <c r="L286" s="711">
        <v>8300</v>
      </c>
      <c r="M286" s="711"/>
      <c r="N286" s="711"/>
      <c r="O286" s="711"/>
      <c r="P286"/>
    </row>
    <row r="287" spans="1:16">
      <c r="A287" t="s">
        <v>227</v>
      </c>
      <c r="B287"/>
      <c r="C287"/>
      <c r="D287" t="s">
        <v>777</v>
      </c>
      <c r="E287"/>
      <c r="F287" t="s">
        <v>775</v>
      </c>
      <c r="G287"/>
      <c r="H287"/>
      <c r="I287" t="str">
        <f t="shared" si="14"/>
        <v>IndiaPublic SectorF - Chief</v>
      </c>
      <c r="J287" t="str">
        <f t="shared" si="15"/>
        <v>IndiaPublic SectorF - Chief</v>
      </c>
      <c r="K287" s="711"/>
      <c r="L287" s="711">
        <v>22800</v>
      </c>
      <c r="M287" s="711"/>
      <c r="N287" s="711"/>
      <c r="O287" s="711"/>
      <c r="P287"/>
    </row>
    <row r="288" spans="1:16">
      <c r="A288" t="s">
        <v>227</v>
      </c>
      <c r="B288"/>
      <c r="C288"/>
      <c r="D288" t="s">
        <v>780</v>
      </c>
      <c r="E288"/>
      <c r="F288" t="s">
        <v>753</v>
      </c>
      <c r="G288"/>
      <c r="H288"/>
      <c r="I288" t="str">
        <f t="shared" si="14"/>
        <v>IndiaRisk and ResilienceA - Associate</v>
      </c>
      <c r="J288" t="str">
        <f t="shared" si="15"/>
        <v>IndiaRisk and ResilienceA - Associate</v>
      </c>
      <c r="K288" s="711"/>
      <c r="L288" s="711">
        <v>6800</v>
      </c>
      <c r="M288" s="711"/>
      <c r="N288" s="711"/>
      <c r="O288" s="711"/>
      <c r="P288" s="711">
        <v>4500</v>
      </c>
    </row>
    <row r="289" spans="1:16">
      <c r="A289" t="s">
        <v>227</v>
      </c>
      <c r="B289"/>
      <c r="C289"/>
      <c r="D289" t="s">
        <v>780</v>
      </c>
      <c r="E289"/>
      <c r="F289" t="s">
        <v>352</v>
      </c>
      <c r="G289"/>
      <c r="H289"/>
      <c r="I289" t="str">
        <f t="shared" si="14"/>
        <v>IndiaRisk and ResilienceB - Staff</v>
      </c>
      <c r="J289" t="str">
        <f t="shared" si="15"/>
        <v>IndiaRisk and ResilienceB - Staff</v>
      </c>
      <c r="K289" s="711"/>
      <c r="L289" s="711">
        <v>6800</v>
      </c>
      <c r="M289" s="711"/>
      <c r="N289" s="711"/>
      <c r="O289" s="711"/>
      <c r="P289"/>
    </row>
    <row r="290" spans="1:16">
      <c r="A290" t="s">
        <v>227</v>
      </c>
      <c r="B290"/>
      <c r="C290"/>
      <c r="D290" t="s">
        <v>780</v>
      </c>
      <c r="E290"/>
      <c r="F290" t="s">
        <v>355</v>
      </c>
      <c r="G290"/>
      <c r="H290"/>
      <c r="I290" t="str">
        <f t="shared" si="14"/>
        <v>IndiaRisk and ResilienceC - Senior</v>
      </c>
      <c r="J290" t="str">
        <f t="shared" si="15"/>
        <v>IndiaRisk and ResilienceC - Senior</v>
      </c>
      <c r="K290" s="711"/>
      <c r="L290" s="711">
        <v>7500</v>
      </c>
      <c r="M290" s="711"/>
      <c r="N290" s="711"/>
      <c r="O290" s="711"/>
      <c r="P290"/>
    </row>
    <row r="291" spans="1:16">
      <c r="A291" t="s">
        <v>227</v>
      </c>
      <c r="B291"/>
      <c r="C291"/>
      <c r="D291" t="s">
        <v>780</v>
      </c>
      <c r="E291"/>
      <c r="F291" t="s">
        <v>358</v>
      </c>
      <c r="G291"/>
      <c r="H291"/>
      <c r="I291" t="str">
        <f t="shared" si="14"/>
        <v>IndiaRisk and ResilienceD - Lead</v>
      </c>
      <c r="J291" t="str">
        <f t="shared" si="15"/>
        <v>IndiaRisk and ResilienceD - Lead</v>
      </c>
      <c r="K291" s="711"/>
      <c r="L291" s="711">
        <v>9100</v>
      </c>
      <c r="M291" s="711"/>
      <c r="N291" s="711"/>
      <c r="O291" s="711"/>
      <c r="P291"/>
    </row>
    <row r="292" spans="1:16">
      <c r="A292" t="s">
        <v>227</v>
      </c>
      <c r="B292"/>
      <c r="C292"/>
      <c r="D292" t="s">
        <v>780</v>
      </c>
      <c r="E292"/>
      <c r="F292" t="s">
        <v>772</v>
      </c>
      <c r="G292"/>
      <c r="H292"/>
      <c r="I292" t="str">
        <f t="shared" si="14"/>
        <v>IndiaRisk and ResilienceE - Principal</v>
      </c>
      <c r="J292" t="str">
        <f t="shared" si="15"/>
        <v>IndiaRisk and ResilienceE - Principal</v>
      </c>
      <c r="K292" s="711"/>
      <c r="L292" s="711">
        <v>9800</v>
      </c>
      <c r="M292" s="711"/>
      <c r="N292" s="711"/>
      <c r="O292" s="711"/>
      <c r="P292"/>
    </row>
    <row r="293" spans="1:16">
      <c r="A293" t="s">
        <v>227</v>
      </c>
      <c r="B293"/>
      <c r="C293"/>
      <c r="D293" t="s">
        <v>780</v>
      </c>
      <c r="E293"/>
      <c r="F293" t="s">
        <v>775</v>
      </c>
      <c r="G293"/>
      <c r="H293"/>
      <c r="I293" t="str">
        <f t="shared" si="14"/>
        <v>IndiaRisk and ResilienceF - Chief</v>
      </c>
      <c r="J293" t="str">
        <f t="shared" si="15"/>
        <v>IndiaRisk and ResilienceF - Chief</v>
      </c>
      <c r="K293" s="711"/>
      <c r="L293" s="711">
        <v>24300</v>
      </c>
      <c r="M293" s="711"/>
      <c r="N293" s="711"/>
      <c r="O293" s="711"/>
      <c r="P293"/>
    </row>
    <row r="294" spans="1:16">
      <c r="A294" t="s">
        <v>227</v>
      </c>
      <c r="B294"/>
      <c r="C294"/>
      <c r="D294" t="s">
        <v>399</v>
      </c>
      <c r="E294"/>
      <c r="F294" t="s">
        <v>753</v>
      </c>
      <c r="G294"/>
      <c r="H294"/>
      <c r="I294" t="str">
        <f t="shared" si="14"/>
        <v>IndiaTechnologyA - Associate</v>
      </c>
      <c r="J294" t="str">
        <f t="shared" si="15"/>
        <v>IndiaTechnologyA - Associate</v>
      </c>
      <c r="K294" s="711"/>
      <c r="L294" s="711">
        <v>6000</v>
      </c>
      <c r="M294" s="711"/>
      <c r="N294" s="711"/>
      <c r="O294" s="711"/>
      <c r="P294" s="711">
        <v>3700</v>
      </c>
    </row>
    <row r="295" spans="1:16">
      <c r="A295" t="s">
        <v>227</v>
      </c>
      <c r="B295"/>
      <c r="C295"/>
      <c r="D295" t="s">
        <v>399</v>
      </c>
      <c r="E295"/>
      <c r="F295" t="s">
        <v>352</v>
      </c>
      <c r="G295"/>
      <c r="H295"/>
      <c r="I295" t="str">
        <f t="shared" si="14"/>
        <v>IndiaTechnologyB - Staff</v>
      </c>
      <c r="J295" t="str">
        <f t="shared" si="15"/>
        <v>IndiaTechnologyB - Staff</v>
      </c>
      <c r="K295" s="711"/>
      <c r="L295" s="711">
        <v>6000</v>
      </c>
      <c r="M295" s="711"/>
      <c r="N295" s="711"/>
      <c r="O295" s="711"/>
      <c r="P295"/>
    </row>
    <row r="296" spans="1:16">
      <c r="A296" t="s">
        <v>227</v>
      </c>
      <c r="B296"/>
      <c r="C296"/>
      <c r="D296" t="s">
        <v>399</v>
      </c>
      <c r="E296"/>
      <c r="F296" t="s">
        <v>355</v>
      </c>
      <c r="G296"/>
      <c r="H296"/>
      <c r="I296" t="str">
        <f t="shared" si="14"/>
        <v>IndiaTechnologyC - Senior</v>
      </c>
      <c r="J296" t="str">
        <f t="shared" si="15"/>
        <v>IndiaTechnologyC - Senior</v>
      </c>
      <c r="K296" s="711"/>
      <c r="L296" s="711">
        <v>6800</v>
      </c>
      <c r="M296" s="711"/>
      <c r="N296" s="711"/>
      <c r="O296" s="711"/>
      <c r="P296"/>
    </row>
    <row r="297" spans="1:16">
      <c r="A297" t="s">
        <v>227</v>
      </c>
      <c r="B297"/>
      <c r="C297"/>
      <c r="D297" t="s">
        <v>399</v>
      </c>
      <c r="E297"/>
      <c r="F297" t="s">
        <v>358</v>
      </c>
      <c r="G297"/>
      <c r="H297"/>
      <c r="I297" t="str">
        <f t="shared" si="14"/>
        <v>IndiaTechnologyD - Lead</v>
      </c>
      <c r="J297" t="str">
        <f t="shared" si="15"/>
        <v>IndiaTechnologyD - Lead</v>
      </c>
      <c r="K297" s="711"/>
      <c r="L297" s="711">
        <v>7500</v>
      </c>
      <c r="M297" s="711"/>
      <c r="N297" s="711"/>
      <c r="O297" s="711"/>
      <c r="P297"/>
    </row>
    <row r="298" spans="1:16">
      <c r="A298" t="s">
        <v>227</v>
      </c>
      <c r="B298"/>
      <c r="C298"/>
      <c r="D298" t="s">
        <v>399</v>
      </c>
      <c r="E298"/>
      <c r="F298" t="s">
        <v>772</v>
      </c>
      <c r="G298"/>
      <c r="H298"/>
      <c r="I298" t="str">
        <f t="shared" si="14"/>
        <v>IndiaTechnologyE - Principal</v>
      </c>
      <c r="J298" t="str">
        <f t="shared" si="15"/>
        <v>IndiaTechnologyE - Principal</v>
      </c>
      <c r="K298" s="711"/>
      <c r="L298" s="711">
        <v>8300</v>
      </c>
      <c r="M298" s="711"/>
      <c r="N298" s="711"/>
      <c r="O298" s="711"/>
      <c r="P298"/>
    </row>
    <row r="299" spans="1:16">
      <c r="A299" t="s">
        <v>227</v>
      </c>
      <c r="B299"/>
      <c r="C299"/>
      <c r="D299" t="s">
        <v>399</v>
      </c>
      <c r="E299"/>
      <c r="F299" t="s">
        <v>775</v>
      </c>
      <c r="G299"/>
      <c r="H299"/>
      <c r="I299" t="str">
        <f t="shared" si="14"/>
        <v>IndiaTechnologyF - Chief</v>
      </c>
      <c r="J299" t="str">
        <f t="shared" si="15"/>
        <v>IndiaTechnologyF - Chief</v>
      </c>
      <c r="K299" s="711"/>
      <c r="L299" s="711">
        <v>22800</v>
      </c>
      <c r="M299" s="711"/>
      <c r="N299" s="711"/>
      <c r="O299" s="711"/>
      <c r="P299"/>
    </row>
    <row r="300" spans="1:16">
      <c r="A300" t="s">
        <v>227</v>
      </c>
      <c r="B300"/>
      <c r="C300"/>
      <c r="D300" t="s">
        <v>360</v>
      </c>
      <c r="E300"/>
      <c r="F300" t="s">
        <v>753</v>
      </c>
      <c r="G300"/>
      <c r="H300"/>
      <c r="I300" t="str">
        <f t="shared" si="14"/>
        <v>IndiaPMOA - Associate</v>
      </c>
      <c r="J300" t="str">
        <f t="shared" si="15"/>
        <v>IndiaPMOA - Associate</v>
      </c>
      <c r="K300" s="711"/>
      <c r="L300" s="711">
        <v>6000</v>
      </c>
      <c r="M300" s="711"/>
      <c r="N300" s="711"/>
      <c r="O300" s="711"/>
      <c r="P300" s="711">
        <v>3700</v>
      </c>
    </row>
    <row r="301" spans="1:16">
      <c r="A301" t="s">
        <v>227</v>
      </c>
      <c r="B301"/>
      <c r="C301"/>
      <c r="D301" t="s">
        <v>360</v>
      </c>
      <c r="E301"/>
      <c r="F301" t="s">
        <v>352</v>
      </c>
      <c r="G301"/>
      <c r="H301"/>
      <c r="I301" t="str">
        <f t="shared" si="14"/>
        <v>IndiaPMOB - Staff</v>
      </c>
      <c r="J301" t="str">
        <f t="shared" si="15"/>
        <v>IndiaPMOB - Staff</v>
      </c>
      <c r="K301" s="711"/>
      <c r="L301" s="711">
        <v>6000</v>
      </c>
      <c r="M301" s="711"/>
      <c r="N301" s="711"/>
      <c r="O301" s="711"/>
      <c r="P301"/>
    </row>
    <row r="302" spans="1:16">
      <c r="A302" t="s">
        <v>227</v>
      </c>
      <c r="B302"/>
      <c r="C302"/>
      <c r="D302" t="s">
        <v>360</v>
      </c>
      <c r="E302"/>
      <c r="F302" t="s">
        <v>355</v>
      </c>
      <c r="G302"/>
      <c r="H302"/>
      <c r="I302" t="str">
        <f t="shared" si="14"/>
        <v>IndiaPMOC - Senior</v>
      </c>
      <c r="J302" t="str">
        <f t="shared" si="15"/>
        <v>IndiaPMOC - Senior</v>
      </c>
      <c r="K302" s="711"/>
      <c r="L302" s="711">
        <v>6800</v>
      </c>
      <c r="M302" s="711"/>
      <c r="N302" s="711"/>
      <c r="O302" s="711"/>
      <c r="P302"/>
    </row>
    <row r="303" spans="1:16">
      <c r="A303" t="s">
        <v>227</v>
      </c>
      <c r="B303"/>
      <c r="C303"/>
      <c r="D303" t="s">
        <v>360</v>
      </c>
      <c r="E303"/>
      <c r="F303" t="s">
        <v>358</v>
      </c>
      <c r="G303"/>
      <c r="H303"/>
      <c r="I303" t="str">
        <f t="shared" ref="I303:I366" si="16">A303&amp;B303&amp;D303&amp;E303&amp;F303&amp;G303</f>
        <v>IndiaPMOD - Lead</v>
      </c>
      <c r="J303" t="str">
        <f t="shared" si="15"/>
        <v>IndiaPMOD - Lead</v>
      </c>
      <c r="K303" s="711"/>
      <c r="L303" s="711">
        <v>7500</v>
      </c>
      <c r="M303" s="711"/>
      <c r="N303" s="711"/>
      <c r="O303" s="711"/>
      <c r="P303"/>
    </row>
    <row r="304" spans="1:16">
      <c r="A304" t="s">
        <v>227</v>
      </c>
      <c r="B304"/>
      <c r="C304"/>
      <c r="D304" t="s">
        <v>360</v>
      </c>
      <c r="E304"/>
      <c r="F304" t="s">
        <v>772</v>
      </c>
      <c r="G304"/>
      <c r="H304"/>
      <c r="I304" t="str">
        <f t="shared" si="16"/>
        <v>IndiaPMOE - Principal</v>
      </c>
      <c r="J304" t="str">
        <f t="shared" si="15"/>
        <v>IndiaPMOE - Principal</v>
      </c>
      <c r="K304" s="711"/>
      <c r="L304" s="711">
        <v>8300</v>
      </c>
      <c r="M304" s="711"/>
      <c r="N304" s="711"/>
      <c r="O304" s="711"/>
      <c r="P304"/>
    </row>
    <row r="305" spans="1:16">
      <c r="A305" t="s">
        <v>227</v>
      </c>
      <c r="B305"/>
      <c r="C305"/>
      <c r="D305" t="s">
        <v>360</v>
      </c>
      <c r="E305"/>
      <c r="F305" t="s">
        <v>775</v>
      </c>
      <c r="G305"/>
      <c r="H305"/>
      <c r="I305" t="str">
        <f t="shared" si="16"/>
        <v>IndiaPMOF - Chief</v>
      </c>
      <c r="J305" t="str">
        <f t="shared" si="15"/>
        <v>IndiaPMOF - Chief</v>
      </c>
      <c r="K305" s="711"/>
      <c r="L305" s="711">
        <v>22800</v>
      </c>
      <c r="M305" s="711"/>
      <c r="N305" s="711"/>
      <c r="O305" s="711"/>
      <c r="P305"/>
    </row>
    <row r="306" spans="1:16">
      <c r="A306" t="s">
        <v>227</v>
      </c>
      <c r="B306"/>
      <c r="C306" t="s">
        <v>227</v>
      </c>
      <c r="D306" t="s">
        <v>750</v>
      </c>
      <c r="E306" t="s">
        <v>779</v>
      </c>
      <c r="F306" t="s">
        <v>355</v>
      </c>
      <c r="G306"/>
      <c r="H306"/>
      <c r="I306" t="str">
        <f t="shared" si="16"/>
        <v>IndiaAdvisoryEnablementC - Senior</v>
      </c>
      <c r="J306" t="str">
        <f t="shared" si="15"/>
        <v>IndiaIndiaAdvisoryEnablementC - Senior</v>
      </c>
      <c r="K306" s="711"/>
      <c r="L306" s="711">
        <v>6800</v>
      </c>
      <c r="M306" s="711"/>
      <c r="N306" s="711"/>
      <c r="O306" s="711"/>
      <c r="P306"/>
    </row>
    <row r="307" spans="1:16">
      <c r="A307" t="s">
        <v>227</v>
      </c>
      <c r="B307"/>
      <c r="C307" t="s">
        <v>227</v>
      </c>
      <c r="D307" t="s">
        <v>750</v>
      </c>
      <c r="E307" t="s">
        <v>764</v>
      </c>
      <c r="F307" t="s">
        <v>358</v>
      </c>
      <c r="G307"/>
      <c r="H307"/>
      <c r="I307" t="str">
        <f t="shared" si="16"/>
        <v>IndiaAdvisoryChange ManagementD - Lead</v>
      </c>
      <c r="J307" t="str">
        <f t="shared" si="15"/>
        <v>IndiaIndiaAdvisoryChange ManagementD - Lead</v>
      </c>
      <c r="K307" s="711"/>
      <c r="L307" s="711">
        <v>7500</v>
      </c>
      <c r="M307" s="711"/>
      <c r="N307" s="711"/>
      <c r="O307" s="711"/>
      <c r="P307"/>
    </row>
    <row r="308" spans="1:16">
      <c r="A308" t="s">
        <v>227</v>
      </c>
      <c r="B308"/>
      <c r="C308" t="s">
        <v>227</v>
      </c>
      <c r="D308" t="s">
        <v>750</v>
      </c>
      <c r="E308" t="s">
        <v>784</v>
      </c>
      <c r="F308" t="s">
        <v>355</v>
      </c>
      <c r="G308"/>
      <c r="H308"/>
      <c r="I308" t="str">
        <f t="shared" si="16"/>
        <v>IndiaAdvisoryStrategyC - Senior</v>
      </c>
      <c r="J308" t="str">
        <f t="shared" si="15"/>
        <v>IndiaIndiaAdvisoryStrategyC - Senior</v>
      </c>
      <c r="K308" s="711"/>
      <c r="L308" s="711">
        <v>8300</v>
      </c>
      <c r="M308" s="711"/>
      <c r="N308" s="711"/>
      <c r="O308" s="711"/>
      <c r="P308"/>
    </row>
    <row r="309" spans="1:16">
      <c r="A309" t="s">
        <v>227</v>
      </c>
      <c r="B309"/>
      <c r="C309" t="s">
        <v>227</v>
      </c>
      <c r="D309" t="s">
        <v>750</v>
      </c>
      <c r="E309" t="s">
        <v>784</v>
      </c>
      <c r="F309" t="s">
        <v>358</v>
      </c>
      <c r="G309"/>
      <c r="H309"/>
      <c r="I309" t="str">
        <f t="shared" si="16"/>
        <v>IndiaAdvisoryStrategyD - Lead</v>
      </c>
      <c r="J309" t="str">
        <f t="shared" si="15"/>
        <v>IndiaIndiaAdvisoryStrategyD - Lead</v>
      </c>
      <c r="K309" s="711"/>
      <c r="L309" s="711">
        <v>9800</v>
      </c>
      <c r="M309" s="711"/>
      <c r="N309" s="711"/>
      <c r="O309" s="711"/>
      <c r="P309"/>
    </row>
    <row r="310" spans="1:16">
      <c r="A310" t="s">
        <v>227</v>
      </c>
      <c r="B310"/>
      <c r="C310" t="s">
        <v>227</v>
      </c>
      <c r="D310" t="s">
        <v>750</v>
      </c>
      <c r="E310" t="s">
        <v>784</v>
      </c>
      <c r="F310" t="s">
        <v>772</v>
      </c>
      <c r="G310"/>
      <c r="H310"/>
      <c r="I310" t="str">
        <f t="shared" si="16"/>
        <v>IndiaAdvisoryStrategyE - Principal</v>
      </c>
      <c r="J310" t="str">
        <f t="shared" si="15"/>
        <v>IndiaIndiaAdvisoryStrategyE - Principal</v>
      </c>
      <c r="K310" s="711"/>
      <c r="L310" s="711">
        <v>10600</v>
      </c>
      <c r="M310" s="711"/>
      <c r="N310" s="711"/>
      <c r="O310" s="711"/>
      <c r="P310"/>
    </row>
    <row r="311" spans="1:16">
      <c r="A311" t="s">
        <v>227</v>
      </c>
      <c r="B311"/>
      <c r="C311" t="s">
        <v>227</v>
      </c>
      <c r="D311" t="s">
        <v>750</v>
      </c>
      <c r="E311" t="s">
        <v>784</v>
      </c>
      <c r="F311" t="s">
        <v>775</v>
      </c>
      <c r="G311"/>
      <c r="H311"/>
      <c r="I311" t="str">
        <f t="shared" si="16"/>
        <v>IndiaAdvisoryStrategyF - Chief</v>
      </c>
      <c r="J311" t="str">
        <f t="shared" si="15"/>
        <v>IndiaIndiaAdvisoryStrategyF - Chief</v>
      </c>
      <c r="K311" s="711"/>
      <c r="L311" s="711">
        <v>25100</v>
      </c>
      <c r="M311" s="711"/>
      <c r="N311" s="711"/>
      <c r="O311" s="711"/>
      <c r="P311"/>
    </row>
    <row r="312" spans="1:16">
      <c r="A312" t="s">
        <v>227</v>
      </c>
      <c r="B312"/>
      <c r="C312" t="s">
        <v>227</v>
      </c>
      <c r="D312" t="s">
        <v>404</v>
      </c>
      <c r="E312"/>
      <c r="F312" t="s">
        <v>753</v>
      </c>
      <c r="G312"/>
      <c r="H312"/>
      <c r="I312" t="str">
        <f t="shared" si="16"/>
        <v>IndiaCustomerA - Associate</v>
      </c>
      <c r="J312" t="str">
        <f t="shared" si="15"/>
        <v>IndiaIndiaCustomerA - Associate</v>
      </c>
      <c r="K312" s="711"/>
      <c r="L312" s="711">
        <v>6500</v>
      </c>
      <c r="M312" s="711"/>
      <c r="N312" s="711"/>
      <c r="O312" s="711"/>
      <c r="P312" s="711">
        <v>4200</v>
      </c>
    </row>
    <row r="313" spans="1:16">
      <c r="A313" t="s">
        <v>227</v>
      </c>
      <c r="B313"/>
      <c r="C313" t="s">
        <v>227</v>
      </c>
      <c r="D313" t="s">
        <v>404</v>
      </c>
      <c r="E313"/>
      <c r="F313" t="s">
        <v>352</v>
      </c>
      <c r="G313"/>
      <c r="H313"/>
      <c r="I313" t="str">
        <f t="shared" si="16"/>
        <v>IndiaCustomerB - Staff</v>
      </c>
      <c r="J313" t="str">
        <f t="shared" si="15"/>
        <v>IndiaIndiaCustomerB - Staff</v>
      </c>
      <c r="K313" s="711"/>
      <c r="L313" s="711">
        <v>6500</v>
      </c>
      <c r="M313" s="711"/>
      <c r="N313" s="711"/>
      <c r="O313" s="711"/>
      <c r="P313"/>
    </row>
    <row r="314" spans="1:16">
      <c r="A314" t="s">
        <v>227</v>
      </c>
      <c r="B314"/>
      <c r="C314" t="s">
        <v>227</v>
      </c>
      <c r="D314" t="s">
        <v>404</v>
      </c>
      <c r="E314"/>
      <c r="F314" t="s">
        <v>355</v>
      </c>
      <c r="G314"/>
      <c r="H314"/>
      <c r="I314" t="str">
        <f t="shared" si="16"/>
        <v>IndiaCustomerC - Senior</v>
      </c>
      <c r="J314" t="str">
        <f t="shared" si="15"/>
        <v>IndiaIndiaCustomerC - Senior</v>
      </c>
      <c r="K314" s="711"/>
      <c r="L314" s="711">
        <v>7200</v>
      </c>
      <c r="M314" s="711"/>
      <c r="N314" s="711"/>
      <c r="O314" s="711"/>
      <c r="P314"/>
    </row>
    <row r="315" spans="1:16">
      <c r="A315" t="s">
        <v>227</v>
      </c>
      <c r="B315"/>
      <c r="C315" t="s">
        <v>227</v>
      </c>
      <c r="D315" t="s">
        <v>404</v>
      </c>
      <c r="E315"/>
      <c r="F315" t="s">
        <v>358</v>
      </c>
      <c r="G315"/>
      <c r="H315"/>
      <c r="I315" t="str">
        <f t="shared" si="16"/>
        <v>IndiaCustomerD - Lead</v>
      </c>
      <c r="J315" t="str">
        <f t="shared" si="15"/>
        <v>IndiaIndiaCustomerD - Lead</v>
      </c>
      <c r="K315" s="711"/>
      <c r="L315" s="711">
        <v>8300</v>
      </c>
      <c r="M315" s="711"/>
      <c r="N315" s="711"/>
      <c r="O315" s="711"/>
      <c r="P315"/>
    </row>
    <row r="316" spans="1:16">
      <c r="A316" t="s">
        <v>227</v>
      </c>
      <c r="B316"/>
      <c r="C316" t="s">
        <v>227</v>
      </c>
      <c r="D316" t="s">
        <v>404</v>
      </c>
      <c r="E316"/>
      <c r="F316" t="s">
        <v>772</v>
      </c>
      <c r="G316"/>
      <c r="H316"/>
      <c r="I316" t="str">
        <f t="shared" si="16"/>
        <v>IndiaCustomerE - Principal</v>
      </c>
      <c r="J316" t="str">
        <f t="shared" si="15"/>
        <v>IndiaIndiaCustomerE - Principal</v>
      </c>
      <c r="K316" s="711"/>
      <c r="L316" s="711">
        <v>9100</v>
      </c>
      <c r="M316" s="711"/>
      <c r="N316" s="711"/>
      <c r="O316" s="711"/>
      <c r="P316"/>
    </row>
    <row r="317" spans="1:16">
      <c r="A317" t="s">
        <v>227</v>
      </c>
      <c r="B317"/>
      <c r="C317" t="s">
        <v>227</v>
      </c>
      <c r="D317" t="s">
        <v>404</v>
      </c>
      <c r="E317"/>
      <c r="F317" t="s">
        <v>775</v>
      </c>
      <c r="G317"/>
      <c r="H317"/>
      <c r="I317" t="str">
        <f t="shared" si="16"/>
        <v>IndiaCustomerF - Chief</v>
      </c>
      <c r="J317" t="str">
        <f t="shared" si="15"/>
        <v>IndiaIndiaCustomerF - Chief</v>
      </c>
      <c r="K317" s="711"/>
      <c r="L317" s="711">
        <v>22800</v>
      </c>
      <c r="M317" s="711"/>
      <c r="N317" s="711"/>
      <c r="O317" s="711"/>
      <c r="P317"/>
    </row>
    <row r="318" spans="1:16">
      <c r="A318" t="s">
        <v>227</v>
      </c>
      <c r="B318"/>
      <c r="C318" t="s">
        <v>227</v>
      </c>
      <c r="D318" t="s">
        <v>761</v>
      </c>
      <c r="E318"/>
      <c r="F318" t="s">
        <v>753</v>
      </c>
      <c r="G318"/>
      <c r="H318"/>
      <c r="I318" t="str">
        <f t="shared" si="16"/>
        <v>IndiaEmployeeA - Associate</v>
      </c>
      <c r="J318" t="str">
        <f t="shared" si="15"/>
        <v>IndiaIndiaEmployeeA - Associate</v>
      </c>
      <c r="K318" s="711"/>
      <c r="L318" s="711">
        <v>6500</v>
      </c>
      <c r="M318" s="711"/>
      <c r="N318" s="711"/>
      <c r="O318" s="711"/>
      <c r="P318" s="711">
        <v>4200</v>
      </c>
    </row>
    <row r="319" spans="1:16">
      <c r="A319" t="s">
        <v>227</v>
      </c>
      <c r="B319"/>
      <c r="C319" t="s">
        <v>227</v>
      </c>
      <c r="D319" t="s">
        <v>761</v>
      </c>
      <c r="E319"/>
      <c r="F319" t="s">
        <v>352</v>
      </c>
      <c r="G319"/>
      <c r="H319"/>
      <c r="I319" t="str">
        <f t="shared" si="16"/>
        <v>IndiaEmployeeB - Staff</v>
      </c>
      <c r="J319" t="str">
        <f t="shared" si="15"/>
        <v>IndiaIndiaEmployeeB - Staff</v>
      </c>
      <c r="K319" s="711"/>
      <c r="L319" s="711">
        <v>6500</v>
      </c>
      <c r="M319" s="711"/>
      <c r="N319" s="711"/>
      <c r="O319" s="711"/>
      <c r="P319"/>
    </row>
    <row r="320" spans="1:16">
      <c r="A320" t="s">
        <v>227</v>
      </c>
      <c r="B320"/>
      <c r="C320" t="s">
        <v>227</v>
      </c>
      <c r="D320" t="s">
        <v>761</v>
      </c>
      <c r="E320"/>
      <c r="F320" t="s">
        <v>355</v>
      </c>
      <c r="G320"/>
      <c r="H320"/>
      <c r="I320" t="str">
        <f t="shared" si="16"/>
        <v>IndiaEmployeeC - Senior</v>
      </c>
      <c r="J320" t="str">
        <f t="shared" si="15"/>
        <v>IndiaIndiaEmployeeC - Senior</v>
      </c>
      <c r="K320" s="711"/>
      <c r="L320" s="711">
        <v>7200</v>
      </c>
      <c r="M320" s="711"/>
      <c r="N320" s="711"/>
      <c r="O320" s="711"/>
      <c r="P320"/>
    </row>
    <row r="321" spans="1:16">
      <c r="A321" t="s">
        <v>227</v>
      </c>
      <c r="B321"/>
      <c r="C321" t="s">
        <v>227</v>
      </c>
      <c r="D321" t="s">
        <v>761</v>
      </c>
      <c r="E321"/>
      <c r="F321" t="s">
        <v>358</v>
      </c>
      <c r="G321"/>
      <c r="H321"/>
      <c r="I321" t="str">
        <f t="shared" si="16"/>
        <v>IndiaEmployeeD - Lead</v>
      </c>
      <c r="J321" t="str">
        <f t="shared" si="15"/>
        <v>IndiaIndiaEmployeeD - Lead</v>
      </c>
      <c r="K321" s="711"/>
      <c r="L321" s="711">
        <v>8300</v>
      </c>
      <c r="M321" s="711"/>
      <c r="N321" s="711"/>
      <c r="O321" s="711"/>
      <c r="P321"/>
    </row>
    <row r="322" spans="1:16">
      <c r="A322" t="s">
        <v>227</v>
      </c>
      <c r="B322"/>
      <c r="C322" t="s">
        <v>227</v>
      </c>
      <c r="D322" t="s">
        <v>761</v>
      </c>
      <c r="E322"/>
      <c r="F322" t="s">
        <v>772</v>
      </c>
      <c r="G322"/>
      <c r="H322"/>
      <c r="I322" t="str">
        <f t="shared" si="16"/>
        <v>IndiaEmployeeE - Principal</v>
      </c>
      <c r="J322" t="str">
        <f t="shared" si="15"/>
        <v>IndiaIndiaEmployeeE - Principal</v>
      </c>
      <c r="K322" s="711"/>
      <c r="L322" s="711">
        <v>9100</v>
      </c>
      <c r="M322" s="711"/>
      <c r="N322" s="711"/>
      <c r="O322" s="711"/>
      <c r="P322"/>
    </row>
    <row r="323" spans="1:16">
      <c r="A323" t="s">
        <v>227</v>
      </c>
      <c r="B323"/>
      <c r="C323" t="s">
        <v>227</v>
      </c>
      <c r="D323" t="s">
        <v>761</v>
      </c>
      <c r="E323"/>
      <c r="F323" t="s">
        <v>775</v>
      </c>
      <c r="G323"/>
      <c r="H323"/>
      <c r="I323" t="str">
        <f t="shared" si="16"/>
        <v>IndiaEmployeeF - Chief</v>
      </c>
      <c r="J323" t="str">
        <f t="shared" si="15"/>
        <v>IndiaIndiaEmployeeF - Chief</v>
      </c>
      <c r="K323" s="711"/>
      <c r="L323" s="711">
        <v>22800</v>
      </c>
      <c r="M323" s="711"/>
      <c r="N323" s="711"/>
      <c r="O323" s="711"/>
      <c r="P323"/>
    </row>
    <row r="324" spans="1:16">
      <c r="A324" t="s">
        <v>227</v>
      </c>
      <c r="B324"/>
      <c r="C324" t="s">
        <v>227</v>
      </c>
      <c r="D324" t="s">
        <v>425</v>
      </c>
      <c r="E324"/>
      <c r="F324" t="s">
        <v>753</v>
      </c>
      <c r="G324"/>
      <c r="H324"/>
      <c r="I324" t="str">
        <f t="shared" si="16"/>
        <v>IndiaExperienceA - Associate</v>
      </c>
      <c r="J324" t="str">
        <f t="shared" si="15"/>
        <v>IndiaIndiaExperienceA - Associate</v>
      </c>
      <c r="K324" s="711"/>
      <c r="L324" s="711">
        <v>7200</v>
      </c>
      <c r="M324" s="711"/>
      <c r="N324" s="711"/>
      <c r="O324" s="711"/>
      <c r="P324" s="711">
        <v>4900</v>
      </c>
    </row>
    <row r="325" spans="1:16">
      <c r="A325" t="s">
        <v>227</v>
      </c>
      <c r="B325"/>
      <c r="C325" t="s">
        <v>227</v>
      </c>
      <c r="D325" t="s">
        <v>425</v>
      </c>
      <c r="E325"/>
      <c r="F325" t="s">
        <v>352</v>
      </c>
      <c r="G325"/>
      <c r="H325"/>
      <c r="I325" t="str">
        <f t="shared" si="16"/>
        <v>IndiaExperienceB - Staff</v>
      </c>
      <c r="J325" t="str">
        <f t="shared" si="15"/>
        <v>IndiaIndiaExperienceB - Staff</v>
      </c>
      <c r="K325" s="711"/>
      <c r="L325" s="711">
        <v>7200</v>
      </c>
      <c r="M325" s="711"/>
      <c r="N325" s="711"/>
      <c r="O325" s="711"/>
      <c r="P325"/>
    </row>
    <row r="326" spans="1:16">
      <c r="A326" t="s">
        <v>227</v>
      </c>
      <c r="B326"/>
      <c r="C326" t="s">
        <v>227</v>
      </c>
      <c r="D326" t="s">
        <v>425</v>
      </c>
      <c r="E326"/>
      <c r="F326" t="s">
        <v>355</v>
      </c>
      <c r="G326"/>
      <c r="H326"/>
      <c r="I326" t="str">
        <f t="shared" si="16"/>
        <v>IndiaExperienceC - Senior</v>
      </c>
      <c r="J326" t="str">
        <f t="shared" si="15"/>
        <v>IndiaIndiaExperienceC - Senior</v>
      </c>
      <c r="K326" s="711"/>
      <c r="L326" s="711">
        <v>8300</v>
      </c>
      <c r="M326" s="711"/>
      <c r="N326" s="711"/>
      <c r="O326" s="711"/>
      <c r="P326"/>
    </row>
    <row r="327" spans="1:16">
      <c r="A327" t="s">
        <v>227</v>
      </c>
      <c r="B327"/>
      <c r="C327" t="s">
        <v>227</v>
      </c>
      <c r="D327" t="s">
        <v>425</v>
      </c>
      <c r="E327"/>
      <c r="F327" t="s">
        <v>358</v>
      </c>
      <c r="G327"/>
      <c r="H327"/>
      <c r="I327" t="str">
        <f t="shared" si="16"/>
        <v>IndiaExperienceD - Lead</v>
      </c>
      <c r="J327" t="str">
        <f t="shared" si="15"/>
        <v>IndiaIndiaExperienceD - Lead</v>
      </c>
      <c r="K327" s="711"/>
      <c r="L327" s="711">
        <v>9800</v>
      </c>
      <c r="M327" s="711"/>
      <c r="N327" s="711"/>
      <c r="O327" s="711"/>
      <c r="P327"/>
    </row>
    <row r="328" spans="1:16">
      <c r="A328" t="s">
        <v>227</v>
      </c>
      <c r="B328"/>
      <c r="C328" t="s">
        <v>227</v>
      </c>
      <c r="D328" t="s">
        <v>425</v>
      </c>
      <c r="E328"/>
      <c r="F328" t="s">
        <v>772</v>
      </c>
      <c r="G328"/>
      <c r="H328"/>
      <c r="I328" t="str">
        <f t="shared" si="16"/>
        <v>IndiaExperienceE - Principal</v>
      </c>
      <c r="J328" t="str">
        <f t="shared" si="15"/>
        <v>IndiaIndiaExperienceE - Principal</v>
      </c>
      <c r="K328" s="711"/>
      <c r="L328" s="711">
        <v>10600</v>
      </c>
      <c r="M328" s="711"/>
      <c r="N328" s="711"/>
      <c r="O328" s="711"/>
      <c r="P328"/>
    </row>
    <row r="329" spans="1:16">
      <c r="A329" t="s">
        <v>227</v>
      </c>
      <c r="B329"/>
      <c r="C329" t="s">
        <v>227</v>
      </c>
      <c r="D329" t="s">
        <v>425</v>
      </c>
      <c r="E329"/>
      <c r="F329" t="s">
        <v>775</v>
      </c>
      <c r="G329"/>
      <c r="H329"/>
      <c r="I329" t="str">
        <f t="shared" si="16"/>
        <v>IndiaExperienceF - Chief</v>
      </c>
      <c r="J329" t="str">
        <f t="shared" si="15"/>
        <v>IndiaIndiaExperienceF - Chief</v>
      </c>
      <c r="K329" s="711"/>
      <c r="L329" s="711">
        <v>25100</v>
      </c>
      <c r="M329" s="711"/>
      <c r="N329" s="711"/>
      <c r="O329" s="711"/>
      <c r="P329"/>
    </row>
    <row r="330" spans="1:16">
      <c r="A330" t="s">
        <v>227</v>
      </c>
      <c r="B330"/>
      <c r="C330" t="s">
        <v>227</v>
      </c>
      <c r="D330" t="s">
        <v>231</v>
      </c>
      <c r="E330"/>
      <c r="F330" t="s">
        <v>753</v>
      </c>
      <c r="G330"/>
      <c r="H330"/>
      <c r="I330" t="str">
        <f t="shared" si="16"/>
        <v>IndiaManaged ServicesA - Associate</v>
      </c>
      <c r="J330" t="str">
        <f t="shared" si="15"/>
        <v>IndiaIndiaManaged ServicesA - Associate</v>
      </c>
      <c r="K330" s="711"/>
      <c r="L330" s="711">
        <v>6000</v>
      </c>
      <c r="M330" s="711"/>
      <c r="N330" s="711"/>
      <c r="O330" s="711"/>
      <c r="P330" s="711">
        <v>3700</v>
      </c>
    </row>
    <row r="331" spans="1:16">
      <c r="A331" t="s">
        <v>227</v>
      </c>
      <c r="B331"/>
      <c r="C331" t="s">
        <v>227</v>
      </c>
      <c r="D331" t="s">
        <v>231</v>
      </c>
      <c r="E331"/>
      <c r="F331" t="s">
        <v>352</v>
      </c>
      <c r="G331"/>
      <c r="H331"/>
      <c r="I331" t="str">
        <f t="shared" si="16"/>
        <v>IndiaManaged ServicesB - Staff</v>
      </c>
      <c r="J331" t="str">
        <f t="shared" si="15"/>
        <v>IndiaIndiaManaged ServicesB - Staff</v>
      </c>
      <c r="K331" s="711"/>
      <c r="L331" s="711">
        <v>6000</v>
      </c>
      <c r="M331" s="711"/>
      <c r="N331" s="711"/>
      <c r="O331" s="711"/>
      <c r="P331"/>
    </row>
    <row r="332" spans="1:16">
      <c r="A332" t="s">
        <v>227</v>
      </c>
      <c r="B332"/>
      <c r="C332" t="s">
        <v>227</v>
      </c>
      <c r="D332" t="s">
        <v>231</v>
      </c>
      <c r="E332"/>
      <c r="F332" t="s">
        <v>355</v>
      </c>
      <c r="G332"/>
      <c r="H332"/>
      <c r="I332" t="str">
        <f t="shared" si="16"/>
        <v>IndiaManaged ServicesC - Senior</v>
      </c>
      <c r="J332" t="str">
        <f t="shared" si="15"/>
        <v>IndiaIndiaManaged ServicesC - Senior</v>
      </c>
      <c r="K332" s="711"/>
      <c r="L332" s="711">
        <v>6800</v>
      </c>
      <c r="M332" s="711"/>
      <c r="N332" s="711"/>
      <c r="O332" s="711"/>
      <c r="P332"/>
    </row>
    <row r="333" spans="1:16">
      <c r="A333" t="s">
        <v>227</v>
      </c>
      <c r="B333"/>
      <c r="C333" t="s">
        <v>227</v>
      </c>
      <c r="D333" t="s">
        <v>231</v>
      </c>
      <c r="E333"/>
      <c r="F333" t="s">
        <v>358</v>
      </c>
      <c r="G333"/>
      <c r="H333"/>
      <c r="I333" t="str">
        <f t="shared" si="16"/>
        <v>IndiaManaged ServicesD - Lead</v>
      </c>
      <c r="J333" t="str">
        <f t="shared" si="15"/>
        <v>IndiaIndiaManaged ServicesD - Lead</v>
      </c>
      <c r="K333" s="711"/>
      <c r="L333" s="711">
        <v>7500</v>
      </c>
      <c r="M333" s="711"/>
      <c r="N333" s="711"/>
      <c r="O333" s="711"/>
      <c r="P333"/>
    </row>
    <row r="334" spans="1:16">
      <c r="A334" t="s">
        <v>227</v>
      </c>
      <c r="B334"/>
      <c r="C334" t="s">
        <v>227</v>
      </c>
      <c r="D334" t="s">
        <v>231</v>
      </c>
      <c r="E334"/>
      <c r="F334" t="s">
        <v>772</v>
      </c>
      <c r="G334"/>
      <c r="H334"/>
      <c r="I334" t="str">
        <f t="shared" si="16"/>
        <v>IndiaManaged ServicesE - Principal</v>
      </c>
      <c r="J334" t="str">
        <f t="shared" si="15"/>
        <v>IndiaIndiaManaged ServicesE - Principal</v>
      </c>
      <c r="K334" s="711"/>
      <c r="L334" s="711">
        <v>8300</v>
      </c>
      <c r="M334" s="711"/>
      <c r="N334" s="711"/>
      <c r="O334" s="711"/>
      <c r="P334"/>
    </row>
    <row r="335" spans="1:16">
      <c r="A335" t="s">
        <v>227</v>
      </c>
      <c r="B335"/>
      <c r="C335" t="s">
        <v>227</v>
      </c>
      <c r="D335" t="s">
        <v>231</v>
      </c>
      <c r="E335"/>
      <c r="F335" t="s">
        <v>775</v>
      </c>
      <c r="G335"/>
      <c r="H335"/>
      <c r="I335" t="str">
        <f t="shared" si="16"/>
        <v>IndiaManaged ServicesF - Chief</v>
      </c>
      <c r="J335" t="str">
        <f t="shared" si="15"/>
        <v>IndiaIndiaManaged ServicesF - Chief</v>
      </c>
      <c r="K335" s="711"/>
      <c r="L335" s="711">
        <v>22800</v>
      </c>
      <c r="M335" s="711"/>
      <c r="N335" s="711"/>
      <c r="O335" s="711"/>
      <c r="P335"/>
    </row>
    <row r="336" spans="1:16">
      <c r="A336" t="s">
        <v>227</v>
      </c>
      <c r="B336"/>
      <c r="C336" t="s">
        <v>227</v>
      </c>
      <c r="D336" t="s">
        <v>777</v>
      </c>
      <c r="E336"/>
      <c r="F336" t="s">
        <v>753</v>
      </c>
      <c r="G336"/>
      <c r="H336"/>
      <c r="I336" t="str">
        <f t="shared" si="16"/>
        <v>IndiaPublic SectorA - Associate</v>
      </c>
      <c r="J336" t="str">
        <f t="shared" si="15"/>
        <v>IndiaIndiaPublic SectorA - Associate</v>
      </c>
      <c r="K336" s="711"/>
      <c r="L336" s="711">
        <v>6000</v>
      </c>
      <c r="M336" s="711"/>
      <c r="N336" s="711"/>
      <c r="O336" s="711"/>
      <c r="P336" s="711">
        <v>3700</v>
      </c>
    </row>
    <row r="337" spans="1:16">
      <c r="A337" t="s">
        <v>227</v>
      </c>
      <c r="B337"/>
      <c r="C337" t="s">
        <v>227</v>
      </c>
      <c r="D337" t="s">
        <v>777</v>
      </c>
      <c r="E337"/>
      <c r="F337" t="s">
        <v>352</v>
      </c>
      <c r="G337"/>
      <c r="H337"/>
      <c r="I337" t="str">
        <f t="shared" si="16"/>
        <v>IndiaPublic SectorB - Staff</v>
      </c>
      <c r="J337" t="str">
        <f t="shared" si="15"/>
        <v>IndiaIndiaPublic SectorB - Staff</v>
      </c>
      <c r="K337" s="711"/>
      <c r="L337" s="711">
        <v>6000</v>
      </c>
      <c r="M337" s="711"/>
      <c r="N337" s="711"/>
      <c r="O337" s="711"/>
      <c r="P337"/>
    </row>
    <row r="338" spans="1:16">
      <c r="A338" t="s">
        <v>227</v>
      </c>
      <c r="B338"/>
      <c r="C338" t="s">
        <v>227</v>
      </c>
      <c r="D338" t="s">
        <v>777</v>
      </c>
      <c r="E338"/>
      <c r="F338" t="s">
        <v>355</v>
      </c>
      <c r="G338"/>
      <c r="H338"/>
      <c r="I338" t="str">
        <f t="shared" si="16"/>
        <v>IndiaPublic SectorC - Senior</v>
      </c>
      <c r="J338" t="str">
        <f t="shared" si="15"/>
        <v>IndiaIndiaPublic SectorC - Senior</v>
      </c>
      <c r="K338" s="711"/>
      <c r="L338" s="711">
        <v>6800</v>
      </c>
      <c r="M338" s="711"/>
      <c r="N338" s="711"/>
      <c r="O338" s="711"/>
      <c r="P338"/>
    </row>
    <row r="339" spans="1:16">
      <c r="A339" t="s">
        <v>227</v>
      </c>
      <c r="B339"/>
      <c r="C339" t="s">
        <v>227</v>
      </c>
      <c r="D339" t="s">
        <v>777</v>
      </c>
      <c r="E339"/>
      <c r="F339" t="s">
        <v>358</v>
      </c>
      <c r="G339"/>
      <c r="H339"/>
      <c r="I339" t="str">
        <f t="shared" si="16"/>
        <v>IndiaPublic SectorD - Lead</v>
      </c>
      <c r="J339" t="str">
        <f t="shared" ref="J339:J402" si="17">A339&amp;C339&amp;D339&amp;E339&amp;F339</f>
        <v>IndiaIndiaPublic SectorD - Lead</v>
      </c>
      <c r="K339" s="711"/>
      <c r="L339" s="711">
        <v>7500</v>
      </c>
      <c r="M339" s="711"/>
      <c r="N339" s="711"/>
      <c r="O339" s="711"/>
      <c r="P339"/>
    </row>
    <row r="340" spans="1:16">
      <c r="A340" t="s">
        <v>227</v>
      </c>
      <c r="B340"/>
      <c r="C340" t="s">
        <v>227</v>
      </c>
      <c r="D340" t="s">
        <v>777</v>
      </c>
      <c r="E340"/>
      <c r="F340" t="s">
        <v>772</v>
      </c>
      <c r="G340"/>
      <c r="H340"/>
      <c r="I340" t="str">
        <f t="shared" si="16"/>
        <v>IndiaPublic SectorE - Principal</v>
      </c>
      <c r="J340" t="str">
        <f t="shared" si="17"/>
        <v>IndiaIndiaPublic SectorE - Principal</v>
      </c>
      <c r="K340" s="711"/>
      <c r="L340" s="711">
        <v>8300</v>
      </c>
      <c r="M340" s="711"/>
      <c r="N340" s="711"/>
      <c r="O340" s="711"/>
      <c r="P340"/>
    </row>
    <row r="341" spans="1:16">
      <c r="A341" t="s">
        <v>227</v>
      </c>
      <c r="B341"/>
      <c r="C341" t="s">
        <v>227</v>
      </c>
      <c r="D341" t="s">
        <v>777</v>
      </c>
      <c r="E341"/>
      <c r="F341" t="s">
        <v>775</v>
      </c>
      <c r="G341"/>
      <c r="H341"/>
      <c r="I341" t="str">
        <f t="shared" si="16"/>
        <v>IndiaPublic SectorF - Chief</v>
      </c>
      <c r="J341" t="str">
        <f t="shared" si="17"/>
        <v>IndiaIndiaPublic SectorF - Chief</v>
      </c>
      <c r="K341" s="711"/>
      <c r="L341" s="711">
        <v>22800</v>
      </c>
      <c r="M341" s="711"/>
      <c r="N341" s="711"/>
      <c r="O341" s="711"/>
      <c r="P341"/>
    </row>
    <row r="342" spans="1:16">
      <c r="A342" t="s">
        <v>227</v>
      </c>
      <c r="B342"/>
      <c r="C342" t="s">
        <v>227</v>
      </c>
      <c r="D342" t="s">
        <v>780</v>
      </c>
      <c r="E342"/>
      <c r="F342" t="s">
        <v>753</v>
      </c>
      <c r="G342"/>
      <c r="H342"/>
      <c r="I342" t="str">
        <f t="shared" si="16"/>
        <v>IndiaRisk and ResilienceA - Associate</v>
      </c>
      <c r="J342" t="str">
        <f t="shared" si="17"/>
        <v>IndiaIndiaRisk and ResilienceA - Associate</v>
      </c>
      <c r="K342" s="711"/>
      <c r="L342" s="711">
        <v>6800</v>
      </c>
      <c r="M342" s="711"/>
      <c r="N342" s="711"/>
      <c r="O342" s="711"/>
      <c r="P342" s="711">
        <v>4500</v>
      </c>
    </row>
    <row r="343" spans="1:16">
      <c r="A343" t="s">
        <v>227</v>
      </c>
      <c r="B343"/>
      <c r="C343" t="s">
        <v>227</v>
      </c>
      <c r="D343" t="s">
        <v>780</v>
      </c>
      <c r="E343"/>
      <c r="F343" t="s">
        <v>352</v>
      </c>
      <c r="G343"/>
      <c r="H343"/>
      <c r="I343" t="str">
        <f t="shared" si="16"/>
        <v>IndiaRisk and ResilienceB - Staff</v>
      </c>
      <c r="J343" t="str">
        <f t="shared" si="17"/>
        <v>IndiaIndiaRisk and ResilienceB - Staff</v>
      </c>
      <c r="K343" s="711"/>
      <c r="L343" s="711">
        <v>6800</v>
      </c>
      <c r="M343" s="711"/>
      <c r="N343" s="711"/>
      <c r="O343" s="711"/>
      <c r="P343"/>
    </row>
    <row r="344" spans="1:16">
      <c r="A344" t="s">
        <v>227</v>
      </c>
      <c r="B344"/>
      <c r="C344" t="s">
        <v>227</v>
      </c>
      <c r="D344" t="s">
        <v>780</v>
      </c>
      <c r="E344"/>
      <c r="F344" t="s">
        <v>355</v>
      </c>
      <c r="G344"/>
      <c r="H344"/>
      <c r="I344" t="str">
        <f t="shared" si="16"/>
        <v>IndiaRisk and ResilienceC - Senior</v>
      </c>
      <c r="J344" t="str">
        <f t="shared" si="17"/>
        <v>IndiaIndiaRisk and ResilienceC - Senior</v>
      </c>
      <c r="K344" s="711"/>
      <c r="L344" s="711">
        <v>7500</v>
      </c>
      <c r="M344" s="711"/>
      <c r="N344" s="711"/>
      <c r="O344" s="711"/>
      <c r="P344"/>
    </row>
    <row r="345" spans="1:16">
      <c r="A345" t="s">
        <v>227</v>
      </c>
      <c r="B345"/>
      <c r="C345" t="s">
        <v>227</v>
      </c>
      <c r="D345" t="s">
        <v>780</v>
      </c>
      <c r="E345"/>
      <c r="F345" t="s">
        <v>358</v>
      </c>
      <c r="G345"/>
      <c r="H345"/>
      <c r="I345" t="str">
        <f t="shared" si="16"/>
        <v>IndiaRisk and ResilienceD - Lead</v>
      </c>
      <c r="J345" t="str">
        <f t="shared" si="17"/>
        <v>IndiaIndiaRisk and ResilienceD - Lead</v>
      </c>
      <c r="K345" s="711"/>
      <c r="L345" s="711">
        <v>9100</v>
      </c>
      <c r="M345" s="711"/>
      <c r="N345" s="711"/>
      <c r="O345" s="711"/>
      <c r="P345"/>
    </row>
    <row r="346" spans="1:16">
      <c r="A346" t="s">
        <v>227</v>
      </c>
      <c r="B346"/>
      <c r="C346" t="s">
        <v>227</v>
      </c>
      <c r="D346" t="s">
        <v>780</v>
      </c>
      <c r="E346"/>
      <c r="F346" t="s">
        <v>772</v>
      </c>
      <c r="G346"/>
      <c r="H346"/>
      <c r="I346" t="str">
        <f t="shared" si="16"/>
        <v>IndiaRisk and ResilienceE - Principal</v>
      </c>
      <c r="J346" t="str">
        <f t="shared" si="17"/>
        <v>IndiaIndiaRisk and ResilienceE - Principal</v>
      </c>
      <c r="K346" s="711"/>
      <c r="L346" s="711">
        <v>9800</v>
      </c>
      <c r="M346" s="711"/>
      <c r="N346" s="711"/>
      <c r="O346" s="711"/>
      <c r="P346"/>
    </row>
    <row r="347" spans="1:16">
      <c r="A347" t="s">
        <v>227</v>
      </c>
      <c r="B347"/>
      <c r="C347" t="s">
        <v>227</v>
      </c>
      <c r="D347" t="s">
        <v>780</v>
      </c>
      <c r="E347"/>
      <c r="F347" t="s">
        <v>775</v>
      </c>
      <c r="G347"/>
      <c r="H347"/>
      <c r="I347" t="str">
        <f t="shared" si="16"/>
        <v>IndiaRisk and ResilienceF - Chief</v>
      </c>
      <c r="J347" t="str">
        <f t="shared" si="17"/>
        <v>IndiaIndiaRisk and ResilienceF - Chief</v>
      </c>
      <c r="K347" s="711"/>
      <c r="L347" s="711">
        <v>24300</v>
      </c>
      <c r="M347" s="711"/>
      <c r="N347" s="711"/>
      <c r="O347" s="711"/>
      <c r="P347"/>
    </row>
    <row r="348" spans="1:16">
      <c r="A348" t="s">
        <v>227</v>
      </c>
      <c r="B348"/>
      <c r="C348" t="s">
        <v>227</v>
      </c>
      <c r="D348" t="s">
        <v>399</v>
      </c>
      <c r="E348"/>
      <c r="F348" t="s">
        <v>753</v>
      </c>
      <c r="G348"/>
      <c r="H348"/>
      <c r="I348" t="str">
        <f t="shared" si="16"/>
        <v>IndiaTechnologyA - Associate</v>
      </c>
      <c r="J348" t="str">
        <f t="shared" si="17"/>
        <v>IndiaIndiaTechnologyA - Associate</v>
      </c>
      <c r="K348" s="711"/>
      <c r="L348" s="711">
        <v>6000</v>
      </c>
      <c r="M348" s="711"/>
      <c r="N348" s="711"/>
      <c r="O348" s="711"/>
      <c r="P348" s="711">
        <v>3700</v>
      </c>
    </row>
    <row r="349" spans="1:16">
      <c r="A349" t="s">
        <v>227</v>
      </c>
      <c r="B349"/>
      <c r="C349" t="s">
        <v>227</v>
      </c>
      <c r="D349" t="s">
        <v>399</v>
      </c>
      <c r="E349"/>
      <c r="F349" t="s">
        <v>352</v>
      </c>
      <c r="G349"/>
      <c r="H349"/>
      <c r="I349" t="str">
        <f t="shared" si="16"/>
        <v>IndiaTechnologyB - Staff</v>
      </c>
      <c r="J349" t="str">
        <f t="shared" si="17"/>
        <v>IndiaIndiaTechnologyB - Staff</v>
      </c>
      <c r="K349" s="711"/>
      <c r="L349" s="711">
        <v>6000</v>
      </c>
      <c r="M349" s="711"/>
      <c r="N349" s="711"/>
      <c r="O349" s="711"/>
      <c r="P349"/>
    </row>
    <row r="350" spans="1:16">
      <c r="A350" t="s">
        <v>227</v>
      </c>
      <c r="B350"/>
      <c r="C350" t="s">
        <v>227</v>
      </c>
      <c r="D350" t="s">
        <v>399</v>
      </c>
      <c r="E350"/>
      <c r="F350" t="s">
        <v>355</v>
      </c>
      <c r="G350"/>
      <c r="H350"/>
      <c r="I350" t="str">
        <f t="shared" si="16"/>
        <v>IndiaTechnologyC - Senior</v>
      </c>
      <c r="J350" t="str">
        <f t="shared" si="17"/>
        <v>IndiaIndiaTechnologyC - Senior</v>
      </c>
      <c r="K350" s="711"/>
      <c r="L350" s="711">
        <v>6800</v>
      </c>
      <c r="M350" s="711"/>
      <c r="N350" s="711"/>
      <c r="O350" s="711"/>
      <c r="P350"/>
    </row>
    <row r="351" spans="1:16">
      <c r="A351" t="s">
        <v>227</v>
      </c>
      <c r="B351"/>
      <c r="C351" t="s">
        <v>227</v>
      </c>
      <c r="D351" t="s">
        <v>399</v>
      </c>
      <c r="E351"/>
      <c r="F351" t="s">
        <v>358</v>
      </c>
      <c r="G351"/>
      <c r="H351"/>
      <c r="I351" t="str">
        <f t="shared" si="16"/>
        <v>IndiaTechnologyD - Lead</v>
      </c>
      <c r="J351" t="str">
        <f t="shared" si="17"/>
        <v>IndiaIndiaTechnologyD - Lead</v>
      </c>
      <c r="K351" s="711"/>
      <c r="L351" s="711">
        <v>7500</v>
      </c>
      <c r="M351" s="711"/>
      <c r="N351" s="711"/>
      <c r="O351" s="711"/>
      <c r="P351"/>
    </row>
    <row r="352" spans="1:16">
      <c r="A352" t="s">
        <v>227</v>
      </c>
      <c r="B352"/>
      <c r="C352" t="s">
        <v>227</v>
      </c>
      <c r="D352" t="s">
        <v>399</v>
      </c>
      <c r="E352"/>
      <c r="F352" t="s">
        <v>772</v>
      </c>
      <c r="G352"/>
      <c r="H352"/>
      <c r="I352" t="str">
        <f t="shared" si="16"/>
        <v>IndiaTechnologyE - Principal</v>
      </c>
      <c r="J352" t="str">
        <f t="shared" si="17"/>
        <v>IndiaIndiaTechnologyE - Principal</v>
      </c>
      <c r="K352" s="711"/>
      <c r="L352" s="711">
        <v>8300</v>
      </c>
      <c r="M352" s="711"/>
      <c r="N352" s="711"/>
      <c r="O352" s="711"/>
      <c r="P352"/>
    </row>
    <row r="353" spans="1:16">
      <c r="A353" t="s">
        <v>227</v>
      </c>
      <c r="B353"/>
      <c r="C353" t="s">
        <v>227</v>
      </c>
      <c r="D353" t="s">
        <v>399</v>
      </c>
      <c r="E353"/>
      <c r="F353" t="s">
        <v>775</v>
      </c>
      <c r="G353"/>
      <c r="H353"/>
      <c r="I353" t="str">
        <f t="shared" si="16"/>
        <v>IndiaTechnologyF - Chief</v>
      </c>
      <c r="J353" t="str">
        <f t="shared" si="17"/>
        <v>IndiaIndiaTechnologyF - Chief</v>
      </c>
      <c r="K353" s="711"/>
      <c r="L353" s="711">
        <v>22800</v>
      </c>
      <c r="M353" s="711"/>
      <c r="N353" s="711"/>
      <c r="O353" s="711"/>
      <c r="P353"/>
    </row>
    <row r="354" spans="1:16">
      <c r="A354" t="s">
        <v>227</v>
      </c>
      <c r="B354"/>
      <c r="C354" t="s">
        <v>227</v>
      </c>
      <c r="D354" t="s">
        <v>360</v>
      </c>
      <c r="E354"/>
      <c r="F354" t="s">
        <v>753</v>
      </c>
      <c r="G354"/>
      <c r="H354"/>
      <c r="I354" t="str">
        <f t="shared" si="16"/>
        <v>IndiaPMOA - Associate</v>
      </c>
      <c r="J354" t="str">
        <f t="shared" si="17"/>
        <v>IndiaIndiaPMOA - Associate</v>
      </c>
      <c r="K354" s="711"/>
      <c r="L354" s="711">
        <v>6000</v>
      </c>
      <c r="M354" s="711"/>
      <c r="N354" s="711"/>
      <c r="O354" s="711"/>
      <c r="P354" s="711">
        <v>3700</v>
      </c>
    </row>
    <row r="355" spans="1:16">
      <c r="A355" t="s">
        <v>227</v>
      </c>
      <c r="B355"/>
      <c r="C355" t="s">
        <v>227</v>
      </c>
      <c r="D355" t="s">
        <v>360</v>
      </c>
      <c r="E355"/>
      <c r="F355" t="s">
        <v>352</v>
      </c>
      <c r="G355"/>
      <c r="H355"/>
      <c r="I355" t="str">
        <f t="shared" si="16"/>
        <v>IndiaPMOB - Staff</v>
      </c>
      <c r="J355" t="str">
        <f t="shared" si="17"/>
        <v>IndiaIndiaPMOB - Staff</v>
      </c>
      <c r="K355" s="711"/>
      <c r="L355" s="711">
        <v>6000</v>
      </c>
      <c r="M355" s="711"/>
      <c r="N355" s="711"/>
      <c r="O355" s="711"/>
      <c r="P355"/>
    </row>
    <row r="356" spans="1:16">
      <c r="A356" t="s">
        <v>227</v>
      </c>
      <c r="B356"/>
      <c r="C356" t="s">
        <v>227</v>
      </c>
      <c r="D356" t="s">
        <v>360</v>
      </c>
      <c r="E356"/>
      <c r="F356" t="s">
        <v>355</v>
      </c>
      <c r="G356"/>
      <c r="H356"/>
      <c r="I356" t="str">
        <f t="shared" si="16"/>
        <v>IndiaPMOC - Senior</v>
      </c>
      <c r="J356" t="str">
        <f t="shared" si="17"/>
        <v>IndiaIndiaPMOC - Senior</v>
      </c>
      <c r="K356" s="711"/>
      <c r="L356" s="711">
        <v>6800</v>
      </c>
      <c r="M356" s="711"/>
      <c r="N356" s="711"/>
      <c r="O356" s="711"/>
      <c r="P356"/>
    </row>
    <row r="357" spans="1:16">
      <c r="A357" t="s">
        <v>227</v>
      </c>
      <c r="B357"/>
      <c r="C357" t="s">
        <v>227</v>
      </c>
      <c r="D357" t="s">
        <v>360</v>
      </c>
      <c r="E357"/>
      <c r="F357" t="s">
        <v>358</v>
      </c>
      <c r="G357"/>
      <c r="H357"/>
      <c r="I357" t="str">
        <f t="shared" si="16"/>
        <v>IndiaPMOD - Lead</v>
      </c>
      <c r="J357" t="str">
        <f t="shared" si="17"/>
        <v>IndiaIndiaPMOD - Lead</v>
      </c>
      <c r="K357" s="711"/>
      <c r="L357" s="711">
        <v>7500</v>
      </c>
      <c r="M357" s="711"/>
      <c r="N357" s="711"/>
      <c r="O357" s="711"/>
      <c r="P357"/>
    </row>
    <row r="358" spans="1:16">
      <c r="A358" t="s">
        <v>227</v>
      </c>
      <c r="B358"/>
      <c r="C358" t="s">
        <v>227</v>
      </c>
      <c r="D358" t="s">
        <v>360</v>
      </c>
      <c r="E358"/>
      <c r="F358" t="s">
        <v>772</v>
      </c>
      <c r="G358"/>
      <c r="H358"/>
      <c r="I358" t="str">
        <f t="shared" si="16"/>
        <v>IndiaPMOE - Principal</v>
      </c>
      <c r="J358" t="str">
        <f t="shared" si="17"/>
        <v>IndiaIndiaPMOE - Principal</v>
      </c>
      <c r="K358" s="711"/>
      <c r="L358" s="711">
        <v>8300</v>
      </c>
      <c r="M358" s="711"/>
      <c r="N358" s="711"/>
      <c r="O358" s="711"/>
      <c r="P358"/>
    </row>
    <row r="359" spans="1:16">
      <c r="A359" t="s">
        <v>227</v>
      </c>
      <c r="B359"/>
      <c r="C359" t="s">
        <v>227</v>
      </c>
      <c r="D359" t="s">
        <v>360</v>
      </c>
      <c r="E359"/>
      <c r="F359" t="s">
        <v>775</v>
      </c>
      <c r="G359"/>
      <c r="H359"/>
      <c r="I359" t="str">
        <f t="shared" si="16"/>
        <v>IndiaPMOF - Chief</v>
      </c>
      <c r="J359" t="str">
        <f t="shared" si="17"/>
        <v>IndiaIndiaPMOF - Chief</v>
      </c>
      <c r="K359" s="711"/>
      <c r="L359" s="711">
        <v>22800</v>
      </c>
      <c r="M359" s="711"/>
      <c r="N359" s="711"/>
      <c r="O359" s="711"/>
      <c r="P359"/>
    </row>
    <row r="360" spans="1:16">
      <c r="A360" t="s">
        <v>736</v>
      </c>
      <c r="B360"/>
      <c r="C360"/>
      <c r="D360" t="s">
        <v>750</v>
      </c>
      <c r="E360" t="s">
        <v>779</v>
      </c>
      <c r="F360" t="s">
        <v>355</v>
      </c>
      <c r="G360"/>
      <c r="H360"/>
      <c r="I360" t="str">
        <f t="shared" si="16"/>
        <v>EUAdvisoryEnablementC - Senior</v>
      </c>
      <c r="J360" t="str">
        <f t="shared" si="17"/>
        <v>EUAdvisoryEnablementC - Senior</v>
      </c>
      <c r="K360" s="711"/>
      <c r="L360" s="711">
        <v>165</v>
      </c>
      <c r="M360" s="711"/>
      <c r="N360" s="711"/>
      <c r="O360" s="711"/>
      <c r="P360"/>
    </row>
    <row r="361" spans="1:16">
      <c r="A361" t="s">
        <v>736</v>
      </c>
      <c r="B361"/>
      <c r="C361"/>
      <c r="D361" t="s">
        <v>750</v>
      </c>
      <c r="E361" t="s">
        <v>764</v>
      </c>
      <c r="F361" t="s">
        <v>358</v>
      </c>
      <c r="G361"/>
      <c r="H361"/>
      <c r="I361" t="str">
        <f t="shared" si="16"/>
        <v>EUAdvisoryChange ManagementD - Lead</v>
      </c>
      <c r="J361" t="str">
        <f t="shared" si="17"/>
        <v>EUAdvisoryChange ManagementD - Lead</v>
      </c>
      <c r="K361" s="711"/>
      <c r="L361" s="711">
        <v>199</v>
      </c>
      <c r="M361" s="711"/>
      <c r="N361" s="711"/>
      <c r="O361" s="711"/>
      <c r="P361"/>
    </row>
    <row r="362" spans="1:16">
      <c r="A362" t="s">
        <v>736</v>
      </c>
      <c r="B362"/>
      <c r="C362"/>
      <c r="D362" t="s">
        <v>750</v>
      </c>
      <c r="E362" t="s">
        <v>784</v>
      </c>
      <c r="F362" t="s">
        <v>355</v>
      </c>
      <c r="G362"/>
      <c r="H362"/>
      <c r="I362" t="str">
        <f t="shared" si="16"/>
        <v>EUAdvisoryStrategyC - Senior</v>
      </c>
      <c r="J362" t="str">
        <f t="shared" si="17"/>
        <v>EUAdvisoryStrategyC - Senior</v>
      </c>
      <c r="K362" s="711"/>
      <c r="L362" s="711">
        <v>215</v>
      </c>
      <c r="M362" s="711"/>
      <c r="N362" s="711"/>
      <c r="O362" s="711"/>
      <c r="P362"/>
    </row>
    <row r="363" spans="1:16">
      <c r="A363" t="s">
        <v>736</v>
      </c>
      <c r="B363"/>
      <c r="C363"/>
      <c r="D363" t="s">
        <v>750</v>
      </c>
      <c r="E363" t="s">
        <v>784</v>
      </c>
      <c r="F363" t="s">
        <v>358</v>
      </c>
      <c r="G363"/>
      <c r="H363"/>
      <c r="I363" t="str">
        <f t="shared" si="16"/>
        <v>EUAdvisoryStrategyD - Lead</v>
      </c>
      <c r="J363" t="str">
        <f t="shared" si="17"/>
        <v>EUAdvisoryStrategyD - Lead</v>
      </c>
      <c r="K363" s="711"/>
      <c r="L363" s="711">
        <v>255</v>
      </c>
      <c r="M363" s="711"/>
      <c r="N363" s="711"/>
      <c r="O363" s="711"/>
      <c r="P363"/>
    </row>
    <row r="364" spans="1:16">
      <c r="A364" t="s">
        <v>736</v>
      </c>
      <c r="B364"/>
      <c r="C364"/>
      <c r="D364" t="s">
        <v>750</v>
      </c>
      <c r="E364" t="s">
        <v>784</v>
      </c>
      <c r="F364" t="s">
        <v>772</v>
      </c>
      <c r="G364"/>
      <c r="H364"/>
      <c r="I364" t="str">
        <f t="shared" si="16"/>
        <v>EUAdvisoryStrategyE - Principal</v>
      </c>
      <c r="J364" t="str">
        <f t="shared" si="17"/>
        <v>EUAdvisoryStrategyE - Principal</v>
      </c>
      <c r="K364" s="711"/>
      <c r="L364" s="711">
        <v>265</v>
      </c>
      <c r="M364" s="711"/>
      <c r="N364" s="711"/>
      <c r="O364" s="711"/>
      <c r="P364"/>
    </row>
    <row r="365" spans="1:16">
      <c r="A365" t="s">
        <v>736</v>
      </c>
      <c r="B365"/>
      <c r="C365"/>
      <c r="D365" t="s">
        <v>750</v>
      </c>
      <c r="E365" t="s">
        <v>784</v>
      </c>
      <c r="F365" t="s">
        <v>775</v>
      </c>
      <c r="G365"/>
      <c r="H365"/>
      <c r="I365" t="str">
        <f t="shared" si="16"/>
        <v>EUAdvisoryStrategyF - Chief</v>
      </c>
      <c r="J365" t="str">
        <f t="shared" si="17"/>
        <v>EUAdvisoryStrategyF - Chief</v>
      </c>
      <c r="K365" s="711"/>
      <c r="L365" s="711">
        <v>299</v>
      </c>
      <c r="M365" s="711"/>
      <c r="N365" s="711"/>
      <c r="O365" s="711"/>
      <c r="P365"/>
    </row>
    <row r="366" spans="1:16">
      <c r="A366" t="s">
        <v>736</v>
      </c>
      <c r="B366"/>
      <c r="C366"/>
      <c r="D366" t="s">
        <v>404</v>
      </c>
      <c r="E366"/>
      <c r="F366" t="s">
        <v>753</v>
      </c>
      <c r="G366"/>
      <c r="H366"/>
      <c r="I366" t="str">
        <f t="shared" si="16"/>
        <v>EUCustomerA - Associate</v>
      </c>
      <c r="J366" t="str">
        <f t="shared" si="17"/>
        <v>EUCustomerA - Associate</v>
      </c>
      <c r="K366" s="711"/>
      <c r="L366" s="711">
        <v>159</v>
      </c>
      <c r="M366" s="711"/>
      <c r="N366" s="711"/>
      <c r="O366" s="711"/>
      <c r="P366">
        <v>99</v>
      </c>
    </row>
    <row r="367" spans="1:16">
      <c r="A367" t="s">
        <v>736</v>
      </c>
      <c r="B367"/>
      <c r="C367"/>
      <c r="D367" t="s">
        <v>404</v>
      </c>
      <c r="E367"/>
      <c r="F367" t="s">
        <v>352</v>
      </c>
      <c r="G367"/>
      <c r="H367"/>
      <c r="I367" t="str">
        <f t="shared" ref="I367:I430" si="18">A367&amp;B367&amp;D367&amp;E367&amp;F367&amp;G367</f>
        <v>EUCustomerB - Staff</v>
      </c>
      <c r="J367" t="str">
        <f t="shared" si="17"/>
        <v>EUCustomerB - Staff</v>
      </c>
      <c r="K367" s="711"/>
      <c r="L367" s="711">
        <v>159</v>
      </c>
      <c r="M367" s="711"/>
      <c r="N367" s="711"/>
      <c r="O367" s="711"/>
      <c r="P367"/>
    </row>
    <row r="368" spans="1:16">
      <c r="A368" t="s">
        <v>736</v>
      </c>
      <c r="B368"/>
      <c r="C368"/>
      <c r="D368" t="s">
        <v>404</v>
      </c>
      <c r="E368"/>
      <c r="F368" t="s">
        <v>355</v>
      </c>
      <c r="G368"/>
      <c r="H368"/>
      <c r="I368" t="str">
        <f t="shared" si="18"/>
        <v>EUCustomerC - Senior</v>
      </c>
      <c r="J368" t="str">
        <f t="shared" si="17"/>
        <v>EUCustomerC - Senior</v>
      </c>
      <c r="K368" s="711"/>
      <c r="L368" s="711">
        <v>179</v>
      </c>
      <c r="M368" s="711"/>
      <c r="N368" s="711"/>
      <c r="O368" s="711"/>
      <c r="P368"/>
    </row>
    <row r="369" spans="1:16">
      <c r="A369" t="s">
        <v>736</v>
      </c>
      <c r="B369"/>
      <c r="C369"/>
      <c r="D369" t="s">
        <v>404</v>
      </c>
      <c r="E369"/>
      <c r="F369" t="s">
        <v>358</v>
      </c>
      <c r="G369"/>
      <c r="H369"/>
      <c r="I369" t="str">
        <f t="shared" si="18"/>
        <v>EUCustomerD - Lead</v>
      </c>
      <c r="J369" t="str">
        <f t="shared" si="17"/>
        <v>EUCustomerD - Lead</v>
      </c>
      <c r="K369" s="711"/>
      <c r="L369" s="711">
        <v>215</v>
      </c>
      <c r="M369" s="711"/>
      <c r="N369" s="711"/>
      <c r="O369" s="711"/>
      <c r="P369"/>
    </row>
    <row r="370" spans="1:16">
      <c r="A370" t="s">
        <v>736</v>
      </c>
      <c r="B370"/>
      <c r="C370"/>
      <c r="D370" t="s">
        <v>404</v>
      </c>
      <c r="E370"/>
      <c r="F370" t="s">
        <v>772</v>
      </c>
      <c r="G370"/>
      <c r="H370"/>
      <c r="I370" t="str">
        <f t="shared" si="18"/>
        <v>EUCustomerE - Principal</v>
      </c>
      <c r="J370" t="str">
        <f t="shared" si="17"/>
        <v>EUCustomerE - Principal</v>
      </c>
      <c r="K370" s="711"/>
      <c r="L370" s="711">
        <v>219</v>
      </c>
      <c r="M370" s="711"/>
      <c r="N370" s="711"/>
      <c r="O370" s="711"/>
      <c r="P370"/>
    </row>
    <row r="371" spans="1:16">
      <c r="A371" t="s">
        <v>736</v>
      </c>
      <c r="B371"/>
      <c r="C371"/>
      <c r="D371" t="s">
        <v>404</v>
      </c>
      <c r="E371"/>
      <c r="F371" t="s">
        <v>775</v>
      </c>
      <c r="G371"/>
      <c r="H371"/>
      <c r="I371" t="str">
        <f t="shared" si="18"/>
        <v>EUCustomerF - Chief</v>
      </c>
      <c r="J371" t="str">
        <f t="shared" si="17"/>
        <v>EUCustomerF - Chief</v>
      </c>
      <c r="K371" s="711"/>
      <c r="L371" s="711">
        <v>255</v>
      </c>
      <c r="M371" s="711"/>
      <c r="N371" s="711"/>
      <c r="O371" s="711"/>
      <c r="P371"/>
    </row>
    <row r="372" spans="1:16">
      <c r="A372" t="s">
        <v>736</v>
      </c>
      <c r="B372"/>
      <c r="C372"/>
      <c r="D372" t="s">
        <v>761</v>
      </c>
      <c r="E372"/>
      <c r="F372" t="s">
        <v>753</v>
      </c>
      <c r="G372"/>
      <c r="H372"/>
      <c r="I372" t="str">
        <f t="shared" si="18"/>
        <v>EUEmployeeA - Associate</v>
      </c>
      <c r="J372" t="str">
        <f t="shared" si="17"/>
        <v>EUEmployeeA - Associate</v>
      </c>
      <c r="K372" s="711"/>
      <c r="L372" s="711">
        <v>159</v>
      </c>
      <c r="M372" s="711"/>
      <c r="N372" s="711"/>
      <c r="O372" s="711"/>
      <c r="P372">
        <v>99</v>
      </c>
    </row>
    <row r="373" spans="1:16">
      <c r="A373" t="s">
        <v>736</v>
      </c>
      <c r="B373"/>
      <c r="C373"/>
      <c r="D373" t="s">
        <v>761</v>
      </c>
      <c r="E373"/>
      <c r="F373" t="s">
        <v>352</v>
      </c>
      <c r="G373"/>
      <c r="H373"/>
      <c r="I373" t="str">
        <f t="shared" si="18"/>
        <v>EUEmployeeB - Staff</v>
      </c>
      <c r="J373" t="str">
        <f t="shared" si="17"/>
        <v>EUEmployeeB - Staff</v>
      </c>
      <c r="K373" s="711"/>
      <c r="L373" s="711">
        <v>159</v>
      </c>
      <c r="M373" s="711"/>
      <c r="N373" s="711"/>
      <c r="O373" s="711"/>
      <c r="P373"/>
    </row>
    <row r="374" spans="1:16">
      <c r="A374" t="s">
        <v>736</v>
      </c>
      <c r="B374"/>
      <c r="C374"/>
      <c r="D374" t="s">
        <v>761</v>
      </c>
      <c r="E374"/>
      <c r="F374" t="s">
        <v>355</v>
      </c>
      <c r="G374"/>
      <c r="H374"/>
      <c r="I374" t="str">
        <f t="shared" si="18"/>
        <v>EUEmployeeC - Senior</v>
      </c>
      <c r="J374" t="str">
        <f t="shared" si="17"/>
        <v>EUEmployeeC - Senior</v>
      </c>
      <c r="K374" s="711"/>
      <c r="L374" s="711">
        <v>179</v>
      </c>
      <c r="M374" s="711"/>
      <c r="N374" s="711"/>
      <c r="O374" s="711"/>
      <c r="P374"/>
    </row>
    <row r="375" spans="1:16">
      <c r="A375" t="s">
        <v>736</v>
      </c>
      <c r="B375"/>
      <c r="C375"/>
      <c r="D375" t="s">
        <v>761</v>
      </c>
      <c r="E375"/>
      <c r="F375" t="s">
        <v>358</v>
      </c>
      <c r="G375"/>
      <c r="H375"/>
      <c r="I375" t="str">
        <f t="shared" si="18"/>
        <v>EUEmployeeD - Lead</v>
      </c>
      <c r="J375" t="str">
        <f t="shared" si="17"/>
        <v>EUEmployeeD - Lead</v>
      </c>
      <c r="K375" s="711"/>
      <c r="L375" s="711">
        <v>215</v>
      </c>
      <c r="M375" s="711"/>
      <c r="N375" s="711"/>
      <c r="O375" s="711"/>
      <c r="P375"/>
    </row>
    <row r="376" spans="1:16">
      <c r="A376" t="s">
        <v>736</v>
      </c>
      <c r="B376"/>
      <c r="C376"/>
      <c r="D376" t="s">
        <v>761</v>
      </c>
      <c r="E376"/>
      <c r="F376" t="s">
        <v>772</v>
      </c>
      <c r="G376"/>
      <c r="H376"/>
      <c r="I376" t="str">
        <f t="shared" si="18"/>
        <v>EUEmployeeE - Principal</v>
      </c>
      <c r="J376" t="str">
        <f t="shared" si="17"/>
        <v>EUEmployeeE - Principal</v>
      </c>
      <c r="K376" s="711"/>
      <c r="L376" s="711">
        <v>219</v>
      </c>
      <c r="M376" s="711"/>
      <c r="N376" s="711"/>
      <c r="O376" s="711"/>
      <c r="P376"/>
    </row>
    <row r="377" spans="1:16">
      <c r="A377" t="s">
        <v>736</v>
      </c>
      <c r="B377"/>
      <c r="C377"/>
      <c r="D377" t="s">
        <v>761</v>
      </c>
      <c r="E377"/>
      <c r="F377" t="s">
        <v>775</v>
      </c>
      <c r="G377"/>
      <c r="H377"/>
      <c r="I377" t="str">
        <f t="shared" si="18"/>
        <v>EUEmployeeF - Chief</v>
      </c>
      <c r="J377" t="str">
        <f t="shared" si="17"/>
        <v>EUEmployeeF - Chief</v>
      </c>
      <c r="K377" s="711"/>
      <c r="L377" s="711">
        <v>255</v>
      </c>
      <c r="M377" s="711"/>
      <c r="N377" s="711"/>
      <c r="O377" s="711"/>
      <c r="P377"/>
    </row>
    <row r="378" spans="1:16">
      <c r="A378" t="s">
        <v>736</v>
      </c>
      <c r="B378"/>
      <c r="C378"/>
      <c r="D378" t="s">
        <v>425</v>
      </c>
      <c r="E378"/>
      <c r="F378" t="s">
        <v>753</v>
      </c>
      <c r="G378"/>
      <c r="H378"/>
      <c r="I378" t="str">
        <f t="shared" si="18"/>
        <v>EUExperienceA - Associate</v>
      </c>
      <c r="J378" t="str">
        <f t="shared" si="17"/>
        <v>EUExperienceA - Associate</v>
      </c>
      <c r="K378" s="711"/>
      <c r="L378" s="711">
        <v>169</v>
      </c>
      <c r="M378" s="711"/>
      <c r="N378" s="711"/>
      <c r="O378" s="711"/>
      <c r="P378">
        <v>109</v>
      </c>
    </row>
    <row r="379" spans="1:16">
      <c r="A379" t="s">
        <v>736</v>
      </c>
      <c r="B379"/>
      <c r="C379"/>
      <c r="D379" t="s">
        <v>425</v>
      </c>
      <c r="E379"/>
      <c r="F379" t="s">
        <v>352</v>
      </c>
      <c r="G379"/>
      <c r="H379"/>
      <c r="I379" t="str">
        <f t="shared" si="18"/>
        <v>EUExperienceB - Staff</v>
      </c>
      <c r="J379" t="str">
        <f t="shared" si="17"/>
        <v>EUExperienceB - Staff</v>
      </c>
      <c r="K379" s="711"/>
      <c r="L379" s="711">
        <v>169</v>
      </c>
      <c r="M379" s="711"/>
      <c r="N379" s="711"/>
      <c r="O379" s="711"/>
      <c r="P379"/>
    </row>
    <row r="380" spans="1:16">
      <c r="A380" t="s">
        <v>736</v>
      </c>
      <c r="B380"/>
      <c r="C380"/>
      <c r="D380" t="s">
        <v>425</v>
      </c>
      <c r="E380"/>
      <c r="F380" t="s">
        <v>355</v>
      </c>
      <c r="G380"/>
      <c r="H380"/>
      <c r="I380" t="str">
        <f t="shared" si="18"/>
        <v>EUExperienceC - Senior</v>
      </c>
      <c r="J380" t="str">
        <f t="shared" si="17"/>
        <v>EUExperienceC - Senior</v>
      </c>
      <c r="K380" s="711"/>
      <c r="L380" s="711">
        <v>215</v>
      </c>
      <c r="M380" s="711"/>
      <c r="N380" s="711"/>
      <c r="O380" s="711"/>
      <c r="P380"/>
    </row>
    <row r="381" spans="1:16">
      <c r="A381" t="s">
        <v>736</v>
      </c>
      <c r="B381"/>
      <c r="C381"/>
      <c r="D381" t="s">
        <v>425</v>
      </c>
      <c r="E381"/>
      <c r="F381" t="s">
        <v>358</v>
      </c>
      <c r="G381"/>
      <c r="H381"/>
      <c r="I381" t="str">
        <f t="shared" si="18"/>
        <v>EUExperienceD - Lead</v>
      </c>
      <c r="J381" t="str">
        <f t="shared" si="17"/>
        <v>EUExperienceD - Lead</v>
      </c>
      <c r="K381" s="711"/>
      <c r="L381" s="711">
        <v>255</v>
      </c>
      <c r="M381" s="711"/>
      <c r="N381" s="711"/>
      <c r="O381" s="711"/>
      <c r="P381"/>
    </row>
    <row r="382" spans="1:16">
      <c r="A382" t="s">
        <v>736</v>
      </c>
      <c r="B382"/>
      <c r="C382"/>
      <c r="D382" t="s">
        <v>425</v>
      </c>
      <c r="E382"/>
      <c r="F382" t="s">
        <v>772</v>
      </c>
      <c r="G382"/>
      <c r="H382"/>
      <c r="I382" t="str">
        <f t="shared" si="18"/>
        <v>EUExperienceE - Principal</v>
      </c>
      <c r="J382" t="str">
        <f t="shared" si="17"/>
        <v>EUExperienceE - Principal</v>
      </c>
      <c r="K382" s="711"/>
      <c r="L382" s="711">
        <v>265</v>
      </c>
      <c r="M382" s="711"/>
      <c r="N382" s="711"/>
      <c r="O382" s="711"/>
      <c r="P382"/>
    </row>
    <row r="383" spans="1:16">
      <c r="A383" t="s">
        <v>736</v>
      </c>
      <c r="B383"/>
      <c r="C383"/>
      <c r="D383" t="s">
        <v>425</v>
      </c>
      <c r="E383"/>
      <c r="F383" t="s">
        <v>775</v>
      </c>
      <c r="G383"/>
      <c r="H383"/>
      <c r="I383" t="str">
        <f t="shared" si="18"/>
        <v>EUExperienceF - Chief</v>
      </c>
      <c r="J383" t="str">
        <f t="shared" si="17"/>
        <v>EUExperienceF - Chief</v>
      </c>
      <c r="K383" s="711"/>
      <c r="L383" s="711">
        <v>299</v>
      </c>
      <c r="M383" s="711"/>
      <c r="N383" s="711"/>
      <c r="O383" s="711"/>
      <c r="P383"/>
    </row>
    <row r="384" spans="1:16">
      <c r="A384" t="s">
        <v>736</v>
      </c>
      <c r="B384"/>
      <c r="C384"/>
      <c r="D384" t="s">
        <v>231</v>
      </c>
      <c r="E384"/>
      <c r="F384" t="s">
        <v>753</v>
      </c>
      <c r="G384"/>
      <c r="H384"/>
      <c r="I384" t="str">
        <f t="shared" si="18"/>
        <v>EUManaged ServicesA - Associate</v>
      </c>
      <c r="J384" t="str">
        <f t="shared" si="17"/>
        <v>EUManaged ServicesA - Associate</v>
      </c>
      <c r="K384" s="711"/>
      <c r="L384" s="711">
        <v>149</v>
      </c>
      <c r="M384" s="711"/>
      <c r="N384" s="711"/>
      <c r="O384" s="711"/>
      <c r="P384">
        <v>95</v>
      </c>
    </row>
    <row r="385" spans="1:16">
      <c r="A385" t="s">
        <v>736</v>
      </c>
      <c r="B385"/>
      <c r="C385"/>
      <c r="D385" t="s">
        <v>231</v>
      </c>
      <c r="E385"/>
      <c r="F385" t="s">
        <v>352</v>
      </c>
      <c r="G385"/>
      <c r="H385"/>
      <c r="I385" t="str">
        <f t="shared" si="18"/>
        <v>EUManaged ServicesB - Staff</v>
      </c>
      <c r="J385" t="str">
        <f t="shared" si="17"/>
        <v>EUManaged ServicesB - Staff</v>
      </c>
      <c r="K385" s="711"/>
      <c r="L385" s="711">
        <v>149</v>
      </c>
      <c r="M385" s="711"/>
      <c r="N385" s="711"/>
      <c r="O385" s="711"/>
      <c r="P385"/>
    </row>
    <row r="386" spans="1:16">
      <c r="A386" t="s">
        <v>736</v>
      </c>
      <c r="B386"/>
      <c r="C386"/>
      <c r="D386" t="s">
        <v>231</v>
      </c>
      <c r="E386"/>
      <c r="F386" t="s">
        <v>355</v>
      </c>
      <c r="G386"/>
      <c r="H386"/>
      <c r="I386" t="str">
        <f t="shared" si="18"/>
        <v>EUManaged ServicesC - Senior</v>
      </c>
      <c r="J386" t="str">
        <f t="shared" si="17"/>
        <v>EUManaged ServicesC - Senior</v>
      </c>
      <c r="K386" s="711"/>
      <c r="L386" s="711">
        <v>165</v>
      </c>
      <c r="M386" s="711"/>
      <c r="N386" s="711"/>
      <c r="O386" s="711"/>
      <c r="P386"/>
    </row>
    <row r="387" spans="1:16">
      <c r="A387" t="s">
        <v>736</v>
      </c>
      <c r="B387"/>
      <c r="C387"/>
      <c r="D387" t="s">
        <v>231</v>
      </c>
      <c r="E387"/>
      <c r="F387" t="s">
        <v>358</v>
      </c>
      <c r="G387"/>
      <c r="H387"/>
      <c r="I387" t="str">
        <f t="shared" si="18"/>
        <v>EUManaged ServicesD - Lead</v>
      </c>
      <c r="J387" t="str">
        <f t="shared" si="17"/>
        <v>EUManaged ServicesD - Lead</v>
      </c>
      <c r="K387" s="711"/>
      <c r="L387" s="711">
        <v>199</v>
      </c>
      <c r="M387" s="711"/>
      <c r="N387" s="711"/>
      <c r="O387" s="711"/>
      <c r="P387"/>
    </row>
    <row r="388" spans="1:16">
      <c r="A388" t="s">
        <v>736</v>
      </c>
      <c r="B388"/>
      <c r="C388"/>
      <c r="D388" t="s">
        <v>231</v>
      </c>
      <c r="E388"/>
      <c r="F388" t="s">
        <v>772</v>
      </c>
      <c r="G388"/>
      <c r="H388"/>
      <c r="I388" t="str">
        <f t="shared" si="18"/>
        <v>EUManaged ServicesE - Principal</v>
      </c>
      <c r="J388" t="str">
        <f t="shared" si="17"/>
        <v>EUManaged ServicesE - Principal</v>
      </c>
      <c r="K388" s="711"/>
      <c r="L388" s="711">
        <v>205</v>
      </c>
      <c r="M388" s="711"/>
      <c r="N388" s="711"/>
      <c r="O388" s="711"/>
      <c r="P388"/>
    </row>
    <row r="389" spans="1:16">
      <c r="A389" t="s">
        <v>736</v>
      </c>
      <c r="B389"/>
      <c r="C389"/>
      <c r="D389" t="s">
        <v>231</v>
      </c>
      <c r="E389"/>
      <c r="F389" t="s">
        <v>775</v>
      </c>
      <c r="G389"/>
      <c r="H389"/>
      <c r="I389" t="str">
        <f t="shared" si="18"/>
        <v>EUManaged ServicesF - Chief</v>
      </c>
      <c r="J389" t="str">
        <f t="shared" si="17"/>
        <v>EUManaged ServicesF - Chief</v>
      </c>
      <c r="K389" s="711"/>
      <c r="L389" s="711">
        <v>255</v>
      </c>
      <c r="M389" s="711"/>
      <c r="N389" s="711"/>
      <c r="O389" s="711"/>
      <c r="P389"/>
    </row>
    <row r="390" spans="1:16">
      <c r="A390" t="s">
        <v>736</v>
      </c>
      <c r="B390"/>
      <c r="C390"/>
      <c r="D390" t="s">
        <v>777</v>
      </c>
      <c r="E390"/>
      <c r="F390" t="s">
        <v>753</v>
      </c>
      <c r="G390"/>
      <c r="H390"/>
      <c r="I390" t="str">
        <f t="shared" si="18"/>
        <v>EUPublic SectorA - Associate</v>
      </c>
      <c r="J390" t="str">
        <f t="shared" si="17"/>
        <v>EUPublic SectorA - Associate</v>
      </c>
      <c r="K390" s="711"/>
      <c r="L390" s="711">
        <v>149</v>
      </c>
      <c r="M390" s="711"/>
      <c r="N390" s="711"/>
      <c r="O390" s="711"/>
      <c r="P390">
        <v>95</v>
      </c>
    </row>
    <row r="391" spans="1:16">
      <c r="A391" t="s">
        <v>736</v>
      </c>
      <c r="B391"/>
      <c r="C391"/>
      <c r="D391" t="s">
        <v>777</v>
      </c>
      <c r="E391"/>
      <c r="F391" t="s">
        <v>352</v>
      </c>
      <c r="G391"/>
      <c r="H391"/>
      <c r="I391" t="str">
        <f t="shared" si="18"/>
        <v>EUPublic SectorB - Staff</v>
      </c>
      <c r="J391" t="str">
        <f t="shared" si="17"/>
        <v>EUPublic SectorB - Staff</v>
      </c>
      <c r="K391" s="711"/>
      <c r="L391" s="711">
        <v>149</v>
      </c>
      <c r="M391" s="711"/>
      <c r="N391" s="711"/>
      <c r="O391" s="711"/>
      <c r="P391"/>
    </row>
    <row r="392" spans="1:16">
      <c r="A392" t="s">
        <v>736</v>
      </c>
      <c r="B392"/>
      <c r="C392"/>
      <c r="D392" t="s">
        <v>777</v>
      </c>
      <c r="E392"/>
      <c r="F392" t="s">
        <v>355</v>
      </c>
      <c r="G392"/>
      <c r="H392"/>
      <c r="I392" t="str">
        <f t="shared" si="18"/>
        <v>EUPublic SectorC - Senior</v>
      </c>
      <c r="J392" t="str">
        <f t="shared" si="17"/>
        <v>EUPublic SectorC - Senior</v>
      </c>
      <c r="K392" s="711"/>
      <c r="L392" s="711">
        <v>165</v>
      </c>
      <c r="M392" s="711"/>
      <c r="N392" s="711"/>
      <c r="O392" s="711"/>
      <c r="P392"/>
    </row>
    <row r="393" spans="1:16">
      <c r="A393" t="s">
        <v>736</v>
      </c>
      <c r="B393"/>
      <c r="C393"/>
      <c r="D393" t="s">
        <v>777</v>
      </c>
      <c r="E393"/>
      <c r="F393" t="s">
        <v>358</v>
      </c>
      <c r="G393"/>
      <c r="H393"/>
      <c r="I393" t="str">
        <f t="shared" si="18"/>
        <v>EUPublic SectorD - Lead</v>
      </c>
      <c r="J393" t="str">
        <f t="shared" si="17"/>
        <v>EUPublic SectorD - Lead</v>
      </c>
      <c r="K393" s="711"/>
      <c r="L393" s="711">
        <v>199</v>
      </c>
      <c r="M393" s="711"/>
      <c r="N393" s="711"/>
      <c r="O393" s="711"/>
      <c r="P393"/>
    </row>
    <row r="394" spans="1:16">
      <c r="A394" t="s">
        <v>736</v>
      </c>
      <c r="B394"/>
      <c r="C394"/>
      <c r="D394" t="s">
        <v>777</v>
      </c>
      <c r="E394"/>
      <c r="F394" t="s">
        <v>772</v>
      </c>
      <c r="G394"/>
      <c r="H394"/>
      <c r="I394" t="str">
        <f t="shared" si="18"/>
        <v>EUPublic SectorE - Principal</v>
      </c>
      <c r="J394" t="str">
        <f t="shared" si="17"/>
        <v>EUPublic SectorE - Principal</v>
      </c>
      <c r="K394" s="711"/>
      <c r="L394" s="711">
        <v>205</v>
      </c>
      <c r="M394" s="711"/>
      <c r="N394" s="711"/>
      <c r="O394" s="711"/>
      <c r="P394"/>
    </row>
    <row r="395" spans="1:16">
      <c r="A395" t="s">
        <v>736</v>
      </c>
      <c r="B395"/>
      <c r="C395"/>
      <c r="D395" t="s">
        <v>777</v>
      </c>
      <c r="E395"/>
      <c r="F395" t="s">
        <v>775</v>
      </c>
      <c r="G395"/>
      <c r="H395"/>
      <c r="I395" t="str">
        <f t="shared" si="18"/>
        <v>EUPublic SectorF - Chief</v>
      </c>
      <c r="J395" t="str">
        <f t="shared" si="17"/>
        <v>EUPublic SectorF - Chief</v>
      </c>
      <c r="K395" s="711"/>
      <c r="L395" s="711">
        <v>255</v>
      </c>
      <c r="M395" s="711"/>
      <c r="N395" s="711"/>
      <c r="O395" s="711"/>
      <c r="P395"/>
    </row>
    <row r="396" spans="1:16">
      <c r="A396" t="s">
        <v>736</v>
      </c>
      <c r="B396"/>
      <c r="C396"/>
      <c r="D396" t="s">
        <v>780</v>
      </c>
      <c r="E396"/>
      <c r="F396" t="s">
        <v>753</v>
      </c>
      <c r="G396"/>
      <c r="H396"/>
      <c r="I396" t="str">
        <f t="shared" si="18"/>
        <v>EURisk and ResilienceA - Associate</v>
      </c>
      <c r="J396" t="str">
        <f t="shared" si="17"/>
        <v>EURisk and ResilienceA - Associate</v>
      </c>
      <c r="K396" s="711"/>
      <c r="L396" s="711">
        <v>165</v>
      </c>
      <c r="M396" s="711"/>
      <c r="N396" s="711"/>
      <c r="O396" s="711"/>
      <c r="P396">
        <v>105</v>
      </c>
    </row>
    <row r="397" spans="1:16">
      <c r="A397" t="s">
        <v>736</v>
      </c>
      <c r="B397"/>
      <c r="C397"/>
      <c r="D397" t="s">
        <v>780</v>
      </c>
      <c r="E397"/>
      <c r="F397" t="s">
        <v>352</v>
      </c>
      <c r="G397"/>
      <c r="H397"/>
      <c r="I397" t="str">
        <f t="shared" si="18"/>
        <v>EURisk and ResilienceB - Staff</v>
      </c>
      <c r="J397" t="str">
        <f t="shared" si="17"/>
        <v>EURisk and ResilienceB - Staff</v>
      </c>
      <c r="K397" s="711"/>
      <c r="L397" s="711">
        <v>165</v>
      </c>
      <c r="M397" s="711"/>
      <c r="N397" s="711"/>
      <c r="O397" s="711"/>
      <c r="P397"/>
    </row>
    <row r="398" spans="1:16">
      <c r="A398" t="s">
        <v>736</v>
      </c>
      <c r="B398"/>
      <c r="C398"/>
      <c r="D398" t="s">
        <v>780</v>
      </c>
      <c r="E398"/>
      <c r="F398" t="s">
        <v>355</v>
      </c>
      <c r="G398"/>
      <c r="H398"/>
      <c r="I398" t="str">
        <f t="shared" si="18"/>
        <v>EURisk and ResilienceC - Senior</v>
      </c>
      <c r="J398" t="str">
        <f t="shared" si="17"/>
        <v>EURisk and ResilienceC - Senior</v>
      </c>
      <c r="K398" s="711"/>
      <c r="L398" s="711">
        <v>199</v>
      </c>
      <c r="M398" s="711"/>
      <c r="N398" s="711"/>
      <c r="O398" s="711"/>
      <c r="P398"/>
    </row>
    <row r="399" spans="1:16">
      <c r="A399" t="s">
        <v>736</v>
      </c>
      <c r="B399"/>
      <c r="C399"/>
      <c r="D399" t="s">
        <v>780</v>
      </c>
      <c r="E399"/>
      <c r="F399" t="s">
        <v>358</v>
      </c>
      <c r="G399"/>
      <c r="H399"/>
      <c r="I399" t="str">
        <f t="shared" si="18"/>
        <v>EURisk and ResilienceD - Lead</v>
      </c>
      <c r="J399" t="str">
        <f t="shared" si="17"/>
        <v>EURisk and ResilienceD - Lead</v>
      </c>
      <c r="K399" s="711"/>
      <c r="L399" s="711">
        <v>235</v>
      </c>
      <c r="M399" s="711"/>
      <c r="N399" s="711"/>
      <c r="O399" s="711"/>
      <c r="P399"/>
    </row>
    <row r="400" spans="1:16">
      <c r="A400" t="s">
        <v>736</v>
      </c>
      <c r="B400"/>
      <c r="C400"/>
      <c r="D400" t="s">
        <v>780</v>
      </c>
      <c r="E400"/>
      <c r="F400" t="s">
        <v>772</v>
      </c>
      <c r="G400"/>
      <c r="H400"/>
      <c r="I400" t="str">
        <f t="shared" si="18"/>
        <v>EURisk and ResilienceE - Principal</v>
      </c>
      <c r="J400" t="str">
        <f t="shared" si="17"/>
        <v>EURisk and ResilienceE - Principal</v>
      </c>
      <c r="K400" s="711"/>
      <c r="L400" s="711">
        <v>245</v>
      </c>
      <c r="M400" s="711"/>
      <c r="N400" s="711"/>
      <c r="O400" s="711"/>
      <c r="P400"/>
    </row>
    <row r="401" spans="1:16">
      <c r="A401" t="s">
        <v>736</v>
      </c>
      <c r="B401"/>
      <c r="C401"/>
      <c r="D401" t="s">
        <v>780</v>
      </c>
      <c r="E401"/>
      <c r="F401" t="s">
        <v>775</v>
      </c>
      <c r="G401"/>
      <c r="H401"/>
      <c r="I401" t="str">
        <f t="shared" si="18"/>
        <v>EURisk and ResilienceF - Chief</v>
      </c>
      <c r="J401" t="str">
        <f t="shared" si="17"/>
        <v>EURisk and ResilienceF - Chief</v>
      </c>
      <c r="K401" s="711"/>
      <c r="L401" s="711">
        <v>275</v>
      </c>
      <c r="M401" s="711"/>
      <c r="N401" s="711"/>
      <c r="O401" s="711"/>
      <c r="P401"/>
    </row>
    <row r="402" spans="1:16">
      <c r="A402" t="s">
        <v>736</v>
      </c>
      <c r="B402"/>
      <c r="C402"/>
      <c r="D402" t="s">
        <v>399</v>
      </c>
      <c r="E402"/>
      <c r="F402" t="s">
        <v>753</v>
      </c>
      <c r="G402"/>
      <c r="H402"/>
      <c r="I402" t="str">
        <f t="shared" si="18"/>
        <v>EUTechnologyA - Associate</v>
      </c>
      <c r="J402" t="str">
        <f t="shared" si="17"/>
        <v>EUTechnologyA - Associate</v>
      </c>
      <c r="K402" s="711"/>
      <c r="L402" s="711">
        <v>149</v>
      </c>
      <c r="M402" s="711"/>
      <c r="N402" s="711"/>
      <c r="O402" s="711"/>
      <c r="P402">
        <v>95</v>
      </c>
    </row>
    <row r="403" spans="1:16">
      <c r="A403" t="s">
        <v>736</v>
      </c>
      <c r="B403"/>
      <c r="C403"/>
      <c r="D403" t="s">
        <v>399</v>
      </c>
      <c r="E403"/>
      <c r="F403" t="s">
        <v>352</v>
      </c>
      <c r="G403"/>
      <c r="H403"/>
      <c r="I403" t="str">
        <f t="shared" si="18"/>
        <v>EUTechnologyB - Staff</v>
      </c>
      <c r="J403" t="str">
        <f t="shared" ref="J403:J466" si="19">A403&amp;C403&amp;D403&amp;E403&amp;F403</f>
        <v>EUTechnologyB - Staff</v>
      </c>
      <c r="K403" s="711"/>
      <c r="L403" s="711">
        <v>149</v>
      </c>
      <c r="M403" s="711"/>
      <c r="N403" s="711"/>
      <c r="O403" s="711"/>
      <c r="P403"/>
    </row>
    <row r="404" spans="1:16">
      <c r="A404" t="s">
        <v>736</v>
      </c>
      <c r="B404"/>
      <c r="C404"/>
      <c r="D404" t="s">
        <v>399</v>
      </c>
      <c r="E404"/>
      <c r="F404" t="s">
        <v>355</v>
      </c>
      <c r="G404"/>
      <c r="H404"/>
      <c r="I404" t="str">
        <f t="shared" si="18"/>
        <v>EUTechnologyC - Senior</v>
      </c>
      <c r="J404" t="str">
        <f t="shared" si="19"/>
        <v>EUTechnologyC - Senior</v>
      </c>
      <c r="K404" s="711"/>
      <c r="L404" s="711">
        <v>165</v>
      </c>
      <c r="M404" s="711"/>
      <c r="N404" s="711"/>
      <c r="O404" s="711"/>
      <c r="P404"/>
    </row>
    <row r="405" spans="1:16">
      <c r="A405" t="s">
        <v>736</v>
      </c>
      <c r="B405"/>
      <c r="C405"/>
      <c r="D405" t="s">
        <v>399</v>
      </c>
      <c r="E405"/>
      <c r="F405" t="s">
        <v>358</v>
      </c>
      <c r="G405"/>
      <c r="H405"/>
      <c r="I405" t="str">
        <f t="shared" si="18"/>
        <v>EUTechnologyD - Lead</v>
      </c>
      <c r="J405" t="str">
        <f t="shared" si="19"/>
        <v>EUTechnologyD - Lead</v>
      </c>
      <c r="K405" s="711"/>
      <c r="L405" s="711">
        <v>199</v>
      </c>
      <c r="M405" s="711"/>
      <c r="N405" s="711"/>
      <c r="O405" s="711"/>
      <c r="P405"/>
    </row>
    <row r="406" spans="1:16">
      <c r="A406" t="s">
        <v>736</v>
      </c>
      <c r="B406"/>
      <c r="C406"/>
      <c r="D406" t="s">
        <v>399</v>
      </c>
      <c r="E406"/>
      <c r="F406" t="s">
        <v>772</v>
      </c>
      <c r="G406"/>
      <c r="H406"/>
      <c r="I406" t="str">
        <f t="shared" si="18"/>
        <v>EUTechnologyE - Principal</v>
      </c>
      <c r="J406" t="str">
        <f t="shared" si="19"/>
        <v>EUTechnologyE - Principal</v>
      </c>
      <c r="K406" s="711"/>
      <c r="L406" s="711">
        <v>205</v>
      </c>
      <c r="M406" s="711"/>
      <c r="N406" s="711"/>
      <c r="O406" s="711"/>
      <c r="P406"/>
    </row>
    <row r="407" spans="1:16">
      <c r="A407" t="s">
        <v>736</v>
      </c>
      <c r="B407"/>
      <c r="C407"/>
      <c r="D407" t="s">
        <v>399</v>
      </c>
      <c r="E407"/>
      <c r="F407" t="s">
        <v>775</v>
      </c>
      <c r="G407"/>
      <c r="H407"/>
      <c r="I407" t="str">
        <f t="shared" si="18"/>
        <v>EUTechnologyF - Chief</v>
      </c>
      <c r="J407" t="str">
        <f t="shared" si="19"/>
        <v>EUTechnologyF - Chief</v>
      </c>
      <c r="K407" s="711"/>
      <c r="L407" s="711">
        <v>255</v>
      </c>
      <c r="M407" s="711"/>
      <c r="N407" s="711"/>
      <c r="O407" s="711"/>
      <c r="P407"/>
    </row>
    <row r="408" spans="1:16">
      <c r="A408" t="s">
        <v>736</v>
      </c>
      <c r="B408"/>
      <c r="C408"/>
      <c r="D408" t="s">
        <v>360</v>
      </c>
      <c r="E408"/>
      <c r="F408" t="s">
        <v>753</v>
      </c>
      <c r="G408"/>
      <c r="H408"/>
      <c r="I408" t="str">
        <f t="shared" si="18"/>
        <v>EUPMOA - Associate</v>
      </c>
      <c r="J408" t="str">
        <f t="shared" si="19"/>
        <v>EUPMOA - Associate</v>
      </c>
      <c r="K408" s="711"/>
      <c r="L408" s="711">
        <v>149</v>
      </c>
      <c r="M408" s="711"/>
      <c r="N408" s="711"/>
      <c r="O408" s="711"/>
      <c r="P408">
        <v>95</v>
      </c>
    </row>
    <row r="409" spans="1:16">
      <c r="A409" t="s">
        <v>736</v>
      </c>
      <c r="B409"/>
      <c r="C409"/>
      <c r="D409" t="s">
        <v>360</v>
      </c>
      <c r="E409"/>
      <c r="F409" t="s">
        <v>352</v>
      </c>
      <c r="G409"/>
      <c r="H409"/>
      <c r="I409" t="str">
        <f t="shared" si="18"/>
        <v>EUPMOB - Staff</v>
      </c>
      <c r="J409" t="str">
        <f t="shared" si="19"/>
        <v>EUPMOB - Staff</v>
      </c>
      <c r="K409" s="711"/>
      <c r="L409" s="711">
        <v>149</v>
      </c>
      <c r="M409" s="711"/>
      <c r="N409" s="711"/>
      <c r="O409" s="711"/>
      <c r="P409"/>
    </row>
    <row r="410" spans="1:16">
      <c r="A410" t="s">
        <v>736</v>
      </c>
      <c r="B410"/>
      <c r="C410"/>
      <c r="D410" t="s">
        <v>360</v>
      </c>
      <c r="E410"/>
      <c r="F410" t="s">
        <v>355</v>
      </c>
      <c r="G410"/>
      <c r="H410"/>
      <c r="I410" t="str">
        <f t="shared" si="18"/>
        <v>EUPMOC - Senior</v>
      </c>
      <c r="J410" t="str">
        <f t="shared" si="19"/>
        <v>EUPMOC - Senior</v>
      </c>
      <c r="K410" s="711"/>
      <c r="L410" s="711">
        <v>165</v>
      </c>
      <c r="M410" s="711"/>
      <c r="N410" s="711"/>
      <c r="O410" s="711"/>
      <c r="P410"/>
    </row>
    <row r="411" spans="1:16">
      <c r="A411" t="s">
        <v>736</v>
      </c>
      <c r="B411"/>
      <c r="C411"/>
      <c r="D411" t="s">
        <v>360</v>
      </c>
      <c r="E411"/>
      <c r="F411" t="s">
        <v>358</v>
      </c>
      <c r="G411"/>
      <c r="H411"/>
      <c r="I411" t="str">
        <f t="shared" si="18"/>
        <v>EUPMOD - Lead</v>
      </c>
      <c r="J411" t="str">
        <f t="shared" si="19"/>
        <v>EUPMOD - Lead</v>
      </c>
      <c r="K411" s="711"/>
      <c r="L411" s="711">
        <v>199</v>
      </c>
      <c r="M411" s="711"/>
      <c r="N411" s="711"/>
      <c r="O411" s="711"/>
      <c r="P411"/>
    </row>
    <row r="412" spans="1:16">
      <c r="A412" t="s">
        <v>736</v>
      </c>
      <c r="B412"/>
      <c r="C412"/>
      <c r="D412" t="s">
        <v>360</v>
      </c>
      <c r="E412"/>
      <c r="F412" t="s">
        <v>772</v>
      </c>
      <c r="G412"/>
      <c r="H412"/>
      <c r="I412" t="str">
        <f t="shared" si="18"/>
        <v>EUPMOE - Principal</v>
      </c>
      <c r="J412" t="str">
        <f t="shared" si="19"/>
        <v>EUPMOE - Principal</v>
      </c>
      <c r="K412" s="711"/>
      <c r="L412" s="711">
        <v>205</v>
      </c>
      <c r="M412" s="711"/>
      <c r="N412" s="711"/>
      <c r="O412" s="711"/>
      <c r="P412"/>
    </row>
    <row r="413" spans="1:16">
      <c r="A413" t="s">
        <v>736</v>
      </c>
      <c r="B413"/>
      <c r="C413"/>
      <c r="D413" t="s">
        <v>360</v>
      </c>
      <c r="E413"/>
      <c r="F413" t="s">
        <v>775</v>
      </c>
      <c r="G413"/>
      <c r="H413"/>
      <c r="I413" t="str">
        <f t="shared" si="18"/>
        <v>EUPMOF - Chief</v>
      </c>
      <c r="J413" t="str">
        <f t="shared" si="19"/>
        <v>EUPMOF - Chief</v>
      </c>
      <c r="K413" s="711"/>
      <c r="L413" s="711">
        <v>255</v>
      </c>
      <c r="M413" s="711"/>
      <c r="N413" s="711"/>
      <c r="O413" s="711"/>
      <c r="P413"/>
    </row>
    <row r="414" spans="1:16">
      <c r="A414" t="s">
        <v>736</v>
      </c>
      <c r="B414"/>
      <c r="C414" t="s">
        <v>227</v>
      </c>
      <c r="D414" t="s">
        <v>750</v>
      </c>
      <c r="E414" t="s">
        <v>779</v>
      </c>
      <c r="F414" t="s">
        <v>355</v>
      </c>
      <c r="G414"/>
      <c r="H414"/>
      <c r="I414" t="str">
        <f t="shared" si="18"/>
        <v>EUAdvisoryEnablementC - Senior</v>
      </c>
      <c r="J414" t="str">
        <f t="shared" si="19"/>
        <v>EUIndiaAdvisoryEnablementC - Senior</v>
      </c>
      <c r="K414" s="711"/>
      <c r="L414" s="711">
        <v>75</v>
      </c>
      <c r="M414" s="711"/>
      <c r="N414" s="711"/>
      <c r="O414" s="711"/>
      <c r="P414"/>
    </row>
    <row r="415" spans="1:16">
      <c r="A415" t="s">
        <v>736</v>
      </c>
      <c r="B415"/>
      <c r="C415" t="s">
        <v>227</v>
      </c>
      <c r="D415" t="s">
        <v>750</v>
      </c>
      <c r="E415" t="s">
        <v>764</v>
      </c>
      <c r="F415" t="s">
        <v>358</v>
      </c>
      <c r="G415"/>
      <c r="H415"/>
      <c r="I415" t="str">
        <f t="shared" si="18"/>
        <v>EUAdvisoryChange ManagementD - Lead</v>
      </c>
      <c r="J415" t="str">
        <f t="shared" si="19"/>
        <v>EUIndiaAdvisoryChange ManagementD - Lead</v>
      </c>
      <c r="K415" s="711"/>
      <c r="L415" s="711">
        <v>89</v>
      </c>
      <c r="M415" s="711"/>
      <c r="N415" s="711"/>
      <c r="O415" s="711"/>
      <c r="P415"/>
    </row>
    <row r="416" spans="1:16">
      <c r="A416" t="s">
        <v>736</v>
      </c>
      <c r="B416"/>
      <c r="C416" t="s">
        <v>227</v>
      </c>
      <c r="D416" t="s">
        <v>750</v>
      </c>
      <c r="E416" t="s">
        <v>784</v>
      </c>
      <c r="F416" t="s">
        <v>355</v>
      </c>
      <c r="G416"/>
      <c r="H416"/>
      <c r="I416" t="str">
        <f t="shared" si="18"/>
        <v>EUAdvisoryStrategyC - Senior</v>
      </c>
      <c r="J416" t="str">
        <f t="shared" si="19"/>
        <v>EUIndiaAdvisoryStrategyC - Senior</v>
      </c>
      <c r="K416" s="711"/>
      <c r="L416" s="711">
        <v>95</v>
      </c>
      <c r="M416" s="711"/>
      <c r="N416" s="711"/>
      <c r="O416" s="711"/>
      <c r="P416"/>
    </row>
    <row r="417" spans="1:16">
      <c r="A417" t="s">
        <v>736</v>
      </c>
      <c r="B417"/>
      <c r="C417" t="s">
        <v>227</v>
      </c>
      <c r="D417" t="s">
        <v>750</v>
      </c>
      <c r="E417" t="s">
        <v>784</v>
      </c>
      <c r="F417" t="s">
        <v>358</v>
      </c>
      <c r="G417"/>
      <c r="H417"/>
      <c r="I417" t="str">
        <f t="shared" si="18"/>
        <v>EUAdvisoryStrategyD - Lead</v>
      </c>
      <c r="J417" t="str">
        <f t="shared" si="19"/>
        <v>EUIndiaAdvisoryStrategyD - Lead</v>
      </c>
      <c r="K417" s="711"/>
      <c r="L417" s="711">
        <v>109</v>
      </c>
      <c r="M417" s="711"/>
      <c r="N417" s="711"/>
      <c r="O417" s="711"/>
      <c r="P417"/>
    </row>
    <row r="418" spans="1:16">
      <c r="A418" t="s">
        <v>736</v>
      </c>
      <c r="B418"/>
      <c r="C418" t="s">
        <v>227</v>
      </c>
      <c r="D418" t="s">
        <v>750</v>
      </c>
      <c r="E418" t="s">
        <v>784</v>
      </c>
      <c r="F418" t="s">
        <v>772</v>
      </c>
      <c r="G418"/>
      <c r="H418"/>
      <c r="I418" t="str">
        <f t="shared" si="18"/>
        <v>EUAdvisoryStrategyE - Principal</v>
      </c>
      <c r="J418" t="str">
        <f t="shared" si="19"/>
        <v>EUIndiaAdvisoryStrategyE - Principal</v>
      </c>
      <c r="K418" s="711"/>
      <c r="L418" s="711">
        <v>125</v>
      </c>
      <c r="M418" s="711"/>
      <c r="N418" s="711"/>
      <c r="O418" s="711"/>
      <c r="P418"/>
    </row>
    <row r="419" spans="1:16">
      <c r="A419" t="s">
        <v>736</v>
      </c>
      <c r="B419"/>
      <c r="C419" t="s">
        <v>227</v>
      </c>
      <c r="D419" t="s">
        <v>750</v>
      </c>
      <c r="E419" t="s">
        <v>784</v>
      </c>
      <c r="F419" t="s">
        <v>775</v>
      </c>
      <c r="G419"/>
      <c r="H419"/>
      <c r="I419" t="str">
        <f t="shared" si="18"/>
        <v>EUAdvisoryStrategyF - Chief</v>
      </c>
      <c r="J419" t="str">
        <f t="shared" si="19"/>
        <v>EUIndiaAdvisoryStrategyF - Chief</v>
      </c>
      <c r="K419" s="711"/>
      <c r="L419" s="711">
        <v>285</v>
      </c>
      <c r="M419" s="711"/>
      <c r="N419" s="711"/>
      <c r="O419" s="711"/>
      <c r="P419"/>
    </row>
    <row r="420" spans="1:16">
      <c r="A420" t="s">
        <v>736</v>
      </c>
      <c r="B420"/>
      <c r="C420" t="s">
        <v>227</v>
      </c>
      <c r="D420" t="s">
        <v>404</v>
      </c>
      <c r="E420"/>
      <c r="F420" t="s">
        <v>753</v>
      </c>
      <c r="G420"/>
      <c r="H420"/>
      <c r="I420" t="str">
        <f t="shared" si="18"/>
        <v>EUCustomerA - Associate</v>
      </c>
      <c r="J420" t="str">
        <f t="shared" si="19"/>
        <v>EUIndiaCustomerA - Associate</v>
      </c>
      <c r="K420" s="711"/>
      <c r="L420" s="711">
        <v>75</v>
      </c>
      <c r="M420" s="711"/>
      <c r="N420" s="711"/>
      <c r="O420" s="711"/>
      <c r="P420">
        <v>45</v>
      </c>
    </row>
    <row r="421" spans="1:16">
      <c r="A421" t="s">
        <v>736</v>
      </c>
      <c r="B421"/>
      <c r="C421" t="s">
        <v>227</v>
      </c>
      <c r="D421" t="s">
        <v>404</v>
      </c>
      <c r="E421"/>
      <c r="F421" t="s">
        <v>352</v>
      </c>
      <c r="G421"/>
      <c r="H421"/>
      <c r="I421" t="str">
        <f t="shared" si="18"/>
        <v>EUCustomerB - Staff</v>
      </c>
      <c r="J421" t="str">
        <f t="shared" si="19"/>
        <v>EUIndiaCustomerB - Staff</v>
      </c>
      <c r="K421" s="711"/>
      <c r="L421" s="711">
        <v>75</v>
      </c>
      <c r="M421" s="711"/>
      <c r="N421" s="711"/>
      <c r="O421" s="711"/>
      <c r="P421"/>
    </row>
    <row r="422" spans="1:16">
      <c r="A422" t="s">
        <v>736</v>
      </c>
      <c r="B422"/>
      <c r="C422" t="s">
        <v>227</v>
      </c>
      <c r="D422" t="s">
        <v>404</v>
      </c>
      <c r="E422"/>
      <c r="F422" t="s">
        <v>355</v>
      </c>
      <c r="G422"/>
      <c r="H422"/>
      <c r="I422" t="str">
        <f t="shared" si="18"/>
        <v>EUCustomerC - Senior</v>
      </c>
      <c r="J422" t="str">
        <f t="shared" si="19"/>
        <v>EUIndiaCustomerC - Senior</v>
      </c>
      <c r="K422" s="711"/>
      <c r="L422" s="711">
        <v>79</v>
      </c>
      <c r="M422" s="711"/>
      <c r="N422" s="711"/>
      <c r="O422" s="711"/>
      <c r="P422"/>
    </row>
    <row r="423" spans="1:16">
      <c r="A423" t="s">
        <v>736</v>
      </c>
      <c r="B423"/>
      <c r="C423" t="s">
        <v>227</v>
      </c>
      <c r="D423" t="s">
        <v>404</v>
      </c>
      <c r="E423"/>
      <c r="F423" t="s">
        <v>358</v>
      </c>
      <c r="G423"/>
      <c r="H423"/>
      <c r="I423" t="str">
        <f t="shared" si="18"/>
        <v>EUCustomerD - Lead</v>
      </c>
      <c r="J423" t="str">
        <f t="shared" si="19"/>
        <v>EUIndiaCustomerD - Lead</v>
      </c>
      <c r="K423" s="711"/>
      <c r="L423" s="711">
        <v>95</v>
      </c>
      <c r="M423" s="711"/>
      <c r="N423" s="711"/>
      <c r="O423" s="711"/>
      <c r="P423"/>
    </row>
    <row r="424" spans="1:16">
      <c r="A424" t="s">
        <v>736</v>
      </c>
      <c r="B424"/>
      <c r="C424" t="s">
        <v>227</v>
      </c>
      <c r="D424" t="s">
        <v>404</v>
      </c>
      <c r="E424"/>
      <c r="F424" t="s">
        <v>772</v>
      </c>
      <c r="G424"/>
      <c r="H424"/>
      <c r="I424" t="str">
        <f t="shared" si="18"/>
        <v>EUCustomerE - Principal</v>
      </c>
      <c r="J424" t="str">
        <f t="shared" si="19"/>
        <v>EUIndiaCustomerE - Principal</v>
      </c>
      <c r="K424" s="711"/>
      <c r="L424" s="711">
        <v>105</v>
      </c>
      <c r="M424" s="711"/>
      <c r="N424" s="711"/>
      <c r="O424" s="711"/>
      <c r="P424"/>
    </row>
    <row r="425" spans="1:16">
      <c r="A425" t="s">
        <v>736</v>
      </c>
      <c r="B425"/>
      <c r="C425" t="s">
        <v>227</v>
      </c>
      <c r="D425" t="s">
        <v>404</v>
      </c>
      <c r="E425"/>
      <c r="F425" t="s">
        <v>775</v>
      </c>
      <c r="G425"/>
      <c r="H425"/>
      <c r="I425" t="str">
        <f t="shared" si="18"/>
        <v>EUCustomerF - Chief</v>
      </c>
      <c r="J425" t="str">
        <f t="shared" si="19"/>
        <v>EUIndiaCustomerF - Chief</v>
      </c>
      <c r="K425" s="711"/>
      <c r="L425" s="711">
        <v>255</v>
      </c>
      <c r="M425" s="711"/>
      <c r="N425" s="711"/>
      <c r="O425" s="711"/>
      <c r="P425"/>
    </row>
    <row r="426" spans="1:16">
      <c r="A426" t="s">
        <v>736</v>
      </c>
      <c r="B426"/>
      <c r="C426" t="s">
        <v>227</v>
      </c>
      <c r="D426" t="s">
        <v>761</v>
      </c>
      <c r="E426"/>
      <c r="F426" t="s">
        <v>753</v>
      </c>
      <c r="G426"/>
      <c r="H426"/>
      <c r="I426" t="str">
        <f t="shared" si="18"/>
        <v>EUEmployeeA - Associate</v>
      </c>
      <c r="J426" t="str">
        <f t="shared" si="19"/>
        <v>EUIndiaEmployeeA - Associate</v>
      </c>
      <c r="K426" s="711"/>
      <c r="L426" s="711">
        <v>75</v>
      </c>
      <c r="M426" s="711"/>
      <c r="N426" s="711"/>
      <c r="O426" s="711"/>
      <c r="P426">
        <v>45</v>
      </c>
    </row>
    <row r="427" spans="1:16">
      <c r="A427" t="s">
        <v>736</v>
      </c>
      <c r="B427"/>
      <c r="C427" t="s">
        <v>227</v>
      </c>
      <c r="D427" t="s">
        <v>761</v>
      </c>
      <c r="E427"/>
      <c r="F427" t="s">
        <v>352</v>
      </c>
      <c r="G427"/>
      <c r="H427"/>
      <c r="I427" t="str">
        <f t="shared" si="18"/>
        <v>EUEmployeeB - Staff</v>
      </c>
      <c r="J427" t="str">
        <f t="shared" si="19"/>
        <v>EUIndiaEmployeeB - Staff</v>
      </c>
      <c r="K427" s="711"/>
      <c r="L427" s="711">
        <v>75</v>
      </c>
      <c r="M427" s="711"/>
      <c r="N427" s="711"/>
      <c r="O427" s="711"/>
      <c r="P427"/>
    </row>
    <row r="428" spans="1:16">
      <c r="A428" t="s">
        <v>736</v>
      </c>
      <c r="B428"/>
      <c r="C428" t="s">
        <v>227</v>
      </c>
      <c r="D428" t="s">
        <v>761</v>
      </c>
      <c r="E428"/>
      <c r="F428" t="s">
        <v>355</v>
      </c>
      <c r="G428"/>
      <c r="H428"/>
      <c r="I428" t="str">
        <f t="shared" si="18"/>
        <v>EUEmployeeC - Senior</v>
      </c>
      <c r="J428" t="str">
        <f t="shared" si="19"/>
        <v>EUIndiaEmployeeC - Senior</v>
      </c>
      <c r="K428" s="711"/>
      <c r="L428" s="711">
        <v>79</v>
      </c>
      <c r="M428" s="711"/>
      <c r="N428" s="711"/>
      <c r="O428" s="711"/>
      <c r="P428"/>
    </row>
    <row r="429" spans="1:16">
      <c r="A429" t="s">
        <v>736</v>
      </c>
      <c r="B429"/>
      <c r="C429" t="s">
        <v>227</v>
      </c>
      <c r="D429" t="s">
        <v>761</v>
      </c>
      <c r="E429"/>
      <c r="F429" t="s">
        <v>358</v>
      </c>
      <c r="G429"/>
      <c r="H429"/>
      <c r="I429" t="str">
        <f t="shared" si="18"/>
        <v>EUEmployeeD - Lead</v>
      </c>
      <c r="J429" t="str">
        <f t="shared" si="19"/>
        <v>EUIndiaEmployeeD - Lead</v>
      </c>
      <c r="K429" s="711"/>
      <c r="L429" s="711">
        <v>95</v>
      </c>
      <c r="M429" s="711"/>
      <c r="N429" s="711"/>
      <c r="O429" s="711"/>
      <c r="P429"/>
    </row>
    <row r="430" spans="1:16">
      <c r="A430" t="s">
        <v>736</v>
      </c>
      <c r="B430"/>
      <c r="C430" t="s">
        <v>227</v>
      </c>
      <c r="D430" t="s">
        <v>761</v>
      </c>
      <c r="E430"/>
      <c r="F430" t="s">
        <v>772</v>
      </c>
      <c r="G430"/>
      <c r="H430"/>
      <c r="I430" t="str">
        <f t="shared" si="18"/>
        <v>EUEmployeeE - Principal</v>
      </c>
      <c r="J430" t="str">
        <f t="shared" si="19"/>
        <v>EUIndiaEmployeeE - Principal</v>
      </c>
      <c r="K430" s="711"/>
      <c r="L430" s="711">
        <v>105</v>
      </c>
      <c r="M430" s="711"/>
      <c r="N430" s="711"/>
      <c r="O430" s="711"/>
      <c r="P430"/>
    </row>
    <row r="431" spans="1:16">
      <c r="A431" t="s">
        <v>736</v>
      </c>
      <c r="B431"/>
      <c r="C431" t="s">
        <v>227</v>
      </c>
      <c r="D431" t="s">
        <v>761</v>
      </c>
      <c r="E431"/>
      <c r="F431" t="s">
        <v>775</v>
      </c>
      <c r="G431"/>
      <c r="H431"/>
      <c r="I431" t="str">
        <f t="shared" ref="I431:I494" si="20">A431&amp;B431&amp;D431&amp;E431&amp;F431&amp;G431</f>
        <v>EUEmployeeF - Chief</v>
      </c>
      <c r="J431" t="str">
        <f t="shared" si="19"/>
        <v>EUIndiaEmployeeF - Chief</v>
      </c>
      <c r="K431" s="711"/>
      <c r="L431" s="711">
        <v>255</v>
      </c>
      <c r="M431" s="711"/>
      <c r="N431" s="711"/>
      <c r="O431" s="711"/>
      <c r="P431"/>
    </row>
    <row r="432" spans="1:16">
      <c r="A432" t="s">
        <v>736</v>
      </c>
      <c r="B432"/>
      <c r="C432" t="s">
        <v>227</v>
      </c>
      <c r="D432" t="s">
        <v>425</v>
      </c>
      <c r="E432"/>
      <c r="F432" t="s">
        <v>753</v>
      </c>
      <c r="G432"/>
      <c r="H432"/>
      <c r="I432" t="str">
        <f t="shared" si="20"/>
        <v>EUExperienceA - Associate</v>
      </c>
      <c r="J432" t="str">
        <f t="shared" si="19"/>
        <v>EUIndiaExperienceA - Associate</v>
      </c>
      <c r="K432" s="711"/>
      <c r="L432" s="711">
        <v>79</v>
      </c>
      <c r="M432" s="711"/>
      <c r="N432" s="711"/>
      <c r="O432" s="711"/>
      <c r="P432">
        <v>59</v>
      </c>
    </row>
    <row r="433" spans="1:16">
      <c r="A433" t="s">
        <v>736</v>
      </c>
      <c r="B433"/>
      <c r="C433" t="s">
        <v>227</v>
      </c>
      <c r="D433" t="s">
        <v>425</v>
      </c>
      <c r="E433"/>
      <c r="F433" t="s">
        <v>352</v>
      </c>
      <c r="G433"/>
      <c r="H433"/>
      <c r="I433" t="str">
        <f t="shared" si="20"/>
        <v>EUExperienceB - Staff</v>
      </c>
      <c r="J433" t="str">
        <f t="shared" si="19"/>
        <v>EUIndiaExperienceB - Staff</v>
      </c>
      <c r="K433" s="711"/>
      <c r="L433" s="711">
        <v>79</v>
      </c>
      <c r="M433" s="711"/>
      <c r="N433" s="711"/>
      <c r="O433" s="711"/>
      <c r="P433"/>
    </row>
    <row r="434" spans="1:16">
      <c r="A434" t="s">
        <v>736</v>
      </c>
      <c r="B434"/>
      <c r="C434" t="s">
        <v>227</v>
      </c>
      <c r="D434" t="s">
        <v>425</v>
      </c>
      <c r="E434"/>
      <c r="F434" t="s">
        <v>355</v>
      </c>
      <c r="G434"/>
      <c r="H434"/>
      <c r="I434" t="str">
        <f t="shared" si="20"/>
        <v>EUExperienceC - Senior</v>
      </c>
      <c r="J434" t="str">
        <f t="shared" si="19"/>
        <v>EUIndiaExperienceC - Senior</v>
      </c>
      <c r="K434" s="711"/>
      <c r="L434" s="711">
        <v>95</v>
      </c>
      <c r="M434" s="711"/>
      <c r="N434" s="711"/>
      <c r="O434" s="711"/>
      <c r="P434"/>
    </row>
    <row r="435" spans="1:16">
      <c r="A435" t="s">
        <v>736</v>
      </c>
      <c r="B435"/>
      <c r="C435" t="s">
        <v>227</v>
      </c>
      <c r="D435" t="s">
        <v>425</v>
      </c>
      <c r="E435"/>
      <c r="F435" t="s">
        <v>358</v>
      </c>
      <c r="G435"/>
      <c r="H435"/>
      <c r="I435" t="str">
        <f t="shared" si="20"/>
        <v>EUExperienceD - Lead</v>
      </c>
      <c r="J435" t="str">
        <f t="shared" si="19"/>
        <v>EUIndiaExperienceD - Lead</v>
      </c>
      <c r="K435" s="711"/>
      <c r="L435" s="711">
        <v>109</v>
      </c>
      <c r="M435" s="711"/>
      <c r="N435" s="711"/>
      <c r="O435" s="711"/>
      <c r="P435"/>
    </row>
    <row r="436" spans="1:16">
      <c r="A436" t="s">
        <v>736</v>
      </c>
      <c r="B436"/>
      <c r="C436" t="s">
        <v>227</v>
      </c>
      <c r="D436" t="s">
        <v>425</v>
      </c>
      <c r="E436"/>
      <c r="F436" t="s">
        <v>772</v>
      </c>
      <c r="G436"/>
      <c r="H436"/>
      <c r="I436" t="str">
        <f t="shared" si="20"/>
        <v>EUExperienceE - Principal</v>
      </c>
      <c r="J436" t="str">
        <f t="shared" si="19"/>
        <v>EUIndiaExperienceE - Principal</v>
      </c>
      <c r="K436" s="711"/>
      <c r="L436" s="711">
        <v>125</v>
      </c>
      <c r="M436" s="711"/>
      <c r="N436" s="711"/>
      <c r="O436" s="711"/>
      <c r="P436"/>
    </row>
    <row r="437" spans="1:16">
      <c r="A437" t="s">
        <v>736</v>
      </c>
      <c r="B437"/>
      <c r="C437" t="s">
        <v>227</v>
      </c>
      <c r="D437" t="s">
        <v>425</v>
      </c>
      <c r="E437"/>
      <c r="F437" t="s">
        <v>775</v>
      </c>
      <c r="G437"/>
      <c r="H437"/>
      <c r="I437" t="str">
        <f t="shared" si="20"/>
        <v>EUExperienceF - Chief</v>
      </c>
      <c r="J437" t="str">
        <f t="shared" si="19"/>
        <v>EUIndiaExperienceF - Chief</v>
      </c>
      <c r="K437" s="711"/>
      <c r="L437" s="711">
        <v>285</v>
      </c>
      <c r="M437" s="711"/>
      <c r="N437" s="711"/>
      <c r="O437" s="711"/>
      <c r="P437"/>
    </row>
    <row r="438" spans="1:16">
      <c r="A438" t="s">
        <v>736</v>
      </c>
      <c r="B438"/>
      <c r="C438" t="s">
        <v>227</v>
      </c>
      <c r="D438" t="s">
        <v>231</v>
      </c>
      <c r="E438"/>
      <c r="F438" t="s">
        <v>753</v>
      </c>
      <c r="G438"/>
      <c r="H438"/>
      <c r="I438" t="str">
        <f t="shared" si="20"/>
        <v>EUManaged ServicesA - Associate</v>
      </c>
      <c r="J438" t="str">
        <f t="shared" si="19"/>
        <v>EUIndiaManaged ServicesA - Associate</v>
      </c>
      <c r="K438" s="711"/>
      <c r="L438" s="711">
        <v>69</v>
      </c>
      <c r="M438" s="711"/>
      <c r="N438" s="711"/>
      <c r="O438" s="711"/>
      <c r="P438">
        <v>39</v>
      </c>
    </row>
    <row r="439" spans="1:16">
      <c r="A439" t="s">
        <v>736</v>
      </c>
      <c r="B439"/>
      <c r="C439" t="s">
        <v>227</v>
      </c>
      <c r="D439" t="s">
        <v>231</v>
      </c>
      <c r="E439"/>
      <c r="F439" t="s">
        <v>352</v>
      </c>
      <c r="G439"/>
      <c r="H439"/>
      <c r="I439" t="str">
        <f t="shared" si="20"/>
        <v>EUManaged ServicesB - Staff</v>
      </c>
      <c r="J439" t="str">
        <f t="shared" si="19"/>
        <v>EUIndiaManaged ServicesB - Staff</v>
      </c>
      <c r="K439" s="711"/>
      <c r="L439" s="711">
        <v>69</v>
      </c>
      <c r="M439" s="711"/>
      <c r="N439" s="711"/>
      <c r="O439" s="711"/>
      <c r="P439"/>
    </row>
    <row r="440" spans="1:16">
      <c r="A440" t="s">
        <v>736</v>
      </c>
      <c r="B440"/>
      <c r="C440" t="s">
        <v>227</v>
      </c>
      <c r="D440" t="s">
        <v>231</v>
      </c>
      <c r="E440"/>
      <c r="F440" t="s">
        <v>355</v>
      </c>
      <c r="G440"/>
      <c r="H440"/>
      <c r="I440" t="str">
        <f t="shared" si="20"/>
        <v>EUManaged ServicesC - Senior</v>
      </c>
      <c r="J440" t="str">
        <f t="shared" si="19"/>
        <v>EUIndiaManaged ServicesC - Senior</v>
      </c>
      <c r="K440" s="711"/>
      <c r="L440" s="711">
        <v>75</v>
      </c>
      <c r="M440" s="711"/>
      <c r="N440" s="711"/>
      <c r="O440" s="711"/>
      <c r="P440"/>
    </row>
    <row r="441" spans="1:16">
      <c r="A441" t="s">
        <v>736</v>
      </c>
      <c r="B441"/>
      <c r="C441" t="s">
        <v>227</v>
      </c>
      <c r="D441" t="s">
        <v>231</v>
      </c>
      <c r="E441"/>
      <c r="F441" t="s">
        <v>358</v>
      </c>
      <c r="G441"/>
      <c r="H441"/>
      <c r="I441" t="str">
        <f t="shared" si="20"/>
        <v>EUManaged ServicesD - Lead</v>
      </c>
      <c r="J441" t="str">
        <f t="shared" si="19"/>
        <v>EUIndiaManaged ServicesD - Lead</v>
      </c>
      <c r="K441" s="711"/>
      <c r="L441" s="711">
        <v>89</v>
      </c>
      <c r="M441" s="711"/>
      <c r="N441" s="711"/>
      <c r="O441" s="711"/>
      <c r="P441"/>
    </row>
    <row r="442" spans="1:16">
      <c r="A442" t="s">
        <v>736</v>
      </c>
      <c r="B442"/>
      <c r="C442" t="s">
        <v>227</v>
      </c>
      <c r="D442" t="s">
        <v>231</v>
      </c>
      <c r="E442"/>
      <c r="F442" t="s">
        <v>772</v>
      </c>
      <c r="G442"/>
      <c r="H442"/>
      <c r="I442" t="str">
        <f t="shared" si="20"/>
        <v>EUManaged ServicesE - Principal</v>
      </c>
      <c r="J442" t="str">
        <f t="shared" si="19"/>
        <v>EUIndiaManaged ServicesE - Principal</v>
      </c>
      <c r="K442" s="711"/>
      <c r="L442" s="711">
        <v>95</v>
      </c>
      <c r="M442" s="711"/>
      <c r="N442" s="711"/>
      <c r="O442" s="711"/>
      <c r="P442"/>
    </row>
    <row r="443" spans="1:16">
      <c r="A443" t="s">
        <v>736</v>
      </c>
      <c r="B443"/>
      <c r="C443" t="s">
        <v>227</v>
      </c>
      <c r="D443" t="s">
        <v>231</v>
      </c>
      <c r="E443"/>
      <c r="F443" t="s">
        <v>775</v>
      </c>
      <c r="G443"/>
      <c r="H443"/>
      <c r="I443" t="str">
        <f t="shared" si="20"/>
        <v>EUManaged ServicesF - Chief</v>
      </c>
      <c r="J443" t="str">
        <f t="shared" si="19"/>
        <v>EUIndiaManaged ServicesF - Chief</v>
      </c>
      <c r="K443" s="711"/>
      <c r="L443" s="711">
        <v>255</v>
      </c>
      <c r="M443" s="711"/>
      <c r="N443" s="711"/>
      <c r="O443" s="711"/>
      <c r="P443"/>
    </row>
    <row r="444" spans="1:16">
      <c r="A444" t="s">
        <v>736</v>
      </c>
      <c r="B444"/>
      <c r="C444" t="s">
        <v>227</v>
      </c>
      <c r="D444" t="s">
        <v>777</v>
      </c>
      <c r="E444"/>
      <c r="F444" t="s">
        <v>753</v>
      </c>
      <c r="G444"/>
      <c r="H444"/>
      <c r="I444" t="str">
        <f t="shared" si="20"/>
        <v>EUPublic SectorA - Associate</v>
      </c>
      <c r="J444" t="str">
        <f t="shared" si="19"/>
        <v>EUIndiaPublic SectorA - Associate</v>
      </c>
      <c r="K444" s="711"/>
      <c r="L444" s="711">
        <v>69</v>
      </c>
      <c r="M444" s="711"/>
      <c r="N444" s="711"/>
      <c r="O444" s="711"/>
      <c r="P444">
        <v>39</v>
      </c>
    </row>
    <row r="445" spans="1:16">
      <c r="A445" t="s">
        <v>736</v>
      </c>
      <c r="B445"/>
      <c r="C445" t="s">
        <v>227</v>
      </c>
      <c r="D445" t="s">
        <v>777</v>
      </c>
      <c r="E445"/>
      <c r="F445" t="s">
        <v>352</v>
      </c>
      <c r="G445"/>
      <c r="H445"/>
      <c r="I445" t="str">
        <f t="shared" si="20"/>
        <v>EUPublic SectorB - Staff</v>
      </c>
      <c r="J445" t="str">
        <f t="shared" si="19"/>
        <v>EUIndiaPublic SectorB - Staff</v>
      </c>
      <c r="K445" s="711"/>
      <c r="L445" s="711">
        <v>69</v>
      </c>
      <c r="M445" s="711"/>
      <c r="N445" s="711"/>
      <c r="O445" s="711"/>
      <c r="P445"/>
    </row>
    <row r="446" spans="1:16">
      <c r="A446" t="s">
        <v>736</v>
      </c>
      <c r="B446"/>
      <c r="C446" t="s">
        <v>227</v>
      </c>
      <c r="D446" t="s">
        <v>777</v>
      </c>
      <c r="E446"/>
      <c r="F446" t="s">
        <v>355</v>
      </c>
      <c r="G446"/>
      <c r="H446"/>
      <c r="I446" t="str">
        <f t="shared" si="20"/>
        <v>EUPublic SectorC - Senior</v>
      </c>
      <c r="J446" t="str">
        <f t="shared" si="19"/>
        <v>EUIndiaPublic SectorC - Senior</v>
      </c>
      <c r="K446" s="711"/>
      <c r="L446" s="711">
        <v>75</v>
      </c>
      <c r="M446" s="711"/>
      <c r="N446" s="711"/>
      <c r="O446" s="711"/>
      <c r="P446"/>
    </row>
    <row r="447" spans="1:16">
      <c r="A447" t="s">
        <v>736</v>
      </c>
      <c r="B447"/>
      <c r="C447" t="s">
        <v>227</v>
      </c>
      <c r="D447" t="s">
        <v>777</v>
      </c>
      <c r="E447"/>
      <c r="F447" t="s">
        <v>358</v>
      </c>
      <c r="G447"/>
      <c r="H447"/>
      <c r="I447" t="str">
        <f t="shared" si="20"/>
        <v>EUPublic SectorD - Lead</v>
      </c>
      <c r="J447" t="str">
        <f t="shared" si="19"/>
        <v>EUIndiaPublic SectorD - Lead</v>
      </c>
      <c r="K447" s="711"/>
      <c r="L447" s="711">
        <v>89</v>
      </c>
      <c r="M447" s="711"/>
      <c r="N447" s="711"/>
      <c r="O447" s="711"/>
      <c r="P447"/>
    </row>
    <row r="448" spans="1:16">
      <c r="A448" t="s">
        <v>736</v>
      </c>
      <c r="B448"/>
      <c r="C448" t="s">
        <v>227</v>
      </c>
      <c r="D448" t="s">
        <v>777</v>
      </c>
      <c r="E448"/>
      <c r="F448" t="s">
        <v>772</v>
      </c>
      <c r="G448"/>
      <c r="H448"/>
      <c r="I448" t="str">
        <f t="shared" si="20"/>
        <v>EUPublic SectorE - Principal</v>
      </c>
      <c r="J448" t="str">
        <f t="shared" si="19"/>
        <v>EUIndiaPublic SectorE - Principal</v>
      </c>
      <c r="K448" s="711"/>
      <c r="L448" s="711">
        <v>95</v>
      </c>
      <c r="M448" s="711"/>
      <c r="N448" s="711"/>
      <c r="O448" s="711"/>
      <c r="P448"/>
    </row>
    <row r="449" spans="1:16">
      <c r="A449" t="s">
        <v>736</v>
      </c>
      <c r="B449"/>
      <c r="C449" t="s">
        <v>227</v>
      </c>
      <c r="D449" t="s">
        <v>777</v>
      </c>
      <c r="E449"/>
      <c r="F449" t="s">
        <v>775</v>
      </c>
      <c r="G449"/>
      <c r="H449"/>
      <c r="I449" t="str">
        <f t="shared" si="20"/>
        <v>EUPublic SectorF - Chief</v>
      </c>
      <c r="J449" t="str">
        <f t="shared" si="19"/>
        <v>EUIndiaPublic SectorF - Chief</v>
      </c>
      <c r="K449" s="711"/>
      <c r="L449" s="711">
        <v>255</v>
      </c>
      <c r="M449" s="711"/>
      <c r="N449" s="711"/>
      <c r="O449" s="711"/>
      <c r="P449"/>
    </row>
    <row r="450" spans="1:16">
      <c r="A450" t="s">
        <v>736</v>
      </c>
      <c r="B450"/>
      <c r="C450" t="s">
        <v>227</v>
      </c>
      <c r="D450" t="s">
        <v>780</v>
      </c>
      <c r="E450"/>
      <c r="F450" t="s">
        <v>753</v>
      </c>
      <c r="G450"/>
      <c r="H450"/>
      <c r="I450" t="str">
        <f t="shared" si="20"/>
        <v>EURisk and ResilienceA - Associate</v>
      </c>
      <c r="J450" t="str">
        <f t="shared" si="19"/>
        <v>EUIndiaRisk and ResilienceA - Associate</v>
      </c>
      <c r="K450" s="711"/>
      <c r="L450" s="711">
        <v>75</v>
      </c>
      <c r="M450" s="711"/>
      <c r="N450" s="711"/>
      <c r="O450" s="711"/>
      <c r="P450">
        <v>55</v>
      </c>
    </row>
    <row r="451" spans="1:16">
      <c r="A451" t="s">
        <v>736</v>
      </c>
      <c r="B451"/>
      <c r="C451" t="s">
        <v>227</v>
      </c>
      <c r="D451" t="s">
        <v>780</v>
      </c>
      <c r="E451"/>
      <c r="F451" t="s">
        <v>352</v>
      </c>
      <c r="G451"/>
      <c r="H451"/>
      <c r="I451" t="str">
        <f t="shared" si="20"/>
        <v>EURisk and ResilienceB - Staff</v>
      </c>
      <c r="J451" t="str">
        <f t="shared" si="19"/>
        <v>EUIndiaRisk and ResilienceB - Staff</v>
      </c>
      <c r="K451" s="711"/>
      <c r="L451" s="711">
        <v>75</v>
      </c>
      <c r="M451" s="711"/>
      <c r="N451" s="711"/>
      <c r="O451" s="711"/>
      <c r="P451"/>
    </row>
    <row r="452" spans="1:16">
      <c r="A452" t="s">
        <v>736</v>
      </c>
      <c r="B452"/>
      <c r="C452" t="s">
        <v>227</v>
      </c>
      <c r="D452" t="s">
        <v>780</v>
      </c>
      <c r="E452"/>
      <c r="F452" t="s">
        <v>355</v>
      </c>
      <c r="G452"/>
      <c r="H452"/>
      <c r="I452" t="str">
        <f t="shared" si="20"/>
        <v>EURisk and ResilienceC - Senior</v>
      </c>
      <c r="J452" t="str">
        <f t="shared" si="19"/>
        <v>EUIndiaRisk and ResilienceC - Senior</v>
      </c>
      <c r="K452" s="711"/>
      <c r="L452" s="711">
        <v>89</v>
      </c>
      <c r="M452" s="711"/>
      <c r="N452" s="711"/>
      <c r="O452" s="711"/>
      <c r="P452"/>
    </row>
    <row r="453" spans="1:16">
      <c r="A453" t="s">
        <v>736</v>
      </c>
      <c r="B453"/>
      <c r="C453" t="s">
        <v>227</v>
      </c>
      <c r="D453" t="s">
        <v>780</v>
      </c>
      <c r="E453"/>
      <c r="F453" t="s">
        <v>358</v>
      </c>
      <c r="G453"/>
      <c r="H453"/>
      <c r="I453" t="str">
        <f t="shared" si="20"/>
        <v>EURisk and ResilienceD - Lead</v>
      </c>
      <c r="J453" t="str">
        <f t="shared" si="19"/>
        <v>EUIndiaRisk and ResilienceD - Lead</v>
      </c>
      <c r="K453" s="711"/>
      <c r="L453" s="711">
        <v>105</v>
      </c>
      <c r="M453" s="711"/>
      <c r="N453" s="711"/>
      <c r="O453" s="711"/>
      <c r="P453"/>
    </row>
    <row r="454" spans="1:16">
      <c r="A454" t="s">
        <v>736</v>
      </c>
      <c r="B454"/>
      <c r="C454" t="s">
        <v>227</v>
      </c>
      <c r="D454" t="s">
        <v>780</v>
      </c>
      <c r="E454"/>
      <c r="F454" t="s">
        <v>772</v>
      </c>
      <c r="G454"/>
      <c r="H454"/>
      <c r="I454" t="str">
        <f t="shared" si="20"/>
        <v>EURisk and ResilienceE - Principal</v>
      </c>
      <c r="J454" t="str">
        <f t="shared" si="19"/>
        <v>EUIndiaRisk and ResilienceE - Principal</v>
      </c>
      <c r="K454" s="711"/>
      <c r="L454" s="711">
        <v>109</v>
      </c>
      <c r="M454" s="711"/>
      <c r="N454" s="711"/>
      <c r="O454" s="711"/>
      <c r="P454"/>
    </row>
    <row r="455" spans="1:16">
      <c r="A455" t="s">
        <v>736</v>
      </c>
      <c r="B455"/>
      <c r="C455" t="s">
        <v>227</v>
      </c>
      <c r="D455" t="s">
        <v>780</v>
      </c>
      <c r="E455"/>
      <c r="F455" t="s">
        <v>775</v>
      </c>
      <c r="G455"/>
      <c r="H455"/>
      <c r="I455" t="str">
        <f t="shared" si="20"/>
        <v>EURisk and ResilienceF - Chief</v>
      </c>
      <c r="J455" t="str">
        <f t="shared" si="19"/>
        <v>EUIndiaRisk and ResilienceF - Chief</v>
      </c>
      <c r="K455" s="711"/>
      <c r="L455" s="711">
        <v>275</v>
      </c>
      <c r="M455" s="711"/>
      <c r="N455" s="711"/>
      <c r="O455" s="711"/>
      <c r="P455"/>
    </row>
    <row r="456" spans="1:16">
      <c r="A456" t="s">
        <v>736</v>
      </c>
      <c r="B456"/>
      <c r="C456" t="s">
        <v>227</v>
      </c>
      <c r="D456" t="s">
        <v>399</v>
      </c>
      <c r="E456"/>
      <c r="F456" t="s">
        <v>753</v>
      </c>
      <c r="G456"/>
      <c r="H456"/>
      <c r="I456" t="str">
        <f t="shared" si="20"/>
        <v>EUTechnologyA - Associate</v>
      </c>
      <c r="J456" t="str">
        <f t="shared" si="19"/>
        <v>EUIndiaTechnologyA - Associate</v>
      </c>
      <c r="K456" s="711"/>
      <c r="L456" s="711">
        <v>69</v>
      </c>
      <c r="M456" s="711"/>
      <c r="N456" s="711"/>
      <c r="O456" s="711"/>
      <c r="P456">
        <v>39</v>
      </c>
    </row>
    <row r="457" spans="1:16">
      <c r="A457" t="s">
        <v>736</v>
      </c>
      <c r="B457"/>
      <c r="C457" t="s">
        <v>227</v>
      </c>
      <c r="D457" t="s">
        <v>399</v>
      </c>
      <c r="E457"/>
      <c r="F457" t="s">
        <v>352</v>
      </c>
      <c r="G457"/>
      <c r="H457"/>
      <c r="I457" t="str">
        <f t="shared" si="20"/>
        <v>EUTechnologyB - Staff</v>
      </c>
      <c r="J457" t="str">
        <f t="shared" si="19"/>
        <v>EUIndiaTechnologyB - Staff</v>
      </c>
      <c r="K457" s="711"/>
      <c r="L457" s="711">
        <v>69</v>
      </c>
      <c r="M457" s="711"/>
      <c r="N457" s="711"/>
      <c r="O457" s="711"/>
      <c r="P457"/>
    </row>
    <row r="458" spans="1:16">
      <c r="A458" t="s">
        <v>736</v>
      </c>
      <c r="B458"/>
      <c r="C458" t="s">
        <v>227</v>
      </c>
      <c r="D458" t="s">
        <v>399</v>
      </c>
      <c r="E458"/>
      <c r="F458" t="s">
        <v>355</v>
      </c>
      <c r="G458"/>
      <c r="H458"/>
      <c r="I458" t="str">
        <f t="shared" si="20"/>
        <v>EUTechnologyC - Senior</v>
      </c>
      <c r="J458" t="str">
        <f t="shared" si="19"/>
        <v>EUIndiaTechnologyC - Senior</v>
      </c>
      <c r="K458" s="711"/>
      <c r="L458" s="711">
        <v>75</v>
      </c>
      <c r="M458" s="711"/>
      <c r="N458" s="711"/>
      <c r="O458" s="711"/>
      <c r="P458"/>
    </row>
    <row r="459" spans="1:16">
      <c r="A459" t="s">
        <v>736</v>
      </c>
      <c r="B459"/>
      <c r="C459" t="s">
        <v>227</v>
      </c>
      <c r="D459" t="s">
        <v>399</v>
      </c>
      <c r="E459"/>
      <c r="F459" t="s">
        <v>358</v>
      </c>
      <c r="G459"/>
      <c r="H459"/>
      <c r="I459" t="str">
        <f t="shared" si="20"/>
        <v>EUTechnologyD - Lead</v>
      </c>
      <c r="J459" t="str">
        <f t="shared" si="19"/>
        <v>EUIndiaTechnologyD - Lead</v>
      </c>
      <c r="K459" s="711"/>
      <c r="L459" s="711">
        <v>89</v>
      </c>
      <c r="M459" s="711"/>
      <c r="N459" s="711"/>
      <c r="O459" s="711"/>
      <c r="P459"/>
    </row>
    <row r="460" spans="1:16">
      <c r="A460" t="s">
        <v>736</v>
      </c>
      <c r="B460"/>
      <c r="C460" t="s">
        <v>227</v>
      </c>
      <c r="D460" t="s">
        <v>399</v>
      </c>
      <c r="E460"/>
      <c r="F460" t="s">
        <v>772</v>
      </c>
      <c r="G460"/>
      <c r="H460"/>
      <c r="I460" t="str">
        <f t="shared" si="20"/>
        <v>EUTechnologyE - Principal</v>
      </c>
      <c r="J460" t="str">
        <f t="shared" si="19"/>
        <v>EUIndiaTechnologyE - Principal</v>
      </c>
      <c r="K460" s="711"/>
      <c r="L460" s="711">
        <v>95</v>
      </c>
      <c r="M460" s="711"/>
      <c r="N460" s="711"/>
      <c r="O460" s="711"/>
      <c r="P460"/>
    </row>
    <row r="461" spans="1:16">
      <c r="A461" t="s">
        <v>736</v>
      </c>
      <c r="B461"/>
      <c r="C461" t="s">
        <v>227</v>
      </c>
      <c r="D461" t="s">
        <v>399</v>
      </c>
      <c r="E461"/>
      <c r="F461" t="s">
        <v>775</v>
      </c>
      <c r="G461"/>
      <c r="H461"/>
      <c r="I461" t="str">
        <f t="shared" si="20"/>
        <v>EUTechnologyF - Chief</v>
      </c>
      <c r="J461" t="str">
        <f t="shared" si="19"/>
        <v>EUIndiaTechnologyF - Chief</v>
      </c>
      <c r="K461" s="711"/>
      <c r="L461" s="711">
        <v>255</v>
      </c>
      <c r="M461" s="711"/>
      <c r="N461" s="711"/>
      <c r="O461" s="711"/>
      <c r="P461"/>
    </row>
    <row r="462" spans="1:16">
      <c r="A462" t="s">
        <v>736</v>
      </c>
      <c r="B462"/>
      <c r="C462" t="s">
        <v>227</v>
      </c>
      <c r="D462" t="s">
        <v>360</v>
      </c>
      <c r="E462"/>
      <c r="F462" t="s">
        <v>753</v>
      </c>
      <c r="G462"/>
      <c r="H462"/>
      <c r="I462" t="str">
        <f t="shared" si="20"/>
        <v>EUPMOA - Associate</v>
      </c>
      <c r="J462" t="str">
        <f t="shared" si="19"/>
        <v>EUIndiaPMOA - Associate</v>
      </c>
      <c r="K462" s="711"/>
      <c r="L462" s="711">
        <v>69</v>
      </c>
      <c r="M462" s="711"/>
      <c r="N462" s="711"/>
      <c r="O462" s="711"/>
      <c r="P462">
        <v>39</v>
      </c>
    </row>
    <row r="463" spans="1:16">
      <c r="A463" t="s">
        <v>736</v>
      </c>
      <c r="B463"/>
      <c r="C463" t="s">
        <v>227</v>
      </c>
      <c r="D463" t="s">
        <v>360</v>
      </c>
      <c r="E463"/>
      <c r="F463" t="s">
        <v>352</v>
      </c>
      <c r="G463"/>
      <c r="H463"/>
      <c r="I463" t="str">
        <f t="shared" si="20"/>
        <v>EUPMOB - Staff</v>
      </c>
      <c r="J463" t="str">
        <f t="shared" si="19"/>
        <v>EUIndiaPMOB - Staff</v>
      </c>
      <c r="K463" s="711"/>
      <c r="L463" s="711">
        <v>69</v>
      </c>
      <c r="M463" s="711"/>
      <c r="N463" s="711"/>
      <c r="O463" s="711"/>
      <c r="P463"/>
    </row>
    <row r="464" spans="1:16">
      <c r="A464" t="s">
        <v>736</v>
      </c>
      <c r="B464"/>
      <c r="C464" t="s">
        <v>227</v>
      </c>
      <c r="D464" t="s">
        <v>360</v>
      </c>
      <c r="E464"/>
      <c r="F464" t="s">
        <v>355</v>
      </c>
      <c r="G464"/>
      <c r="H464"/>
      <c r="I464" t="str">
        <f t="shared" si="20"/>
        <v>EUPMOC - Senior</v>
      </c>
      <c r="J464" t="str">
        <f t="shared" si="19"/>
        <v>EUIndiaPMOC - Senior</v>
      </c>
      <c r="K464" s="711"/>
      <c r="L464" s="711">
        <v>75</v>
      </c>
      <c r="M464" s="711"/>
      <c r="N464" s="711"/>
      <c r="O464" s="711"/>
      <c r="P464"/>
    </row>
    <row r="465" spans="1:16">
      <c r="A465" t="s">
        <v>736</v>
      </c>
      <c r="B465"/>
      <c r="C465" t="s">
        <v>227</v>
      </c>
      <c r="D465" t="s">
        <v>360</v>
      </c>
      <c r="E465"/>
      <c r="F465" t="s">
        <v>358</v>
      </c>
      <c r="G465"/>
      <c r="H465"/>
      <c r="I465" t="str">
        <f t="shared" si="20"/>
        <v>EUPMOD - Lead</v>
      </c>
      <c r="J465" t="str">
        <f t="shared" si="19"/>
        <v>EUIndiaPMOD - Lead</v>
      </c>
      <c r="K465" s="711"/>
      <c r="L465" s="711">
        <v>89</v>
      </c>
      <c r="M465" s="711"/>
      <c r="N465" s="711"/>
      <c r="O465" s="711"/>
      <c r="P465"/>
    </row>
    <row r="466" spans="1:16">
      <c r="A466" t="s">
        <v>736</v>
      </c>
      <c r="B466"/>
      <c r="C466" t="s">
        <v>227</v>
      </c>
      <c r="D466" t="s">
        <v>360</v>
      </c>
      <c r="E466"/>
      <c r="F466" t="s">
        <v>772</v>
      </c>
      <c r="G466"/>
      <c r="H466"/>
      <c r="I466" t="str">
        <f t="shared" si="20"/>
        <v>EUPMOE - Principal</v>
      </c>
      <c r="J466" t="str">
        <f t="shared" si="19"/>
        <v>EUIndiaPMOE - Principal</v>
      </c>
      <c r="K466" s="711"/>
      <c r="L466" s="711">
        <v>95</v>
      </c>
      <c r="M466" s="711"/>
      <c r="N466" s="711"/>
      <c r="O466" s="711"/>
      <c r="P466"/>
    </row>
    <row r="467" spans="1:16">
      <c r="A467" t="s">
        <v>736</v>
      </c>
      <c r="B467"/>
      <c r="C467" t="s">
        <v>227</v>
      </c>
      <c r="D467" t="s">
        <v>360</v>
      </c>
      <c r="E467"/>
      <c r="F467" t="s">
        <v>775</v>
      </c>
      <c r="G467"/>
      <c r="H467"/>
      <c r="I467" t="str">
        <f t="shared" si="20"/>
        <v>EUPMOF - Chief</v>
      </c>
      <c r="J467" t="str">
        <f t="shared" ref="J467:J530" si="21">A467&amp;C467&amp;D467&amp;E467&amp;F467</f>
        <v>EUIndiaPMOF - Chief</v>
      </c>
      <c r="K467" s="711"/>
      <c r="L467" s="711">
        <v>255</v>
      </c>
      <c r="M467" s="711"/>
      <c r="N467" s="711"/>
      <c r="O467" s="711"/>
      <c r="P467"/>
    </row>
    <row r="468" spans="1:16">
      <c r="A468" t="s">
        <v>405</v>
      </c>
      <c r="B468"/>
      <c r="C468"/>
      <c r="D468" t="s">
        <v>750</v>
      </c>
      <c r="E468" t="s">
        <v>779</v>
      </c>
      <c r="F468" t="s">
        <v>355</v>
      </c>
      <c r="G468"/>
      <c r="H468"/>
      <c r="I468" t="str">
        <f t="shared" si="20"/>
        <v>CanadaAdvisoryEnablementC - Senior</v>
      </c>
      <c r="J468" t="str">
        <f t="shared" si="21"/>
        <v>CanadaAdvisoryEnablementC - Senior</v>
      </c>
      <c r="K468" s="711"/>
      <c r="L468" s="711">
        <v>239</v>
      </c>
      <c r="M468" s="711"/>
      <c r="N468" s="711"/>
      <c r="O468" s="711"/>
      <c r="P468"/>
    </row>
    <row r="469" spans="1:16">
      <c r="A469" t="s">
        <v>405</v>
      </c>
      <c r="B469"/>
      <c r="C469"/>
      <c r="D469" t="s">
        <v>750</v>
      </c>
      <c r="E469" t="s">
        <v>764</v>
      </c>
      <c r="F469" t="s">
        <v>358</v>
      </c>
      <c r="G469"/>
      <c r="H469"/>
      <c r="I469" t="str">
        <f t="shared" si="20"/>
        <v>CanadaAdvisoryChange ManagementD - Lead</v>
      </c>
      <c r="J469" t="str">
        <f t="shared" si="21"/>
        <v>CanadaAdvisoryChange ManagementD - Lead</v>
      </c>
      <c r="K469" s="711"/>
      <c r="L469" s="711">
        <v>269</v>
      </c>
      <c r="M469" s="711"/>
      <c r="N469" s="711"/>
      <c r="O469" s="711"/>
      <c r="P469"/>
    </row>
    <row r="470" spans="1:16">
      <c r="A470" t="s">
        <v>405</v>
      </c>
      <c r="B470"/>
      <c r="C470"/>
      <c r="D470" t="s">
        <v>750</v>
      </c>
      <c r="E470" t="s">
        <v>784</v>
      </c>
      <c r="F470" t="s">
        <v>355</v>
      </c>
      <c r="G470"/>
      <c r="H470"/>
      <c r="I470" t="str">
        <f t="shared" si="20"/>
        <v>CanadaAdvisoryStrategyC - Senior</v>
      </c>
      <c r="J470" t="str">
        <f t="shared" si="21"/>
        <v>CanadaAdvisoryStrategyC - Senior</v>
      </c>
      <c r="K470" s="711"/>
      <c r="L470" s="711">
        <v>309</v>
      </c>
      <c r="M470" s="711"/>
      <c r="N470" s="711"/>
      <c r="O470" s="711"/>
      <c r="P470"/>
    </row>
    <row r="471" spans="1:16">
      <c r="A471" t="s">
        <v>405</v>
      </c>
      <c r="B471"/>
      <c r="C471"/>
      <c r="D471" t="s">
        <v>750</v>
      </c>
      <c r="E471" t="s">
        <v>784</v>
      </c>
      <c r="F471" t="s">
        <v>358</v>
      </c>
      <c r="G471"/>
      <c r="H471"/>
      <c r="I471" t="str">
        <f t="shared" si="20"/>
        <v>CanadaAdvisoryStrategyD - Lead</v>
      </c>
      <c r="J471" t="str">
        <f t="shared" si="21"/>
        <v>CanadaAdvisoryStrategyD - Lead</v>
      </c>
      <c r="K471" s="711"/>
      <c r="L471" s="711">
        <v>359</v>
      </c>
      <c r="M471" s="711"/>
      <c r="N471" s="711"/>
      <c r="O471" s="711"/>
      <c r="P471"/>
    </row>
    <row r="472" spans="1:16">
      <c r="A472" t="s">
        <v>405</v>
      </c>
      <c r="B472"/>
      <c r="C472"/>
      <c r="D472" t="s">
        <v>750</v>
      </c>
      <c r="E472" t="s">
        <v>784</v>
      </c>
      <c r="F472" t="s">
        <v>772</v>
      </c>
      <c r="G472"/>
      <c r="H472"/>
      <c r="I472" t="str">
        <f t="shared" si="20"/>
        <v>CanadaAdvisoryStrategyE - Principal</v>
      </c>
      <c r="J472" t="str">
        <f t="shared" si="21"/>
        <v>CanadaAdvisoryStrategyE - Principal</v>
      </c>
      <c r="K472" s="711"/>
      <c r="L472" s="711">
        <v>369</v>
      </c>
      <c r="M472" s="711"/>
      <c r="N472" s="711"/>
      <c r="O472" s="711"/>
      <c r="P472"/>
    </row>
    <row r="473" spans="1:16">
      <c r="A473" t="s">
        <v>405</v>
      </c>
      <c r="B473"/>
      <c r="C473"/>
      <c r="D473" t="s">
        <v>750</v>
      </c>
      <c r="E473" t="s">
        <v>784</v>
      </c>
      <c r="F473" t="s">
        <v>775</v>
      </c>
      <c r="G473"/>
      <c r="H473"/>
      <c r="I473" t="str">
        <f t="shared" si="20"/>
        <v>CanadaAdvisoryStrategyF - Chief</v>
      </c>
      <c r="J473" t="str">
        <f t="shared" si="21"/>
        <v>CanadaAdvisoryStrategyF - Chief</v>
      </c>
      <c r="K473" s="711"/>
      <c r="L473" s="711">
        <v>419</v>
      </c>
      <c r="M473" s="711"/>
      <c r="N473" s="711"/>
      <c r="O473" s="711"/>
      <c r="P473"/>
    </row>
    <row r="474" spans="1:16">
      <c r="A474" t="s">
        <v>405</v>
      </c>
      <c r="B474"/>
      <c r="C474"/>
      <c r="D474" t="s">
        <v>404</v>
      </c>
      <c r="E474"/>
      <c r="F474" t="s">
        <v>753</v>
      </c>
      <c r="G474"/>
      <c r="H474"/>
      <c r="I474" t="str">
        <f t="shared" si="20"/>
        <v>CanadaCustomerA - Associate</v>
      </c>
      <c r="J474" t="str">
        <f t="shared" si="21"/>
        <v>CanadaCustomerA - Associate</v>
      </c>
      <c r="K474" s="711"/>
      <c r="L474" s="711">
        <v>229</v>
      </c>
      <c r="M474" s="711"/>
      <c r="N474" s="711"/>
      <c r="O474" s="711"/>
      <c r="P474" s="711">
        <v>139</v>
      </c>
    </row>
    <row r="475" spans="1:16">
      <c r="A475" t="s">
        <v>405</v>
      </c>
      <c r="B475"/>
      <c r="C475"/>
      <c r="D475" t="s">
        <v>404</v>
      </c>
      <c r="E475"/>
      <c r="F475" t="s">
        <v>352</v>
      </c>
      <c r="G475"/>
      <c r="H475"/>
      <c r="I475" t="str">
        <f t="shared" si="20"/>
        <v>CanadaCustomerB - Staff</v>
      </c>
      <c r="J475" t="str">
        <f t="shared" si="21"/>
        <v>CanadaCustomerB - Staff</v>
      </c>
      <c r="K475" s="711"/>
      <c r="L475" s="711">
        <v>229</v>
      </c>
      <c r="M475" s="711"/>
      <c r="N475" s="711"/>
      <c r="O475" s="711"/>
      <c r="P475"/>
    </row>
    <row r="476" spans="1:16">
      <c r="A476" t="s">
        <v>405</v>
      </c>
      <c r="B476"/>
      <c r="C476"/>
      <c r="D476" t="s">
        <v>404</v>
      </c>
      <c r="E476"/>
      <c r="F476" t="s">
        <v>355</v>
      </c>
      <c r="G476"/>
      <c r="H476"/>
      <c r="I476" t="str">
        <f t="shared" si="20"/>
        <v>CanadaCustomerC - Senior</v>
      </c>
      <c r="J476" t="str">
        <f t="shared" si="21"/>
        <v>CanadaCustomerC - Senior</v>
      </c>
      <c r="K476" s="711"/>
      <c r="L476" s="711">
        <v>259</v>
      </c>
      <c r="M476" s="711"/>
      <c r="N476" s="711"/>
      <c r="O476" s="711"/>
      <c r="P476"/>
    </row>
    <row r="477" spans="1:16">
      <c r="A477" t="s">
        <v>405</v>
      </c>
      <c r="B477"/>
      <c r="C477"/>
      <c r="D477" t="s">
        <v>404</v>
      </c>
      <c r="E477"/>
      <c r="F477" t="s">
        <v>358</v>
      </c>
      <c r="G477"/>
      <c r="H477"/>
      <c r="I477" t="str">
        <f t="shared" si="20"/>
        <v>CanadaCustomerD - Lead</v>
      </c>
      <c r="J477" t="str">
        <f t="shared" si="21"/>
        <v>CanadaCustomerD - Lead</v>
      </c>
      <c r="K477" s="711"/>
      <c r="L477" s="711">
        <v>299</v>
      </c>
      <c r="M477" s="711"/>
      <c r="N477" s="711"/>
      <c r="O477" s="711"/>
      <c r="P477"/>
    </row>
    <row r="478" spans="1:16">
      <c r="A478" t="s">
        <v>405</v>
      </c>
      <c r="B478"/>
      <c r="C478"/>
      <c r="D478" t="s">
        <v>404</v>
      </c>
      <c r="E478"/>
      <c r="F478" t="s">
        <v>772</v>
      </c>
      <c r="G478"/>
      <c r="H478"/>
      <c r="I478" t="str">
        <f t="shared" si="20"/>
        <v>CanadaCustomerE - Principal</v>
      </c>
      <c r="J478" t="str">
        <f t="shared" si="21"/>
        <v>CanadaCustomerE - Principal</v>
      </c>
      <c r="K478" s="711"/>
      <c r="L478" s="711">
        <v>309</v>
      </c>
      <c r="M478" s="711"/>
      <c r="N478" s="711"/>
      <c r="O478" s="711"/>
      <c r="P478"/>
    </row>
    <row r="479" spans="1:16">
      <c r="A479" t="s">
        <v>405</v>
      </c>
      <c r="B479"/>
      <c r="C479"/>
      <c r="D479" t="s">
        <v>404</v>
      </c>
      <c r="E479"/>
      <c r="F479" t="s">
        <v>775</v>
      </c>
      <c r="G479"/>
      <c r="H479"/>
      <c r="I479" t="str">
        <f t="shared" si="20"/>
        <v>CanadaCustomerF - Chief</v>
      </c>
      <c r="J479" t="str">
        <f t="shared" si="21"/>
        <v>CanadaCustomerF - Chief</v>
      </c>
      <c r="K479" s="711"/>
      <c r="L479" s="711">
        <v>349</v>
      </c>
      <c r="M479" s="711"/>
      <c r="N479" s="711"/>
      <c r="O479" s="711"/>
      <c r="P479"/>
    </row>
    <row r="480" spans="1:16">
      <c r="A480" t="s">
        <v>405</v>
      </c>
      <c r="B480"/>
      <c r="C480"/>
      <c r="D480" t="s">
        <v>761</v>
      </c>
      <c r="E480"/>
      <c r="F480" t="s">
        <v>753</v>
      </c>
      <c r="G480"/>
      <c r="H480"/>
      <c r="I480" t="str">
        <f t="shared" si="20"/>
        <v>CanadaEmployeeA - Associate</v>
      </c>
      <c r="J480" t="str">
        <f t="shared" si="21"/>
        <v>CanadaEmployeeA - Associate</v>
      </c>
      <c r="K480" s="711"/>
      <c r="L480" s="711">
        <v>229</v>
      </c>
      <c r="M480" s="711"/>
      <c r="N480" s="711"/>
      <c r="O480" s="711"/>
      <c r="P480" s="711">
        <v>139</v>
      </c>
    </row>
    <row r="481" spans="1:16">
      <c r="A481" t="s">
        <v>405</v>
      </c>
      <c r="B481"/>
      <c r="C481"/>
      <c r="D481" t="s">
        <v>761</v>
      </c>
      <c r="E481"/>
      <c r="F481" t="s">
        <v>352</v>
      </c>
      <c r="G481"/>
      <c r="H481"/>
      <c r="I481" t="str">
        <f t="shared" si="20"/>
        <v>CanadaEmployeeB - Staff</v>
      </c>
      <c r="J481" t="str">
        <f t="shared" si="21"/>
        <v>CanadaEmployeeB - Staff</v>
      </c>
      <c r="K481" s="711"/>
      <c r="L481" s="711">
        <v>229</v>
      </c>
      <c r="M481" s="711"/>
      <c r="N481" s="711"/>
      <c r="O481" s="711"/>
      <c r="P481"/>
    </row>
    <row r="482" spans="1:16">
      <c r="A482" t="s">
        <v>405</v>
      </c>
      <c r="B482"/>
      <c r="C482"/>
      <c r="D482" t="s">
        <v>761</v>
      </c>
      <c r="E482"/>
      <c r="F482" t="s">
        <v>355</v>
      </c>
      <c r="G482"/>
      <c r="H482"/>
      <c r="I482" t="str">
        <f t="shared" si="20"/>
        <v>CanadaEmployeeC - Senior</v>
      </c>
      <c r="J482" t="str">
        <f t="shared" si="21"/>
        <v>CanadaEmployeeC - Senior</v>
      </c>
      <c r="K482" s="711"/>
      <c r="L482" s="711">
        <v>259</v>
      </c>
      <c r="M482" s="711"/>
      <c r="N482" s="711"/>
      <c r="O482" s="711"/>
      <c r="P482"/>
    </row>
    <row r="483" spans="1:16">
      <c r="A483" t="s">
        <v>405</v>
      </c>
      <c r="B483"/>
      <c r="C483"/>
      <c r="D483" t="s">
        <v>761</v>
      </c>
      <c r="E483"/>
      <c r="F483" t="s">
        <v>358</v>
      </c>
      <c r="G483"/>
      <c r="H483"/>
      <c r="I483" t="str">
        <f t="shared" si="20"/>
        <v>CanadaEmployeeD - Lead</v>
      </c>
      <c r="J483" t="str">
        <f t="shared" si="21"/>
        <v>CanadaEmployeeD - Lead</v>
      </c>
      <c r="K483" s="711"/>
      <c r="L483" s="711">
        <v>299</v>
      </c>
      <c r="M483" s="711"/>
      <c r="N483" s="711"/>
      <c r="O483" s="711"/>
      <c r="P483"/>
    </row>
    <row r="484" spans="1:16">
      <c r="A484" t="s">
        <v>405</v>
      </c>
      <c r="B484"/>
      <c r="C484"/>
      <c r="D484" t="s">
        <v>761</v>
      </c>
      <c r="E484"/>
      <c r="F484" t="s">
        <v>772</v>
      </c>
      <c r="G484"/>
      <c r="H484"/>
      <c r="I484" t="str">
        <f t="shared" si="20"/>
        <v>CanadaEmployeeE - Principal</v>
      </c>
      <c r="J484" t="str">
        <f t="shared" si="21"/>
        <v>CanadaEmployeeE - Principal</v>
      </c>
      <c r="K484" s="711"/>
      <c r="L484" s="711">
        <v>309</v>
      </c>
      <c r="M484" s="711"/>
      <c r="N484" s="711"/>
      <c r="O484" s="711"/>
      <c r="P484"/>
    </row>
    <row r="485" spans="1:16">
      <c r="A485" t="s">
        <v>405</v>
      </c>
      <c r="B485"/>
      <c r="C485"/>
      <c r="D485" t="s">
        <v>761</v>
      </c>
      <c r="E485"/>
      <c r="F485" t="s">
        <v>775</v>
      </c>
      <c r="G485"/>
      <c r="H485"/>
      <c r="I485" t="str">
        <f t="shared" si="20"/>
        <v>CanadaEmployeeF - Chief</v>
      </c>
      <c r="J485" t="str">
        <f t="shared" si="21"/>
        <v>CanadaEmployeeF - Chief</v>
      </c>
      <c r="K485" s="711"/>
      <c r="L485" s="711">
        <v>349</v>
      </c>
      <c r="M485" s="711"/>
      <c r="N485" s="711"/>
      <c r="O485" s="711"/>
      <c r="P485"/>
    </row>
    <row r="486" spans="1:16">
      <c r="A486" t="s">
        <v>405</v>
      </c>
      <c r="B486"/>
      <c r="C486"/>
      <c r="D486" t="s">
        <v>425</v>
      </c>
      <c r="E486"/>
      <c r="F486" t="s">
        <v>753</v>
      </c>
      <c r="G486"/>
      <c r="H486"/>
      <c r="I486" t="str">
        <f t="shared" si="20"/>
        <v>CanadaExperienceA - Associate</v>
      </c>
      <c r="J486" t="str">
        <f t="shared" si="21"/>
        <v>CanadaExperienceA - Associate</v>
      </c>
      <c r="K486" s="711"/>
      <c r="L486" s="711">
        <v>249</v>
      </c>
      <c r="M486" s="711"/>
      <c r="N486" s="711"/>
      <c r="O486" s="711"/>
      <c r="P486" s="711">
        <v>159</v>
      </c>
    </row>
    <row r="487" spans="1:16">
      <c r="A487" t="s">
        <v>405</v>
      </c>
      <c r="B487"/>
      <c r="C487"/>
      <c r="D487" t="s">
        <v>425</v>
      </c>
      <c r="E487"/>
      <c r="F487" t="s">
        <v>352</v>
      </c>
      <c r="G487"/>
      <c r="H487"/>
      <c r="I487" t="str">
        <f t="shared" si="20"/>
        <v>CanadaExperienceB - Staff</v>
      </c>
      <c r="J487" t="str">
        <f t="shared" si="21"/>
        <v>CanadaExperienceB - Staff</v>
      </c>
      <c r="K487" s="711"/>
      <c r="L487" s="711">
        <v>249</v>
      </c>
      <c r="M487" s="711"/>
      <c r="N487" s="711"/>
      <c r="O487" s="711"/>
      <c r="P487"/>
    </row>
    <row r="488" spans="1:16">
      <c r="A488" t="s">
        <v>405</v>
      </c>
      <c r="B488"/>
      <c r="C488"/>
      <c r="D488" t="s">
        <v>425</v>
      </c>
      <c r="E488"/>
      <c r="F488" t="s">
        <v>355</v>
      </c>
      <c r="G488"/>
      <c r="H488"/>
      <c r="I488" t="str">
        <f t="shared" si="20"/>
        <v>CanadaExperienceC - Senior</v>
      </c>
      <c r="J488" t="str">
        <f t="shared" si="21"/>
        <v>CanadaExperienceC - Senior</v>
      </c>
      <c r="K488" s="711"/>
      <c r="L488" s="711">
        <v>309</v>
      </c>
      <c r="M488" s="711"/>
      <c r="N488" s="711"/>
      <c r="O488" s="711"/>
      <c r="P488"/>
    </row>
    <row r="489" spans="1:16">
      <c r="A489" t="s">
        <v>405</v>
      </c>
      <c r="B489"/>
      <c r="C489"/>
      <c r="D489" t="s">
        <v>425</v>
      </c>
      <c r="E489"/>
      <c r="F489" t="s">
        <v>358</v>
      </c>
      <c r="G489"/>
      <c r="H489"/>
      <c r="I489" t="str">
        <f t="shared" si="20"/>
        <v>CanadaExperienceD - Lead</v>
      </c>
      <c r="J489" t="str">
        <f t="shared" si="21"/>
        <v>CanadaExperienceD - Lead</v>
      </c>
      <c r="K489" s="711"/>
      <c r="L489" s="711">
        <v>359</v>
      </c>
      <c r="M489" s="711"/>
      <c r="N489" s="711"/>
      <c r="O489" s="711"/>
      <c r="P489"/>
    </row>
    <row r="490" spans="1:16">
      <c r="A490" t="s">
        <v>405</v>
      </c>
      <c r="B490"/>
      <c r="C490"/>
      <c r="D490" t="s">
        <v>425</v>
      </c>
      <c r="E490"/>
      <c r="F490" t="s">
        <v>772</v>
      </c>
      <c r="G490"/>
      <c r="H490"/>
      <c r="I490" t="str">
        <f t="shared" si="20"/>
        <v>CanadaExperienceE - Principal</v>
      </c>
      <c r="J490" t="str">
        <f t="shared" si="21"/>
        <v>CanadaExperienceE - Principal</v>
      </c>
      <c r="K490" s="711"/>
      <c r="L490" s="711">
        <v>369</v>
      </c>
      <c r="M490" s="711"/>
      <c r="N490" s="711"/>
      <c r="O490" s="711"/>
      <c r="P490"/>
    </row>
    <row r="491" spans="1:16">
      <c r="A491" t="s">
        <v>405</v>
      </c>
      <c r="B491"/>
      <c r="C491"/>
      <c r="D491" t="s">
        <v>425</v>
      </c>
      <c r="E491"/>
      <c r="F491" t="s">
        <v>775</v>
      </c>
      <c r="G491"/>
      <c r="H491"/>
      <c r="I491" t="str">
        <f t="shared" si="20"/>
        <v>CanadaExperienceF - Chief</v>
      </c>
      <c r="J491" t="str">
        <f t="shared" si="21"/>
        <v>CanadaExperienceF - Chief</v>
      </c>
      <c r="K491" s="711"/>
      <c r="L491" s="711">
        <v>419</v>
      </c>
      <c r="M491" s="711"/>
      <c r="N491" s="711"/>
      <c r="O491" s="711"/>
      <c r="P491"/>
    </row>
    <row r="492" spans="1:16">
      <c r="A492" t="s">
        <v>405</v>
      </c>
      <c r="B492"/>
      <c r="C492"/>
      <c r="D492" t="s">
        <v>231</v>
      </c>
      <c r="E492"/>
      <c r="F492" t="s">
        <v>753</v>
      </c>
      <c r="G492"/>
      <c r="H492"/>
      <c r="I492" t="str">
        <f t="shared" si="20"/>
        <v>CanadaManaged ServicesA - Associate</v>
      </c>
      <c r="J492" t="str">
        <f t="shared" si="21"/>
        <v>CanadaManaged ServicesA - Associate</v>
      </c>
      <c r="K492" s="711"/>
      <c r="L492" s="711">
        <v>219</v>
      </c>
      <c r="M492" s="711"/>
      <c r="N492" s="711"/>
      <c r="O492" s="711"/>
      <c r="P492" s="711">
        <v>129</v>
      </c>
    </row>
    <row r="493" spans="1:16">
      <c r="A493" t="s">
        <v>405</v>
      </c>
      <c r="B493"/>
      <c r="C493"/>
      <c r="D493" t="s">
        <v>231</v>
      </c>
      <c r="E493"/>
      <c r="F493" t="s">
        <v>352</v>
      </c>
      <c r="G493"/>
      <c r="H493"/>
      <c r="I493" t="str">
        <f t="shared" si="20"/>
        <v>CanadaManaged ServicesB - Staff</v>
      </c>
      <c r="J493" t="str">
        <f t="shared" si="21"/>
        <v>CanadaManaged ServicesB - Staff</v>
      </c>
      <c r="K493" s="711"/>
      <c r="L493" s="711">
        <v>219</v>
      </c>
      <c r="M493" s="711"/>
      <c r="N493" s="711"/>
      <c r="O493" s="711"/>
      <c r="P493"/>
    </row>
    <row r="494" spans="1:16">
      <c r="A494" t="s">
        <v>405</v>
      </c>
      <c r="B494"/>
      <c r="C494"/>
      <c r="D494" t="s">
        <v>231</v>
      </c>
      <c r="E494"/>
      <c r="F494" t="s">
        <v>355</v>
      </c>
      <c r="G494"/>
      <c r="H494"/>
      <c r="I494" t="str">
        <f t="shared" si="20"/>
        <v>CanadaManaged ServicesC - Senior</v>
      </c>
      <c r="J494" t="str">
        <f t="shared" si="21"/>
        <v>CanadaManaged ServicesC - Senior</v>
      </c>
      <c r="K494" s="711"/>
      <c r="L494" s="711">
        <v>239</v>
      </c>
      <c r="M494" s="711"/>
      <c r="N494" s="711"/>
      <c r="O494" s="711"/>
      <c r="P494"/>
    </row>
    <row r="495" spans="1:16">
      <c r="A495" t="s">
        <v>405</v>
      </c>
      <c r="B495"/>
      <c r="C495"/>
      <c r="D495" t="s">
        <v>231</v>
      </c>
      <c r="E495"/>
      <c r="F495" t="s">
        <v>358</v>
      </c>
      <c r="G495"/>
      <c r="H495"/>
      <c r="I495" t="str">
        <f t="shared" ref="I495:I558" si="22">A495&amp;B495&amp;D495&amp;E495&amp;F495&amp;G495</f>
        <v>CanadaManaged ServicesD - Lead</v>
      </c>
      <c r="J495" t="str">
        <f t="shared" si="21"/>
        <v>CanadaManaged ServicesD - Lead</v>
      </c>
      <c r="K495" s="711"/>
      <c r="L495" s="711">
        <v>269</v>
      </c>
      <c r="M495" s="711"/>
      <c r="N495" s="711"/>
      <c r="O495" s="711"/>
      <c r="P495"/>
    </row>
    <row r="496" spans="1:16">
      <c r="A496" t="s">
        <v>405</v>
      </c>
      <c r="B496"/>
      <c r="C496"/>
      <c r="D496" t="s">
        <v>231</v>
      </c>
      <c r="E496"/>
      <c r="F496" t="s">
        <v>772</v>
      </c>
      <c r="G496"/>
      <c r="H496"/>
      <c r="I496" t="str">
        <f t="shared" si="22"/>
        <v>CanadaManaged ServicesE - Principal</v>
      </c>
      <c r="J496" t="str">
        <f t="shared" si="21"/>
        <v>CanadaManaged ServicesE - Principal</v>
      </c>
      <c r="K496" s="711"/>
      <c r="L496" s="711">
        <v>279</v>
      </c>
      <c r="M496" s="711"/>
      <c r="N496" s="711"/>
      <c r="O496" s="711"/>
      <c r="P496"/>
    </row>
    <row r="497" spans="1:16">
      <c r="A497" t="s">
        <v>405</v>
      </c>
      <c r="B497"/>
      <c r="C497"/>
      <c r="D497" t="s">
        <v>231</v>
      </c>
      <c r="E497"/>
      <c r="F497" t="s">
        <v>775</v>
      </c>
      <c r="G497"/>
      <c r="H497"/>
      <c r="I497" t="str">
        <f t="shared" si="22"/>
        <v>CanadaManaged ServicesF - Chief</v>
      </c>
      <c r="J497" t="str">
        <f t="shared" si="21"/>
        <v>CanadaManaged ServicesF - Chief</v>
      </c>
      <c r="K497" s="711"/>
      <c r="L497" s="711">
        <v>349</v>
      </c>
      <c r="M497" s="711"/>
      <c r="N497" s="711"/>
      <c r="O497" s="711"/>
      <c r="P497"/>
    </row>
    <row r="498" spans="1:16">
      <c r="A498" t="s">
        <v>405</v>
      </c>
      <c r="B498"/>
      <c r="C498"/>
      <c r="D498" t="s">
        <v>777</v>
      </c>
      <c r="E498"/>
      <c r="F498" t="s">
        <v>753</v>
      </c>
      <c r="G498"/>
      <c r="H498"/>
      <c r="I498" t="str">
        <f t="shared" si="22"/>
        <v>CanadaPublic SectorA - Associate</v>
      </c>
      <c r="J498" t="str">
        <f t="shared" si="21"/>
        <v>CanadaPublic SectorA - Associate</v>
      </c>
      <c r="K498" s="711"/>
      <c r="L498" s="711">
        <v>219</v>
      </c>
      <c r="M498" s="711"/>
      <c r="N498" s="711"/>
      <c r="O498" s="711"/>
      <c r="P498" s="711">
        <v>129</v>
      </c>
    </row>
    <row r="499" spans="1:16">
      <c r="A499" t="s">
        <v>405</v>
      </c>
      <c r="B499"/>
      <c r="C499"/>
      <c r="D499" t="s">
        <v>777</v>
      </c>
      <c r="E499"/>
      <c r="F499" t="s">
        <v>352</v>
      </c>
      <c r="G499"/>
      <c r="H499"/>
      <c r="I499" t="str">
        <f t="shared" si="22"/>
        <v>CanadaPublic SectorB - Staff</v>
      </c>
      <c r="J499" t="str">
        <f t="shared" si="21"/>
        <v>CanadaPublic SectorB - Staff</v>
      </c>
      <c r="K499" s="711"/>
      <c r="L499" s="711">
        <v>219</v>
      </c>
      <c r="M499" s="711"/>
      <c r="N499" s="711"/>
      <c r="O499" s="711"/>
      <c r="P499"/>
    </row>
    <row r="500" spans="1:16">
      <c r="A500" t="s">
        <v>405</v>
      </c>
      <c r="B500"/>
      <c r="C500"/>
      <c r="D500" t="s">
        <v>777</v>
      </c>
      <c r="E500"/>
      <c r="F500" t="s">
        <v>355</v>
      </c>
      <c r="G500"/>
      <c r="H500"/>
      <c r="I500" t="str">
        <f t="shared" si="22"/>
        <v>CanadaPublic SectorC - Senior</v>
      </c>
      <c r="J500" t="str">
        <f t="shared" si="21"/>
        <v>CanadaPublic SectorC - Senior</v>
      </c>
      <c r="K500" s="711"/>
      <c r="L500" s="711">
        <v>239</v>
      </c>
      <c r="M500" s="711"/>
      <c r="N500" s="711"/>
      <c r="O500" s="711"/>
      <c r="P500"/>
    </row>
    <row r="501" spans="1:16">
      <c r="A501" t="s">
        <v>405</v>
      </c>
      <c r="B501"/>
      <c r="C501"/>
      <c r="D501" t="s">
        <v>777</v>
      </c>
      <c r="E501"/>
      <c r="F501" t="s">
        <v>358</v>
      </c>
      <c r="G501"/>
      <c r="H501"/>
      <c r="I501" t="str">
        <f t="shared" si="22"/>
        <v>CanadaPublic SectorD - Lead</v>
      </c>
      <c r="J501" t="str">
        <f t="shared" si="21"/>
        <v>CanadaPublic SectorD - Lead</v>
      </c>
      <c r="K501" s="711"/>
      <c r="L501" s="711">
        <v>269</v>
      </c>
      <c r="M501" s="711"/>
      <c r="N501" s="711"/>
      <c r="O501" s="711"/>
      <c r="P501"/>
    </row>
    <row r="502" spans="1:16">
      <c r="A502" t="s">
        <v>405</v>
      </c>
      <c r="B502"/>
      <c r="C502"/>
      <c r="D502" t="s">
        <v>777</v>
      </c>
      <c r="E502"/>
      <c r="F502" t="s">
        <v>772</v>
      </c>
      <c r="G502"/>
      <c r="H502"/>
      <c r="I502" t="str">
        <f t="shared" si="22"/>
        <v>CanadaPublic SectorE - Principal</v>
      </c>
      <c r="J502" t="str">
        <f t="shared" si="21"/>
        <v>CanadaPublic SectorE - Principal</v>
      </c>
      <c r="K502" s="711"/>
      <c r="L502" s="711">
        <v>279</v>
      </c>
      <c r="M502" s="711"/>
      <c r="N502" s="711"/>
      <c r="O502" s="711"/>
      <c r="P502"/>
    </row>
    <row r="503" spans="1:16">
      <c r="A503" t="s">
        <v>405</v>
      </c>
      <c r="B503"/>
      <c r="C503"/>
      <c r="D503" t="s">
        <v>777</v>
      </c>
      <c r="E503"/>
      <c r="F503" t="s">
        <v>775</v>
      </c>
      <c r="G503"/>
      <c r="H503"/>
      <c r="I503" t="str">
        <f t="shared" si="22"/>
        <v>CanadaPublic SectorF - Chief</v>
      </c>
      <c r="J503" t="str">
        <f t="shared" si="21"/>
        <v>CanadaPublic SectorF - Chief</v>
      </c>
      <c r="K503" s="711"/>
      <c r="L503" s="711">
        <v>349</v>
      </c>
      <c r="M503" s="711"/>
      <c r="N503" s="711"/>
      <c r="O503" s="711"/>
      <c r="P503"/>
    </row>
    <row r="504" spans="1:16">
      <c r="A504" t="s">
        <v>405</v>
      </c>
      <c r="B504"/>
      <c r="C504"/>
      <c r="D504" t="s">
        <v>780</v>
      </c>
      <c r="E504"/>
      <c r="F504" t="s">
        <v>753</v>
      </c>
      <c r="G504"/>
      <c r="H504"/>
      <c r="I504" t="str">
        <f t="shared" si="22"/>
        <v>CanadaRisk and ResilienceA - Associate</v>
      </c>
      <c r="J504" t="str">
        <f t="shared" si="21"/>
        <v>CanadaRisk and ResilienceA - Associate</v>
      </c>
      <c r="K504" s="711"/>
      <c r="L504" s="711">
        <v>239</v>
      </c>
      <c r="M504" s="711"/>
      <c r="N504" s="711"/>
      <c r="O504" s="711"/>
      <c r="P504" s="711">
        <v>149</v>
      </c>
    </row>
    <row r="505" spans="1:16">
      <c r="A505" t="s">
        <v>405</v>
      </c>
      <c r="B505"/>
      <c r="C505"/>
      <c r="D505" t="s">
        <v>780</v>
      </c>
      <c r="E505"/>
      <c r="F505" t="s">
        <v>352</v>
      </c>
      <c r="G505"/>
      <c r="H505"/>
      <c r="I505" t="str">
        <f t="shared" si="22"/>
        <v>CanadaRisk and ResilienceB - Staff</v>
      </c>
      <c r="J505" t="str">
        <f t="shared" si="21"/>
        <v>CanadaRisk and ResilienceB - Staff</v>
      </c>
      <c r="K505" s="711"/>
      <c r="L505" s="711">
        <v>239</v>
      </c>
      <c r="M505" s="711"/>
      <c r="N505" s="711"/>
      <c r="O505" s="711"/>
      <c r="P505"/>
    </row>
    <row r="506" spans="1:16">
      <c r="A506" t="s">
        <v>405</v>
      </c>
      <c r="B506"/>
      <c r="C506"/>
      <c r="D506" t="s">
        <v>780</v>
      </c>
      <c r="E506"/>
      <c r="F506" t="s">
        <v>355</v>
      </c>
      <c r="G506"/>
      <c r="H506"/>
      <c r="I506" t="str">
        <f t="shared" si="22"/>
        <v>CanadaRisk and ResilienceC - Senior</v>
      </c>
      <c r="J506" t="str">
        <f t="shared" si="21"/>
        <v>CanadaRisk and ResilienceC - Senior</v>
      </c>
      <c r="K506" s="711"/>
      <c r="L506" s="711">
        <v>279</v>
      </c>
      <c r="M506" s="711"/>
      <c r="N506" s="711"/>
      <c r="O506" s="711"/>
      <c r="P506"/>
    </row>
    <row r="507" spans="1:16">
      <c r="A507" t="s">
        <v>405</v>
      </c>
      <c r="B507"/>
      <c r="C507"/>
      <c r="D507" t="s">
        <v>780</v>
      </c>
      <c r="E507"/>
      <c r="F507" t="s">
        <v>358</v>
      </c>
      <c r="G507"/>
      <c r="H507"/>
      <c r="I507" t="str">
        <f t="shared" si="22"/>
        <v>CanadaRisk and ResilienceD - Lead</v>
      </c>
      <c r="J507" t="str">
        <f t="shared" si="21"/>
        <v>CanadaRisk and ResilienceD - Lead</v>
      </c>
      <c r="K507" s="711"/>
      <c r="L507" s="711">
        <v>329</v>
      </c>
      <c r="M507" s="711"/>
      <c r="N507" s="711"/>
      <c r="O507" s="711"/>
      <c r="P507"/>
    </row>
    <row r="508" spans="1:16">
      <c r="A508" t="s">
        <v>405</v>
      </c>
      <c r="B508"/>
      <c r="C508"/>
      <c r="D508" t="s">
        <v>780</v>
      </c>
      <c r="E508"/>
      <c r="F508" t="s">
        <v>772</v>
      </c>
      <c r="G508"/>
      <c r="H508"/>
      <c r="I508" t="str">
        <f t="shared" si="22"/>
        <v>CanadaRisk and ResilienceE - Principal</v>
      </c>
      <c r="J508" t="str">
        <f t="shared" si="21"/>
        <v>CanadaRisk and ResilienceE - Principal</v>
      </c>
      <c r="K508" s="711"/>
      <c r="L508" s="711">
        <v>339</v>
      </c>
      <c r="M508" s="711"/>
      <c r="N508" s="711"/>
      <c r="O508" s="711"/>
      <c r="P508"/>
    </row>
    <row r="509" spans="1:16">
      <c r="A509" t="s">
        <v>405</v>
      </c>
      <c r="B509"/>
      <c r="C509"/>
      <c r="D509" t="s">
        <v>780</v>
      </c>
      <c r="E509"/>
      <c r="F509" t="s">
        <v>775</v>
      </c>
      <c r="G509"/>
      <c r="H509"/>
      <c r="I509" t="str">
        <f t="shared" si="22"/>
        <v>CanadaRisk and ResilienceF - Chief</v>
      </c>
      <c r="J509" t="str">
        <f t="shared" si="21"/>
        <v>CanadaRisk and ResilienceF - Chief</v>
      </c>
      <c r="K509" s="711"/>
      <c r="L509" s="711">
        <v>389</v>
      </c>
      <c r="M509" s="711"/>
      <c r="N509" s="711"/>
      <c r="O509" s="711"/>
      <c r="P509"/>
    </row>
    <row r="510" spans="1:16">
      <c r="A510" t="s">
        <v>405</v>
      </c>
      <c r="B510"/>
      <c r="C510"/>
      <c r="D510" t="s">
        <v>399</v>
      </c>
      <c r="E510"/>
      <c r="F510" t="s">
        <v>753</v>
      </c>
      <c r="G510"/>
      <c r="H510"/>
      <c r="I510" t="str">
        <f t="shared" si="22"/>
        <v>CanadaTechnologyA - Associate</v>
      </c>
      <c r="J510" t="str">
        <f t="shared" si="21"/>
        <v>CanadaTechnologyA - Associate</v>
      </c>
      <c r="K510" s="711"/>
      <c r="L510" s="711">
        <v>219</v>
      </c>
      <c r="M510" s="711"/>
      <c r="N510" s="711"/>
      <c r="O510" s="711"/>
      <c r="P510" s="711">
        <v>129</v>
      </c>
    </row>
    <row r="511" spans="1:16">
      <c r="A511" t="s">
        <v>405</v>
      </c>
      <c r="B511"/>
      <c r="C511"/>
      <c r="D511" t="s">
        <v>399</v>
      </c>
      <c r="E511"/>
      <c r="F511" t="s">
        <v>352</v>
      </c>
      <c r="G511"/>
      <c r="H511"/>
      <c r="I511" t="str">
        <f t="shared" si="22"/>
        <v>CanadaTechnologyB - Staff</v>
      </c>
      <c r="J511" t="str">
        <f t="shared" si="21"/>
        <v>CanadaTechnologyB - Staff</v>
      </c>
      <c r="K511" s="711"/>
      <c r="L511" s="711">
        <v>219</v>
      </c>
      <c r="M511" s="711"/>
      <c r="N511" s="711"/>
      <c r="O511" s="711"/>
      <c r="P511"/>
    </row>
    <row r="512" spans="1:16">
      <c r="A512" t="s">
        <v>405</v>
      </c>
      <c r="B512"/>
      <c r="C512"/>
      <c r="D512" t="s">
        <v>399</v>
      </c>
      <c r="E512"/>
      <c r="F512" t="s">
        <v>355</v>
      </c>
      <c r="G512"/>
      <c r="H512"/>
      <c r="I512" t="str">
        <f t="shared" si="22"/>
        <v>CanadaTechnologyC - Senior</v>
      </c>
      <c r="J512" t="str">
        <f t="shared" si="21"/>
        <v>CanadaTechnologyC - Senior</v>
      </c>
      <c r="K512" s="711"/>
      <c r="L512" s="711">
        <v>239</v>
      </c>
      <c r="M512" s="711"/>
      <c r="N512" s="711"/>
      <c r="O512" s="711"/>
      <c r="P512"/>
    </row>
    <row r="513" spans="1:16">
      <c r="A513" t="s">
        <v>405</v>
      </c>
      <c r="B513"/>
      <c r="C513"/>
      <c r="D513" t="s">
        <v>399</v>
      </c>
      <c r="E513"/>
      <c r="F513" t="s">
        <v>358</v>
      </c>
      <c r="G513"/>
      <c r="H513"/>
      <c r="I513" t="str">
        <f t="shared" si="22"/>
        <v>CanadaTechnologyD - Lead</v>
      </c>
      <c r="J513" t="str">
        <f t="shared" si="21"/>
        <v>CanadaTechnologyD - Lead</v>
      </c>
      <c r="K513" s="711"/>
      <c r="L513" s="711">
        <v>269</v>
      </c>
      <c r="M513" s="711"/>
      <c r="N513" s="711"/>
      <c r="O513" s="711"/>
      <c r="P513"/>
    </row>
    <row r="514" spans="1:16">
      <c r="A514" t="s">
        <v>405</v>
      </c>
      <c r="B514"/>
      <c r="C514"/>
      <c r="D514" t="s">
        <v>399</v>
      </c>
      <c r="E514"/>
      <c r="F514" t="s">
        <v>772</v>
      </c>
      <c r="G514"/>
      <c r="H514"/>
      <c r="I514" t="str">
        <f t="shared" si="22"/>
        <v>CanadaTechnologyE - Principal</v>
      </c>
      <c r="J514" t="str">
        <f t="shared" si="21"/>
        <v>CanadaTechnologyE - Principal</v>
      </c>
      <c r="K514" s="711"/>
      <c r="L514" s="711">
        <v>279</v>
      </c>
      <c r="M514" s="711"/>
      <c r="N514" s="711"/>
      <c r="O514" s="711"/>
      <c r="P514"/>
    </row>
    <row r="515" spans="1:16">
      <c r="A515" t="s">
        <v>405</v>
      </c>
      <c r="B515"/>
      <c r="C515"/>
      <c r="D515" t="s">
        <v>399</v>
      </c>
      <c r="E515"/>
      <c r="F515" t="s">
        <v>775</v>
      </c>
      <c r="G515"/>
      <c r="H515"/>
      <c r="I515" t="str">
        <f t="shared" si="22"/>
        <v>CanadaTechnologyF - Chief</v>
      </c>
      <c r="J515" t="str">
        <f t="shared" si="21"/>
        <v>CanadaTechnologyF - Chief</v>
      </c>
      <c r="K515" s="711"/>
      <c r="L515" s="711">
        <v>349</v>
      </c>
      <c r="M515" s="711"/>
      <c r="N515" s="711"/>
      <c r="O515" s="711"/>
      <c r="P515"/>
    </row>
    <row r="516" spans="1:16">
      <c r="A516" t="s">
        <v>405</v>
      </c>
      <c r="B516"/>
      <c r="C516"/>
      <c r="D516" t="s">
        <v>360</v>
      </c>
      <c r="E516"/>
      <c r="F516" t="s">
        <v>753</v>
      </c>
      <c r="G516"/>
      <c r="H516"/>
      <c r="I516" t="str">
        <f t="shared" si="22"/>
        <v>CanadaPMOA - Associate</v>
      </c>
      <c r="J516" t="str">
        <f t="shared" si="21"/>
        <v>CanadaPMOA - Associate</v>
      </c>
      <c r="K516" s="711"/>
      <c r="L516" s="711">
        <v>219</v>
      </c>
      <c r="M516" s="711"/>
      <c r="N516" s="711"/>
      <c r="O516" s="711"/>
      <c r="P516" s="711">
        <v>129</v>
      </c>
    </row>
    <row r="517" spans="1:16">
      <c r="A517" t="s">
        <v>405</v>
      </c>
      <c r="B517"/>
      <c r="C517"/>
      <c r="D517" t="s">
        <v>360</v>
      </c>
      <c r="E517"/>
      <c r="F517" t="s">
        <v>352</v>
      </c>
      <c r="G517"/>
      <c r="H517"/>
      <c r="I517" t="str">
        <f t="shared" si="22"/>
        <v>CanadaPMOB - Staff</v>
      </c>
      <c r="J517" t="str">
        <f t="shared" si="21"/>
        <v>CanadaPMOB - Staff</v>
      </c>
      <c r="K517" s="711"/>
      <c r="L517" s="711">
        <v>219</v>
      </c>
      <c r="M517" s="711"/>
      <c r="N517" s="711"/>
      <c r="O517" s="711"/>
      <c r="P517"/>
    </row>
    <row r="518" spans="1:16">
      <c r="A518" t="s">
        <v>405</v>
      </c>
      <c r="B518"/>
      <c r="C518"/>
      <c r="D518" t="s">
        <v>360</v>
      </c>
      <c r="E518"/>
      <c r="F518" t="s">
        <v>355</v>
      </c>
      <c r="G518"/>
      <c r="H518"/>
      <c r="I518" t="str">
        <f t="shared" si="22"/>
        <v>CanadaPMOC - Senior</v>
      </c>
      <c r="J518" t="str">
        <f t="shared" si="21"/>
        <v>CanadaPMOC - Senior</v>
      </c>
      <c r="K518" s="711"/>
      <c r="L518" s="711">
        <v>239</v>
      </c>
      <c r="M518" s="711"/>
      <c r="N518" s="711"/>
      <c r="O518" s="711"/>
      <c r="P518"/>
    </row>
    <row r="519" spans="1:16">
      <c r="A519" t="s">
        <v>405</v>
      </c>
      <c r="B519"/>
      <c r="C519"/>
      <c r="D519" t="s">
        <v>360</v>
      </c>
      <c r="E519"/>
      <c r="F519" t="s">
        <v>358</v>
      </c>
      <c r="G519"/>
      <c r="H519"/>
      <c r="I519" t="str">
        <f t="shared" si="22"/>
        <v>CanadaPMOD - Lead</v>
      </c>
      <c r="J519" t="str">
        <f t="shared" si="21"/>
        <v>CanadaPMOD - Lead</v>
      </c>
      <c r="K519" s="711"/>
      <c r="L519" s="711">
        <v>269</v>
      </c>
      <c r="M519" s="711"/>
      <c r="N519" s="711"/>
      <c r="O519" s="711"/>
      <c r="P519"/>
    </row>
    <row r="520" spans="1:16">
      <c r="A520" t="s">
        <v>405</v>
      </c>
      <c r="B520"/>
      <c r="C520"/>
      <c r="D520" t="s">
        <v>360</v>
      </c>
      <c r="E520"/>
      <c r="F520" t="s">
        <v>772</v>
      </c>
      <c r="G520"/>
      <c r="H520"/>
      <c r="I520" t="str">
        <f t="shared" si="22"/>
        <v>CanadaPMOE - Principal</v>
      </c>
      <c r="J520" t="str">
        <f t="shared" si="21"/>
        <v>CanadaPMOE - Principal</v>
      </c>
      <c r="K520" s="711"/>
      <c r="L520" s="711">
        <v>279</v>
      </c>
      <c r="M520" s="711"/>
      <c r="N520" s="711"/>
      <c r="O520" s="711"/>
      <c r="P520"/>
    </row>
    <row r="521" spans="1:16">
      <c r="A521" t="s">
        <v>405</v>
      </c>
      <c r="B521"/>
      <c r="C521"/>
      <c r="D521" t="s">
        <v>360</v>
      </c>
      <c r="E521"/>
      <c r="F521" t="s">
        <v>775</v>
      </c>
      <c r="G521"/>
      <c r="H521"/>
      <c r="I521" t="str">
        <f t="shared" si="22"/>
        <v>CanadaPMOF - Chief</v>
      </c>
      <c r="J521" t="str">
        <f t="shared" si="21"/>
        <v>CanadaPMOF - Chief</v>
      </c>
      <c r="K521" s="711"/>
      <c r="L521" s="711">
        <v>349</v>
      </c>
      <c r="M521" s="711"/>
      <c r="N521" s="711"/>
      <c r="O521" s="711"/>
      <c r="P521"/>
    </row>
    <row r="522" spans="1:16">
      <c r="A522" t="s">
        <v>405</v>
      </c>
      <c r="B522"/>
      <c r="C522" t="s">
        <v>227</v>
      </c>
      <c r="D522" t="s">
        <v>750</v>
      </c>
      <c r="E522" t="s">
        <v>779</v>
      </c>
      <c r="F522" t="s">
        <v>355</v>
      </c>
      <c r="G522"/>
      <c r="H522"/>
      <c r="I522" t="str">
        <f t="shared" si="22"/>
        <v>CanadaAdvisoryEnablementC - Senior</v>
      </c>
      <c r="J522" t="str">
        <f t="shared" si="21"/>
        <v>CanadaIndiaAdvisoryEnablementC - Senior</v>
      </c>
      <c r="K522" s="711"/>
      <c r="L522" s="711">
        <v>115</v>
      </c>
      <c r="M522" s="711"/>
      <c r="N522" s="711"/>
      <c r="O522" s="711"/>
      <c r="P522"/>
    </row>
    <row r="523" spans="1:16">
      <c r="A523" t="s">
        <v>405</v>
      </c>
      <c r="B523"/>
      <c r="C523" t="s">
        <v>227</v>
      </c>
      <c r="D523" t="s">
        <v>750</v>
      </c>
      <c r="E523" t="s">
        <v>764</v>
      </c>
      <c r="F523" t="s">
        <v>358</v>
      </c>
      <c r="G523"/>
      <c r="H523"/>
      <c r="I523" t="str">
        <f t="shared" si="22"/>
        <v>CanadaAdvisoryChange ManagementD - Lead</v>
      </c>
      <c r="J523" t="str">
        <f t="shared" si="21"/>
        <v>CanadaIndiaAdvisoryChange ManagementD - Lead</v>
      </c>
      <c r="K523" s="711"/>
      <c r="L523" s="711">
        <v>125</v>
      </c>
      <c r="M523" s="711"/>
      <c r="N523" s="711"/>
      <c r="O523" s="711"/>
      <c r="P523"/>
    </row>
    <row r="524" spans="1:16">
      <c r="A524" t="s">
        <v>405</v>
      </c>
      <c r="B524"/>
      <c r="C524" t="s">
        <v>227</v>
      </c>
      <c r="D524" t="s">
        <v>750</v>
      </c>
      <c r="E524" t="s">
        <v>784</v>
      </c>
      <c r="F524" t="s">
        <v>355</v>
      </c>
      <c r="G524"/>
      <c r="H524"/>
      <c r="I524" t="str">
        <f t="shared" si="22"/>
        <v>CanadaAdvisoryStrategyC - Senior</v>
      </c>
      <c r="J524" t="str">
        <f t="shared" si="21"/>
        <v>CanadaIndiaAdvisoryStrategyC - Senior</v>
      </c>
      <c r="K524" s="711"/>
      <c r="L524" s="711">
        <v>139</v>
      </c>
      <c r="M524" s="711"/>
      <c r="N524" s="711"/>
      <c r="O524" s="711"/>
      <c r="P524"/>
    </row>
    <row r="525" spans="1:16">
      <c r="A525" t="s">
        <v>405</v>
      </c>
      <c r="B525"/>
      <c r="C525" t="s">
        <v>227</v>
      </c>
      <c r="D525" t="s">
        <v>750</v>
      </c>
      <c r="E525" t="s">
        <v>784</v>
      </c>
      <c r="F525" t="s">
        <v>358</v>
      </c>
      <c r="G525"/>
      <c r="H525"/>
      <c r="I525" t="str">
        <f t="shared" si="22"/>
        <v>CanadaAdvisoryStrategyD - Lead</v>
      </c>
      <c r="J525" t="str">
        <f t="shared" si="21"/>
        <v>CanadaIndiaAdvisoryStrategyD - Lead</v>
      </c>
      <c r="K525" s="711"/>
      <c r="L525" s="711">
        <v>165</v>
      </c>
      <c r="M525" s="711"/>
      <c r="N525" s="711"/>
      <c r="O525" s="711"/>
      <c r="P525"/>
    </row>
    <row r="526" spans="1:16">
      <c r="A526" t="s">
        <v>405</v>
      </c>
      <c r="B526"/>
      <c r="C526" t="s">
        <v>227</v>
      </c>
      <c r="D526" t="s">
        <v>750</v>
      </c>
      <c r="E526" t="s">
        <v>784</v>
      </c>
      <c r="F526" t="s">
        <v>772</v>
      </c>
      <c r="G526"/>
      <c r="H526"/>
      <c r="I526" t="str">
        <f t="shared" si="22"/>
        <v>CanadaAdvisoryStrategyE - Principal</v>
      </c>
      <c r="J526" t="str">
        <f t="shared" si="21"/>
        <v>CanadaIndiaAdvisoryStrategyE - Principal</v>
      </c>
      <c r="K526" s="711"/>
      <c r="L526" s="711">
        <v>179</v>
      </c>
      <c r="M526" s="711"/>
      <c r="N526" s="711"/>
      <c r="O526" s="711"/>
      <c r="P526"/>
    </row>
    <row r="527" spans="1:16">
      <c r="A527" t="s">
        <v>405</v>
      </c>
      <c r="B527"/>
      <c r="C527" t="s">
        <v>227</v>
      </c>
      <c r="D527" t="s">
        <v>750</v>
      </c>
      <c r="E527" t="s">
        <v>784</v>
      </c>
      <c r="F527" t="s">
        <v>775</v>
      </c>
      <c r="G527"/>
      <c r="H527"/>
      <c r="I527" t="str">
        <f t="shared" si="22"/>
        <v>CanadaAdvisoryStrategyF - Chief</v>
      </c>
      <c r="J527" t="str">
        <f t="shared" si="21"/>
        <v>CanadaIndiaAdvisoryStrategyF - Chief</v>
      </c>
      <c r="K527" s="711"/>
      <c r="L527" s="711">
        <v>419</v>
      </c>
      <c r="M527" s="711"/>
      <c r="N527" s="711"/>
      <c r="O527" s="711"/>
      <c r="P527"/>
    </row>
    <row r="528" spans="1:16">
      <c r="A528" t="s">
        <v>405</v>
      </c>
      <c r="B528"/>
      <c r="C528" t="s">
        <v>227</v>
      </c>
      <c r="D528" t="s">
        <v>404</v>
      </c>
      <c r="E528"/>
      <c r="F528" t="s">
        <v>753</v>
      </c>
      <c r="G528"/>
      <c r="H528"/>
      <c r="I528" t="str">
        <f t="shared" si="22"/>
        <v>CanadaCustomerA - Associate</v>
      </c>
      <c r="J528" t="str">
        <f t="shared" si="21"/>
        <v>CanadaIndiaCustomerA - Associate</v>
      </c>
      <c r="K528" s="711"/>
      <c r="L528" s="711">
        <v>109</v>
      </c>
      <c r="M528" s="711"/>
      <c r="N528" s="711"/>
      <c r="O528" s="711"/>
      <c r="P528" s="711">
        <v>69</v>
      </c>
    </row>
    <row r="529" spans="1:16">
      <c r="A529" t="s">
        <v>405</v>
      </c>
      <c r="B529"/>
      <c r="C529" t="s">
        <v>227</v>
      </c>
      <c r="D529" t="s">
        <v>404</v>
      </c>
      <c r="E529"/>
      <c r="F529" t="s">
        <v>352</v>
      </c>
      <c r="G529"/>
      <c r="H529"/>
      <c r="I529" t="str">
        <f t="shared" si="22"/>
        <v>CanadaCustomerB - Staff</v>
      </c>
      <c r="J529" t="str">
        <f t="shared" si="21"/>
        <v>CanadaIndiaCustomerB - Staff</v>
      </c>
      <c r="K529" s="711"/>
      <c r="L529" s="711">
        <v>109</v>
      </c>
      <c r="M529" s="711"/>
      <c r="N529" s="711"/>
      <c r="O529" s="711"/>
      <c r="P529"/>
    </row>
    <row r="530" spans="1:16">
      <c r="A530" t="s">
        <v>405</v>
      </c>
      <c r="B530"/>
      <c r="C530" t="s">
        <v>227</v>
      </c>
      <c r="D530" t="s">
        <v>404</v>
      </c>
      <c r="E530"/>
      <c r="F530" t="s">
        <v>355</v>
      </c>
      <c r="G530"/>
      <c r="H530"/>
      <c r="I530" t="str">
        <f t="shared" si="22"/>
        <v>CanadaCustomerC - Senior</v>
      </c>
      <c r="J530" t="str">
        <f t="shared" si="21"/>
        <v>CanadaIndiaCustomerC - Senior</v>
      </c>
      <c r="K530" s="711"/>
      <c r="L530" s="711">
        <v>119</v>
      </c>
      <c r="M530" s="711"/>
      <c r="N530" s="711"/>
      <c r="O530" s="711"/>
      <c r="P530"/>
    </row>
    <row r="531" spans="1:16">
      <c r="A531" t="s">
        <v>405</v>
      </c>
      <c r="B531"/>
      <c r="C531" t="s">
        <v>227</v>
      </c>
      <c r="D531" t="s">
        <v>404</v>
      </c>
      <c r="E531"/>
      <c r="F531" t="s">
        <v>358</v>
      </c>
      <c r="G531"/>
      <c r="H531"/>
      <c r="I531" t="str">
        <f t="shared" si="22"/>
        <v>CanadaCustomerD - Lead</v>
      </c>
      <c r="J531" t="str">
        <f t="shared" ref="J531:J575" si="23">A531&amp;C531&amp;D531&amp;E531&amp;F531</f>
        <v>CanadaIndiaCustomerD - Lead</v>
      </c>
      <c r="K531" s="711"/>
      <c r="L531" s="711">
        <v>139</v>
      </c>
      <c r="M531" s="711"/>
      <c r="N531" s="711"/>
      <c r="O531" s="711"/>
      <c r="P531"/>
    </row>
    <row r="532" spans="1:16">
      <c r="A532" t="s">
        <v>405</v>
      </c>
      <c r="B532"/>
      <c r="C532" t="s">
        <v>227</v>
      </c>
      <c r="D532" t="s">
        <v>404</v>
      </c>
      <c r="E532"/>
      <c r="F532" t="s">
        <v>772</v>
      </c>
      <c r="G532"/>
      <c r="H532"/>
      <c r="I532" t="str">
        <f t="shared" si="22"/>
        <v>CanadaCustomerE - Principal</v>
      </c>
      <c r="J532" t="str">
        <f t="shared" si="23"/>
        <v>CanadaIndiaCustomerE - Principal</v>
      </c>
      <c r="K532" s="711"/>
      <c r="L532" s="711">
        <v>155</v>
      </c>
      <c r="M532" s="711"/>
      <c r="N532" s="711"/>
      <c r="O532" s="711"/>
      <c r="P532"/>
    </row>
    <row r="533" spans="1:16">
      <c r="A533" t="s">
        <v>405</v>
      </c>
      <c r="B533"/>
      <c r="C533" t="s">
        <v>227</v>
      </c>
      <c r="D533" t="s">
        <v>404</v>
      </c>
      <c r="E533"/>
      <c r="F533" t="s">
        <v>775</v>
      </c>
      <c r="G533"/>
      <c r="H533"/>
      <c r="I533" t="str">
        <f t="shared" si="22"/>
        <v>CanadaCustomerF - Chief</v>
      </c>
      <c r="J533" t="str">
        <f t="shared" si="23"/>
        <v>CanadaIndiaCustomerF - Chief</v>
      </c>
      <c r="K533" s="711"/>
      <c r="L533" s="711">
        <v>379</v>
      </c>
      <c r="M533" s="711"/>
      <c r="N533" s="711"/>
      <c r="O533" s="711"/>
      <c r="P533"/>
    </row>
    <row r="534" spans="1:16">
      <c r="A534" t="s">
        <v>405</v>
      </c>
      <c r="B534"/>
      <c r="C534" t="s">
        <v>227</v>
      </c>
      <c r="D534" t="s">
        <v>761</v>
      </c>
      <c r="E534"/>
      <c r="F534" t="s">
        <v>753</v>
      </c>
      <c r="G534"/>
      <c r="H534"/>
      <c r="I534" t="str">
        <f t="shared" si="22"/>
        <v>CanadaEmployeeA - Associate</v>
      </c>
      <c r="J534" t="str">
        <f t="shared" si="23"/>
        <v>CanadaIndiaEmployeeA - Associate</v>
      </c>
      <c r="K534" s="711"/>
      <c r="L534" s="711">
        <v>109</v>
      </c>
      <c r="M534" s="711"/>
      <c r="N534" s="711"/>
      <c r="O534" s="711"/>
      <c r="P534" s="711">
        <v>69</v>
      </c>
    </row>
    <row r="535" spans="1:16">
      <c r="A535" t="s">
        <v>405</v>
      </c>
      <c r="B535"/>
      <c r="C535" t="s">
        <v>227</v>
      </c>
      <c r="D535" t="s">
        <v>761</v>
      </c>
      <c r="E535"/>
      <c r="F535" t="s">
        <v>352</v>
      </c>
      <c r="G535"/>
      <c r="H535"/>
      <c r="I535" t="str">
        <f t="shared" si="22"/>
        <v>CanadaEmployeeB - Staff</v>
      </c>
      <c r="J535" t="str">
        <f t="shared" si="23"/>
        <v>CanadaIndiaEmployeeB - Staff</v>
      </c>
      <c r="K535" s="711"/>
      <c r="L535" s="711">
        <v>109</v>
      </c>
      <c r="M535" s="711"/>
      <c r="N535" s="711"/>
      <c r="O535" s="711"/>
      <c r="P535"/>
    </row>
    <row r="536" spans="1:16">
      <c r="A536" t="s">
        <v>405</v>
      </c>
      <c r="B536"/>
      <c r="C536" t="s">
        <v>227</v>
      </c>
      <c r="D536" t="s">
        <v>761</v>
      </c>
      <c r="E536"/>
      <c r="F536" t="s">
        <v>355</v>
      </c>
      <c r="G536"/>
      <c r="H536"/>
      <c r="I536" t="str">
        <f t="shared" si="22"/>
        <v>CanadaEmployeeC - Senior</v>
      </c>
      <c r="J536" t="str">
        <f t="shared" si="23"/>
        <v>CanadaIndiaEmployeeC - Senior</v>
      </c>
      <c r="K536" s="711"/>
      <c r="L536" s="711">
        <v>119</v>
      </c>
      <c r="M536" s="711"/>
      <c r="N536" s="711"/>
      <c r="O536" s="711"/>
      <c r="P536"/>
    </row>
    <row r="537" spans="1:16">
      <c r="A537" t="s">
        <v>405</v>
      </c>
      <c r="B537"/>
      <c r="C537" t="s">
        <v>227</v>
      </c>
      <c r="D537" t="s">
        <v>761</v>
      </c>
      <c r="E537"/>
      <c r="F537" t="s">
        <v>358</v>
      </c>
      <c r="G537"/>
      <c r="H537"/>
      <c r="I537" t="str">
        <f t="shared" si="22"/>
        <v>CanadaEmployeeD - Lead</v>
      </c>
      <c r="J537" t="str">
        <f t="shared" si="23"/>
        <v>CanadaIndiaEmployeeD - Lead</v>
      </c>
      <c r="K537" s="711"/>
      <c r="L537" s="711">
        <v>139</v>
      </c>
      <c r="M537" s="711"/>
      <c r="N537" s="711"/>
      <c r="O537" s="711"/>
      <c r="P537"/>
    </row>
    <row r="538" spans="1:16">
      <c r="A538" t="s">
        <v>405</v>
      </c>
      <c r="B538"/>
      <c r="C538" t="s">
        <v>227</v>
      </c>
      <c r="D538" t="s">
        <v>761</v>
      </c>
      <c r="E538"/>
      <c r="F538" t="s">
        <v>772</v>
      </c>
      <c r="G538"/>
      <c r="H538"/>
      <c r="I538" t="str">
        <f t="shared" si="22"/>
        <v>CanadaEmployeeE - Principal</v>
      </c>
      <c r="J538" t="str">
        <f t="shared" si="23"/>
        <v>CanadaIndiaEmployeeE - Principal</v>
      </c>
      <c r="K538" s="711"/>
      <c r="L538" s="711">
        <v>155</v>
      </c>
      <c r="M538" s="711"/>
      <c r="N538" s="711"/>
      <c r="O538" s="711"/>
      <c r="P538"/>
    </row>
    <row r="539" spans="1:16">
      <c r="A539" t="s">
        <v>405</v>
      </c>
      <c r="B539"/>
      <c r="C539" t="s">
        <v>227</v>
      </c>
      <c r="D539" t="s">
        <v>761</v>
      </c>
      <c r="E539"/>
      <c r="F539" t="s">
        <v>775</v>
      </c>
      <c r="G539"/>
      <c r="H539"/>
      <c r="I539" t="str">
        <f t="shared" si="22"/>
        <v>CanadaEmployeeF - Chief</v>
      </c>
      <c r="J539" t="str">
        <f t="shared" si="23"/>
        <v>CanadaIndiaEmployeeF - Chief</v>
      </c>
      <c r="K539" s="711"/>
      <c r="L539" s="711">
        <v>379</v>
      </c>
      <c r="M539" s="711"/>
      <c r="N539" s="711"/>
      <c r="O539" s="711"/>
      <c r="P539"/>
    </row>
    <row r="540" spans="1:16">
      <c r="A540" t="s">
        <v>405</v>
      </c>
      <c r="B540"/>
      <c r="C540" t="s">
        <v>227</v>
      </c>
      <c r="D540" t="s">
        <v>425</v>
      </c>
      <c r="E540"/>
      <c r="F540" t="s">
        <v>753</v>
      </c>
      <c r="G540"/>
      <c r="H540"/>
      <c r="I540" t="str">
        <f t="shared" si="22"/>
        <v>CanadaExperienceA - Associate</v>
      </c>
      <c r="J540" t="str">
        <f t="shared" si="23"/>
        <v>CanadaIndiaExperienceA - Associate</v>
      </c>
      <c r="K540" s="711"/>
      <c r="L540" s="711">
        <v>119</v>
      </c>
      <c r="M540" s="711"/>
      <c r="N540" s="711"/>
      <c r="O540" s="711"/>
      <c r="P540" s="711">
        <v>85</v>
      </c>
    </row>
    <row r="541" spans="1:16">
      <c r="A541" t="s">
        <v>405</v>
      </c>
      <c r="B541"/>
      <c r="C541" t="s">
        <v>227</v>
      </c>
      <c r="D541" t="s">
        <v>425</v>
      </c>
      <c r="E541"/>
      <c r="F541" t="s">
        <v>352</v>
      </c>
      <c r="G541"/>
      <c r="H541"/>
      <c r="I541" t="str">
        <f t="shared" si="22"/>
        <v>CanadaExperienceB - Staff</v>
      </c>
      <c r="J541" t="str">
        <f t="shared" si="23"/>
        <v>CanadaIndiaExperienceB - Staff</v>
      </c>
      <c r="K541" s="711"/>
      <c r="L541" s="711">
        <v>119</v>
      </c>
      <c r="M541" s="711"/>
      <c r="N541" s="711"/>
      <c r="O541" s="711"/>
      <c r="P541"/>
    </row>
    <row r="542" spans="1:16">
      <c r="A542" t="s">
        <v>405</v>
      </c>
      <c r="B542"/>
      <c r="C542" t="s">
        <v>227</v>
      </c>
      <c r="D542" t="s">
        <v>425</v>
      </c>
      <c r="E542"/>
      <c r="F542" t="s">
        <v>355</v>
      </c>
      <c r="G542"/>
      <c r="H542"/>
      <c r="I542" t="str">
        <f t="shared" si="22"/>
        <v>CanadaExperienceC - Senior</v>
      </c>
      <c r="J542" t="str">
        <f t="shared" si="23"/>
        <v>CanadaIndiaExperienceC - Senior</v>
      </c>
      <c r="K542" s="711"/>
      <c r="L542" s="711">
        <v>139</v>
      </c>
      <c r="M542" s="711"/>
      <c r="N542" s="711"/>
      <c r="O542" s="711"/>
      <c r="P542"/>
    </row>
    <row r="543" spans="1:16">
      <c r="A543" t="s">
        <v>405</v>
      </c>
      <c r="B543"/>
      <c r="C543" t="s">
        <v>227</v>
      </c>
      <c r="D543" t="s">
        <v>425</v>
      </c>
      <c r="E543"/>
      <c r="F543" t="s">
        <v>358</v>
      </c>
      <c r="G543"/>
      <c r="H543"/>
      <c r="I543" t="str">
        <f t="shared" si="22"/>
        <v>CanadaExperienceD - Lead</v>
      </c>
      <c r="J543" t="str">
        <f t="shared" si="23"/>
        <v>CanadaIndiaExperienceD - Lead</v>
      </c>
      <c r="K543" s="711"/>
      <c r="L543" s="711">
        <v>165</v>
      </c>
      <c r="M543" s="711"/>
      <c r="N543" s="711"/>
      <c r="O543" s="711"/>
      <c r="P543"/>
    </row>
    <row r="544" spans="1:16">
      <c r="A544" t="s">
        <v>405</v>
      </c>
      <c r="B544"/>
      <c r="C544" t="s">
        <v>227</v>
      </c>
      <c r="D544" t="s">
        <v>425</v>
      </c>
      <c r="E544"/>
      <c r="F544" t="s">
        <v>772</v>
      </c>
      <c r="G544"/>
      <c r="H544"/>
      <c r="I544" t="str">
        <f t="shared" si="22"/>
        <v>CanadaExperienceE - Principal</v>
      </c>
      <c r="J544" t="str">
        <f t="shared" si="23"/>
        <v>CanadaIndiaExperienceE - Principal</v>
      </c>
      <c r="K544" s="711"/>
      <c r="L544" s="711">
        <v>179</v>
      </c>
      <c r="M544" s="711"/>
      <c r="N544" s="711"/>
      <c r="O544" s="711"/>
      <c r="P544"/>
    </row>
    <row r="545" spans="1:16">
      <c r="A545" t="s">
        <v>405</v>
      </c>
      <c r="B545"/>
      <c r="C545" t="s">
        <v>227</v>
      </c>
      <c r="D545" t="s">
        <v>425</v>
      </c>
      <c r="E545"/>
      <c r="F545" t="s">
        <v>775</v>
      </c>
      <c r="G545"/>
      <c r="H545"/>
      <c r="I545" t="str">
        <f t="shared" si="22"/>
        <v>CanadaExperienceF - Chief</v>
      </c>
      <c r="J545" t="str">
        <f t="shared" si="23"/>
        <v>CanadaIndiaExperienceF - Chief</v>
      </c>
      <c r="K545" s="711"/>
      <c r="L545" s="711">
        <v>419</v>
      </c>
      <c r="M545" s="711"/>
      <c r="N545" s="711"/>
      <c r="O545" s="711"/>
      <c r="P545"/>
    </row>
    <row r="546" spans="1:16">
      <c r="A546" t="s">
        <v>405</v>
      </c>
      <c r="B546"/>
      <c r="C546" t="s">
        <v>227</v>
      </c>
      <c r="D546" t="s">
        <v>231</v>
      </c>
      <c r="E546"/>
      <c r="F546" t="s">
        <v>753</v>
      </c>
      <c r="G546"/>
      <c r="H546"/>
      <c r="I546" t="str">
        <f t="shared" si="22"/>
        <v>CanadaManaged ServicesA - Associate</v>
      </c>
      <c r="J546" t="str">
        <f t="shared" si="23"/>
        <v>CanadaIndiaManaged ServicesA - Associate</v>
      </c>
      <c r="K546" s="711"/>
      <c r="L546" s="711">
        <v>99</v>
      </c>
      <c r="M546" s="711"/>
      <c r="N546" s="711"/>
      <c r="O546" s="711"/>
      <c r="P546" s="711">
        <v>65</v>
      </c>
    </row>
    <row r="547" spans="1:16">
      <c r="A547" t="s">
        <v>405</v>
      </c>
      <c r="B547"/>
      <c r="C547" t="s">
        <v>227</v>
      </c>
      <c r="D547" t="s">
        <v>231</v>
      </c>
      <c r="E547"/>
      <c r="F547" t="s">
        <v>352</v>
      </c>
      <c r="G547"/>
      <c r="H547"/>
      <c r="I547" t="str">
        <f t="shared" si="22"/>
        <v>CanadaManaged ServicesB - Staff</v>
      </c>
      <c r="J547" t="str">
        <f t="shared" si="23"/>
        <v>CanadaIndiaManaged ServicesB - Staff</v>
      </c>
      <c r="K547" s="711"/>
      <c r="L547" s="711">
        <v>99</v>
      </c>
      <c r="M547" s="711"/>
      <c r="N547" s="711"/>
      <c r="O547" s="711"/>
      <c r="P547"/>
    </row>
    <row r="548" spans="1:16">
      <c r="A548" t="s">
        <v>405</v>
      </c>
      <c r="B548"/>
      <c r="C548" t="s">
        <v>227</v>
      </c>
      <c r="D548" t="s">
        <v>231</v>
      </c>
      <c r="E548"/>
      <c r="F548" t="s">
        <v>355</v>
      </c>
      <c r="G548"/>
      <c r="H548"/>
      <c r="I548" t="str">
        <f t="shared" si="22"/>
        <v>CanadaManaged ServicesC - Senior</v>
      </c>
      <c r="J548" t="str">
        <f t="shared" si="23"/>
        <v>CanadaIndiaManaged ServicesC - Senior</v>
      </c>
      <c r="K548" s="711"/>
      <c r="L548" s="711">
        <v>115</v>
      </c>
      <c r="M548" s="711"/>
      <c r="N548" s="711"/>
      <c r="O548" s="711"/>
      <c r="P548"/>
    </row>
    <row r="549" spans="1:16">
      <c r="A549" t="s">
        <v>405</v>
      </c>
      <c r="B549"/>
      <c r="C549" t="s">
        <v>227</v>
      </c>
      <c r="D549" t="s">
        <v>231</v>
      </c>
      <c r="E549"/>
      <c r="F549" t="s">
        <v>358</v>
      </c>
      <c r="G549"/>
      <c r="H549"/>
      <c r="I549" t="str">
        <f t="shared" si="22"/>
        <v>CanadaManaged ServicesD - Lead</v>
      </c>
      <c r="J549" t="str">
        <f t="shared" si="23"/>
        <v>CanadaIndiaManaged ServicesD - Lead</v>
      </c>
      <c r="K549" s="711"/>
      <c r="L549" s="711">
        <v>125</v>
      </c>
      <c r="M549" s="711"/>
      <c r="N549" s="711"/>
      <c r="O549" s="711"/>
      <c r="P549"/>
    </row>
    <row r="550" spans="1:16">
      <c r="A550" t="s">
        <v>405</v>
      </c>
      <c r="B550"/>
      <c r="C550" t="s">
        <v>227</v>
      </c>
      <c r="D550" t="s">
        <v>231</v>
      </c>
      <c r="E550"/>
      <c r="F550" t="s">
        <v>772</v>
      </c>
      <c r="G550"/>
      <c r="H550"/>
      <c r="I550" t="str">
        <f t="shared" si="22"/>
        <v>CanadaManaged ServicesE - Principal</v>
      </c>
      <c r="J550" t="str">
        <f t="shared" si="23"/>
        <v>CanadaIndiaManaged ServicesE - Principal</v>
      </c>
      <c r="K550" s="711"/>
      <c r="L550" s="711">
        <v>139</v>
      </c>
      <c r="M550" s="711"/>
      <c r="N550" s="711"/>
      <c r="O550" s="711"/>
      <c r="P550"/>
    </row>
    <row r="551" spans="1:16">
      <c r="A551" t="s">
        <v>405</v>
      </c>
      <c r="B551"/>
      <c r="C551" t="s">
        <v>227</v>
      </c>
      <c r="D551" t="s">
        <v>231</v>
      </c>
      <c r="E551"/>
      <c r="F551" t="s">
        <v>775</v>
      </c>
      <c r="G551"/>
      <c r="H551"/>
      <c r="I551" t="str">
        <f t="shared" si="22"/>
        <v>CanadaManaged ServicesF - Chief</v>
      </c>
      <c r="J551" t="str">
        <f t="shared" si="23"/>
        <v>CanadaIndiaManaged ServicesF - Chief</v>
      </c>
      <c r="K551" s="711"/>
      <c r="L551" s="711">
        <v>379</v>
      </c>
      <c r="M551" s="711"/>
      <c r="N551" s="711"/>
      <c r="O551" s="711"/>
      <c r="P551"/>
    </row>
    <row r="552" spans="1:16">
      <c r="A552" t="s">
        <v>405</v>
      </c>
      <c r="B552"/>
      <c r="C552" t="s">
        <v>227</v>
      </c>
      <c r="D552" t="s">
        <v>777</v>
      </c>
      <c r="E552"/>
      <c r="F552" t="s">
        <v>753</v>
      </c>
      <c r="G552"/>
      <c r="H552"/>
      <c r="I552" t="str">
        <f t="shared" si="22"/>
        <v>CanadaPublic SectorA - Associate</v>
      </c>
      <c r="J552" t="str">
        <f t="shared" si="23"/>
        <v>CanadaIndiaPublic SectorA - Associate</v>
      </c>
      <c r="K552" s="711"/>
      <c r="L552" s="711">
        <v>99</v>
      </c>
      <c r="M552" s="711"/>
      <c r="N552" s="711"/>
      <c r="O552" s="711"/>
      <c r="P552" s="711">
        <v>65</v>
      </c>
    </row>
    <row r="553" spans="1:16">
      <c r="A553" t="s">
        <v>405</v>
      </c>
      <c r="B553"/>
      <c r="C553" t="s">
        <v>227</v>
      </c>
      <c r="D553" t="s">
        <v>777</v>
      </c>
      <c r="E553"/>
      <c r="F553" t="s">
        <v>352</v>
      </c>
      <c r="G553"/>
      <c r="H553"/>
      <c r="I553" t="str">
        <f t="shared" si="22"/>
        <v>CanadaPublic SectorB - Staff</v>
      </c>
      <c r="J553" t="str">
        <f t="shared" si="23"/>
        <v>CanadaIndiaPublic SectorB - Staff</v>
      </c>
      <c r="K553" s="711"/>
      <c r="L553" s="711">
        <v>99</v>
      </c>
      <c r="M553" s="711"/>
      <c r="N553" s="711"/>
      <c r="O553" s="711"/>
      <c r="P553"/>
    </row>
    <row r="554" spans="1:16">
      <c r="A554" t="s">
        <v>405</v>
      </c>
      <c r="B554"/>
      <c r="C554" t="s">
        <v>227</v>
      </c>
      <c r="D554" t="s">
        <v>777</v>
      </c>
      <c r="E554"/>
      <c r="F554" t="s">
        <v>355</v>
      </c>
      <c r="G554"/>
      <c r="H554"/>
      <c r="I554" t="str">
        <f t="shared" si="22"/>
        <v>CanadaPublic SectorC - Senior</v>
      </c>
      <c r="J554" t="str">
        <f t="shared" si="23"/>
        <v>CanadaIndiaPublic SectorC - Senior</v>
      </c>
      <c r="K554" s="711"/>
      <c r="L554" s="711">
        <v>115</v>
      </c>
      <c r="M554" s="711"/>
      <c r="N554" s="711"/>
      <c r="O554" s="711"/>
      <c r="P554"/>
    </row>
    <row r="555" spans="1:16">
      <c r="A555" t="s">
        <v>405</v>
      </c>
      <c r="B555"/>
      <c r="C555" t="s">
        <v>227</v>
      </c>
      <c r="D555" t="s">
        <v>777</v>
      </c>
      <c r="E555"/>
      <c r="F555" t="s">
        <v>358</v>
      </c>
      <c r="G555"/>
      <c r="H555"/>
      <c r="I555" t="str">
        <f t="shared" si="22"/>
        <v>CanadaPublic SectorD - Lead</v>
      </c>
      <c r="J555" t="str">
        <f t="shared" si="23"/>
        <v>CanadaIndiaPublic SectorD - Lead</v>
      </c>
      <c r="K555" s="711"/>
      <c r="L555" s="711">
        <v>125</v>
      </c>
      <c r="M555" s="711"/>
      <c r="N555" s="711"/>
      <c r="O555" s="711"/>
      <c r="P555"/>
    </row>
    <row r="556" spans="1:16">
      <c r="A556" t="s">
        <v>405</v>
      </c>
      <c r="B556"/>
      <c r="C556" t="s">
        <v>227</v>
      </c>
      <c r="D556" t="s">
        <v>777</v>
      </c>
      <c r="E556"/>
      <c r="F556" t="s">
        <v>772</v>
      </c>
      <c r="G556"/>
      <c r="H556"/>
      <c r="I556" t="str">
        <f t="shared" si="22"/>
        <v>CanadaPublic SectorE - Principal</v>
      </c>
      <c r="J556" t="str">
        <f t="shared" si="23"/>
        <v>CanadaIndiaPublic SectorE - Principal</v>
      </c>
      <c r="K556" s="711"/>
      <c r="L556" s="711">
        <v>139</v>
      </c>
      <c r="M556" s="711"/>
      <c r="N556" s="711"/>
      <c r="O556" s="711"/>
      <c r="P556"/>
    </row>
    <row r="557" spans="1:16">
      <c r="A557" t="s">
        <v>405</v>
      </c>
      <c r="B557"/>
      <c r="C557" t="s">
        <v>227</v>
      </c>
      <c r="D557" t="s">
        <v>777</v>
      </c>
      <c r="E557"/>
      <c r="F557" t="s">
        <v>775</v>
      </c>
      <c r="G557"/>
      <c r="H557"/>
      <c r="I557" t="str">
        <f t="shared" si="22"/>
        <v>CanadaPublic SectorF - Chief</v>
      </c>
      <c r="J557" t="str">
        <f t="shared" si="23"/>
        <v>CanadaIndiaPublic SectorF - Chief</v>
      </c>
      <c r="K557" s="711"/>
      <c r="L557" s="711">
        <v>379</v>
      </c>
      <c r="M557" s="711"/>
      <c r="N557" s="711"/>
      <c r="O557" s="711"/>
      <c r="P557"/>
    </row>
    <row r="558" spans="1:16">
      <c r="A558" t="s">
        <v>405</v>
      </c>
      <c r="B558"/>
      <c r="C558" t="s">
        <v>227</v>
      </c>
      <c r="D558" t="s">
        <v>780</v>
      </c>
      <c r="E558"/>
      <c r="F558" t="s">
        <v>753</v>
      </c>
      <c r="G558"/>
      <c r="H558"/>
      <c r="I558" t="str">
        <f t="shared" si="22"/>
        <v>CanadaRisk and ResilienceA - Associate</v>
      </c>
      <c r="J558" t="str">
        <f t="shared" si="23"/>
        <v>CanadaIndiaRisk and ResilienceA - Associate</v>
      </c>
      <c r="K558" s="711"/>
      <c r="L558" s="711">
        <v>115</v>
      </c>
      <c r="M558" s="711"/>
      <c r="N558" s="711"/>
      <c r="O558" s="711"/>
      <c r="P558" s="711">
        <v>79</v>
      </c>
    </row>
    <row r="559" spans="1:16">
      <c r="A559" t="s">
        <v>405</v>
      </c>
      <c r="B559"/>
      <c r="C559" t="s">
        <v>227</v>
      </c>
      <c r="D559" t="s">
        <v>780</v>
      </c>
      <c r="E559"/>
      <c r="F559" t="s">
        <v>352</v>
      </c>
      <c r="G559"/>
      <c r="H559"/>
      <c r="I559" t="str">
        <f t="shared" ref="I559:I575" si="24">A559&amp;B559&amp;D559&amp;E559&amp;F559&amp;G559</f>
        <v>CanadaRisk and ResilienceB - Staff</v>
      </c>
      <c r="J559" t="str">
        <f t="shared" si="23"/>
        <v>CanadaIndiaRisk and ResilienceB - Staff</v>
      </c>
      <c r="K559" s="711"/>
      <c r="L559" s="711">
        <v>115</v>
      </c>
      <c r="M559" s="711"/>
      <c r="N559" s="711"/>
      <c r="O559" s="711"/>
      <c r="P559"/>
    </row>
    <row r="560" spans="1:16">
      <c r="A560" t="s">
        <v>405</v>
      </c>
      <c r="B560"/>
      <c r="C560" t="s">
        <v>227</v>
      </c>
      <c r="D560" t="s">
        <v>780</v>
      </c>
      <c r="E560"/>
      <c r="F560" t="s">
        <v>355</v>
      </c>
      <c r="G560"/>
      <c r="H560"/>
      <c r="I560" t="str">
        <f t="shared" si="24"/>
        <v>CanadaRisk and ResilienceC - Senior</v>
      </c>
      <c r="J560" t="str">
        <f t="shared" si="23"/>
        <v>CanadaIndiaRisk and ResilienceC - Senior</v>
      </c>
      <c r="K560" s="711"/>
      <c r="L560" s="711">
        <v>125</v>
      </c>
      <c r="M560" s="711"/>
      <c r="N560" s="711"/>
      <c r="O560" s="711"/>
      <c r="P560"/>
    </row>
    <row r="561" spans="1:16">
      <c r="A561" t="s">
        <v>405</v>
      </c>
      <c r="B561"/>
      <c r="C561" t="s">
        <v>227</v>
      </c>
      <c r="D561" t="s">
        <v>780</v>
      </c>
      <c r="E561"/>
      <c r="F561" t="s">
        <v>358</v>
      </c>
      <c r="G561"/>
      <c r="H561"/>
      <c r="I561" t="str">
        <f t="shared" si="24"/>
        <v>CanadaRisk and ResilienceD - Lead</v>
      </c>
      <c r="J561" t="str">
        <f t="shared" si="23"/>
        <v>CanadaIndiaRisk and ResilienceD - Lead</v>
      </c>
      <c r="K561" s="711"/>
      <c r="L561" s="711">
        <v>155</v>
      </c>
      <c r="M561" s="711"/>
      <c r="N561" s="711"/>
      <c r="O561" s="711"/>
      <c r="P561"/>
    </row>
    <row r="562" spans="1:16">
      <c r="A562" t="s">
        <v>405</v>
      </c>
      <c r="B562"/>
      <c r="C562" t="s">
        <v>227</v>
      </c>
      <c r="D562" t="s">
        <v>780</v>
      </c>
      <c r="E562"/>
      <c r="F562" t="s">
        <v>772</v>
      </c>
      <c r="G562"/>
      <c r="H562"/>
      <c r="I562" t="str">
        <f t="shared" si="24"/>
        <v>CanadaRisk and ResilienceE - Principal</v>
      </c>
      <c r="J562" t="str">
        <f t="shared" si="23"/>
        <v>CanadaIndiaRisk and ResilienceE - Principal</v>
      </c>
      <c r="K562" s="711"/>
      <c r="L562" s="711">
        <v>165</v>
      </c>
      <c r="M562" s="711"/>
      <c r="N562" s="711"/>
      <c r="O562" s="711"/>
      <c r="P562"/>
    </row>
    <row r="563" spans="1:16">
      <c r="A563" t="s">
        <v>405</v>
      </c>
      <c r="B563"/>
      <c r="C563" t="s">
        <v>227</v>
      </c>
      <c r="D563" t="s">
        <v>780</v>
      </c>
      <c r="E563"/>
      <c r="F563" t="s">
        <v>775</v>
      </c>
      <c r="G563"/>
      <c r="H563"/>
      <c r="I563" t="str">
        <f t="shared" si="24"/>
        <v>CanadaRisk and ResilienceF - Chief</v>
      </c>
      <c r="J563" t="str">
        <f t="shared" si="23"/>
        <v>CanadaIndiaRisk and ResilienceF - Chief</v>
      </c>
      <c r="K563" s="711"/>
      <c r="L563" s="711">
        <v>409</v>
      </c>
      <c r="M563" s="711"/>
      <c r="N563" s="711"/>
      <c r="O563" s="711"/>
      <c r="P563"/>
    </row>
    <row r="564" spans="1:16">
      <c r="A564" t="s">
        <v>405</v>
      </c>
      <c r="B564"/>
      <c r="C564" t="s">
        <v>227</v>
      </c>
      <c r="D564" t="s">
        <v>399</v>
      </c>
      <c r="E564"/>
      <c r="F564" t="s">
        <v>753</v>
      </c>
      <c r="G564"/>
      <c r="H564"/>
      <c r="I564" t="str">
        <f t="shared" si="24"/>
        <v>CanadaTechnologyA - Associate</v>
      </c>
      <c r="J564" t="str">
        <f t="shared" si="23"/>
        <v>CanadaIndiaTechnologyA - Associate</v>
      </c>
      <c r="K564" s="711"/>
      <c r="L564" s="711">
        <v>99</v>
      </c>
      <c r="M564" s="711"/>
      <c r="N564" s="711"/>
      <c r="O564" s="711"/>
      <c r="P564" s="711">
        <v>65</v>
      </c>
    </row>
    <row r="565" spans="1:16">
      <c r="A565" t="s">
        <v>405</v>
      </c>
      <c r="B565"/>
      <c r="C565" t="s">
        <v>227</v>
      </c>
      <c r="D565" t="s">
        <v>399</v>
      </c>
      <c r="E565"/>
      <c r="F565" t="s">
        <v>352</v>
      </c>
      <c r="G565"/>
      <c r="H565"/>
      <c r="I565" t="str">
        <f t="shared" si="24"/>
        <v>CanadaTechnologyB - Staff</v>
      </c>
      <c r="J565" t="str">
        <f t="shared" si="23"/>
        <v>CanadaIndiaTechnologyB - Staff</v>
      </c>
      <c r="K565" s="711"/>
      <c r="L565" s="711">
        <v>99</v>
      </c>
      <c r="M565" s="711"/>
      <c r="N565" s="711"/>
      <c r="O565" s="711"/>
      <c r="P565"/>
    </row>
    <row r="566" spans="1:16">
      <c r="A566" t="s">
        <v>405</v>
      </c>
      <c r="B566"/>
      <c r="C566" t="s">
        <v>227</v>
      </c>
      <c r="D566" t="s">
        <v>399</v>
      </c>
      <c r="E566"/>
      <c r="F566" t="s">
        <v>355</v>
      </c>
      <c r="G566"/>
      <c r="H566"/>
      <c r="I566" t="str">
        <f t="shared" si="24"/>
        <v>CanadaTechnologyC - Senior</v>
      </c>
      <c r="J566" t="str">
        <f t="shared" si="23"/>
        <v>CanadaIndiaTechnologyC - Senior</v>
      </c>
      <c r="K566" s="711"/>
      <c r="L566" s="711">
        <v>115</v>
      </c>
      <c r="M566" s="711"/>
      <c r="N566" s="711"/>
      <c r="O566" s="711"/>
      <c r="P566"/>
    </row>
    <row r="567" spans="1:16">
      <c r="A567" t="s">
        <v>405</v>
      </c>
      <c r="B567"/>
      <c r="C567" t="s">
        <v>227</v>
      </c>
      <c r="D567" t="s">
        <v>399</v>
      </c>
      <c r="E567"/>
      <c r="F567" t="s">
        <v>358</v>
      </c>
      <c r="G567"/>
      <c r="H567"/>
      <c r="I567" t="str">
        <f t="shared" si="24"/>
        <v>CanadaTechnologyD - Lead</v>
      </c>
      <c r="J567" t="str">
        <f t="shared" si="23"/>
        <v>CanadaIndiaTechnologyD - Lead</v>
      </c>
      <c r="K567" s="711"/>
      <c r="L567" s="711">
        <v>125</v>
      </c>
      <c r="M567" s="711"/>
      <c r="N567" s="711"/>
      <c r="O567" s="711"/>
      <c r="P567"/>
    </row>
    <row r="568" spans="1:16">
      <c r="A568" t="s">
        <v>405</v>
      </c>
      <c r="B568"/>
      <c r="C568" t="s">
        <v>227</v>
      </c>
      <c r="D568" t="s">
        <v>399</v>
      </c>
      <c r="E568"/>
      <c r="F568" t="s">
        <v>772</v>
      </c>
      <c r="G568"/>
      <c r="H568"/>
      <c r="I568" t="str">
        <f t="shared" si="24"/>
        <v>CanadaTechnologyE - Principal</v>
      </c>
      <c r="J568" t="str">
        <f t="shared" si="23"/>
        <v>CanadaIndiaTechnologyE - Principal</v>
      </c>
      <c r="K568" s="711"/>
      <c r="L568" s="711">
        <v>139</v>
      </c>
      <c r="M568" s="711"/>
      <c r="N568" s="711"/>
      <c r="O568" s="711"/>
      <c r="P568"/>
    </row>
    <row r="569" spans="1:16">
      <c r="A569" t="s">
        <v>405</v>
      </c>
      <c r="B569"/>
      <c r="C569" t="s">
        <v>227</v>
      </c>
      <c r="D569" t="s">
        <v>399</v>
      </c>
      <c r="E569"/>
      <c r="F569" t="s">
        <v>775</v>
      </c>
      <c r="G569"/>
      <c r="H569"/>
      <c r="I569" t="str">
        <f t="shared" si="24"/>
        <v>CanadaTechnologyF - Chief</v>
      </c>
      <c r="J569" t="str">
        <f t="shared" si="23"/>
        <v>CanadaIndiaTechnologyF - Chief</v>
      </c>
      <c r="K569" s="711"/>
      <c r="L569" s="711">
        <v>379</v>
      </c>
      <c r="M569" s="711"/>
      <c r="N569" s="711"/>
      <c r="O569" s="711"/>
      <c r="P569"/>
    </row>
    <row r="570" spans="1:16">
      <c r="A570" t="s">
        <v>405</v>
      </c>
      <c r="B570"/>
      <c r="C570" t="s">
        <v>227</v>
      </c>
      <c r="D570" t="s">
        <v>360</v>
      </c>
      <c r="E570"/>
      <c r="F570" t="s">
        <v>753</v>
      </c>
      <c r="G570"/>
      <c r="H570"/>
      <c r="I570" t="str">
        <f t="shared" si="24"/>
        <v>CanadaPMOA - Associate</v>
      </c>
      <c r="J570" t="str">
        <f t="shared" si="23"/>
        <v>CanadaIndiaPMOA - Associate</v>
      </c>
      <c r="K570" s="711"/>
      <c r="L570" s="711">
        <v>99</v>
      </c>
      <c r="M570" s="711"/>
      <c r="N570" s="711"/>
      <c r="O570" s="711"/>
      <c r="P570" s="711">
        <v>65</v>
      </c>
    </row>
    <row r="571" spans="1:16">
      <c r="A571" t="s">
        <v>405</v>
      </c>
      <c r="B571"/>
      <c r="C571" t="s">
        <v>227</v>
      </c>
      <c r="D571" t="s">
        <v>360</v>
      </c>
      <c r="E571"/>
      <c r="F571" t="s">
        <v>352</v>
      </c>
      <c r="G571"/>
      <c r="H571"/>
      <c r="I571" t="str">
        <f t="shared" si="24"/>
        <v>CanadaPMOB - Staff</v>
      </c>
      <c r="J571" t="str">
        <f t="shared" si="23"/>
        <v>CanadaIndiaPMOB - Staff</v>
      </c>
      <c r="K571" s="711"/>
      <c r="L571" s="711">
        <v>99</v>
      </c>
      <c r="M571" s="711"/>
      <c r="N571" s="711"/>
      <c r="O571" s="711"/>
      <c r="P571"/>
    </row>
    <row r="572" spans="1:16">
      <c r="A572" t="s">
        <v>405</v>
      </c>
      <c r="B572"/>
      <c r="C572" t="s">
        <v>227</v>
      </c>
      <c r="D572" t="s">
        <v>360</v>
      </c>
      <c r="E572"/>
      <c r="F572" t="s">
        <v>355</v>
      </c>
      <c r="G572"/>
      <c r="H572"/>
      <c r="I572" t="str">
        <f t="shared" si="24"/>
        <v>CanadaPMOC - Senior</v>
      </c>
      <c r="J572" t="str">
        <f t="shared" si="23"/>
        <v>CanadaIndiaPMOC - Senior</v>
      </c>
      <c r="K572" s="711"/>
      <c r="L572" s="711">
        <v>115</v>
      </c>
      <c r="M572" s="711"/>
      <c r="N572" s="711"/>
      <c r="O572" s="711"/>
      <c r="P572"/>
    </row>
    <row r="573" spans="1:16">
      <c r="A573" t="s">
        <v>405</v>
      </c>
      <c r="B573"/>
      <c r="C573" t="s">
        <v>227</v>
      </c>
      <c r="D573" t="s">
        <v>360</v>
      </c>
      <c r="E573"/>
      <c r="F573" t="s">
        <v>358</v>
      </c>
      <c r="G573"/>
      <c r="H573"/>
      <c r="I573" t="str">
        <f t="shared" si="24"/>
        <v>CanadaPMOD - Lead</v>
      </c>
      <c r="J573" t="str">
        <f t="shared" si="23"/>
        <v>CanadaIndiaPMOD - Lead</v>
      </c>
      <c r="K573" s="711"/>
      <c r="L573" s="711">
        <v>125</v>
      </c>
      <c r="M573" s="711"/>
      <c r="N573" s="711"/>
      <c r="O573" s="711"/>
      <c r="P573"/>
    </row>
    <row r="574" spans="1:16">
      <c r="A574" t="s">
        <v>405</v>
      </c>
      <c r="B574"/>
      <c r="C574" t="s">
        <v>227</v>
      </c>
      <c r="D574" t="s">
        <v>360</v>
      </c>
      <c r="E574"/>
      <c r="F574" t="s">
        <v>772</v>
      </c>
      <c r="G574"/>
      <c r="H574"/>
      <c r="I574" t="str">
        <f t="shared" si="24"/>
        <v>CanadaPMOE - Principal</v>
      </c>
      <c r="J574" t="str">
        <f t="shared" si="23"/>
        <v>CanadaIndiaPMOE - Principal</v>
      </c>
      <c r="K574" s="711"/>
      <c r="L574" s="711">
        <v>139</v>
      </c>
      <c r="M574" s="711"/>
      <c r="N574" s="711"/>
      <c r="O574" s="711"/>
      <c r="P574"/>
    </row>
    <row r="575" spans="1:16">
      <c r="A575" t="s">
        <v>405</v>
      </c>
      <c r="B575"/>
      <c r="C575" t="s">
        <v>227</v>
      </c>
      <c r="D575" t="s">
        <v>360</v>
      </c>
      <c r="E575"/>
      <c r="F575" t="s">
        <v>775</v>
      </c>
      <c r="G575"/>
      <c r="H575"/>
      <c r="I575" t="str">
        <f t="shared" si="24"/>
        <v>CanadaPMOF - Chief</v>
      </c>
      <c r="J575" t="str">
        <f t="shared" si="23"/>
        <v>CanadaIndiaPMOF - Chief</v>
      </c>
      <c r="K575" s="711"/>
      <c r="L575" s="711">
        <v>279</v>
      </c>
      <c r="M575" s="711"/>
      <c r="N575" s="711"/>
      <c r="O575" s="711"/>
      <c r="P575"/>
    </row>
  </sheetData>
  <autoFilter ref="A1:P575" xr:uid="{BFCBC1FD-0E45-4FB3-9289-FF29E84D6656}">
    <sortState xmlns:xlrd2="http://schemas.microsoft.com/office/spreadsheetml/2017/richdata2" ref="A2:P575">
      <sortCondition descending="1" ref="A1:A575"/>
    </sortState>
  </autoFilter>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37B50-3859-4041-ADC3-AA484CCDB5CF}">
  <dimension ref="A1:D67"/>
  <sheetViews>
    <sheetView zoomScaleNormal="100" workbookViewId="0">
      <selection activeCell="G335" sqref="G335"/>
    </sheetView>
  </sheetViews>
  <sheetFormatPr defaultColWidth="8.85546875" defaultRowHeight="15"/>
  <cols>
    <col min="1" max="1" width="20.85546875" style="580" bestFit="1" customWidth="1"/>
    <col min="2" max="2" width="12.140625" style="580" bestFit="1" customWidth="1"/>
    <col min="3" max="3" width="40.85546875" style="580" bestFit="1" customWidth="1"/>
    <col min="4" max="4" width="32.42578125" style="580" bestFit="1" customWidth="1"/>
    <col min="5" max="16384" width="8.85546875" style="580"/>
  </cols>
  <sheetData>
    <row r="1" spans="1:4">
      <c r="A1" s="656" t="s">
        <v>348</v>
      </c>
      <c r="B1" s="656" t="s">
        <v>349</v>
      </c>
      <c r="C1" s="656" t="s">
        <v>288</v>
      </c>
      <c r="D1" s="656" t="s">
        <v>811</v>
      </c>
    </row>
    <row r="2" spans="1:4">
      <c r="A2" t="s">
        <v>357</v>
      </c>
      <c r="B2" t="s">
        <v>753</v>
      </c>
      <c r="C2" s="657" t="s">
        <v>817</v>
      </c>
      <c r="D2" t="str">
        <f>A2&amp;B2</f>
        <v>ArchitectureA - Associate</v>
      </c>
    </row>
    <row r="3" spans="1:4">
      <c r="A3" t="s">
        <v>357</v>
      </c>
      <c r="B3" t="s">
        <v>352</v>
      </c>
      <c r="C3" s="657" t="s">
        <v>817</v>
      </c>
      <c r="D3" t="str">
        <f t="shared" ref="D3:D66" si="0">A3&amp;B3</f>
        <v>ArchitectureB - Staff</v>
      </c>
    </row>
    <row r="4" spans="1:4">
      <c r="A4" t="s">
        <v>357</v>
      </c>
      <c r="B4" t="s">
        <v>355</v>
      </c>
      <c r="C4" t="s">
        <v>818</v>
      </c>
      <c r="D4" t="str">
        <f t="shared" si="0"/>
        <v>ArchitectureC - Senior</v>
      </c>
    </row>
    <row r="5" spans="1:4">
      <c r="A5" t="s">
        <v>357</v>
      </c>
      <c r="B5" t="s">
        <v>358</v>
      </c>
      <c r="C5" t="s">
        <v>359</v>
      </c>
      <c r="D5" t="str">
        <f t="shared" si="0"/>
        <v>ArchitectureD - Lead</v>
      </c>
    </row>
    <row r="6" spans="1:4">
      <c r="A6" t="s">
        <v>357</v>
      </c>
      <c r="B6" t="s">
        <v>772</v>
      </c>
      <c r="C6" t="s">
        <v>819</v>
      </c>
      <c r="D6" t="str">
        <f t="shared" si="0"/>
        <v>ArchitectureE - Principal</v>
      </c>
    </row>
    <row r="7" spans="1:4">
      <c r="A7" t="s">
        <v>357</v>
      </c>
      <c r="B7" t="s">
        <v>775</v>
      </c>
      <c r="C7" t="s">
        <v>65</v>
      </c>
      <c r="D7" t="str">
        <f t="shared" si="0"/>
        <v>ArchitectureF - Chief</v>
      </c>
    </row>
    <row r="8" spans="1:4">
      <c r="A8" t="s">
        <v>427</v>
      </c>
      <c r="B8" t="s">
        <v>753</v>
      </c>
      <c r="C8" t="s">
        <v>820</v>
      </c>
      <c r="D8" t="str">
        <f t="shared" si="0"/>
        <v>Business ConsultingA - Associate</v>
      </c>
    </row>
    <row r="9" spans="1:4">
      <c r="A9" t="s">
        <v>427</v>
      </c>
      <c r="B9" t="s">
        <v>352</v>
      </c>
      <c r="C9" t="s">
        <v>821</v>
      </c>
      <c r="D9" t="str">
        <f t="shared" si="0"/>
        <v>Business ConsultingB - Staff</v>
      </c>
    </row>
    <row r="10" spans="1:4">
      <c r="A10" t="s">
        <v>427</v>
      </c>
      <c r="B10" t="s">
        <v>355</v>
      </c>
      <c r="C10" t="s">
        <v>822</v>
      </c>
      <c r="D10" t="str">
        <f t="shared" si="0"/>
        <v>Business ConsultingC - Senior</v>
      </c>
    </row>
    <row r="11" spans="1:4">
      <c r="A11" t="s">
        <v>427</v>
      </c>
      <c r="B11" t="s">
        <v>358</v>
      </c>
      <c r="C11" t="s">
        <v>823</v>
      </c>
      <c r="D11" t="str">
        <f t="shared" si="0"/>
        <v>Business ConsultingD - Lead</v>
      </c>
    </row>
    <row r="12" spans="1:4">
      <c r="A12" t="s">
        <v>427</v>
      </c>
      <c r="B12" t="s">
        <v>772</v>
      </c>
      <c r="C12" t="s">
        <v>824</v>
      </c>
      <c r="D12" t="str">
        <f t="shared" si="0"/>
        <v>Business ConsultingE - Principal</v>
      </c>
    </row>
    <row r="13" spans="1:4">
      <c r="A13" t="s">
        <v>427</v>
      </c>
      <c r="B13" t="s">
        <v>775</v>
      </c>
      <c r="C13" t="s">
        <v>825</v>
      </c>
      <c r="D13" t="str">
        <f t="shared" si="0"/>
        <v>Business ConsultingF - Chief</v>
      </c>
    </row>
    <row r="14" spans="1:4">
      <c r="A14" t="s">
        <v>764</v>
      </c>
      <c r="B14" t="s">
        <v>753</v>
      </c>
      <c r="C14" s="657" t="s">
        <v>817</v>
      </c>
      <c r="D14" t="str">
        <f t="shared" si="0"/>
        <v>Change ManagementA - Associate</v>
      </c>
    </row>
    <row r="15" spans="1:4">
      <c r="A15" t="s">
        <v>764</v>
      </c>
      <c r="B15" t="s">
        <v>352</v>
      </c>
      <c r="C15" s="657" t="s">
        <v>817</v>
      </c>
      <c r="D15" t="str">
        <f t="shared" si="0"/>
        <v>Change ManagementB - Staff</v>
      </c>
    </row>
    <row r="16" spans="1:4">
      <c r="A16" t="s">
        <v>764</v>
      </c>
      <c r="B16" t="s">
        <v>355</v>
      </c>
      <c r="C16" s="657" t="s">
        <v>817</v>
      </c>
      <c r="D16" t="str">
        <f t="shared" si="0"/>
        <v>Change ManagementC - Senior</v>
      </c>
    </row>
    <row r="17" spans="1:4">
      <c r="A17" t="s">
        <v>764</v>
      </c>
      <c r="B17" t="s">
        <v>358</v>
      </c>
      <c r="C17" t="s">
        <v>826</v>
      </c>
      <c r="D17" t="str">
        <f t="shared" si="0"/>
        <v>Change ManagementD - Lead</v>
      </c>
    </row>
    <row r="18" spans="1:4">
      <c r="A18" t="s">
        <v>764</v>
      </c>
      <c r="B18" t="s">
        <v>772</v>
      </c>
      <c r="C18" s="657" t="s">
        <v>817</v>
      </c>
      <c r="D18" t="str">
        <f t="shared" si="0"/>
        <v>Change ManagementE - Principal</v>
      </c>
    </row>
    <row r="19" spans="1:4">
      <c r="A19" t="s">
        <v>764</v>
      </c>
      <c r="B19" t="s">
        <v>775</v>
      </c>
      <c r="C19" s="657" t="s">
        <v>817</v>
      </c>
      <c r="D19" t="str">
        <f t="shared" si="0"/>
        <v>Change ManagementF - Chief</v>
      </c>
    </row>
    <row r="20" spans="1:4">
      <c r="A20" t="s">
        <v>769</v>
      </c>
      <c r="B20" t="s">
        <v>753</v>
      </c>
      <c r="C20" t="s">
        <v>827</v>
      </c>
      <c r="D20" t="str">
        <f t="shared" si="0"/>
        <v>Content ConsultingA - Associate</v>
      </c>
    </row>
    <row r="21" spans="1:4">
      <c r="A21" t="s">
        <v>769</v>
      </c>
      <c r="B21" t="s">
        <v>352</v>
      </c>
      <c r="C21" t="s">
        <v>828</v>
      </c>
      <c r="D21" t="str">
        <f t="shared" si="0"/>
        <v>Content ConsultingB - Staff</v>
      </c>
    </row>
    <row r="22" spans="1:4">
      <c r="A22" t="s">
        <v>769</v>
      </c>
      <c r="B22" t="s">
        <v>355</v>
      </c>
      <c r="C22" t="s">
        <v>829</v>
      </c>
      <c r="D22" t="str">
        <f t="shared" si="0"/>
        <v>Content ConsultingC - Senior</v>
      </c>
    </row>
    <row r="23" spans="1:4">
      <c r="A23" t="s">
        <v>769</v>
      </c>
      <c r="B23" t="s">
        <v>358</v>
      </c>
      <c r="C23" t="s">
        <v>830</v>
      </c>
      <c r="D23" t="str">
        <f t="shared" si="0"/>
        <v>Content ConsultingD - Lead</v>
      </c>
    </row>
    <row r="24" spans="1:4">
      <c r="A24" t="s">
        <v>769</v>
      </c>
      <c r="B24" t="s">
        <v>772</v>
      </c>
      <c r="C24" t="s">
        <v>831</v>
      </c>
      <c r="D24" t="str">
        <f t="shared" si="0"/>
        <v>Content ConsultingE - Principal</v>
      </c>
    </row>
    <row r="25" spans="1:4">
      <c r="A25" t="s">
        <v>769</v>
      </c>
      <c r="B25" t="s">
        <v>775</v>
      </c>
      <c r="C25" t="s">
        <v>832</v>
      </c>
      <c r="D25" t="str">
        <f t="shared" si="0"/>
        <v>Content ConsultingF - Chief</v>
      </c>
    </row>
    <row r="26" spans="1:4">
      <c r="A26" t="s">
        <v>361</v>
      </c>
      <c r="B26" t="s">
        <v>753</v>
      </c>
      <c r="C26" t="s">
        <v>833</v>
      </c>
      <c r="D26" t="str">
        <f t="shared" si="0"/>
        <v>Delivery ManagementA - Associate</v>
      </c>
    </row>
    <row r="27" spans="1:4">
      <c r="A27" t="s">
        <v>361</v>
      </c>
      <c r="B27" t="s">
        <v>352</v>
      </c>
      <c r="C27" t="s">
        <v>375</v>
      </c>
      <c r="D27" t="str">
        <f t="shared" si="0"/>
        <v>Delivery ManagementB - Staff</v>
      </c>
    </row>
    <row r="28" spans="1:4">
      <c r="A28" t="s">
        <v>361</v>
      </c>
      <c r="B28" t="s">
        <v>355</v>
      </c>
      <c r="C28" t="s">
        <v>158</v>
      </c>
      <c r="D28" t="str">
        <f t="shared" si="0"/>
        <v>Delivery ManagementC - Senior</v>
      </c>
    </row>
    <row r="29" spans="1:4">
      <c r="A29" t="s">
        <v>361</v>
      </c>
      <c r="B29" t="s">
        <v>358</v>
      </c>
      <c r="C29" t="s">
        <v>311</v>
      </c>
      <c r="D29" t="str">
        <f t="shared" si="0"/>
        <v>Delivery ManagementD - Lead</v>
      </c>
    </row>
    <row r="30" spans="1:4">
      <c r="A30" t="s">
        <v>361</v>
      </c>
      <c r="B30" t="s">
        <v>772</v>
      </c>
      <c r="C30" t="s">
        <v>834</v>
      </c>
      <c r="D30" t="str">
        <f t="shared" si="0"/>
        <v>Delivery ManagementE - Principal</v>
      </c>
    </row>
    <row r="31" spans="1:4">
      <c r="A31" t="s">
        <v>361</v>
      </c>
      <c r="B31" t="s">
        <v>775</v>
      </c>
      <c r="C31" t="s">
        <v>835</v>
      </c>
      <c r="D31" t="str">
        <f t="shared" si="0"/>
        <v>Delivery ManagementF - Chief</v>
      </c>
    </row>
    <row r="32" spans="1:4">
      <c r="A32" t="s">
        <v>774</v>
      </c>
      <c r="B32" t="s">
        <v>753</v>
      </c>
      <c r="C32" t="s">
        <v>836</v>
      </c>
      <c r="D32" t="str">
        <f t="shared" si="0"/>
        <v>Design ConsultingA - Associate</v>
      </c>
    </row>
    <row r="33" spans="1:4">
      <c r="A33" t="s">
        <v>774</v>
      </c>
      <c r="B33" t="s">
        <v>352</v>
      </c>
      <c r="C33" t="s">
        <v>837</v>
      </c>
      <c r="D33" t="str">
        <f t="shared" si="0"/>
        <v>Design ConsultingB - Staff</v>
      </c>
    </row>
    <row r="34" spans="1:4">
      <c r="A34" t="s">
        <v>774</v>
      </c>
      <c r="B34" t="s">
        <v>355</v>
      </c>
      <c r="C34" t="s">
        <v>838</v>
      </c>
      <c r="D34" t="str">
        <f t="shared" si="0"/>
        <v>Design ConsultingC - Senior</v>
      </c>
    </row>
    <row r="35" spans="1:4">
      <c r="A35" t="s">
        <v>774</v>
      </c>
      <c r="B35" t="s">
        <v>358</v>
      </c>
      <c r="C35" t="s">
        <v>839</v>
      </c>
      <c r="D35" t="str">
        <f t="shared" si="0"/>
        <v>Design ConsultingD - Lead</v>
      </c>
    </row>
    <row r="36" spans="1:4">
      <c r="A36" t="s">
        <v>774</v>
      </c>
      <c r="B36" t="s">
        <v>772</v>
      </c>
      <c r="C36" t="s">
        <v>840</v>
      </c>
      <c r="D36" t="str">
        <f t="shared" si="0"/>
        <v>Design ConsultingE - Principal</v>
      </c>
    </row>
    <row r="37" spans="1:4">
      <c r="A37" t="s">
        <v>774</v>
      </c>
      <c r="B37" t="s">
        <v>775</v>
      </c>
      <c r="C37" t="s">
        <v>841</v>
      </c>
      <c r="D37" t="str">
        <f t="shared" si="0"/>
        <v>Design ConsultingF - Chief</v>
      </c>
    </row>
    <row r="38" spans="1:4">
      <c r="A38" t="s">
        <v>779</v>
      </c>
      <c r="B38" t="s">
        <v>753</v>
      </c>
      <c r="C38" s="657" t="s">
        <v>817</v>
      </c>
      <c r="D38" t="str">
        <f t="shared" si="0"/>
        <v>EnablementA - Associate</v>
      </c>
    </row>
    <row r="39" spans="1:4">
      <c r="A39" t="s">
        <v>779</v>
      </c>
      <c r="B39" t="s">
        <v>352</v>
      </c>
      <c r="C39" s="657" t="s">
        <v>817</v>
      </c>
      <c r="D39" t="str">
        <f t="shared" si="0"/>
        <v>EnablementB - Staff</v>
      </c>
    </row>
    <row r="40" spans="1:4">
      <c r="A40" t="s">
        <v>779</v>
      </c>
      <c r="B40" t="s">
        <v>355</v>
      </c>
      <c r="C40" t="s">
        <v>842</v>
      </c>
      <c r="D40" t="str">
        <f t="shared" si="0"/>
        <v>EnablementC - Senior</v>
      </c>
    </row>
    <row r="41" spans="1:4">
      <c r="A41" t="s">
        <v>779</v>
      </c>
      <c r="B41" t="s">
        <v>358</v>
      </c>
      <c r="C41" s="657" t="s">
        <v>817</v>
      </c>
      <c r="D41" t="str">
        <f t="shared" si="0"/>
        <v>EnablementD - Lead</v>
      </c>
    </row>
    <row r="42" spans="1:4">
      <c r="A42" t="s">
        <v>779</v>
      </c>
      <c r="B42" t="s">
        <v>772</v>
      </c>
      <c r="C42" s="657" t="s">
        <v>817</v>
      </c>
      <c r="D42" t="str">
        <f t="shared" si="0"/>
        <v>EnablementE - Principal</v>
      </c>
    </row>
    <row r="43" spans="1:4">
      <c r="A43" t="s">
        <v>779</v>
      </c>
      <c r="B43" t="s">
        <v>775</v>
      </c>
      <c r="C43" s="657" t="s">
        <v>817</v>
      </c>
      <c r="D43" t="str">
        <f t="shared" si="0"/>
        <v>EnablementF - Chief</v>
      </c>
    </row>
    <row r="44" spans="1:4">
      <c r="A44" t="s">
        <v>354</v>
      </c>
      <c r="B44" t="s">
        <v>753</v>
      </c>
      <c r="C44" t="s">
        <v>843</v>
      </c>
      <c r="D44" t="str">
        <f t="shared" si="0"/>
        <v>EngineeringA - Associate</v>
      </c>
    </row>
    <row r="45" spans="1:4">
      <c r="A45" t="s">
        <v>354</v>
      </c>
      <c r="B45" t="s">
        <v>352</v>
      </c>
      <c r="C45" t="s">
        <v>844</v>
      </c>
      <c r="D45" t="str">
        <f t="shared" si="0"/>
        <v>EngineeringB - Staff</v>
      </c>
    </row>
    <row r="46" spans="1:4">
      <c r="A46" t="s">
        <v>354</v>
      </c>
      <c r="B46" t="s">
        <v>355</v>
      </c>
      <c r="C46" t="s">
        <v>356</v>
      </c>
      <c r="D46" t="str">
        <f t="shared" si="0"/>
        <v>EngineeringC - Senior</v>
      </c>
    </row>
    <row r="47" spans="1:4">
      <c r="A47" t="s">
        <v>354</v>
      </c>
      <c r="B47" t="s">
        <v>358</v>
      </c>
      <c r="C47" t="s">
        <v>845</v>
      </c>
      <c r="D47" t="str">
        <f t="shared" si="0"/>
        <v>EngineeringD - Lead</v>
      </c>
    </row>
    <row r="48" spans="1:4">
      <c r="A48" t="s">
        <v>354</v>
      </c>
      <c r="B48" t="s">
        <v>772</v>
      </c>
      <c r="C48" t="s">
        <v>846</v>
      </c>
      <c r="D48" t="str">
        <f t="shared" si="0"/>
        <v>EngineeringE - Principal</v>
      </c>
    </row>
    <row r="49" spans="1:4">
      <c r="A49" t="s">
        <v>354</v>
      </c>
      <c r="B49" t="s">
        <v>775</v>
      </c>
      <c r="C49" t="s">
        <v>847</v>
      </c>
      <c r="D49" t="str">
        <f t="shared" si="0"/>
        <v>EngineeringF - Chief</v>
      </c>
    </row>
    <row r="50" spans="1:4">
      <c r="A50" t="s">
        <v>351</v>
      </c>
      <c r="B50" t="s">
        <v>753</v>
      </c>
      <c r="C50" s="657" t="s">
        <v>817</v>
      </c>
      <c r="D50" t="str">
        <f t="shared" si="0"/>
        <v>PlatformA - Associate</v>
      </c>
    </row>
    <row r="51" spans="1:4">
      <c r="A51" t="s">
        <v>351</v>
      </c>
      <c r="B51" t="s">
        <v>352</v>
      </c>
      <c r="C51" t="s">
        <v>353</v>
      </c>
      <c r="D51" t="str">
        <f t="shared" si="0"/>
        <v>PlatformB - Staff</v>
      </c>
    </row>
    <row r="52" spans="1:4">
      <c r="A52" t="s">
        <v>351</v>
      </c>
      <c r="B52" t="s">
        <v>355</v>
      </c>
      <c r="C52" s="657" t="s">
        <v>817</v>
      </c>
      <c r="D52" t="str">
        <f t="shared" si="0"/>
        <v>PlatformC - Senior</v>
      </c>
    </row>
    <row r="53" spans="1:4">
      <c r="A53" t="s">
        <v>351</v>
      </c>
      <c r="B53" t="s">
        <v>358</v>
      </c>
      <c r="C53" s="657" t="s">
        <v>817</v>
      </c>
      <c r="D53" t="str">
        <f t="shared" si="0"/>
        <v>PlatformD - Lead</v>
      </c>
    </row>
    <row r="54" spans="1:4">
      <c r="A54" t="s">
        <v>351</v>
      </c>
      <c r="B54" t="s">
        <v>772</v>
      </c>
      <c r="C54" s="657" t="s">
        <v>817</v>
      </c>
      <c r="D54" t="str">
        <f t="shared" si="0"/>
        <v>PlatformE - Principal</v>
      </c>
    </row>
    <row r="55" spans="1:4">
      <c r="A55" t="s">
        <v>351</v>
      </c>
      <c r="B55" t="s">
        <v>775</v>
      </c>
      <c r="C55" s="657" t="s">
        <v>817</v>
      </c>
      <c r="D55" t="str">
        <f t="shared" si="0"/>
        <v>PlatformF - Chief</v>
      </c>
    </row>
    <row r="56" spans="1:4">
      <c r="A56" t="s">
        <v>784</v>
      </c>
      <c r="B56" t="s">
        <v>753</v>
      </c>
      <c r="C56" s="657" t="s">
        <v>817</v>
      </c>
      <c r="D56" t="str">
        <f t="shared" si="0"/>
        <v>StrategyA - Associate</v>
      </c>
    </row>
    <row r="57" spans="1:4">
      <c r="A57" t="s">
        <v>784</v>
      </c>
      <c r="B57" t="s">
        <v>352</v>
      </c>
      <c r="C57" s="657" t="s">
        <v>817</v>
      </c>
      <c r="D57" t="str">
        <f t="shared" si="0"/>
        <v>StrategyB - Staff</v>
      </c>
    </row>
    <row r="58" spans="1:4">
      <c r="A58" t="s">
        <v>784</v>
      </c>
      <c r="B58" t="s">
        <v>355</v>
      </c>
      <c r="C58" t="s">
        <v>848</v>
      </c>
      <c r="D58" t="str">
        <f t="shared" si="0"/>
        <v>StrategyC - Senior</v>
      </c>
    </row>
    <row r="59" spans="1:4">
      <c r="A59" t="s">
        <v>784</v>
      </c>
      <c r="B59" t="s">
        <v>358</v>
      </c>
      <c r="C59" t="s">
        <v>849</v>
      </c>
      <c r="D59" t="str">
        <f t="shared" si="0"/>
        <v>StrategyD - Lead</v>
      </c>
    </row>
    <row r="60" spans="1:4">
      <c r="A60" t="s">
        <v>784</v>
      </c>
      <c r="B60" t="s">
        <v>772</v>
      </c>
      <c r="C60" t="s">
        <v>850</v>
      </c>
      <c r="D60" t="str">
        <f t="shared" si="0"/>
        <v>StrategyE - Principal</v>
      </c>
    </row>
    <row r="61" spans="1:4">
      <c r="A61" t="s">
        <v>784</v>
      </c>
      <c r="B61" t="s">
        <v>775</v>
      </c>
      <c r="C61" t="s">
        <v>851</v>
      </c>
      <c r="D61" t="str">
        <f t="shared" si="0"/>
        <v>StrategyF - Chief</v>
      </c>
    </row>
    <row r="62" spans="1:4">
      <c r="A62" t="s">
        <v>787</v>
      </c>
      <c r="B62" t="s">
        <v>753</v>
      </c>
      <c r="C62" t="s">
        <v>852</v>
      </c>
      <c r="D62" t="str">
        <f t="shared" si="0"/>
        <v>TestingA - Associate</v>
      </c>
    </row>
    <row r="63" spans="1:4">
      <c r="A63" t="s">
        <v>787</v>
      </c>
      <c r="B63" t="s">
        <v>352</v>
      </c>
      <c r="C63" t="s">
        <v>853</v>
      </c>
      <c r="D63" t="str">
        <f t="shared" si="0"/>
        <v>TestingB - Staff</v>
      </c>
    </row>
    <row r="64" spans="1:4">
      <c r="A64" t="s">
        <v>787</v>
      </c>
      <c r="B64" t="s">
        <v>355</v>
      </c>
      <c r="C64" t="s">
        <v>854</v>
      </c>
      <c r="D64" t="str">
        <f t="shared" si="0"/>
        <v>TestingC - Senior</v>
      </c>
    </row>
    <row r="65" spans="1:4">
      <c r="A65" t="s">
        <v>787</v>
      </c>
      <c r="B65" t="s">
        <v>358</v>
      </c>
      <c r="C65" t="s">
        <v>855</v>
      </c>
      <c r="D65" t="str">
        <f t="shared" si="0"/>
        <v>TestingD - Lead</v>
      </c>
    </row>
    <row r="66" spans="1:4">
      <c r="A66" t="s">
        <v>787</v>
      </c>
      <c r="B66" t="s">
        <v>772</v>
      </c>
      <c r="C66" t="s">
        <v>856</v>
      </c>
      <c r="D66" t="str">
        <f t="shared" si="0"/>
        <v>TestingE - Principal</v>
      </c>
    </row>
    <row r="67" spans="1:4">
      <c r="A67" t="s">
        <v>787</v>
      </c>
      <c r="B67" t="s">
        <v>775</v>
      </c>
      <c r="C67" t="s">
        <v>857</v>
      </c>
      <c r="D67" t="str">
        <f t="shared" ref="D67" si="1">A67&amp;B67</f>
        <v>TestingF - Chief</v>
      </c>
    </row>
  </sheetData>
  <sheetProtection algorithmName="SHA-512" hashValue="YWrQV67Q8uoHT0QB7+5/lurpTbLIPYSnYpXZj445n6ZUmfsSopBHx3BHIgxR3wDSQrSD/5REBRiTb+uPM3tVrw==" saltValue="tovA34d8wxqxDZvv1KrcgQ==" spinCount="100000"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C71D9-EFB1-4E19-B695-6580E8D93A3E}">
  <dimension ref="A1:BY17"/>
  <sheetViews>
    <sheetView zoomScale="85" zoomScaleNormal="85" workbookViewId="0">
      <selection activeCell="G335" sqref="G335"/>
    </sheetView>
  </sheetViews>
  <sheetFormatPr defaultColWidth="9.140625" defaultRowHeight="15"/>
  <cols>
    <col min="1" max="1" width="27.85546875" style="494" customWidth="1"/>
    <col min="2" max="2" width="8.42578125" style="494" bestFit="1" customWidth="1"/>
    <col min="3" max="7" width="7.140625" style="494" bestFit="1" customWidth="1"/>
    <col min="8" max="8" width="8.42578125" style="494" bestFit="1" customWidth="1"/>
    <col min="9" max="13" width="7.140625" style="494" bestFit="1" customWidth="1"/>
    <col min="14" max="14" width="8.42578125" style="494" bestFit="1" customWidth="1"/>
    <col min="15" max="17" width="7.140625" style="494" bestFit="1" customWidth="1"/>
    <col min="18" max="18" width="8.42578125" style="494" bestFit="1" customWidth="1"/>
    <col min="19" max="23" width="7.140625" style="494" bestFit="1" customWidth="1"/>
    <col min="24" max="24" width="8.42578125" style="494" bestFit="1" customWidth="1"/>
    <col min="25" max="29" width="7.140625" style="494" bestFit="1" customWidth="1"/>
    <col min="30" max="30" width="8.42578125" style="494" bestFit="1" customWidth="1"/>
    <col min="31" max="33" width="7.140625" style="494" bestFit="1" customWidth="1"/>
    <col min="34" max="34" width="8.42578125" style="494" bestFit="1" customWidth="1"/>
    <col min="35" max="39" width="7.140625" style="494" bestFit="1" customWidth="1"/>
    <col min="40" max="40" width="8.42578125" style="494" bestFit="1" customWidth="1"/>
    <col min="41" max="45" width="7.140625" style="494" bestFit="1" customWidth="1"/>
    <col min="46" max="46" width="8.42578125" style="494" bestFit="1" customWidth="1"/>
    <col min="47" max="49" width="7.140625" style="494" bestFit="1" customWidth="1"/>
    <col min="50" max="50" width="8.42578125" style="494" bestFit="1" customWidth="1"/>
    <col min="51" max="55" width="7.140625" style="494" bestFit="1" customWidth="1"/>
    <col min="56" max="57" width="8.42578125" style="494" bestFit="1" customWidth="1"/>
    <col min="58" max="61" width="7.140625" style="494" bestFit="1" customWidth="1"/>
    <col min="62" max="63" width="8.42578125" style="494" bestFit="1" customWidth="1"/>
    <col min="64" max="65" width="7.140625" style="494" customWidth="1"/>
    <col min="66" max="67" width="8.42578125" style="494" bestFit="1" customWidth="1"/>
    <col min="68" max="71" width="7.140625" style="494" customWidth="1"/>
    <col min="72" max="73" width="8.42578125" style="494" bestFit="1" customWidth="1"/>
    <col min="74" max="77" width="7.140625" style="494" bestFit="1" customWidth="1"/>
    <col min="78" max="16384" width="9.140625" style="494"/>
  </cols>
  <sheetData>
    <row r="1" spans="1:77">
      <c r="A1" s="497" t="s">
        <v>858</v>
      </c>
      <c r="B1" s="1225" t="s">
        <v>361</v>
      </c>
      <c r="C1" s="1225"/>
      <c r="D1" s="1225"/>
      <c r="E1" s="1225"/>
      <c r="F1" s="1225"/>
      <c r="G1" s="1225"/>
      <c r="H1" s="1224" t="s">
        <v>399</v>
      </c>
      <c r="I1" s="1224"/>
      <c r="J1" s="1224"/>
      <c r="K1" s="1224"/>
      <c r="L1" s="1224"/>
      <c r="M1" s="1224"/>
      <c r="N1" s="1224"/>
      <c r="O1" s="1224"/>
      <c r="P1" s="1224"/>
      <c r="Q1" s="1224"/>
      <c r="R1" s="1224"/>
      <c r="S1" s="1224"/>
      <c r="T1" s="1224"/>
      <c r="U1" s="1224"/>
      <c r="V1" s="1224"/>
      <c r="W1" s="1224"/>
      <c r="X1" s="1226" t="s">
        <v>859</v>
      </c>
      <c r="Y1" s="1226"/>
      <c r="Z1" s="1226"/>
      <c r="AA1" s="1226"/>
      <c r="AB1" s="1226"/>
      <c r="AC1" s="1226"/>
      <c r="AD1" s="1226"/>
      <c r="AE1" s="1226"/>
      <c r="AF1" s="1226"/>
      <c r="AG1" s="1226"/>
      <c r="AH1" s="1226"/>
      <c r="AI1" s="1226"/>
      <c r="AJ1" s="1226"/>
      <c r="AK1" s="1226"/>
      <c r="AL1" s="1226"/>
      <c r="AM1" s="1226"/>
      <c r="AN1" s="1227" t="s">
        <v>780</v>
      </c>
      <c r="AO1" s="1227"/>
      <c r="AP1" s="1227"/>
      <c r="AQ1" s="1227"/>
      <c r="AR1" s="1227"/>
      <c r="AS1" s="1227"/>
      <c r="AT1" s="1227"/>
      <c r="AU1" s="1227"/>
      <c r="AV1" s="1227"/>
      <c r="AW1" s="1227"/>
      <c r="AX1" s="1227"/>
      <c r="AY1" s="1227"/>
      <c r="AZ1" s="1227"/>
      <c r="BA1" s="1227"/>
      <c r="BB1" s="1227"/>
      <c r="BC1" s="1227"/>
      <c r="BD1" s="1221" t="s">
        <v>425</v>
      </c>
      <c r="BE1" s="1221"/>
      <c r="BF1" s="1221"/>
      <c r="BG1" s="1221"/>
      <c r="BH1" s="1221"/>
      <c r="BI1" s="1221"/>
      <c r="BJ1" s="1221"/>
      <c r="BK1" s="1221"/>
      <c r="BL1" s="1221"/>
      <c r="BM1" s="1221"/>
      <c r="BN1" s="1221"/>
      <c r="BO1" s="1221"/>
      <c r="BP1" s="1221"/>
      <c r="BQ1" s="1221"/>
      <c r="BR1" s="1221"/>
      <c r="BS1" s="1221"/>
      <c r="BT1" s="1221"/>
      <c r="BU1" s="1221"/>
      <c r="BV1" s="1221"/>
      <c r="BW1" s="1221"/>
      <c r="BX1" s="1221"/>
      <c r="BY1" s="1221"/>
    </row>
    <row r="2" spans="1:77" ht="130.5">
      <c r="A2" s="1222" t="s">
        <v>288</v>
      </c>
      <c r="B2" s="1223" t="s">
        <v>835</v>
      </c>
      <c r="C2" s="1223" t="s">
        <v>834</v>
      </c>
      <c r="D2" s="1223" t="s">
        <v>311</v>
      </c>
      <c r="E2" s="1223" t="s">
        <v>158</v>
      </c>
      <c r="F2" s="1223" t="s">
        <v>375</v>
      </c>
      <c r="G2" s="1223" t="s">
        <v>833</v>
      </c>
      <c r="H2" s="547" t="s">
        <v>814</v>
      </c>
      <c r="I2" s="547" t="s">
        <v>814</v>
      </c>
      <c r="J2" s="547" t="s">
        <v>814</v>
      </c>
      <c r="K2" s="547" t="s">
        <v>84</v>
      </c>
      <c r="L2" s="547" t="s">
        <v>84</v>
      </c>
      <c r="M2" s="547" t="s">
        <v>84</v>
      </c>
      <c r="N2" s="550" t="s">
        <v>860</v>
      </c>
      <c r="O2" s="550" t="s">
        <v>860</v>
      </c>
      <c r="P2" s="550" t="s">
        <v>860</v>
      </c>
      <c r="Q2" s="550" t="s">
        <v>860</v>
      </c>
      <c r="R2" s="547" t="s">
        <v>861</v>
      </c>
      <c r="S2" s="547" t="s">
        <v>861</v>
      </c>
      <c r="T2" s="547" t="s">
        <v>861</v>
      </c>
      <c r="U2" s="547" t="s">
        <v>861</v>
      </c>
      <c r="V2" s="547" t="s">
        <v>861</v>
      </c>
      <c r="W2" s="547" t="s">
        <v>861</v>
      </c>
      <c r="X2" s="546" t="s">
        <v>814</v>
      </c>
      <c r="Y2" s="546" t="s">
        <v>814</v>
      </c>
      <c r="Z2" s="546" t="s">
        <v>814</v>
      </c>
      <c r="AA2" s="546" t="s">
        <v>84</v>
      </c>
      <c r="AB2" s="546" t="s">
        <v>84</v>
      </c>
      <c r="AC2" s="546" t="s">
        <v>84</v>
      </c>
      <c r="AD2" s="549" t="s">
        <v>860</v>
      </c>
      <c r="AE2" s="549" t="s">
        <v>860</v>
      </c>
      <c r="AF2" s="549" t="s">
        <v>860</v>
      </c>
      <c r="AG2" s="549" t="s">
        <v>860</v>
      </c>
      <c r="AH2" s="546" t="s">
        <v>861</v>
      </c>
      <c r="AI2" s="546" t="s">
        <v>861</v>
      </c>
      <c r="AJ2" s="546" t="s">
        <v>861</v>
      </c>
      <c r="AK2" s="546" t="s">
        <v>861</v>
      </c>
      <c r="AL2" s="546" t="s">
        <v>861</v>
      </c>
      <c r="AM2" s="546" t="s">
        <v>861</v>
      </c>
      <c r="AN2" s="545" t="s">
        <v>814</v>
      </c>
      <c r="AO2" s="545" t="s">
        <v>814</v>
      </c>
      <c r="AP2" s="545" t="s">
        <v>814</v>
      </c>
      <c r="AQ2" s="545" t="s">
        <v>84</v>
      </c>
      <c r="AR2" s="545" t="s">
        <v>84</v>
      </c>
      <c r="AS2" s="545" t="s">
        <v>84</v>
      </c>
      <c r="AT2" s="548" t="s">
        <v>860</v>
      </c>
      <c r="AU2" s="548" t="s">
        <v>860</v>
      </c>
      <c r="AV2" s="548" t="s">
        <v>860</v>
      </c>
      <c r="AW2" s="548" t="s">
        <v>860</v>
      </c>
      <c r="AX2" s="545" t="s">
        <v>861</v>
      </c>
      <c r="AY2" s="545" t="s">
        <v>861</v>
      </c>
      <c r="AZ2" s="545" t="s">
        <v>861</v>
      </c>
      <c r="BA2" s="545" t="s">
        <v>861</v>
      </c>
      <c r="BB2" s="545" t="s">
        <v>861</v>
      </c>
      <c r="BC2" s="545" t="s">
        <v>861</v>
      </c>
      <c r="BD2" s="544" t="s">
        <v>814</v>
      </c>
      <c r="BE2" s="544" t="s">
        <v>814</v>
      </c>
      <c r="BF2" s="544" t="s">
        <v>814</v>
      </c>
      <c r="BG2" s="544" t="s">
        <v>84</v>
      </c>
      <c r="BH2" s="544" t="s">
        <v>84</v>
      </c>
      <c r="BI2" s="544" t="s">
        <v>84</v>
      </c>
      <c r="BJ2" s="543" t="s">
        <v>860</v>
      </c>
      <c r="BK2" s="543" t="s">
        <v>860</v>
      </c>
      <c r="BL2" s="543" t="s">
        <v>860</v>
      </c>
      <c r="BM2" s="543" t="s">
        <v>860</v>
      </c>
      <c r="BN2" s="544" t="s">
        <v>861</v>
      </c>
      <c r="BO2" s="544" t="s">
        <v>861</v>
      </c>
      <c r="BP2" s="544" t="s">
        <v>861</v>
      </c>
      <c r="BQ2" s="544" t="s">
        <v>861</v>
      </c>
      <c r="BR2" s="544" t="s">
        <v>861</v>
      </c>
      <c r="BS2" s="544" t="s">
        <v>861</v>
      </c>
      <c r="BT2" s="543" t="s">
        <v>737</v>
      </c>
      <c r="BU2" s="543" t="s">
        <v>737</v>
      </c>
      <c r="BV2" s="543" t="s">
        <v>737</v>
      </c>
      <c r="BW2" s="543" t="s">
        <v>737</v>
      </c>
      <c r="BX2" s="543" t="s">
        <v>737</v>
      </c>
      <c r="BY2" s="543" t="s">
        <v>737</v>
      </c>
    </row>
    <row r="3" spans="1:77" s="542" customFormat="1" ht="49.5">
      <c r="A3" s="1222"/>
      <c r="B3" s="1223"/>
      <c r="C3" s="1223"/>
      <c r="D3" s="1223"/>
      <c r="E3" s="1223"/>
      <c r="F3" s="1223"/>
      <c r="G3" s="1223"/>
      <c r="H3" s="547" t="s">
        <v>862</v>
      </c>
      <c r="I3" s="547" t="s">
        <v>863</v>
      </c>
      <c r="J3" s="547" t="s">
        <v>864</v>
      </c>
      <c r="K3" s="547" t="s">
        <v>865</v>
      </c>
      <c r="L3" s="983" t="s">
        <v>866</v>
      </c>
      <c r="M3" s="983" t="s">
        <v>867</v>
      </c>
      <c r="N3" s="984" t="s">
        <v>862</v>
      </c>
      <c r="O3" s="984" t="s">
        <v>863</v>
      </c>
      <c r="P3" s="984" t="s">
        <v>864</v>
      </c>
      <c r="Q3" s="984" t="s">
        <v>865</v>
      </c>
      <c r="R3" s="547" t="s">
        <v>862</v>
      </c>
      <c r="S3" s="547" t="s">
        <v>863</v>
      </c>
      <c r="T3" s="547" t="s">
        <v>864</v>
      </c>
      <c r="U3" s="547" t="s">
        <v>865</v>
      </c>
      <c r="V3" s="983" t="s">
        <v>866</v>
      </c>
      <c r="W3" s="983" t="s">
        <v>867</v>
      </c>
      <c r="X3" s="546" t="s">
        <v>862</v>
      </c>
      <c r="Y3" s="546" t="s">
        <v>863</v>
      </c>
      <c r="Z3" s="546" t="s">
        <v>864</v>
      </c>
      <c r="AA3" s="546" t="s">
        <v>865</v>
      </c>
      <c r="AB3" s="985" t="s">
        <v>866</v>
      </c>
      <c r="AC3" s="985" t="s">
        <v>867</v>
      </c>
      <c r="AD3" s="986" t="s">
        <v>862</v>
      </c>
      <c r="AE3" s="986" t="s">
        <v>863</v>
      </c>
      <c r="AF3" s="986" t="s">
        <v>864</v>
      </c>
      <c r="AG3" s="986" t="s">
        <v>865</v>
      </c>
      <c r="AH3" s="546" t="s">
        <v>862</v>
      </c>
      <c r="AI3" s="546" t="s">
        <v>863</v>
      </c>
      <c r="AJ3" s="546" t="s">
        <v>864</v>
      </c>
      <c r="AK3" s="546" t="s">
        <v>865</v>
      </c>
      <c r="AL3" s="985" t="s">
        <v>866</v>
      </c>
      <c r="AM3" s="985" t="s">
        <v>867</v>
      </c>
      <c r="AN3" s="545" t="s">
        <v>862</v>
      </c>
      <c r="AO3" s="545" t="s">
        <v>863</v>
      </c>
      <c r="AP3" s="545" t="s">
        <v>864</v>
      </c>
      <c r="AQ3" s="545" t="s">
        <v>865</v>
      </c>
      <c r="AR3" s="987" t="s">
        <v>866</v>
      </c>
      <c r="AS3" s="987" t="s">
        <v>867</v>
      </c>
      <c r="AT3" s="988" t="s">
        <v>862</v>
      </c>
      <c r="AU3" s="988" t="s">
        <v>863</v>
      </c>
      <c r="AV3" s="988" t="s">
        <v>864</v>
      </c>
      <c r="AW3" s="988" t="s">
        <v>865</v>
      </c>
      <c r="AX3" s="545" t="s">
        <v>862</v>
      </c>
      <c r="AY3" s="545" t="s">
        <v>863</v>
      </c>
      <c r="AZ3" s="545" t="s">
        <v>864</v>
      </c>
      <c r="BA3" s="545" t="s">
        <v>865</v>
      </c>
      <c r="BB3" s="987" t="s">
        <v>866</v>
      </c>
      <c r="BC3" s="987" t="s">
        <v>867</v>
      </c>
      <c r="BD3" s="544" t="s">
        <v>862</v>
      </c>
      <c r="BE3" s="544" t="s">
        <v>863</v>
      </c>
      <c r="BF3" s="544" t="s">
        <v>864</v>
      </c>
      <c r="BG3" s="544" t="s">
        <v>865</v>
      </c>
      <c r="BH3" s="989" t="s">
        <v>866</v>
      </c>
      <c r="BI3" s="989" t="s">
        <v>867</v>
      </c>
      <c r="BJ3" s="990" t="s">
        <v>862</v>
      </c>
      <c r="BK3" s="990" t="s">
        <v>863</v>
      </c>
      <c r="BL3" s="990" t="s">
        <v>864</v>
      </c>
      <c r="BM3" s="990" t="s">
        <v>865</v>
      </c>
      <c r="BN3" s="544" t="s">
        <v>862</v>
      </c>
      <c r="BO3" s="544" t="s">
        <v>863</v>
      </c>
      <c r="BP3" s="544" t="s">
        <v>864</v>
      </c>
      <c r="BQ3" s="544" t="s">
        <v>865</v>
      </c>
      <c r="BR3" s="989" t="s">
        <v>866</v>
      </c>
      <c r="BS3" s="989" t="s">
        <v>867</v>
      </c>
      <c r="BT3" s="543" t="s">
        <v>862</v>
      </c>
      <c r="BU3" s="543" t="s">
        <v>863</v>
      </c>
      <c r="BV3" s="543" t="s">
        <v>864</v>
      </c>
      <c r="BW3" s="543" t="s">
        <v>865</v>
      </c>
      <c r="BX3" s="990" t="s">
        <v>866</v>
      </c>
      <c r="BY3" s="990" t="s">
        <v>867</v>
      </c>
    </row>
    <row r="4" spans="1:77">
      <c r="A4" s="497" t="s">
        <v>868</v>
      </c>
      <c r="B4" s="1228" t="s">
        <v>361</v>
      </c>
      <c r="C4" s="1228"/>
      <c r="D4" s="1228"/>
      <c r="E4" s="1228"/>
      <c r="F4" s="1228"/>
      <c r="G4" s="1228"/>
      <c r="H4" s="1224" t="s">
        <v>427</v>
      </c>
      <c r="I4" s="1224"/>
      <c r="J4" s="1224"/>
      <c r="K4" s="1224"/>
      <c r="L4" s="1224"/>
      <c r="M4" s="1224"/>
      <c r="N4" s="1229" t="s">
        <v>357</v>
      </c>
      <c r="O4" s="1229"/>
      <c r="P4" s="1229"/>
      <c r="Q4" s="1229"/>
      <c r="R4" s="1224" t="s">
        <v>354</v>
      </c>
      <c r="S4" s="1224"/>
      <c r="T4" s="1224"/>
      <c r="U4" s="1224"/>
      <c r="V4" s="1224"/>
      <c r="W4" s="1224"/>
      <c r="X4" s="1226" t="s">
        <v>427</v>
      </c>
      <c r="Y4" s="1226"/>
      <c r="Z4" s="1226"/>
      <c r="AA4" s="1226"/>
      <c r="AB4" s="1226"/>
      <c r="AC4" s="1226"/>
      <c r="AD4" s="1231" t="s">
        <v>357</v>
      </c>
      <c r="AE4" s="1231"/>
      <c r="AF4" s="1231"/>
      <c r="AG4" s="1231"/>
      <c r="AH4" s="1226" t="s">
        <v>354</v>
      </c>
      <c r="AI4" s="1226"/>
      <c r="AJ4" s="1226"/>
      <c r="AK4" s="1226"/>
      <c r="AL4" s="1226"/>
      <c r="AM4" s="1226"/>
      <c r="AN4" s="1227" t="s">
        <v>427</v>
      </c>
      <c r="AO4" s="1227"/>
      <c r="AP4" s="1227"/>
      <c r="AQ4" s="1227"/>
      <c r="AR4" s="1227"/>
      <c r="AS4" s="1227"/>
      <c r="AT4" s="1232" t="s">
        <v>357</v>
      </c>
      <c r="AU4" s="1232"/>
      <c r="AV4" s="1232"/>
      <c r="AW4" s="1232"/>
      <c r="AX4" s="1227" t="s">
        <v>354</v>
      </c>
      <c r="AY4" s="1227"/>
      <c r="AZ4" s="1227"/>
      <c r="BA4" s="1227"/>
      <c r="BB4" s="1227"/>
      <c r="BC4" s="1227"/>
      <c r="BD4" s="1221" t="s">
        <v>427</v>
      </c>
      <c r="BE4" s="1221"/>
      <c r="BF4" s="1221"/>
      <c r="BG4" s="1221"/>
      <c r="BH4" s="1221"/>
      <c r="BI4" s="1221"/>
      <c r="BJ4" s="1230" t="s">
        <v>357</v>
      </c>
      <c r="BK4" s="1230"/>
      <c r="BL4" s="1230"/>
      <c r="BM4" s="1230"/>
      <c r="BN4" s="1221" t="s">
        <v>354</v>
      </c>
      <c r="BO4" s="1221"/>
      <c r="BP4" s="1221"/>
      <c r="BQ4" s="1221"/>
      <c r="BR4" s="1221"/>
      <c r="BS4" s="1221"/>
      <c r="BT4" s="1230" t="s">
        <v>774</v>
      </c>
      <c r="BU4" s="1230"/>
      <c r="BV4" s="1230"/>
      <c r="BW4" s="1230"/>
      <c r="BX4" s="1230"/>
      <c r="BY4" s="1230"/>
    </row>
    <row r="5" spans="1:77">
      <c r="A5" s="507" t="s">
        <v>869</v>
      </c>
      <c r="B5" s="541">
        <v>329</v>
      </c>
      <c r="C5" s="541">
        <v>269</v>
      </c>
      <c r="D5" s="541">
        <v>259</v>
      </c>
      <c r="E5" s="541">
        <v>219</v>
      </c>
      <c r="F5" s="541">
        <v>199</v>
      </c>
      <c r="G5" s="541">
        <v>119</v>
      </c>
      <c r="H5" s="539">
        <v>329</v>
      </c>
      <c r="I5" s="539">
        <v>269</v>
      </c>
      <c r="J5" s="539">
        <v>259</v>
      </c>
      <c r="K5" s="539">
        <v>219</v>
      </c>
      <c r="L5" s="539">
        <v>199</v>
      </c>
      <c r="M5" s="539">
        <v>119</v>
      </c>
      <c r="N5" s="540">
        <v>329</v>
      </c>
      <c r="O5" s="540">
        <v>269</v>
      </c>
      <c r="P5" s="540">
        <v>259</v>
      </c>
      <c r="Q5" s="540">
        <v>219</v>
      </c>
      <c r="R5" s="539">
        <v>329</v>
      </c>
      <c r="S5" s="539">
        <v>269</v>
      </c>
      <c r="T5" s="539">
        <v>259</v>
      </c>
      <c r="U5" s="539">
        <v>219</v>
      </c>
      <c r="V5" s="539">
        <v>199</v>
      </c>
      <c r="W5" s="539">
        <v>119</v>
      </c>
      <c r="X5" s="537">
        <v>329</v>
      </c>
      <c r="Y5" s="537">
        <v>299</v>
      </c>
      <c r="Z5" s="537">
        <v>289</v>
      </c>
      <c r="AA5" s="537">
        <v>239</v>
      </c>
      <c r="AB5" s="537">
        <v>209</v>
      </c>
      <c r="AC5" s="537">
        <v>129</v>
      </c>
      <c r="AD5" s="538">
        <v>329</v>
      </c>
      <c r="AE5" s="538">
        <v>299</v>
      </c>
      <c r="AF5" s="538">
        <v>289</v>
      </c>
      <c r="AG5" s="538">
        <v>239</v>
      </c>
      <c r="AH5" s="537">
        <v>329</v>
      </c>
      <c r="AI5" s="537">
        <v>299</v>
      </c>
      <c r="AJ5" s="537">
        <v>289</v>
      </c>
      <c r="AK5" s="537">
        <v>239</v>
      </c>
      <c r="AL5" s="537">
        <v>209</v>
      </c>
      <c r="AM5" s="537">
        <v>129</v>
      </c>
      <c r="AN5" s="535">
        <v>359</v>
      </c>
      <c r="AO5" s="535">
        <v>319</v>
      </c>
      <c r="AP5" s="535">
        <v>309</v>
      </c>
      <c r="AQ5" s="535">
        <v>259</v>
      </c>
      <c r="AR5" s="535">
        <v>219</v>
      </c>
      <c r="AS5" s="535">
        <v>139</v>
      </c>
      <c r="AT5" s="536">
        <v>359</v>
      </c>
      <c r="AU5" s="536">
        <v>319</v>
      </c>
      <c r="AV5" s="536">
        <v>309</v>
      </c>
      <c r="AW5" s="536">
        <v>259</v>
      </c>
      <c r="AX5" s="535">
        <v>359</v>
      </c>
      <c r="AY5" s="535">
        <v>319</v>
      </c>
      <c r="AZ5" s="535">
        <v>309</v>
      </c>
      <c r="BA5" s="535">
        <v>259</v>
      </c>
      <c r="BB5" s="535">
        <v>219</v>
      </c>
      <c r="BC5" s="535">
        <v>139</v>
      </c>
      <c r="BD5" s="534">
        <v>389</v>
      </c>
      <c r="BE5" s="534">
        <v>349</v>
      </c>
      <c r="BF5" s="534">
        <v>339</v>
      </c>
      <c r="BG5" s="534">
        <v>279</v>
      </c>
      <c r="BH5" s="534">
        <v>229</v>
      </c>
      <c r="BI5" s="534">
        <v>149</v>
      </c>
      <c r="BJ5" s="533">
        <v>389</v>
      </c>
      <c r="BK5" s="533">
        <v>349</v>
      </c>
      <c r="BL5" s="533">
        <v>339</v>
      </c>
      <c r="BM5" s="533">
        <v>279</v>
      </c>
      <c r="BN5" s="534">
        <v>389</v>
      </c>
      <c r="BO5" s="534">
        <v>349</v>
      </c>
      <c r="BP5" s="534">
        <v>339</v>
      </c>
      <c r="BQ5" s="534">
        <v>279</v>
      </c>
      <c r="BR5" s="534">
        <v>229</v>
      </c>
      <c r="BS5" s="534">
        <v>149</v>
      </c>
      <c r="BT5" s="533">
        <v>389</v>
      </c>
      <c r="BU5" s="533">
        <v>349</v>
      </c>
      <c r="BV5" s="533">
        <v>339</v>
      </c>
      <c r="BW5" s="533">
        <v>279</v>
      </c>
      <c r="BX5" s="533">
        <v>229</v>
      </c>
      <c r="BY5" s="533">
        <v>149</v>
      </c>
    </row>
    <row r="6" spans="1:77">
      <c r="A6" s="507" t="s">
        <v>870</v>
      </c>
      <c r="B6" s="525">
        <v>349</v>
      </c>
      <c r="C6" s="525">
        <v>279</v>
      </c>
      <c r="D6" s="525">
        <v>269</v>
      </c>
      <c r="E6" s="525">
        <v>239</v>
      </c>
      <c r="F6" s="525">
        <v>219</v>
      </c>
      <c r="G6" s="525">
        <v>129</v>
      </c>
      <c r="H6" s="523">
        <v>349</v>
      </c>
      <c r="I6" s="523">
        <v>279</v>
      </c>
      <c r="J6" s="523">
        <v>269</v>
      </c>
      <c r="K6" s="523">
        <v>239</v>
      </c>
      <c r="L6" s="523">
        <v>219</v>
      </c>
      <c r="M6" s="523">
        <v>129</v>
      </c>
      <c r="N6" s="524">
        <v>349</v>
      </c>
      <c r="O6" s="524">
        <v>279</v>
      </c>
      <c r="P6" s="524">
        <v>269</v>
      </c>
      <c r="Q6" s="524">
        <v>239</v>
      </c>
      <c r="R6" s="523">
        <v>349</v>
      </c>
      <c r="S6" s="523">
        <v>279</v>
      </c>
      <c r="T6" s="523">
        <v>269</v>
      </c>
      <c r="U6" s="523">
        <v>239</v>
      </c>
      <c r="V6" s="523">
        <v>219</v>
      </c>
      <c r="W6" s="523">
        <v>129</v>
      </c>
      <c r="X6" s="521">
        <v>349</v>
      </c>
      <c r="Y6" s="521">
        <v>309</v>
      </c>
      <c r="Z6" s="521">
        <v>299</v>
      </c>
      <c r="AA6" s="521">
        <v>259</v>
      </c>
      <c r="AB6" s="521">
        <v>229</v>
      </c>
      <c r="AC6" s="521">
        <v>139</v>
      </c>
      <c r="AD6" s="522">
        <v>349</v>
      </c>
      <c r="AE6" s="522">
        <v>309</v>
      </c>
      <c r="AF6" s="522">
        <v>299</v>
      </c>
      <c r="AG6" s="522">
        <v>259</v>
      </c>
      <c r="AH6" s="521">
        <v>349</v>
      </c>
      <c r="AI6" s="521">
        <v>309</v>
      </c>
      <c r="AJ6" s="521">
        <v>299</v>
      </c>
      <c r="AK6" s="521">
        <v>259</v>
      </c>
      <c r="AL6" s="521">
        <v>229</v>
      </c>
      <c r="AM6" s="521">
        <v>139</v>
      </c>
      <c r="AN6" s="519">
        <v>389</v>
      </c>
      <c r="AO6" s="519">
        <v>339</v>
      </c>
      <c r="AP6" s="519">
        <v>329</v>
      </c>
      <c r="AQ6" s="519">
        <v>279</v>
      </c>
      <c r="AR6" s="519">
        <v>239</v>
      </c>
      <c r="AS6" s="519">
        <v>149</v>
      </c>
      <c r="AT6" s="520">
        <v>389</v>
      </c>
      <c r="AU6" s="520">
        <v>339</v>
      </c>
      <c r="AV6" s="520">
        <v>329</v>
      </c>
      <c r="AW6" s="520">
        <v>279</v>
      </c>
      <c r="AX6" s="519">
        <v>389</v>
      </c>
      <c r="AY6" s="519">
        <v>339</v>
      </c>
      <c r="AZ6" s="519">
        <v>329</v>
      </c>
      <c r="BA6" s="519">
        <v>279</v>
      </c>
      <c r="BB6" s="519">
        <v>239</v>
      </c>
      <c r="BC6" s="519">
        <v>149</v>
      </c>
      <c r="BD6" s="518">
        <v>419</v>
      </c>
      <c r="BE6" s="518">
        <v>369</v>
      </c>
      <c r="BF6" s="518">
        <v>359</v>
      </c>
      <c r="BG6" s="518">
        <v>309</v>
      </c>
      <c r="BH6" s="518">
        <v>249</v>
      </c>
      <c r="BI6" s="518">
        <v>159</v>
      </c>
      <c r="BJ6" s="517">
        <v>419</v>
      </c>
      <c r="BK6" s="517">
        <v>369</v>
      </c>
      <c r="BL6" s="517">
        <v>359</v>
      </c>
      <c r="BM6" s="517">
        <v>309</v>
      </c>
      <c r="BN6" s="518">
        <v>419</v>
      </c>
      <c r="BO6" s="518">
        <v>369</v>
      </c>
      <c r="BP6" s="518">
        <v>359</v>
      </c>
      <c r="BQ6" s="518">
        <v>309</v>
      </c>
      <c r="BR6" s="518">
        <v>249</v>
      </c>
      <c r="BS6" s="518">
        <v>159</v>
      </c>
      <c r="BT6" s="517">
        <v>419</v>
      </c>
      <c r="BU6" s="517">
        <v>369</v>
      </c>
      <c r="BV6" s="517">
        <v>359</v>
      </c>
      <c r="BW6" s="517">
        <v>309</v>
      </c>
      <c r="BX6" s="517">
        <v>249</v>
      </c>
      <c r="BY6" s="517">
        <v>159</v>
      </c>
    </row>
    <row r="7" spans="1:77">
      <c r="A7" s="507" t="s">
        <v>871</v>
      </c>
      <c r="B7" s="532">
        <v>219</v>
      </c>
      <c r="C7" s="532">
        <v>175</v>
      </c>
      <c r="D7" s="532">
        <v>169</v>
      </c>
      <c r="E7" s="532">
        <v>139</v>
      </c>
      <c r="F7" s="532">
        <v>129</v>
      </c>
      <c r="G7" s="532">
        <v>79</v>
      </c>
      <c r="H7" s="514">
        <v>219</v>
      </c>
      <c r="I7" s="514">
        <v>175</v>
      </c>
      <c r="J7" s="514">
        <v>169</v>
      </c>
      <c r="K7" s="514">
        <v>139</v>
      </c>
      <c r="L7" s="514">
        <v>129</v>
      </c>
      <c r="M7" s="514">
        <v>79</v>
      </c>
      <c r="N7" s="515">
        <v>219</v>
      </c>
      <c r="O7" s="515">
        <v>175</v>
      </c>
      <c r="P7" s="515">
        <v>169</v>
      </c>
      <c r="Q7" s="515">
        <v>139</v>
      </c>
      <c r="R7" s="514">
        <v>219</v>
      </c>
      <c r="S7" s="514">
        <v>175</v>
      </c>
      <c r="T7" s="514">
        <v>169</v>
      </c>
      <c r="U7" s="514">
        <v>139</v>
      </c>
      <c r="V7" s="514">
        <v>129</v>
      </c>
      <c r="W7" s="514">
        <v>79</v>
      </c>
      <c r="X7" s="530">
        <v>219</v>
      </c>
      <c r="Y7" s="530">
        <v>189</v>
      </c>
      <c r="Z7" s="530">
        <v>185</v>
      </c>
      <c r="AA7" s="530">
        <v>155</v>
      </c>
      <c r="AB7" s="530">
        <v>135</v>
      </c>
      <c r="AC7" s="530">
        <v>85</v>
      </c>
      <c r="AD7" s="531">
        <v>219</v>
      </c>
      <c r="AE7" s="531">
        <v>189</v>
      </c>
      <c r="AF7" s="531">
        <v>185</v>
      </c>
      <c r="AG7" s="531">
        <v>155</v>
      </c>
      <c r="AH7" s="530">
        <v>219</v>
      </c>
      <c r="AI7" s="530">
        <v>189</v>
      </c>
      <c r="AJ7" s="530">
        <v>185</v>
      </c>
      <c r="AK7" s="530">
        <v>155</v>
      </c>
      <c r="AL7" s="530">
        <v>135</v>
      </c>
      <c r="AM7" s="530">
        <v>85</v>
      </c>
      <c r="AN7" s="528">
        <v>235</v>
      </c>
      <c r="AO7" s="528">
        <v>209</v>
      </c>
      <c r="AP7" s="528">
        <v>199</v>
      </c>
      <c r="AQ7" s="528">
        <v>169</v>
      </c>
      <c r="AR7" s="528">
        <v>139</v>
      </c>
      <c r="AS7" s="528">
        <v>89</v>
      </c>
      <c r="AT7" s="529">
        <v>235</v>
      </c>
      <c r="AU7" s="529">
        <v>209</v>
      </c>
      <c r="AV7" s="529">
        <v>199</v>
      </c>
      <c r="AW7" s="529">
        <v>169</v>
      </c>
      <c r="AX7" s="528">
        <v>235</v>
      </c>
      <c r="AY7" s="528">
        <v>209</v>
      </c>
      <c r="AZ7" s="528">
        <v>199</v>
      </c>
      <c r="BA7" s="528">
        <v>169</v>
      </c>
      <c r="BB7" s="528">
        <v>139</v>
      </c>
      <c r="BC7" s="528">
        <v>89</v>
      </c>
      <c r="BD7" s="527">
        <v>255</v>
      </c>
      <c r="BE7" s="527">
        <v>225</v>
      </c>
      <c r="BF7" s="527">
        <v>219</v>
      </c>
      <c r="BG7" s="527">
        <v>185</v>
      </c>
      <c r="BH7" s="527">
        <v>145</v>
      </c>
      <c r="BI7" s="527">
        <v>95</v>
      </c>
      <c r="BJ7" s="526">
        <v>255</v>
      </c>
      <c r="BK7" s="526">
        <v>225</v>
      </c>
      <c r="BL7" s="526">
        <v>219</v>
      </c>
      <c r="BM7" s="526">
        <v>185</v>
      </c>
      <c r="BN7" s="527">
        <v>255</v>
      </c>
      <c r="BO7" s="527">
        <v>225</v>
      </c>
      <c r="BP7" s="527">
        <v>219</v>
      </c>
      <c r="BQ7" s="527">
        <v>185</v>
      </c>
      <c r="BR7" s="527">
        <v>145</v>
      </c>
      <c r="BS7" s="527">
        <v>95</v>
      </c>
      <c r="BT7" s="526">
        <v>255</v>
      </c>
      <c r="BU7" s="526">
        <v>225</v>
      </c>
      <c r="BV7" s="526">
        <v>219</v>
      </c>
      <c r="BW7" s="526">
        <v>185</v>
      </c>
      <c r="BX7" s="526">
        <v>145</v>
      </c>
      <c r="BY7" s="526">
        <v>95</v>
      </c>
    </row>
    <row r="8" spans="1:77">
      <c r="A8" s="507" t="s">
        <v>872</v>
      </c>
      <c r="B8" s="525">
        <v>299</v>
      </c>
      <c r="C8" s="525">
        <v>109</v>
      </c>
      <c r="D8" s="525">
        <v>99</v>
      </c>
      <c r="E8" s="525">
        <v>89</v>
      </c>
      <c r="F8" s="525">
        <v>79</v>
      </c>
      <c r="G8" s="525">
        <v>49</v>
      </c>
      <c r="H8" s="523">
        <v>299</v>
      </c>
      <c r="I8" s="523">
        <v>109</v>
      </c>
      <c r="J8" s="523">
        <v>99</v>
      </c>
      <c r="K8" s="523">
        <v>89</v>
      </c>
      <c r="L8" s="523">
        <v>79</v>
      </c>
      <c r="M8" s="523">
        <v>49</v>
      </c>
      <c r="N8" s="524">
        <v>299</v>
      </c>
      <c r="O8" s="524">
        <v>109</v>
      </c>
      <c r="P8" s="524">
        <v>99</v>
      </c>
      <c r="Q8" s="524">
        <v>89</v>
      </c>
      <c r="R8" s="523">
        <v>299</v>
      </c>
      <c r="S8" s="523">
        <v>109</v>
      </c>
      <c r="T8" s="523">
        <v>99</v>
      </c>
      <c r="U8" s="523">
        <v>89</v>
      </c>
      <c r="V8" s="523">
        <v>79</v>
      </c>
      <c r="W8" s="523">
        <v>49</v>
      </c>
      <c r="X8" s="521">
        <v>299</v>
      </c>
      <c r="Y8" s="521">
        <v>119</v>
      </c>
      <c r="Z8" s="521">
        <v>109</v>
      </c>
      <c r="AA8" s="521">
        <v>95</v>
      </c>
      <c r="AB8" s="521">
        <v>85</v>
      </c>
      <c r="AC8" s="521">
        <v>55</v>
      </c>
      <c r="AD8" s="522">
        <v>299</v>
      </c>
      <c r="AE8" s="522">
        <v>119</v>
      </c>
      <c r="AF8" s="522">
        <v>109</v>
      </c>
      <c r="AG8" s="522">
        <v>95</v>
      </c>
      <c r="AH8" s="521">
        <v>299</v>
      </c>
      <c r="AI8" s="521">
        <v>119</v>
      </c>
      <c r="AJ8" s="521">
        <v>109</v>
      </c>
      <c r="AK8" s="521">
        <v>95</v>
      </c>
      <c r="AL8" s="521">
        <v>85</v>
      </c>
      <c r="AM8" s="521">
        <v>55</v>
      </c>
      <c r="AN8" s="519">
        <v>319</v>
      </c>
      <c r="AO8" s="519">
        <v>129</v>
      </c>
      <c r="AP8" s="519">
        <v>119</v>
      </c>
      <c r="AQ8" s="519">
        <v>99</v>
      </c>
      <c r="AR8" s="519">
        <v>89</v>
      </c>
      <c r="AS8" s="519">
        <v>59</v>
      </c>
      <c r="AT8" s="520">
        <v>319</v>
      </c>
      <c r="AU8" s="520">
        <v>129</v>
      </c>
      <c r="AV8" s="520">
        <v>119</v>
      </c>
      <c r="AW8" s="520">
        <v>99</v>
      </c>
      <c r="AX8" s="519">
        <v>319</v>
      </c>
      <c r="AY8" s="519">
        <v>129</v>
      </c>
      <c r="AZ8" s="519">
        <v>119</v>
      </c>
      <c r="BA8" s="519">
        <v>99</v>
      </c>
      <c r="BB8" s="519">
        <v>89</v>
      </c>
      <c r="BC8" s="519">
        <v>59</v>
      </c>
      <c r="BD8" s="518">
        <v>329</v>
      </c>
      <c r="BE8" s="518">
        <v>139</v>
      </c>
      <c r="BF8" s="518">
        <v>129</v>
      </c>
      <c r="BG8" s="518">
        <v>109</v>
      </c>
      <c r="BH8" s="518">
        <v>95</v>
      </c>
      <c r="BI8" s="518">
        <v>65</v>
      </c>
      <c r="BJ8" s="517">
        <v>329</v>
      </c>
      <c r="BK8" s="517">
        <v>139</v>
      </c>
      <c r="BL8" s="517">
        <v>129</v>
      </c>
      <c r="BM8" s="517">
        <v>109</v>
      </c>
      <c r="BN8" s="518">
        <v>329</v>
      </c>
      <c r="BO8" s="518">
        <v>139</v>
      </c>
      <c r="BP8" s="518">
        <v>129</v>
      </c>
      <c r="BQ8" s="518">
        <v>109</v>
      </c>
      <c r="BR8" s="518">
        <v>95</v>
      </c>
      <c r="BS8" s="518">
        <v>65</v>
      </c>
      <c r="BT8" s="517">
        <v>329</v>
      </c>
      <c r="BU8" s="517">
        <v>139</v>
      </c>
      <c r="BV8" s="517">
        <v>129</v>
      </c>
      <c r="BW8" s="517">
        <v>109</v>
      </c>
      <c r="BX8" s="517">
        <v>95</v>
      </c>
      <c r="BY8" s="517">
        <v>65</v>
      </c>
    </row>
    <row r="9" spans="1:77">
      <c r="A9" s="507" t="s">
        <v>873</v>
      </c>
      <c r="B9" s="525">
        <v>379</v>
      </c>
      <c r="C9" s="525">
        <v>139</v>
      </c>
      <c r="D9" s="525">
        <v>125</v>
      </c>
      <c r="E9" s="525">
        <v>115</v>
      </c>
      <c r="F9" s="525">
        <v>99</v>
      </c>
      <c r="G9" s="525">
        <v>65</v>
      </c>
      <c r="H9" s="523">
        <v>379</v>
      </c>
      <c r="I9" s="523">
        <v>139</v>
      </c>
      <c r="J9" s="523">
        <v>125</v>
      </c>
      <c r="K9" s="523">
        <v>115</v>
      </c>
      <c r="L9" s="523">
        <v>99</v>
      </c>
      <c r="M9" s="523">
        <v>65</v>
      </c>
      <c r="N9" s="524">
        <v>379</v>
      </c>
      <c r="O9" s="524">
        <v>139</v>
      </c>
      <c r="P9" s="524">
        <v>125</v>
      </c>
      <c r="Q9" s="524">
        <v>115</v>
      </c>
      <c r="R9" s="523">
        <v>379</v>
      </c>
      <c r="S9" s="523">
        <v>139</v>
      </c>
      <c r="T9" s="523">
        <v>125</v>
      </c>
      <c r="U9" s="523">
        <v>115</v>
      </c>
      <c r="V9" s="523">
        <v>99</v>
      </c>
      <c r="W9" s="523">
        <v>65</v>
      </c>
      <c r="X9" s="521">
        <v>379</v>
      </c>
      <c r="Y9" s="521">
        <v>155</v>
      </c>
      <c r="Z9" s="521">
        <v>139</v>
      </c>
      <c r="AA9" s="521">
        <v>119</v>
      </c>
      <c r="AB9" s="521">
        <v>109</v>
      </c>
      <c r="AC9" s="521">
        <v>69</v>
      </c>
      <c r="AD9" s="522">
        <v>379</v>
      </c>
      <c r="AE9" s="522">
        <v>155</v>
      </c>
      <c r="AF9" s="522">
        <v>139</v>
      </c>
      <c r="AG9" s="522">
        <v>119</v>
      </c>
      <c r="AH9" s="521">
        <v>379</v>
      </c>
      <c r="AI9" s="521">
        <v>155</v>
      </c>
      <c r="AJ9" s="521">
        <v>139</v>
      </c>
      <c r="AK9" s="521">
        <v>119</v>
      </c>
      <c r="AL9" s="521">
        <v>109</v>
      </c>
      <c r="AM9" s="521">
        <v>69</v>
      </c>
      <c r="AN9" s="519">
        <v>409</v>
      </c>
      <c r="AO9" s="519">
        <v>165</v>
      </c>
      <c r="AP9" s="519">
        <v>155</v>
      </c>
      <c r="AQ9" s="519">
        <v>125</v>
      </c>
      <c r="AR9" s="519">
        <v>115</v>
      </c>
      <c r="AS9" s="519">
        <v>79</v>
      </c>
      <c r="AT9" s="520">
        <v>409</v>
      </c>
      <c r="AU9" s="520">
        <v>165</v>
      </c>
      <c r="AV9" s="520">
        <v>155</v>
      </c>
      <c r="AW9" s="520">
        <v>125</v>
      </c>
      <c r="AX9" s="519">
        <v>409</v>
      </c>
      <c r="AY9" s="519">
        <v>165</v>
      </c>
      <c r="AZ9" s="519">
        <v>155</v>
      </c>
      <c r="BA9" s="519">
        <v>125</v>
      </c>
      <c r="BB9" s="519">
        <v>115</v>
      </c>
      <c r="BC9" s="519">
        <v>79</v>
      </c>
      <c r="BD9" s="518">
        <v>419</v>
      </c>
      <c r="BE9" s="518">
        <v>179</v>
      </c>
      <c r="BF9" s="518">
        <v>165</v>
      </c>
      <c r="BG9" s="518">
        <v>139</v>
      </c>
      <c r="BH9" s="518">
        <v>119</v>
      </c>
      <c r="BI9" s="518">
        <v>85</v>
      </c>
      <c r="BJ9" s="517">
        <v>419</v>
      </c>
      <c r="BK9" s="517">
        <v>179</v>
      </c>
      <c r="BL9" s="517">
        <v>165</v>
      </c>
      <c r="BM9" s="517">
        <v>139</v>
      </c>
      <c r="BN9" s="518">
        <v>419</v>
      </c>
      <c r="BO9" s="518">
        <v>179</v>
      </c>
      <c r="BP9" s="518">
        <v>165</v>
      </c>
      <c r="BQ9" s="518">
        <v>139</v>
      </c>
      <c r="BR9" s="518">
        <v>119</v>
      </c>
      <c r="BS9" s="518">
        <v>85</v>
      </c>
      <c r="BT9" s="517">
        <v>419</v>
      </c>
      <c r="BU9" s="517">
        <v>179</v>
      </c>
      <c r="BV9" s="517">
        <v>165</v>
      </c>
      <c r="BW9" s="517">
        <v>139</v>
      </c>
      <c r="BX9" s="517">
        <v>119</v>
      </c>
      <c r="BY9" s="517">
        <v>85</v>
      </c>
    </row>
    <row r="10" spans="1:77">
      <c r="A10" s="507" t="s">
        <v>874</v>
      </c>
      <c r="B10" s="516">
        <v>219</v>
      </c>
      <c r="C10" s="516">
        <v>79</v>
      </c>
      <c r="D10" s="516">
        <v>75</v>
      </c>
      <c r="E10" s="516">
        <v>65</v>
      </c>
      <c r="F10" s="516">
        <v>59</v>
      </c>
      <c r="G10" s="516">
        <v>35</v>
      </c>
      <c r="H10" s="514">
        <v>219</v>
      </c>
      <c r="I10" s="514">
        <v>79</v>
      </c>
      <c r="J10" s="514">
        <v>75</v>
      </c>
      <c r="K10" s="514">
        <v>65</v>
      </c>
      <c r="L10" s="514">
        <v>59</v>
      </c>
      <c r="M10" s="514">
        <v>35</v>
      </c>
      <c r="N10" s="515">
        <v>219</v>
      </c>
      <c r="O10" s="515">
        <v>79</v>
      </c>
      <c r="P10" s="515">
        <v>75</v>
      </c>
      <c r="Q10" s="515">
        <v>65</v>
      </c>
      <c r="R10" s="514">
        <v>219</v>
      </c>
      <c r="S10" s="514">
        <v>79</v>
      </c>
      <c r="T10" s="514">
        <v>75</v>
      </c>
      <c r="U10" s="514">
        <v>65</v>
      </c>
      <c r="V10" s="514">
        <v>59</v>
      </c>
      <c r="W10" s="514">
        <v>35</v>
      </c>
      <c r="X10" s="512">
        <v>219</v>
      </c>
      <c r="Y10" s="512">
        <v>89</v>
      </c>
      <c r="Z10" s="512">
        <v>79</v>
      </c>
      <c r="AA10" s="512">
        <v>69</v>
      </c>
      <c r="AB10" s="512">
        <v>65</v>
      </c>
      <c r="AC10" s="512">
        <v>39</v>
      </c>
      <c r="AD10" s="513">
        <v>219</v>
      </c>
      <c r="AE10" s="513">
        <v>89</v>
      </c>
      <c r="AF10" s="513">
        <v>79</v>
      </c>
      <c r="AG10" s="513">
        <v>69</v>
      </c>
      <c r="AH10" s="512">
        <v>219</v>
      </c>
      <c r="AI10" s="512">
        <v>89</v>
      </c>
      <c r="AJ10" s="512">
        <v>79</v>
      </c>
      <c r="AK10" s="512">
        <v>69</v>
      </c>
      <c r="AL10" s="512">
        <v>65</v>
      </c>
      <c r="AM10" s="512">
        <v>39</v>
      </c>
      <c r="AN10" s="510">
        <v>235</v>
      </c>
      <c r="AO10" s="510">
        <v>95</v>
      </c>
      <c r="AP10" s="510">
        <v>89</v>
      </c>
      <c r="AQ10" s="510">
        <v>75</v>
      </c>
      <c r="AR10" s="510">
        <v>65</v>
      </c>
      <c r="AS10" s="510">
        <v>45</v>
      </c>
      <c r="AT10" s="511">
        <v>235</v>
      </c>
      <c r="AU10" s="511">
        <v>95</v>
      </c>
      <c r="AV10" s="511">
        <v>89</v>
      </c>
      <c r="AW10" s="511">
        <v>75</v>
      </c>
      <c r="AX10" s="510">
        <v>235</v>
      </c>
      <c r="AY10" s="510">
        <v>95</v>
      </c>
      <c r="AZ10" s="510">
        <v>89</v>
      </c>
      <c r="BA10" s="510">
        <v>75</v>
      </c>
      <c r="BB10" s="510">
        <v>65</v>
      </c>
      <c r="BC10" s="510">
        <v>45</v>
      </c>
      <c r="BD10" s="509">
        <v>245</v>
      </c>
      <c r="BE10" s="509">
        <v>105</v>
      </c>
      <c r="BF10" s="509">
        <v>95</v>
      </c>
      <c r="BG10" s="509">
        <v>79</v>
      </c>
      <c r="BH10" s="509">
        <v>69</v>
      </c>
      <c r="BI10" s="509">
        <v>49</v>
      </c>
      <c r="BJ10" s="508">
        <v>245</v>
      </c>
      <c r="BK10" s="508">
        <v>105</v>
      </c>
      <c r="BL10" s="508">
        <v>95</v>
      </c>
      <c r="BM10" s="508">
        <v>79</v>
      </c>
      <c r="BN10" s="509">
        <v>245</v>
      </c>
      <c r="BO10" s="509">
        <v>105</v>
      </c>
      <c r="BP10" s="509">
        <v>95</v>
      </c>
      <c r="BQ10" s="509">
        <v>79</v>
      </c>
      <c r="BR10" s="509">
        <v>69</v>
      </c>
      <c r="BS10" s="509">
        <v>49</v>
      </c>
      <c r="BT10" s="508">
        <v>245</v>
      </c>
      <c r="BU10" s="508">
        <v>105</v>
      </c>
      <c r="BV10" s="508">
        <v>95</v>
      </c>
      <c r="BW10" s="508">
        <v>79</v>
      </c>
      <c r="BX10" s="508">
        <v>69</v>
      </c>
      <c r="BY10" s="508">
        <v>49</v>
      </c>
    </row>
    <row r="11" spans="1:77">
      <c r="A11" s="507" t="s">
        <v>875</v>
      </c>
      <c r="B11" s="506">
        <f t="shared" ref="B11:AG11" si="0">B15</f>
        <v>22800</v>
      </c>
      <c r="C11" s="506">
        <f t="shared" si="0"/>
        <v>8300</v>
      </c>
      <c r="D11" s="506">
        <f t="shared" si="0"/>
        <v>7500</v>
      </c>
      <c r="E11" s="506">
        <f t="shared" si="0"/>
        <v>6800</v>
      </c>
      <c r="F11" s="506">
        <f t="shared" si="0"/>
        <v>6000</v>
      </c>
      <c r="G11" s="506">
        <f t="shared" si="0"/>
        <v>3700</v>
      </c>
      <c r="H11" s="504">
        <f t="shared" si="0"/>
        <v>22800</v>
      </c>
      <c r="I11" s="504">
        <f t="shared" si="0"/>
        <v>8300</v>
      </c>
      <c r="J11" s="504">
        <f t="shared" si="0"/>
        <v>7500</v>
      </c>
      <c r="K11" s="504">
        <f t="shared" si="0"/>
        <v>6800</v>
      </c>
      <c r="L11" s="504">
        <f t="shared" si="0"/>
        <v>6000</v>
      </c>
      <c r="M11" s="504">
        <f t="shared" si="0"/>
        <v>3700</v>
      </c>
      <c r="N11" s="505">
        <f t="shared" si="0"/>
        <v>22800</v>
      </c>
      <c r="O11" s="505">
        <f t="shared" si="0"/>
        <v>8300</v>
      </c>
      <c r="P11" s="505">
        <f t="shared" si="0"/>
        <v>7500</v>
      </c>
      <c r="Q11" s="505">
        <f t="shared" si="0"/>
        <v>6800</v>
      </c>
      <c r="R11" s="504">
        <f t="shared" si="0"/>
        <v>22800</v>
      </c>
      <c r="S11" s="504">
        <f t="shared" si="0"/>
        <v>8300</v>
      </c>
      <c r="T11" s="504">
        <f t="shared" si="0"/>
        <v>7500</v>
      </c>
      <c r="U11" s="504">
        <f t="shared" si="0"/>
        <v>6800</v>
      </c>
      <c r="V11" s="504">
        <f t="shared" si="0"/>
        <v>6000</v>
      </c>
      <c r="W11" s="504">
        <f t="shared" si="0"/>
        <v>3700</v>
      </c>
      <c r="X11" s="502">
        <f t="shared" si="0"/>
        <v>22800</v>
      </c>
      <c r="Y11" s="502">
        <f t="shared" si="0"/>
        <v>9100</v>
      </c>
      <c r="Z11" s="502">
        <f t="shared" si="0"/>
        <v>8300</v>
      </c>
      <c r="AA11" s="502">
        <f t="shared" si="0"/>
        <v>7200</v>
      </c>
      <c r="AB11" s="502">
        <f t="shared" si="0"/>
        <v>6500</v>
      </c>
      <c r="AC11" s="502">
        <f t="shared" si="0"/>
        <v>4200</v>
      </c>
      <c r="AD11" s="503">
        <f t="shared" si="0"/>
        <v>22800</v>
      </c>
      <c r="AE11" s="503">
        <f t="shared" si="0"/>
        <v>9100</v>
      </c>
      <c r="AF11" s="503">
        <f t="shared" si="0"/>
        <v>8300</v>
      </c>
      <c r="AG11" s="503">
        <f t="shared" si="0"/>
        <v>7200</v>
      </c>
      <c r="AH11" s="502">
        <f t="shared" ref="AH11:BM11" si="1">AH15</f>
        <v>22800</v>
      </c>
      <c r="AI11" s="502">
        <f t="shared" si="1"/>
        <v>9100</v>
      </c>
      <c r="AJ11" s="502">
        <f t="shared" si="1"/>
        <v>8300</v>
      </c>
      <c r="AK11" s="502">
        <f t="shared" si="1"/>
        <v>7200</v>
      </c>
      <c r="AL11" s="502">
        <f t="shared" si="1"/>
        <v>6500</v>
      </c>
      <c r="AM11" s="502">
        <f t="shared" si="1"/>
        <v>4200</v>
      </c>
      <c r="AN11" s="500">
        <f t="shared" si="1"/>
        <v>24300</v>
      </c>
      <c r="AO11" s="500">
        <f t="shared" si="1"/>
        <v>9800</v>
      </c>
      <c r="AP11" s="500">
        <f t="shared" si="1"/>
        <v>9100</v>
      </c>
      <c r="AQ11" s="500">
        <f t="shared" si="1"/>
        <v>7500</v>
      </c>
      <c r="AR11" s="500">
        <f t="shared" si="1"/>
        <v>6800</v>
      </c>
      <c r="AS11" s="500">
        <f t="shared" si="1"/>
        <v>4500</v>
      </c>
      <c r="AT11" s="501">
        <f t="shared" si="1"/>
        <v>24300</v>
      </c>
      <c r="AU11" s="501">
        <f t="shared" si="1"/>
        <v>9800</v>
      </c>
      <c r="AV11" s="501">
        <f t="shared" si="1"/>
        <v>9100</v>
      </c>
      <c r="AW11" s="501">
        <f t="shared" si="1"/>
        <v>7500</v>
      </c>
      <c r="AX11" s="500">
        <f t="shared" si="1"/>
        <v>24300</v>
      </c>
      <c r="AY11" s="500">
        <f t="shared" si="1"/>
        <v>9800</v>
      </c>
      <c r="AZ11" s="500">
        <f t="shared" si="1"/>
        <v>9100</v>
      </c>
      <c r="BA11" s="500">
        <f t="shared" si="1"/>
        <v>7500</v>
      </c>
      <c r="BB11" s="500">
        <f t="shared" si="1"/>
        <v>6800</v>
      </c>
      <c r="BC11" s="500">
        <f t="shared" si="1"/>
        <v>4500</v>
      </c>
      <c r="BD11" s="499">
        <f t="shared" si="1"/>
        <v>25100</v>
      </c>
      <c r="BE11" s="499">
        <f t="shared" si="1"/>
        <v>10600</v>
      </c>
      <c r="BF11" s="499">
        <f t="shared" si="1"/>
        <v>9800</v>
      </c>
      <c r="BG11" s="499">
        <f t="shared" si="1"/>
        <v>8300</v>
      </c>
      <c r="BH11" s="499">
        <f t="shared" si="1"/>
        <v>7200</v>
      </c>
      <c r="BI11" s="499">
        <f t="shared" si="1"/>
        <v>4900</v>
      </c>
      <c r="BJ11" s="498">
        <f t="shared" si="1"/>
        <v>25100</v>
      </c>
      <c r="BK11" s="498">
        <f t="shared" si="1"/>
        <v>10600</v>
      </c>
      <c r="BL11" s="498">
        <f t="shared" si="1"/>
        <v>9800</v>
      </c>
      <c r="BM11" s="498">
        <f t="shared" si="1"/>
        <v>8300</v>
      </c>
      <c r="BN11" s="499">
        <f t="shared" ref="BN11:BY11" si="2">BN15</f>
        <v>25100</v>
      </c>
      <c r="BO11" s="499">
        <f t="shared" si="2"/>
        <v>10600</v>
      </c>
      <c r="BP11" s="499">
        <f t="shared" si="2"/>
        <v>9800</v>
      </c>
      <c r="BQ11" s="499">
        <f t="shared" si="2"/>
        <v>8300</v>
      </c>
      <c r="BR11" s="499">
        <f t="shared" si="2"/>
        <v>7200</v>
      </c>
      <c r="BS11" s="499">
        <f t="shared" si="2"/>
        <v>4900</v>
      </c>
      <c r="BT11" s="498">
        <f t="shared" si="2"/>
        <v>25100</v>
      </c>
      <c r="BU11" s="498">
        <f t="shared" si="2"/>
        <v>10600</v>
      </c>
      <c r="BV11" s="498">
        <f t="shared" si="2"/>
        <v>9800</v>
      </c>
      <c r="BW11" s="498">
        <f t="shared" si="2"/>
        <v>8300</v>
      </c>
      <c r="BX11" s="498">
        <f t="shared" si="2"/>
        <v>7200</v>
      </c>
      <c r="BY11" s="498">
        <f t="shared" si="2"/>
        <v>4900</v>
      </c>
    </row>
    <row r="12" spans="1:77">
      <c r="A12" s="497" t="s">
        <v>876</v>
      </c>
      <c r="B12" s="991" t="s">
        <v>877</v>
      </c>
      <c r="C12" s="991" t="s">
        <v>878</v>
      </c>
      <c r="D12" s="991" t="s">
        <v>879</v>
      </c>
      <c r="E12" s="991" t="s">
        <v>880</v>
      </c>
      <c r="F12" s="991" t="s">
        <v>881</v>
      </c>
      <c r="G12" s="991" t="s">
        <v>882</v>
      </c>
      <c r="H12" s="979" t="s">
        <v>877</v>
      </c>
      <c r="I12" s="979" t="s">
        <v>878</v>
      </c>
      <c r="J12" s="979" t="s">
        <v>879</v>
      </c>
      <c r="K12" s="979" t="s">
        <v>880</v>
      </c>
      <c r="L12" s="979" t="s">
        <v>883</v>
      </c>
      <c r="M12" s="979" t="s">
        <v>884</v>
      </c>
      <c r="N12" s="992" t="s">
        <v>877</v>
      </c>
      <c r="O12" s="992" t="s">
        <v>878</v>
      </c>
      <c r="P12" s="992" t="s">
        <v>879</v>
      </c>
      <c r="Q12" s="992" t="s">
        <v>880</v>
      </c>
      <c r="R12" s="979" t="s">
        <v>877</v>
      </c>
      <c r="S12" s="979" t="s">
        <v>878</v>
      </c>
      <c r="T12" s="979" t="s">
        <v>879</v>
      </c>
      <c r="U12" s="979" t="s">
        <v>880</v>
      </c>
      <c r="V12" s="979" t="s">
        <v>883</v>
      </c>
      <c r="W12" s="979" t="s">
        <v>884</v>
      </c>
      <c r="X12" s="980" t="s">
        <v>877</v>
      </c>
      <c r="Y12" s="980" t="s">
        <v>878</v>
      </c>
      <c r="Z12" s="980" t="s">
        <v>879</v>
      </c>
      <c r="AA12" s="980" t="s">
        <v>880</v>
      </c>
      <c r="AB12" s="980" t="s">
        <v>883</v>
      </c>
      <c r="AC12" s="980" t="s">
        <v>884</v>
      </c>
      <c r="AD12" s="993" t="s">
        <v>877</v>
      </c>
      <c r="AE12" s="993" t="s">
        <v>878</v>
      </c>
      <c r="AF12" s="993" t="s">
        <v>879</v>
      </c>
      <c r="AG12" s="993" t="s">
        <v>880</v>
      </c>
      <c r="AH12" s="980" t="s">
        <v>877</v>
      </c>
      <c r="AI12" s="980" t="s">
        <v>878</v>
      </c>
      <c r="AJ12" s="980" t="s">
        <v>879</v>
      </c>
      <c r="AK12" s="980" t="s">
        <v>880</v>
      </c>
      <c r="AL12" s="980" t="s">
        <v>883</v>
      </c>
      <c r="AM12" s="980" t="s">
        <v>884</v>
      </c>
      <c r="AN12" s="981" t="s">
        <v>877</v>
      </c>
      <c r="AO12" s="981" t="s">
        <v>878</v>
      </c>
      <c r="AP12" s="981" t="s">
        <v>879</v>
      </c>
      <c r="AQ12" s="981" t="s">
        <v>880</v>
      </c>
      <c r="AR12" s="981" t="s">
        <v>883</v>
      </c>
      <c r="AS12" s="981" t="s">
        <v>884</v>
      </c>
      <c r="AT12" s="994" t="s">
        <v>877</v>
      </c>
      <c r="AU12" s="994" t="s">
        <v>878</v>
      </c>
      <c r="AV12" s="994" t="s">
        <v>879</v>
      </c>
      <c r="AW12" s="994" t="s">
        <v>880</v>
      </c>
      <c r="AX12" s="981" t="s">
        <v>877</v>
      </c>
      <c r="AY12" s="981" t="s">
        <v>878</v>
      </c>
      <c r="AZ12" s="981" t="s">
        <v>879</v>
      </c>
      <c r="BA12" s="981" t="s">
        <v>880</v>
      </c>
      <c r="BB12" s="981" t="s">
        <v>883</v>
      </c>
      <c r="BC12" s="981" t="s">
        <v>884</v>
      </c>
      <c r="BD12" s="982" t="s">
        <v>877</v>
      </c>
      <c r="BE12" s="982" t="s">
        <v>878</v>
      </c>
      <c r="BF12" s="982" t="s">
        <v>879</v>
      </c>
      <c r="BG12" s="982" t="s">
        <v>880</v>
      </c>
      <c r="BH12" s="982" t="s">
        <v>883</v>
      </c>
      <c r="BI12" s="982" t="s">
        <v>884</v>
      </c>
      <c r="BJ12" s="995" t="s">
        <v>877</v>
      </c>
      <c r="BK12" s="995" t="s">
        <v>878</v>
      </c>
      <c r="BL12" s="995" t="s">
        <v>879</v>
      </c>
      <c r="BM12" s="995" t="s">
        <v>880</v>
      </c>
      <c r="BN12" s="982" t="s">
        <v>877</v>
      </c>
      <c r="BO12" s="982" t="s">
        <v>878</v>
      </c>
      <c r="BP12" s="982" t="s">
        <v>879</v>
      </c>
      <c r="BQ12" s="982" t="s">
        <v>880</v>
      </c>
      <c r="BR12" s="982" t="s">
        <v>883</v>
      </c>
      <c r="BS12" s="982" t="s">
        <v>884</v>
      </c>
      <c r="BT12" s="995" t="s">
        <v>877</v>
      </c>
      <c r="BU12" s="995" t="s">
        <v>878</v>
      </c>
      <c r="BV12" s="995" t="s">
        <v>879</v>
      </c>
      <c r="BW12" s="995" t="s">
        <v>880</v>
      </c>
      <c r="BX12" s="995" t="s">
        <v>883</v>
      </c>
      <c r="BY12" s="995" t="s">
        <v>884</v>
      </c>
    </row>
    <row r="14" spans="1:77" hidden="1">
      <c r="A14" s="494" t="s">
        <v>885</v>
      </c>
      <c r="B14" s="496">
        <f t="shared" ref="B14:AG14" si="3">B8*76.15</f>
        <v>22768.850000000002</v>
      </c>
      <c r="C14" s="496">
        <f t="shared" si="3"/>
        <v>8300.35</v>
      </c>
      <c r="D14" s="496">
        <f t="shared" si="3"/>
        <v>7538.85</v>
      </c>
      <c r="E14" s="496">
        <f t="shared" si="3"/>
        <v>6777.35</v>
      </c>
      <c r="F14" s="496">
        <f t="shared" si="3"/>
        <v>6015.85</v>
      </c>
      <c r="G14" s="496">
        <f t="shared" si="3"/>
        <v>3731.3500000000004</v>
      </c>
      <c r="H14" s="496">
        <f t="shared" si="3"/>
        <v>22768.850000000002</v>
      </c>
      <c r="I14" s="496">
        <f t="shared" si="3"/>
        <v>8300.35</v>
      </c>
      <c r="J14" s="496">
        <f t="shared" si="3"/>
        <v>7538.85</v>
      </c>
      <c r="K14" s="496">
        <f t="shared" si="3"/>
        <v>6777.35</v>
      </c>
      <c r="L14" s="496">
        <f t="shared" si="3"/>
        <v>6015.85</v>
      </c>
      <c r="M14" s="496">
        <f t="shared" si="3"/>
        <v>3731.3500000000004</v>
      </c>
      <c r="N14" s="496">
        <f t="shared" si="3"/>
        <v>22768.850000000002</v>
      </c>
      <c r="O14" s="496">
        <f t="shared" si="3"/>
        <v>8300.35</v>
      </c>
      <c r="P14" s="496">
        <f t="shared" si="3"/>
        <v>7538.85</v>
      </c>
      <c r="Q14" s="496">
        <f t="shared" si="3"/>
        <v>6777.35</v>
      </c>
      <c r="R14" s="496">
        <f t="shared" si="3"/>
        <v>22768.850000000002</v>
      </c>
      <c r="S14" s="496">
        <f t="shared" si="3"/>
        <v>8300.35</v>
      </c>
      <c r="T14" s="496">
        <f t="shared" si="3"/>
        <v>7538.85</v>
      </c>
      <c r="U14" s="496">
        <f t="shared" si="3"/>
        <v>6777.35</v>
      </c>
      <c r="V14" s="496">
        <f t="shared" si="3"/>
        <v>6015.85</v>
      </c>
      <c r="W14" s="496">
        <f t="shared" si="3"/>
        <v>3731.3500000000004</v>
      </c>
      <c r="X14" s="496">
        <f t="shared" si="3"/>
        <v>22768.850000000002</v>
      </c>
      <c r="Y14" s="496">
        <f t="shared" si="3"/>
        <v>9061.85</v>
      </c>
      <c r="Z14" s="496">
        <f t="shared" si="3"/>
        <v>8300.35</v>
      </c>
      <c r="AA14" s="496">
        <f t="shared" si="3"/>
        <v>7234.2500000000009</v>
      </c>
      <c r="AB14" s="496">
        <f t="shared" si="3"/>
        <v>6472.7500000000009</v>
      </c>
      <c r="AC14" s="496">
        <f t="shared" si="3"/>
        <v>4188.25</v>
      </c>
      <c r="AD14" s="496">
        <f t="shared" si="3"/>
        <v>22768.850000000002</v>
      </c>
      <c r="AE14" s="496">
        <f t="shared" si="3"/>
        <v>9061.85</v>
      </c>
      <c r="AF14" s="496">
        <f t="shared" si="3"/>
        <v>8300.35</v>
      </c>
      <c r="AG14" s="496">
        <f t="shared" si="3"/>
        <v>7234.2500000000009</v>
      </c>
      <c r="AH14" s="496">
        <f t="shared" ref="AH14:BM14" si="4">AH8*76.15</f>
        <v>22768.850000000002</v>
      </c>
      <c r="AI14" s="496">
        <f t="shared" si="4"/>
        <v>9061.85</v>
      </c>
      <c r="AJ14" s="496">
        <f t="shared" si="4"/>
        <v>8300.35</v>
      </c>
      <c r="AK14" s="496">
        <f t="shared" si="4"/>
        <v>7234.2500000000009</v>
      </c>
      <c r="AL14" s="496">
        <f t="shared" si="4"/>
        <v>6472.7500000000009</v>
      </c>
      <c r="AM14" s="496">
        <f t="shared" si="4"/>
        <v>4188.25</v>
      </c>
      <c r="AN14" s="496">
        <f t="shared" si="4"/>
        <v>24291.850000000002</v>
      </c>
      <c r="AO14" s="496">
        <f t="shared" si="4"/>
        <v>9823.35</v>
      </c>
      <c r="AP14" s="496">
        <f t="shared" si="4"/>
        <v>9061.85</v>
      </c>
      <c r="AQ14" s="496">
        <f t="shared" si="4"/>
        <v>7538.85</v>
      </c>
      <c r="AR14" s="496">
        <f t="shared" si="4"/>
        <v>6777.35</v>
      </c>
      <c r="AS14" s="496">
        <f t="shared" si="4"/>
        <v>4492.8500000000004</v>
      </c>
      <c r="AT14" s="496">
        <f t="shared" si="4"/>
        <v>24291.850000000002</v>
      </c>
      <c r="AU14" s="496">
        <f t="shared" si="4"/>
        <v>9823.35</v>
      </c>
      <c r="AV14" s="496">
        <f t="shared" si="4"/>
        <v>9061.85</v>
      </c>
      <c r="AW14" s="496">
        <f t="shared" si="4"/>
        <v>7538.85</v>
      </c>
      <c r="AX14" s="496">
        <f t="shared" si="4"/>
        <v>24291.850000000002</v>
      </c>
      <c r="AY14" s="496">
        <f t="shared" si="4"/>
        <v>9823.35</v>
      </c>
      <c r="AZ14" s="496">
        <f t="shared" si="4"/>
        <v>9061.85</v>
      </c>
      <c r="BA14" s="496">
        <f t="shared" si="4"/>
        <v>7538.85</v>
      </c>
      <c r="BB14" s="496">
        <f t="shared" si="4"/>
        <v>6777.35</v>
      </c>
      <c r="BC14" s="496">
        <f t="shared" si="4"/>
        <v>4492.8500000000004</v>
      </c>
      <c r="BD14" s="496">
        <f t="shared" si="4"/>
        <v>25053.350000000002</v>
      </c>
      <c r="BE14" s="496">
        <f t="shared" si="4"/>
        <v>10584.85</v>
      </c>
      <c r="BF14" s="496">
        <f t="shared" si="4"/>
        <v>9823.35</v>
      </c>
      <c r="BG14" s="496">
        <f t="shared" si="4"/>
        <v>8300.35</v>
      </c>
      <c r="BH14" s="496">
        <f t="shared" si="4"/>
        <v>7234.2500000000009</v>
      </c>
      <c r="BI14" s="496">
        <f t="shared" si="4"/>
        <v>4949.75</v>
      </c>
      <c r="BJ14" s="496">
        <f t="shared" si="4"/>
        <v>25053.350000000002</v>
      </c>
      <c r="BK14" s="496">
        <f t="shared" si="4"/>
        <v>10584.85</v>
      </c>
      <c r="BL14" s="496">
        <f t="shared" si="4"/>
        <v>9823.35</v>
      </c>
      <c r="BM14" s="496">
        <f t="shared" si="4"/>
        <v>8300.35</v>
      </c>
      <c r="BN14" s="496">
        <f t="shared" ref="BN14:BY14" si="5">BN8*76.15</f>
        <v>25053.350000000002</v>
      </c>
      <c r="BO14" s="496">
        <f t="shared" si="5"/>
        <v>10584.85</v>
      </c>
      <c r="BP14" s="496">
        <f t="shared" si="5"/>
        <v>9823.35</v>
      </c>
      <c r="BQ14" s="496">
        <f t="shared" si="5"/>
        <v>8300.35</v>
      </c>
      <c r="BR14" s="496">
        <f t="shared" si="5"/>
        <v>7234.2500000000009</v>
      </c>
      <c r="BS14" s="496">
        <f t="shared" si="5"/>
        <v>4949.75</v>
      </c>
      <c r="BT14" s="496">
        <f t="shared" si="5"/>
        <v>25053.350000000002</v>
      </c>
      <c r="BU14" s="496">
        <f t="shared" si="5"/>
        <v>10584.85</v>
      </c>
      <c r="BV14" s="496">
        <f t="shared" si="5"/>
        <v>9823.35</v>
      </c>
      <c r="BW14" s="496">
        <f t="shared" si="5"/>
        <v>8300.35</v>
      </c>
      <c r="BX14" s="496">
        <f t="shared" si="5"/>
        <v>7234.2500000000009</v>
      </c>
      <c r="BY14" s="496">
        <f t="shared" si="5"/>
        <v>4949.75</v>
      </c>
    </row>
    <row r="15" spans="1:77" hidden="1">
      <c r="B15" s="495">
        <f t="shared" ref="B15:AG15" si="6">ROUND(B14,-2)</f>
        <v>22800</v>
      </c>
      <c r="C15" s="495">
        <f t="shared" si="6"/>
        <v>8300</v>
      </c>
      <c r="D15" s="495">
        <f t="shared" si="6"/>
        <v>7500</v>
      </c>
      <c r="E15" s="495">
        <f t="shared" si="6"/>
        <v>6800</v>
      </c>
      <c r="F15" s="495">
        <f t="shared" si="6"/>
        <v>6000</v>
      </c>
      <c r="G15" s="495">
        <f t="shared" si="6"/>
        <v>3700</v>
      </c>
      <c r="H15" s="495">
        <f t="shared" si="6"/>
        <v>22800</v>
      </c>
      <c r="I15" s="495">
        <f t="shared" si="6"/>
        <v>8300</v>
      </c>
      <c r="J15" s="495">
        <f t="shared" si="6"/>
        <v>7500</v>
      </c>
      <c r="K15" s="495">
        <f t="shared" si="6"/>
        <v>6800</v>
      </c>
      <c r="L15" s="495">
        <f t="shared" si="6"/>
        <v>6000</v>
      </c>
      <c r="M15" s="495">
        <f t="shared" si="6"/>
        <v>3700</v>
      </c>
      <c r="N15" s="495">
        <f t="shared" si="6"/>
        <v>22800</v>
      </c>
      <c r="O15" s="495">
        <f t="shared" si="6"/>
        <v>8300</v>
      </c>
      <c r="P15" s="495">
        <f t="shared" si="6"/>
        <v>7500</v>
      </c>
      <c r="Q15" s="495">
        <f t="shared" si="6"/>
        <v>6800</v>
      </c>
      <c r="R15" s="495">
        <f t="shared" si="6"/>
        <v>22800</v>
      </c>
      <c r="S15" s="495">
        <f t="shared" si="6"/>
        <v>8300</v>
      </c>
      <c r="T15" s="495">
        <f t="shared" si="6"/>
        <v>7500</v>
      </c>
      <c r="U15" s="495">
        <f t="shared" si="6"/>
        <v>6800</v>
      </c>
      <c r="V15" s="495">
        <f t="shared" si="6"/>
        <v>6000</v>
      </c>
      <c r="W15" s="495">
        <f t="shared" si="6"/>
        <v>3700</v>
      </c>
      <c r="X15" s="495">
        <f t="shared" si="6"/>
        <v>22800</v>
      </c>
      <c r="Y15" s="495">
        <f t="shared" si="6"/>
        <v>9100</v>
      </c>
      <c r="Z15" s="495">
        <f t="shared" si="6"/>
        <v>8300</v>
      </c>
      <c r="AA15" s="495">
        <f t="shared" si="6"/>
        <v>7200</v>
      </c>
      <c r="AB15" s="495">
        <f t="shared" si="6"/>
        <v>6500</v>
      </c>
      <c r="AC15" s="495">
        <f t="shared" si="6"/>
        <v>4200</v>
      </c>
      <c r="AD15" s="495">
        <f t="shared" si="6"/>
        <v>22800</v>
      </c>
      <c r="AE15" s="495">
        <f t="shared" si="6"/>
        <v>9100</v>
      </c>
      <c r="AF15" s="495">
        <f t="shared" si="6"/>
        <v>8300</v>
      </c>
      <c r="AG15" s="495">
        <f t="shared" si="6"/>
        <v>7200</v>
      </c>
      <c r="AH15" s="495">
        <f t="shared" ref="AH15:BM15" si="7">ROUND(AH14,-2)</f>
        <v>22800</v>
      </c>
      <c r="AI15" s="495">
        <f t="shared" si="7"/>
        <v>9100</v>
      </c>
      <c r="AJ15" s="495">
        <f t="shared" si="7"/>
        <v>8300</v>
      </c>
      <c r="AK15" s="495">
        <f t="shared" si="7"/>
        <v>7200</v>
      </c>
      <c r="AL15" s="495">
        <f t="shared" si="7"/>
        <v>6500</v>
      </c>
      <c r="AM15" s="495">
        <f t="shared" si="7"/>
        <v>4200</v>
      </c>
      <c r="AN15" s="495">
        <f t="shared" si="7"/>
        <v>24300</v>
      </c>
      <c r="AO15" s="495">
        <f t="shared" si="7"/>
        <v>9800</v>
      </c>
      <c r="AP15" s="495">
        <f t="shared" si="7"/>
        <v>9100</v>
      </c>
      <c r="AQ15" s="495">
        <f t="shared" si="7"/>
        <v>7500</v>
      </c>
      <c r="AR15" s="495">
        <f t="shared" si="7"/>
        <v>6800</v>
      </c>
      <c r="AS15" s="495">
        <f t="shared" si="7"/>
        <v>4500</v>
      </c>
      <c r="AT15" s="495">
        <f t="shared" si="7"/>
        <v>24300</v>
      </c>
      <c r="AU15" s="495">
        <f t="shared" si="7"/>
        <v>9800</v>
      </c>
      <c r="AV15" s="495">
        <f t="shared" si="7"/>
        <v>9100</v>
      </c>
      <c r="AW15" s="495">
        <f t="shared" si="7"/>
        <v>7500</v>
      </c>
      <c r="AX15" s="495">
        <f t="shared" si="7"/>
        <v>24300</v>
      </c>
      <c r="AY15" s="495">
        <f t="shared" si="7"/>
        <v>9800</v>
      </c>
      <c r="AZ15" s="495">
        <f t="shared" si="7"/>
        <v>9100</v>
      </c>
      <c r="BA15" s="495">
        <f t="shared" si="7"/>
        <v>7500</v>
      </c>
      <c r="BB15" s="495">
        <f t="shared" si="7"/>
        <v>6800</v>
      </c>
      <c r="BC15" s="495">
        <f t="shared" si="7"/>
        <v>4500</v>
      </c>
      <c r="BD15" s="495">
        <f t="shared" si="7"/>
        <v>25100</v>
      </c>
      <c r="BE15" s="495">
        <f t="shared" si="7"/>
        <v>10600</v>
      </c>
      <c r="BF15" s="495">
        <f t="shared" si="7"/>
        <v>9800</v>
      </c>
      <c r="BG15" s="495">
        <f t="shared" si="7"/>
        <v>8300</v>
      </c>
      <c r="BH15" s="495">
        <f t="shared" si="7"/>
        <v>7200</v>
      </c>
      <c r="BI15" s="495">
        <f t="shared" si="7"/>
        <v>4900</v>
      </c>
      <c r="BJ15" s="495">
        <f t="shared" si="7"/>
        <v>25100</v>
      </c>
      <c r="BK15" s="495">
        <f t="shared" si="7"/>
        <v>10600</v>
      </c>
      <c r="BL15" s="495">
        <f t="shared" si="7"/>
        <v>9800</v>
      </c>
      <c r="BM15" s="495">
        <f t="shared" si="7"/>
        <v>8300</v>
      </c>
      <c r="BN15" s="495">
        <f t="shared" ref="BN15:BY15" si="8">ROUND(BN14,-2)</f>
        <v>25100</v>
      </c>
      <c r="BO15" s="495">
        <f t="shared" si="8"/>
        <v>10600</v>
      </c>
      <c r="BP15" s="495">
        <f t="shared" si="8"/>
        <v>9800</v>
      </c>
      <c r="BQ15" s="495">
        <f t="shared" si="8"/>
        <v>8300</v>
      </c>
      <c r="BR15" s="495">
        <f t="shared" si="8"/>
        <v>7200</v>
      </c>
      <c r="BS15" s="495">
        <f t="shared" si="8"/>
        <v>4900</v>
      </c>
      <c r="BT15" s="495">
        <f t="shared" si="8"/>
        <v>25100</v>
      </c>
      <c r="BU15" s="495">
        <f t="shared" si="8"/>
        <v>10600</v>
      </c>
      <c r="BV15" s="495">
        <f t="shared" si="8"/>
        <v>9800</v>
      </c>
      <c r="BW15" s="495">
        <f t="shared" si="8"/>
        <v>8300</v>
      </c>
      <c r="BX15" s="495">
        <f t="shared" si="8"/>
        <v>7200</v>
      </c>
      <c r="BY15" s="495">
        <f t="shared" si="8"/>
        <v>4900</v>
      </c>
    </row>
    <row r="17" spans="4:4">
      <c r="D17" s="494" t="s">
        <v>886</v>
      </c>
    </row>
  </sheetData>
  <mergeCells count="26">
    <mergeCell ref="BD4:BI4"/>
    <mergeCell ref="BT4:BY4"/>
    <mergeCell ref="X4:AC4"/>
    <mergeCell ref="AD4:AG4"/>
    <mergeCell ref="AH4:AM4"/>
    <mergeCell ref="AN4:AS4"/>
    <mergeCell ref="AT4:AW4"/>
    <mergeCell ref="AX4:BC4"/>
    <mergeCell ref="BJ4:BM4"/>
    <mergeCell ref="BN4:BS4"/>
    <mergeCell ref="R4:W4"/>
    <mergeCell ref="B1:G1"/>
    <mergeCell ref="H1:W1"/>
    <mergeCell ref="X1:AM1"/>
    <mergeCell ref="AN1:BC1"/>
    <mergeCell ref="F2:F3"/>
    <mergeCell ref="G2:G3"/>
    <mergeCell ref="B4:G4"/>
    <mergeCell ref="H4:M4"/>
    <mergeCell ref="N4:Q4"/>
    <mergeCell ref="BD1:BY1"/>
    <mergeCell ref="A2:A3"/>
    <mergeCell ref="B2:B3"/>
    <mergeCell ref="C2:C3"/>
    <mergeCell ref="D2:D3"/>
    <mergeCell ref="E2:E3"/>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66A89-A0A8-4766-B39C-732674043043}">
  <sheetPr>
    <tabColor rgb="FF92D050"/>
    <pageSetUpPr fitToPage="1"/>
  </sheetPr>
  <dimension ref="A1:AF43"/>
  <sheetViews>
    <sheetView workbookViewId="0">
      <selection activeCell="G335" sqref="G335"/>
    </sheetView>
  </sheetViews>
  <sheetFormatPr defaultColWidth="12.5703125" defaultRowHeight="12.75"/>
  <cols>
    <col min="1" max="3" width="29.85546875" customWidth="1"/>
    <col min="4" max="10" width="5.5703125" style="264" customWidth="1"/>
    <col min="11" max="11" width="5.5703125" style="13" customWidth="1"/>
    <col min="12" max="12" width="1.5703125" customWidth="1"/>
    <col min="13" max="19" width="5.5703125" style="264" customWidth="1"/>
    <col min="20" max="20" width="5.5703125" style="13" customWidth="1"/>
    <col min="21" max="21" width="1.5703125" customWidth="1"/>
    <col min="22" max="28" width="5.5703125" style="264" customWidth="1"/>
    <col min="29" max="29" width="5.5703125" style="13" customWidth="1"/>
    <col min="30" max="274" width="10.5703125" customWidth="1"/>
  </cols>
  <sheetData>
    <row r="1" spans="1:32" s="248" customFormat="1" ht="50.1" customHeight="1" thickBot="1">
      <c r="A1" s="255"/>
      <c r="B1" s="256"/>
      <c r="C1" s="256"/>
      <c r="D1" s="247"/>
      <c r="E1" s="247"/>
      <c r="F1" s="247"/>
      <c r="G1" s="247"/>
      <c r="H1" s="247"/>
      <c r="I1" s="247"/>
      <c r="J1" s="247"/>
      <c r="K1" s="247"/>
      <c r="L1" s="256"/>
      <c r="M1" s="247"/>
      <c r="N1" s="247"/>
      <c r="O1" s="247"/>
      <c r="P1" s="247"/>
      <c r="Q1" s="247"/>
      <c r="R1" s="247"/>
      <c r="S1" s="247"/>
      <c r="T1" s="247"/>
      <c r="U1" s="256"/>
      <c r="V1" s="247"/>
      <c r="W1" s="247"/>
      <c r="X1" s="247"/>
      <c r="Y1" s="247"/>
      <c r="Z1" s="247"/>
      <c r="AA1" s="247"/>
      <c r="AB1" s="247"/>
      <c r="AC1" s="263"/>
      <c r="AD1" s="265"/>
      <c r="AE1" s="265"/>
      <c r="AF1" s="265"/>
    </row>
    <row r="2" spans="1:32" ht="13.5" thickBot="1"/>
    <row r="3" spans="1:32" ht="12.75" customHeight="1" thickBot="1">
      <c r="D3" s="1236" t="s">
        <v>71</v>
      </c>
      <c r="E3" s="1237"/>
      <c r="F3" s="1237"/>
      <c r="G3" s="1237"/>
      <c r="H3" s="1237"/>
      <c r="I3" s="1237"/>
      <c r="J3" s="1237"/>
      <c r="K3" s="1238"/>
      <c r="L3" s="267"/>
      <c r="M3" s="1236" t="s">
        <v>66</v>
      </c>
      <c r="N3" s="1237"/>
      <c r="O3" s="1237"/>
      <c r="P3" s="1237"/>
      <c r="Q3" s="1237"/>
      <c r="R3" s="1237"/>
      <c r="S3" s="1237"/>
      <c r="T3" s="1238"/>
      <c r="U3" s="267"/>
      <c r="V3" s="1236" t="s">
        <v>225</v>
      </c>
      <c r="W3" s="1237"/>
      <c r="X3" s="1237"/>
      <c r="Y3" s="1237"/>
      <c r="Z3" s="1237"/>
      <c r="AA3" s="1237"/>
      <c r="AB3" s="1237"/>
      <c r="AC3" s="1238"/>
    </row>
    <row r="4" spans="1:32" ht="110.1" customHeight="1" thickBot="1">
      <c r="A4" s="269" t="s">
        <v>887</v>
      </c>
      <c r="B4" s="313" t="s">
        <v>2</v>
      </c>
      <c r="C4" s="273" t="s">
        <v>8</v>
      </c>
      <c r="D4" s="271" t="s">
        <v>65</v>
      </c>
      <c r="E4" s="270" t="s">
        <v>888</v>
      </c>
      <c r="F4" s="270" t="s">
        <v>70</v>
      </c>
      <c r="G4" s="270" t="s">
        <v>861</v>
      </c>
      <c r="H4" s="270" t="s">
        <v>158</v>
      </c>
      <c r="I4" s="270" t="s">
        <v>84</v>
      </c>
      <c r="J4" s="270" t="s">
        <v>889</v>
      </c>
      <c r="K4" s="272" t="s">
        <v>170</v>
      </c>
      <c r="L4" s="268"/>
      <c r="M4" s="271" t="s">
        <v>65</v>
      </c>
      <c r="N4" s="270" t="s">
        <v>888</v>
      </c>
      <c r="O4" s="270" t="s">
        <v>890</v>
      </c>
      <c r="P4" s="270" t="s">
        <v>861</v>
      </c>
      <c r="Q4" s="270" t="s">
        <v>158</v>
      </c>
      <c r="R4" s="270" t="s">
        <v>891</v>
      </c>
      <c r="S4" s="270" t="s">
        <v>889</v>
      </c>
      <c r="T4" s="272" t="s">
        <v>170</v>
      </c>
      <c r="U4" s="268"/>
      <c r="V4" s="271" t="s">
        <v>65</v>
      </c>
      <c r="W4" s="270" t="s">
        <v>888</v>
      </c>
      <c r="X4" s="270" t="s">
        <v>890</v>
      </c>
      <c r="Y4" s="270" t="s">
        <v>861</v>
      </c>
      <c r="Z4" s="270" t="s">
        <v>158</v>
      </c>
      <c r="AA4" s="270" t="s">
        <v>892</v>
      </c>
      <c r="AB4" s="270" t="s">
        <v>889</v>
      </c>
      <c r="AC4" s="272" t="s">
        <v>170</v>
      </c>
    </row>
    <row r="5" spans="1:32" ht="13.5" thickBot="1">
      <c r="A5" s="1239" t="e">
        <f>#REF!</f>
        <v>#REF!</v>
      </c>
      <c r="B5" s="1242" t="e">
        <f>#REF!</f>
        <v>#REF!</v>
      </c>
      <c r="C5" s="318" t="s">
        <v>487</v>
      </c>
      <c r="D5" s="340" t="e">
        <f>SUMIFS(#REF!,#REF!, $D$3,#REF!, $C5,#REF!, 'Estimate Summary'!D$4)</f>
        <v>#REF!</v>
      </c>
      <c r="E5" s="340" t="e">
        <f>SUMIFS(#REF!,#REF!, $D$3,#REF!, $C5,#REF!, 'Estimate Summary'!E$4)</f>
        <v>#REF!</v>
      </c>
      <c r="F5" s="340" t="e">
        <f>SUMIFS(#REF!,#REF!, $D$3,#REF!, $C5,#REF!, 'Estimate Summary'!F$4)</f>
        <v>#REF!</v>
      </c>
      <c r="G5" s="340" t="e">
        <f>SUMIFS(#REF!,#REF!, $D$3,#REF!, $C5,#REF!, 'Estimate Summary'!G$4)</f>
        <v>#REF!</v>
      </c>
      <c r="H5" s="340" t="e">
        <f>SUMIFS(#REF!,#REF!, $D$3,#REF!, $C5,#REF!, 'Estimate Summary'!H$4)</f>
        <v>#REF!</v>
      </c>
      <c r="I5" s="340" t="e">
        <f>SUMIFS(#REF!,#REF!, $D$3,#REF!, $C5,#REF!, 'Estimate Summary'!I$4)</f>
        <v>#REF!</v>
      </c>
      <c r="J5" s="340" t="e">
        <f>SUMIFS(#REF!,#REF!, $D$3,#REF!, $C5,#REF!, 'Estimate Summary'!J$4)</f>
        <v>#REF!</v>
      </c>
      <c r="K5" s="292" t="e">
        <f>SUMIFS(#REF!,#REF!, $D$3,#REF!, $C5)</f>
        <v>#REF!</v>
      </c>
      <c r="M5" s="340" t="e">
        <f>SUMIFS(#REF!,#REF!, $M$3,#REF!, $C5,#REF!, 'Estimate Summary'!M$4)</f>
        <v>#REF!</v>
      </c>
      <c r="N5" s="340" t="e">
        <f>SUMIFS(#REF!,#REF!, $M$3,#REF!, $C5,#REF!, 'Estimate Summary'!N$4)</f>
        <v>#REF!</v>
      </c>
      <c r="O5" s="340" t="e">
        <f>SUMIFS(#REF!,#REF!, $M$3,#REF!, $C5,#REF!, 'Estimate Summary'!O$4)</f>
        <v>#REF!</v>
      </c>
      <c r="P5" s="340" t="e">
        <f>SUMIFS(#REF!,#REF!, $M$3,#REF!, $C5,#REF!, 'Estimate Summary'!P$4)</f>
        <v>#REF!</v>
      </c>
      <c r="Q5" s="340" t="e">
        <f>SUMIFS(#REF!,#REF!, $M$3,#REF!, $C5,#REF!, 'Estimate Summary'!Q$4)</f>
        <v>#REF!</v>
      </c>
      <c r="R5" s="340" t="e">
        <f>SUMIFS(#REF!,#REF!, $M$3,#REF!, $C5,#REF!, 'Estimate Summary'!R$4)</f>
        <v>#REF!</v>
      </c>
      <c r="S5" s="340" t="e">
        <f>SUMIFS(#REF!,#REF!, $M$3,#REF!, $C5,#REF!, 'Estimate Summary'!S$4)</f>
        <v>#REF!</v>
      </c>
      <c r="T5" s="295" t="e">
        <f>SUMIFS(#REF!,#REF!, $M$3,#REF!, $C5)</f>
        <v>#REF!</v>
      </c>
      <c r="V5" s="289" t="e">
        <f>SUMIFS(#REF!,#REF!, $C5,#REF!, 'Estimate Summary'!V$4)</f>
        <v>#REF!</v>
      </c>
      <c r="W5" s="289" t="e">
        <f>SUMIFS(#REF!,#REF!, $C5,#REF!, 'Estimate Summary'!W$4)</f>
        <v>#REF!</v>
      </c>
      <c r="X5" s="289" t="e">
        <f>SUMIFS(#REF!,#REF!, $C5,#REF!, 'Estimate Summary'!X$4)</f>
        <v>#REF!</v>
      </c>
      <c r="Y5" s="289" t="e">
        <f>SUMIFS(#REF!,#REF!, $C5,#REF!, 'Estimate Summary'!Y$4)</f>
        <v>#REF!</v>
      </c>
      <c r="Z5" s="289" t="e">
        <f>SUMIFS(#REF!,#REF!, $C5,#REF!, 'Estimate Summary'!Z$4)</f>
        <v>#REF!</v>
      </c>
      <c r="AA5" s="289" t="e">
        <f>SUMIFS(#REF!,#REF!, $C5,#REF!, 'Estimate Summary'!AA$4)</f>
        <v>#REF!</v>
      </c>
      <c r="AB5" s="289" t="e">
        <f>SUMIFS(#REF!,#REF!, $C5,#REF!, 'Estimate Summary'!AB$4)</f>
        <v>#REF!</v>
      </c>
      <c r="AC5" s="295" t="e">
        <f>SUMIFS(#REF!,#REF!, $C5)</f>
        <v>#REF!</v>
      </c>
    </row>
    <row r="6" spans="1:32" ht="13.5" thickBot="1">
      <c r="A6" s="1240"/>
      <c r="B6" s="1243"/>
      <c r="C6" s="319" t="s">
        <v>429</v>
      </c>
      <c r="D6" s="340" t="e">
        <f>SUMIFS(#REF!,#REF!, $D$3,#REF!, $C6,#REF!, 'Estimate Summary'!D$4)</f>
        <v>#REF!</v>
      </c>
      <c r="E6" s="340" t="e">
        <f>SUMIFS(#REF!,#REF!, $D$3,#REF!, $C6,#REF!, 'Estimate Summary'!E$4)</f>
        <v>#REF!</v>
      </c>
      <c r="F6" s="340" t="e">
        <f>SUMIFS(#REF!,#REF!, $D$3,#REF!, $C6,#REF!, 'Estimate Summary'!F$4)</f>
        <v>#REF!</v>
      </c>
      <c r="G6" s="340" t="e">
        <f>SUMIFS(#REF!,#REF!, $D$3,#REF!, $C6,#REF!, 'Estimate Summary'!G$4)</f>
        <v>#REF!</v>
      </c>
      <c r="H6" s="340" t="e">
        <f>SUMIFS(#REF!,#REF!, $D$3,#REF!, $C6,#REF!, 'Estimate Summary'!H$4)</f>
        <v>#REF!</v>
      </c>
      <c r="I6" s="340" t="e">
        <f>SUMIFS(#REF!,#REF!, $D$3,#REF!, $C6,#REF!, 'Estimate Summary'!I$4)</f>
        <v>#REF!</v>
      </c>
      <c r="J6" s="340" t="e">
        <f>SUMIFS(#REF!,#REF!, $D$3,#REF!, $C6,#REF!, 'Estimate Summary'!J$4)</f>
        <v>#REF!</v>
      </c>
      <c r="K6" s="292" t="e">
        <f>SUMIFS(#REF!,#REF!, $D$3,#REF!, $C6)</f>
        <v>#REF!</v>
      </c>
      <c r="M6" s="340" t="e">
        <f>SUMIFS(#REF!,#REF!, $M$3,#REF!, $C6,#REF!, 'Estimate Summary'!M$4)</f>
        <v>#REF!</v>
      </c>
      <c r="N6" s="340" t="e">
        <f>SUMIFS(#REF!,#REF!, $M$3,#REF!, $C6,#REF!, 'Estimate Summary'!N$4)</f>
        <v>#REF!</v>
      </c>
      <c r="O6" s="340" t="e">
        <f>SUMIFS(#REF!,#REF!, $M$3,#REF!, $C6,#REF!, 'Estimate Summary'!O$4)</f>
        <v>#REF!</v>
      </c>
      <c r="P6" s="340" t="e">
        <f>SUMIFS(#REF!,#REF!, $M$3,#REF!, $C6,#REF!, 'Estimate Summary'!P$4)</f>
        <v>#REF!</v>
      </c>
      <c r="Q6" s="340" t="e">
        <f>SUMIFS(#REF!,#REF!, $M$3,#REF!, $C6,#REF!, 'Estimate Summary'!Q$4)</f>
        <v>#REF!</v>
      </c>
      <c r="R6" s="340" t="e">
        <f>SUMIFS(#REF!,#REF!, $M$3,#REF!, $C6,#REF!, 'Estimate Summary'!R$4)</f>
        <v>#REF!</v>
      </c>
      <c r="S6" s="340" t="e">
        <f>SUMIFS(#REF!,#REF!, $M$3,#REF!, $C6,#REF!, 'Estimate Summary'!S$4)</f>
        <v>#REF!</v>
      </c>
      <c r="T6" s="295" t="e">
        <f>SUMIFS(#REF!,#REF!, $M$3,#REF!, $C6)</f>
        <v>#REF!</v>
      </c>
      <c r="V6" s="289" t="e">
        <f>SUMIFS(#REF!,#REF!, $C6,#REF!, 'Estimate Summary'!V$4)</f>
        <v>#REF!</v>
      </c>
      <c r="W6" s="289" t="e">
        <f>SUMIFS(#REF!,#REF!, $C6,#REF!, 'Estimate Summary'!W$4)</f>
        <v>#REF!</v>
      </c>
      <c r="X6" s="289" t="e">
        <f>SUMIFS(#REF!,#REF!, $C6,#REF!, 'Estimate Summary'!X$4)</f>
        <v>#REF!</v>
      </c>
      <c r="Y6" s="289" t="e">
        <f>SUMIFS(#REF!,#REF!, $C6,#REF!, 'Estimate Summary'!Y$4)</f>
        <v>#REF!</v>
      </c>
      <c r="Z6" s="289" t="e">
        <f>SUMIFS(#REF!,#REF!, $C6,#REF!, 'Estimate Summary'!Z$4)</f>
        <v>#REF!</v>
      </c>
      <c r="AA6" s="289" t="e">
        <f>SUMIFS(#REF!,#REF!, $C6,#REF!, 'Estimate Summary'!AA$4)</f>
        <v>#REF!</v>
      </c>
      <c r="AB6" s="289" t="e">
        <f>SUMIFS(#REF!,#REF!, $C6,#REF!, 'Estimate Summary'!AB$4)</f>
        <v>#REF!</v>
      </c>
      <c r="AC6" s="295" t="e">
        <f>SUMIFS(#REF!,#REF!, $C6)</f>
        <v>#REF!</v>
      </c>
    </row>
    <row r="7" spans="1:32" ht="13.5" thickBot="1">
      <c r="A7" s="1240"/>
      <c r="B7" s="1243"/>
      <c r="C7" s="319" t="s">
        <v>97</v>
      </c>
      <c r="D7" s="340" t="e">
        <f>SUMIFS(#REF!,#REF!, $D$3,#REF!, $C7,#REF!, 'Estimate Summary'!D$4)</f>
        <v>#REF!</v>
      </c>
      <c r="E7" s="340" t="e">
        <f>SUMIFS(#REF!,#REF!, $D$3,#REF!, $C7,#REF!, 'Estimate Summary'!E$4)</f>
        <v>#REF!</v>
      </c>
      <c r="F7" s="340" t="e">
        <f>SUMIFS(#REF!,#REF!, $D$3,#REF!, $C7,#REF!, 'Estimate Summary'!F$4)</f>
        <v>#REF!</v>
      </c>
      <c r="G7" s="340" t="e">
        <f>SUMIFS(#REF!,#REF!, $D$3,#REF!, $C7,#REF!, "*"&amp;'Estimate Summary'!G$4&amp;"*")</f>
        <v>#REF!</v>
      </c>
      <c r="H7" s="340" t="e">
        <f>SUMIFS(#REF!,#REF!, $D$3,#REF!, $C7,#REF!, 'Estimate Summary'!H$4)</f>
        <v>#REF!</v>
      </c>
      <c r="I7" s="340" t="e">
        <f>SUMIFS(#REF!,#REF!, $D$3,#REF!, $C7,#REF!, 'Estimate Summary'!I$4)</f>
        <v>#REF!</v>
      </c>
      <c r="J7" s="340" t="e">
        <f>SUMIFS(#REF!,#REF!, $D$3,#REF!, $C7,#REF!, 'Estimate Summary'!J$4)</f>
        <v>#REF!</v>
      </c>
      <c r="K7" s="292" t="e">
        <f>SUMIFS(#REF!,#REF!, $D$3,#REF!, $C7)</f>
        <v>#REF!</v>
      </c>
      <c r="M7" s="340" t="e">
        <f>SUMIFS(#REF!,#REF!, $M$3,#REF!, $C7,#REF!, 'Estimate Summary'!M$4)</f>
        <v>#REF!</v>
      </c>
      <c r="N7" s="340" t="e">
        <f>SUMIFS(#REF!,#REF!, $M$3,#REF!, $C7,#REF!, 'Estimate Summary'!N$4)</f>
        <v>#REF!</v>
      </c>
      <c r="O7" s="340" t="e">
        <f>SUMIFS(#REF!,#REF!, $M$3,#REF!, $C7,#REF!, 'Estimate Summary'!O$4)</f>
        <v>#REF!</v>
      </c>
      <c r="P7" s="340" t="e">
        <f>SUMIFS(#REF!,#REF!, $M$3,#REF!, $C7,#REF!, "*"&amp;'Estimate Summary'!P$4&amp;"*")</f>
        <v>#REF!</v>
      </c>
      <c r="Q7" s="340" t="e">
        <f>SUMIFS(#REF!,#REF!, $M$3,#REF!, $C7,#REF!, 'Estimate Summary'!Q$4)</f>
        <v>#REF!</v>
      </c>
      <c r="R7" s="340" t="e">
        <f>SUMIFS(#REF!,#REF!, $M$3,#REF!, $C7,#REF!, 'Estimate Summary'!R$4)</f>
        <v>#REF!</v>
      </c>
      <c r="S7" s="340" t="e">
        <f>SUMIFS(#REF!,#REF!, $M$3,#REF!, $C7,#REF!, 'Estimate Summary'!S$4)</f>
        <v>#REF!</v>
      </c>
      <c r="T7" s="295" t="e">
        <f>SUMIFS(#REF!,#REF!, $M$3,#REF!, $C7)</f>
        <v>#REF!</v>
      </c>
      <c r="V7" s="289" t="e">
        <f>SUMIFS(#REF!,#REF!, $C7,#REF!, 'Estimate Summary'!V$4)</f>
        <v>#REF!</v>
      </c>
      <c r="W7" s="289" t="e">
        <f>SUMIFS(#REF!,#REF!, $C7,#REF!, 'Estimate Summary'!W$4)</f>
        <v>#REF!</v>
      </c>
      <c r="X7" s="289" t="e">
        <f>SUMIFS(#REF!,#REF!, $C7,#REF!, 'Estimate Summary'!X$4)</f>
        <v>#REF!</v>
      </c>
      <c r="Y7" s="289" t="e">
        <f>SUMIFS(#REF!,#REF!, $C7,#REF!, "*"&amp;'Estimate Summary'!Y$4&amp;"*")</f>
        <v>#REF!</v>
      </c>
      <c r="Z7" s="289" t="e">
        <f>SUMIFS(#REF!,#REF!, $C7,#REF!, 'Estimate Summary'!Z$4)</f>
        <v>#REF!</v>
      </c>
      <c r="AA7" s="289" t="e">
        <f>SUMIFS(#REF!,#REF!, $C7,#REF!, 'Estimate Summary'!AA$4)</f>
        <v>#REF!</v>
      </c>
      <c r="AB7" s="289" t="e">
        <f>SUMIFS(#REF!,#REF!, $C7,#REF!, 'Estimate Summary'!AB$4)</f>
        <v>#REF!</v>
      </c>
      <c r="AC7" s="295" t="e">
        <f>SUMIFS(#REF!,#REF!, $C7)</f>
        <v>#REF!</v>
      </c>
    </row>
    <row r="8" spans="1:32" ht="13.5" thickBot="1">
      <c r="A8" s="1240"/>
      <c r="B8" s="1243"/>
      <c r="C8" s="319" t="s">
        <v>137</v>
      </c>
      <c r="D8" s="340" t="e">
        <f>SUMIFS(#REF!,#REF!, $D$3,#REF!, $C8,#REF!, 'Estimate Summary'!D$4)</f>
        <v>#REF!</v>
      </c>
      <c r="E8" s="340" t="e">
        <f>SUMIFS(#REF!,#REF!, $D$3,#REF!, $C8,#REF!, 'Estimate Summary'!E$4)</f>
        <v>#REF!</v>
      </c>
      <c r="F8" s="340" t="e">
        <f>SUMIFS(#REF!,#REF!, $D$3,#REF!, $C8,#REF!, 'Estimate Summary'!F$4)</f>
        <v>#REF!</v>
      </c>
      <c r="G8" s="340" t="e">
        <f>SUMIFS(#REF!,#REF!, $D$3,#REF!, $C8,#REF!, "*"&amp;'Estimate Summary'!G$4&amp;"*")</f>
        <v>#REF!</v>
      </c>
      <c r="H8" s="340" t="e">
        <f>SUMIFS(#REF!,#REF!, $D$3,#REF!, $C8,#REF!, 'Estimate Summary'!H$4)</f>
        <v>#REF!</v>
      </c>
      <c r="I8" s="340" t="e">
        <f>SUMIFS(#REF!,#REF!, $D$3,#REF!, $C8,#REF!, 'Estimate Summary'!I$4)</f>
        <v>#REF!</v>
      </c>
      <c r="J8" s="340" t="e">
        <f>SUMIFS(#REF!,#REF!, $D$3,#REF!, $C8,#REF!, 'Estimate Summary'!J$4)</f>
        <v>#REF!</v>
      </c>
      <c r="K8" s="292" t="e">
        <f>SUMIFS(#REF!,#REF!, $D$3,#REF!, $C8)</f>
        <v>#REF!</v>
      </c>
      <c r="M8" s="340" t="e">
        <f>SUMIFS(#REF!,#REF!, $M$3,#REF!, $C8,#REF!, 'Estimate Summary'!M$4)</f>
        <v>#REF!</v>
      </c>
      <c r="N8" s="340" t="e">
        <f>SUMIFS(#REF!,#REF!, $M$3,#REF!, $C8,#REF!, 'Estimate Summary'!N$4)</f>
        <v>#REF!</v>
      </c>
      <c r="O8" s="340" t="e">
        <f>SUMIFS(#REF!,#REF!, $M$3,#REF!, $C8,#REF!, 'Estimate Summary'!O$4)</f>
        <v>#REF!</v>
      </c>
      <c r="P8" s="340" t="e">
        <f>SUMIFS(#REF!,#REF!, $M$3,#REF!, $C8,#REF!, "*"&amp;'Estimate Summary'!P$4&amp;"*")</f>
        <v>#REF!</v>
      </c>
      <c r="Q8" s="340" t="e">
        <f>SUMIFS(#REF!,#REF!, $M$3,#REF!, $C8,#REF!, 'Estimate Summary'!Q$4)</f>
        <v>#REF!</v>
      </c>
      <c r="R8" s="340" t="e">
        <f>SUMIFS(#REF!,#REF!, $M$3,#REF!, $C8,#REF!, 'Estimate Summary'!R$4)</f>
        <v>#REF!</v>
      </c>
      <c r="S8" s="340" t="e">
        <f>SUMIFS(#REF!,#REF!, $M$3,#REF!, $C8,#REF!, 'Estimate Summary'!S$4)</f>
        <v>#REF!</v>
      </c>
      <c r="T8" s="295" t="e">
        <f>SUMIFS(#REF!,#REF!, $M$3,#REF!, $C8)</f>
        <v>#REF!</v>
      </c>
      <c r="V8" s="289" t="e">
        <f>SUMIFS(#REF!,#REF!, $C8,#REF!, 'Estimate Summary'!V$4)</f>
        <v>#REF!</v>
      </c>
      <c r="W8" s="289" t="e">
        <f>SUMIFS(#REF!,#REF!, $C8,#REF!, 'Estimate Summary'!W$4)</f>
        <v>#REF!</v>
      </c>
      <c r="X8" s="289" t="e">
        <f>SUMIFS(#REF!,#REF!, $C8,#REF!, 'Estimate Summary'!X$4)</f>
        <v>#REF!</v>
      </c>
      <c r="Y8" s="289" t="e">
        <f>SUMIFS(#REF!,#REF!, $C8,#REF!, "*"&amp;'Estimate Summary'!Y$4&amp;"*")</f>
        <v>#REF!</v>
      </c>
      <c r="Z8" s="289" t="e">
        <f>SUMIFS(#REF!,#REF!, $C8,#REF!, 'Estimate Summary'!Z$4)</f>
        <v>#REF!</v>
      </c>
      <c r="AA8" s="289" t="e">
        <f>SUMIFS(#REF!,#REF!, $C8,#REF!, 'Estimate Summary'!AA$4)</f>
        <v>#REF!</v>
      </c>
      <c r="AB8" s="289" t="e">
        <f>SUMIFS(#REF!,#REF!, $C8,#REF!, 'Estimate Summary'!AB$4)</f>
        <v>#REF!</v>
      </c>
      <c r="AC8" s="295" t="e">
        <f>SUMIFS(#REF!,#REF!, $C8)</f>
        <v>#REF!</v>
      </c>
    </row>
    <row r="9" spans="1:32" ht="13.5" thickBot="1">
      <c r="A9" s="1240"/>
      <c r="B9" s="1243"/>
      <c r="C9" s="319" t="s">
        <v>151</v>
      </c>
      <c r="D9" s="340" t="e">
        <f>SUMIFS(#REF!,#REF!, $D$3,#REF!, $C9,#REF!, 'Estimate Summary'!D$4)</f>
        <v>#REF!</v>
      </c>
      <c r="E9" s="340" t="e">
        <f>SUMIFS(#REF!,#REF!, $D$3,#REF!, $C9,#REF!, 'Estimate Summary'!E$4)</f>
        <v>#REF!</v>
      </c>
      <c r="F9" s="340" t="e">
        <f>SUMIFS(#REF!,#REF!, $D$3,#REF!, $C9,#REF!, 'Estimate Summary'!F$4)</f>
        <v>#REF!</v>
      </c>
      <c r="G9" s="340" t="e">
        <f>SUMIFS(#REF!,#REF!, $D$3,#REF!, $C9,#REF!, 'Estimate Summary'!G$4)</f>
        <v>#REF!</v>
      </c>
      <c r="H9" s="340" t="e">
        <f>SUMIFS(#REF!,#REF!, $D$3,#REF!, $C9,#REF!, 'Estimate Summary'!H$4)</f>
        <v>#REF!</v>
      </c>
      <c r="I9" s="340" t="e">
        <f>SUMIFS(#REF!,#REF!, $D$3,#REF!, $C9,#REF!, 'Estimate Summary'!I$4)</f>
        <v>#REF!</v>
      </c>
      <c r="J9" s="340" t="e">
        <f>SUMIFS(#REF!,#REF!, $D$3,#REF!, $C9,#REF!, 'Estimate Summary'!J$4)</f>
        <v>#REF!</v>
      </c>
      <c r="K9" s="292" t="e">
        <f>SUMIFS(#REF!,#REF!, $D$3,#REF!, $C9)</f>
        <v>#REF!</v>
      </c>
      <c r="M9" s="340" t="e">
        <f>SUMIFS(#REF!,#REF!, $M$3,#REF!, $C9,#REF!, 'Estimate Summary'!M$4)</f>
        <v>#REF!</v>
      </c>
      <c r="N9" s="340" t="e">
        <f>SUMIFS(#REF!,#REF!, $M$3,#REF!, $C9,#REF!, 'Estimate Summary'!N$4)</f>
        <v>#REF!</v>
      </c>
      <c r="O9" s="340" t="e">
        <f>SUMIFS(#REF!,#REF!, $M$3,#REF!, $C9,#REF!, 'Estimate Summary'!O$4)</f>
        <v>#REF!</v>
      </c>
      <c r="P9" s="340" t="e">
        <f>SUMIFS(#REF!,#REF!, $M$3,#REF!, $C9,#REF!, 'Estimate Summary'!P$4)</f>
        <v>#REF!</v>
      </c>
      <c r="Q9" s="340" t="e">
        <f>SUMIFS(#REF!,#REF!, $M$3,#REF!, $C9,#REF!, 'Estimate Summary'!Q$4)</f>
        <v>#REF!</v>
      </c>
      <c r="R9" s="340" t="e">
        <f>SUMIFS(#REF!,#REF!, $M$3,#REF!, $C9,#REF!, 'Estimate Summary'!R$4)</f>
        <v>#REF!</v>
      </c>
      <c r="S9" s="340" t="e">
        <f>SUMIFS(#REF!,#REF!, $M$3,#REF!, $C9,#REF!, 'Estimate Summary'!S$4)</f>
        <v>#REF!</v>
      </c>
      <c r="T9" s="295" t="e">
        <f>SUMIFS(#REF!,#REF!, $M$3,#REF!, $C9)</f>
        <v>#REF!</v>
      </c>
      <c r="V9" s="289" t="e">
        <f>SUMIFS(#REF!,#REF!, $C9,#REF!, 'Estimate Summary'!V$4)</f>
        <v>#REF!</v>
      </c>
      <c r="W9" s="289" t="e">
        <f>SUMIFS(#REF!,#REF!, $C9,#REF!, 'Estimate Summary'!W$4)</f>
        <v>#REF!</v>
      </c>
      <c r="X9" s="289" t="e">
        <f>SUMIFS(#REF!,#REF!, $C9,#REF!, 'Estimate Summary'!X$4)</f>
        <v>#REF!</v>
      </c>
      <c r="Y9" s="289" t="e">
        <f>SUMIFS(#REF!,#REF!, $C9,#REF!, 'Estimate Summary'!Y$4)</f>
        <v>#REF!</v>
      </c>
      <c r="Z9" s="289" t="e">
        <f>SUMIFS(#REF!,#REF!, $C9,#REF!, 'Estimate Summary'!Z$4)</f>
        <v>#REF!</v>
      </c>
      <c r="AA9" s="289" t="e">
        <f>SUMIFS(#REF!,#REF!, $C9,#REF!, 'Estimate Summary'!AA$4)</f>
        <v>#REF!</v>
      </c>
      <c r="AB9" s="289" t="e">
        <f>SUMIFS(#REF!,#REF!, $C9,#REF!, 'Estimate Summary'!AB$4)</f>
        <v>#REF!</v>
      </c>
      <c r="AC9" s="295" t="e">
        <f>SUMIFS(#REF!,#REF!, $C9)</f>
        <v>#REF!</v>
      </c>
    </row>
    <row r="10" spans="1:32" ht="13.5" thickBot="1">
      <c r="A10" s="1240"/>
      <c r="B10" s="1243"/>
      <c r="C10" s="320" t="s">
        <v>161</v>
      </c>
      <c r="D10" s="340" t="e">
        <f>SUMIFS(#REF!,#REF!, $D$3,#REF!, $C10,#REF!, 'Estimate Summary'!D$4)</f>
        <v>#REF!</v>
      </c>
      <c r="E10" s="340" t="e">
        <f>SUMIFS(#REF!,#REF!, $D$3,#REF!, $C10,#REF!, 'Estimate Summary'!E$4)</f>
        <v>#REF!</v>
      </c>
      <c r="F10" s="340" t="e">
        <f>SUMIFS(#REF!,#REF!, $D$3,#REF!, $C10,#REF!, 'Estimate Summary'!F$4)</f>
        <v>#REF!</v>
      </c>
      <c r="G10" s="340" t="e">
        <f>SUMIFS(#REF!,#REF!, $D$3,#REF!, $C10,#REF!, 'Estimate Summary'!G$4)</f>
        <v>#REF!</v>
      </c>
      <c r="H10" s="340" t="e">
        <f>SUMIFS(#REF!,#REF!, $D$3,#REF!, $C10,#REF!, 'Estimate Summary'!H$4)</f>
        <v>#REF!</v>
      </c>
      <c r="I10" s="340" t="e">
        <f>SUMIFS(#REF!,#REF!, $D$3,#REF!, $C10,#REF!, 'Estimate Summary'!I$4)</f>
        <v>#REF!</v>
      </c>
      <c r="J10" s="340" t="e">
        <f>SUMIFS(#REF!,#REF!, $D$3,#REF!, $C10,#REF!, 'Estimate Summary'!J$4)</f>
        <v>#REF!</v>
      </c>
      <c r="K10" s="292" t="e">
        <f>SUMIFS(#REF!,#REF!, $D$3,#REF!, $C10)</f>
        <v>#REF!</v>
      </c>
      <c r="M10" s="340" t="e">
        <f>SUMIFS(#REF!,#REF!, $M$3,#REF!, $C10,#REF!, 'Estimate Summary'!M$4)</f>
        <v>#REF!</v>
      </c>
      <c r="N10" s="340" t="e">
        <f>SUMIFS(#REF!,#REF!, $M$3,#REF!, $C10,#REF!, 'Estimate Summary'!N$4)</f>
        <v>#REF!</v>
      </c>
      <c r="O10" s="340" t="e">
        <f>SUMIFS(#REF!,#REF!, $M$3,#REF!, $C10,#REF!, 'Estimate Summary'!O$4)</f>
        <v>#REF!</v>
      </c>
      <c r="P10" s="340" t="e">
        <f>SUMIFS(#REF!,#REF!, $M$3,#REF!, $C10,#REF!, 'Estimate Summary'!P$4)</f>
        <v>#REF!</v>
      </c>
      <c r="Q10" s="340" t="e">
        <f>SUMIFS(#REF!,#REF!, $M$3,#REF!, $C10,#REF!, 'Estimate Summary'!Q$4)</f>
        <v>#REF!</v>
      </c>
      <c r="R10" s="340" t="e">
        <f>SUMIFS(#REF!,#REF!, $M$3,#REF!, $C10,#REF!, 'Estimate Summary'!R$4)</f>
        <v>#REF!</v>
      </c>
      <c r="S10" s="340" t="e">
        <f>SUMIFS(#REF!,#REF!, $M$3,#REF!, $C10,#REF!, 'Estimate Summary'!S$4)</f>
        <v>#REF!</v>
      </c>
      <c r="T10" s="295" t="e">
        <f>SUMIFS(#REF!,#REF!, $M$3,#REF!, $C10)</f>
        <v>#REF!</v>
      </c>
      <c r="V10" s="289" t="e">
        <f>SUMIFS(#REF!,#REF!, $C10,#REF!, 'Estimate Summary'!V$4)</f>
        <v>#REF!</v>
      </c>
      <c r="W10" s="289" t="e">
        <f>SUMIFS(#REF!,#REF!, $C10,#REF!, 'Estimate Summary'!W$4)</f>
        <v>#REF!</v>
      </c>
      <c r="X10" s="289" t="e">
        <f>SUMIFS(#REF!,#REF!, $C10,#REF!, 'Estimate Summary'!X$4)</f>
        <v>#REF!</v>
      </c>
      <c r="Y10" s="289" t="e">
        <f>SUMIFS(#REF!,#REF!, $C10,#REF!, 'Estimate Summary'!Y$4)</f>
        <v>#REF!</v>
      </c>
      <c r="Z10" s="289" t="e">
        <f>SUMIFS(#REF!,#REF!, $C10,#REF!, 'Estimate Summary'!Z$4)</f>
        <v>#REF!</v>
      </c>
      <c r="AA10" s="289" t="e">
        <f>SUMIFS(#REF!,#REF!, $C10,#REF!, 'Estimate Summary'!AA$4)</f>
        <v>#REF!</v>
      </c>
      <c r="AB10" s="289" t="e">
        <f>SUMIFS(#REF!,#REF!, $C10,#REF!, 'Estimate Summary'!AB$4)</f>
        <v>#REF!</v>
      </c>
      <c r="AC10" s="295" t="e">
        <f>SUMIFS(#REF!,#REF!, $C10)</f>
        <v>#REF!</v>
      </c>
    </row>
    <row r="11" spans="1:32" ht="13.5" thickBot="1">
      <c r="A11" s="1241"/>
      <c r="B11" s="1244"/>
      <c r="C11" s="274" t="s">
        <v>170</v>
      </c>
      <c r="D11" s="286" t="e">
        <f>SUM(D5:D10)</f>
        <v>#REF!</v>
      </c>
      <c r="E11" s="286" t="e">
        <f t="shared" ref="E11:K11" si="0">SUM(E5:E10)</f>
        <v>#REF!</v>
      </c>
      <c r="F11" s="286" t="e">
        <f t="shared" si="0"/>
        <v>#REF!</v>
      </c>
      <c r="G11" s="286" t="e">
        <f t="shared" si="0"/>
        <v>#REF!</v>
      </c>
      <c r="H11" s="286" t="e">
        <f t="shared" si="0"/>
        <v>#REF!</v>
      </c>
      <c r="I11" s="286" t="e">
        <f t="shared" si="0"/>
        <v>#REF!</v>
      </c>
      <c r="J11" s="286" t="e">
        <f t="shared" si="0"/>
        <v>#REF!</v>
      </c>
      <c r="K11" s="286" t="e">
        <f t="shared" si="0"/>
        <v>#REF!</v>
      </c>
      <c r="L11" s="275"/>
      <c r="M11" s="286" t="e">
        <f t="shared" ref="M11:T11" si="1">SUM(M5:M10)</f>
        <v>#REF!</v>
      </c>
      <c r="N11" s="286" t="e">
        <f t="shared" si="1"/>
        <v>#REF!</v>
      </c>
      <c r="O11" s="286" t="e">
        <f t="shared" si="1"/>
        <v>#REF!</v>
      </c>
      <c r="P11" s="286" t="e">
        <f t="shared" si="1"/>
        <v>#REF!</v>
      </c>
      <c r="Q11" s="286" t="e">
        <f t="shared" si="1"/>
        <v>#REF!</v>
      </c>
      <c r="R11" s="286" t="e">
        <f t="shared" si="1"/>
        <v>#REF!</v>
      </c>
      <c r="S11" s="286" t="e">
        <f t="shared" si="1"/>
        <v>#REF!</v>
      </c>
      <c r="T11" s="286" t="e">
        <f t="shared" si="1"/>
        <v>#REF!</v>
      </c>
      <c r="U11" s="275"/>
      <c r="V11" s="286" t="e">
        <f t="shared" ref="V11" si="2">SUM(V5:V10)</f>
        <v>#REF!</v>
      </c>
      <c r="W11" s="286" t="e">
        <f t="shared" ref="W11" si="3">SUM(W5:W10)</f>
        <v>#REF!</v>
      </c>
      <c r="X11" s="286" t="e">
        <f t="shared" ref="X11" si="4">SUM(X5:X10)</f>
        <v>#REF!</v>
      </c>
      <c r="Y11" s="286" t="e">
        <f t="shared" ref="Y11" si="5">SUM(Y5:Y10)</f>
        <v>#REF!</v>
      </c>
      <c r="Z11" s="286" t="e">
        <f t="shared" ref="Z11" si="6">SUM(Z5:Z10)</f>
        <v>#REF!</v>
      </c>
      <c r="AA11" s="286" t="e">
        <f t="shared" ref="AA11" si="7">SUM(AA5:AA10)</f>
        <v>#REF!</v>
      </c>
      <c r="AB11" s="286" t="e">
        <f t="shared" ref="AB11" si="8">SUM(AB5:AB10)</f>
        <v>#REF!</v>
      </c>
      <c r="AC11" s="286" t="e">
        <f t="shared" ref="AC11" si="9">SUM(AC5:AC10)</f>
        <v>#REF!</v>
      </c>
    </row>
    <row r="12" spans="1:32" ht="9.75" customHeight="1" thickBot="1"/>
    <row r="13" spans="1:32">
      <c r="A13" s="1233" t="e">
        <f>#REF!</f>
        <v>#REF!</v>
      </c>
      <c r="B13" s="1245"/>
      <c r="C13" s="276" t="s">
        <v>487</v>
      </c>
      <c r="D13" s="280"/>
      <c r="E13" s="281"/>
      <c r="F13" s="281"/>
      <c r="G13" s="281"/>
      <c r="H13" s="281"/>
      <c r="I13" s="281"/>
      <c r="J13" s="281"/>
      <c r="K13" s="292"/>
      <c r="M13" s="289"/>
      <c r="N13" s="290"/>
      <c r="O13" s="290"/>
      <c r="P13" s="290"/>
      <c r="Q13" s="290"/>
      <c r="R13" s="290"/>
      <c r="S13" s="290"/>
      <c r="T13" s="295"/>
      <c r="V13" s="289"/>
      <c r="W13" s="290"/>
      <c r="X13" s="290"/>
      <c r="Y13" s="290"/>
      <c r="Z13" s="290"/>
      <c r="AA13" s="290"/>
      <c r="AB13" s="290"/>
      <c r="AC13" s="295"/>
    </row>
    <row r="14" spans="1:32">
      <c r="A14" s="1234"/>
      <c r="B14" s="1246"/>
      <c r="C14" s="277" t="s">
        <v>429</v>
      </c>
      <c r="D14" s="282"/>
      <c r="E14" s="283"/>
      <c r="F14" s="283"/>
      <c r="G14" s="283"/>
      <c r="H14" s="283"/>
      <c r="I14" s="283"/>
      <c r="J14" s="283"/>
      <c r="K14" s="293"/>
      <c r="M14" s="282"/>
      <c r="N14" s="283"/>
      <c r="O14" s="283"/>
      <c r="P14" s="283"/>
      <c r="Q14" s="283"/>
      <c r="R14" s="283"/>
      <c r="S14" s="283"/>
      <c r="T14" s="293"/>
      <c r="V14" s="282"/>
      <c r="W14" s="283"/>
      <c r="X14" s="283"/>
      <c r="Y14" s="283"/>
      <c r="Z14" s="283"/>
      <c r="AA14" s="283"/>
      <c r="AB14" s="283"/>
      <c r="AC14" s="293"/>
    </row>
    <row r="15" spans="1:32">
      <c r="A15" s="1234"/>
      <c r="B15" s="1246"/>
      <c r="C15" s="277" t="s">
        <v>97</v>
      </c>
      <c r="D15" s="282"/>
      <c r="E15" s="283"/>
      <c r="F15" s="283"/>
      <c r="G15" s="283"/>
      <c r="H15" s="283"/>
      <c r="I15" s="283"/>
      <c r="J15" s="283"/>
      <c r="K15" s="293"/>
      <c r="M15" s="282"/>
      <c r="N15" s="283"/>
      <c r="O15" s="283"/>
      <c r="P15" s="283"/>
      <c r="Q15" s="283"/>
      <c r="R15" s="283"/>
      <c r="S15" s="283"/>
      <c r="T15" s="293"/>
      <c r="V15" s="282"/>
      <c r="W15" s="283"/>
      <c r="X15" s="283"/>
      <c r="Y15" s="283"/>
      <c r="Z15" s="283"/>
      <c r="AA15" s="283"/>
      <c r="AB15" s="283"/>
      <c r="AC15" s="293"/>
    </row>
    <row r="16" spans="1:32">
      <c r="A16" s="1234"/>
      <c r="B16" s="1246"/>
      <c r="C16" s="277" t="s">
        <v>137</v>
      </c>
      <c r="D16" s="282"/>
      <c r="E16" s="283"/>
      <c r="F16" s="283"/>
      <c r="G16" s="283"/>
      <c r="H16" s="283"/>
      <c r="I16" s="283"/>
      <c r="J16" s="283"/>
      <c r="K16" s="293"/>
      <c r="M16" s="282"/>
      <c r="N16" s="283"/>
      <c r="O16" s="283"/>
      <c r="P16" s="283"/>
      <c r="Q16" s="283"/>
      <c r="R16" s="283"/>
      <c r="S16" s="283"/>
      <c r="T16" s="293"/>
      <c r="V16" s="282"/>
      <c r="W16" s="283"/>
      <c r="X16" s="283"/>
      <c r="Y16" s="283"/>
      <c r="Z16" s="283"/>
      <c r="AA16" s="283"/>
      <c r="AB16" s="283"/>
      <c r="AC16" s="293"/>
    </row>
    <row r="17" spans="1:29">
      <c r="A17" s="1234"/>
      <c r="B17" s="1246"/>
      <c r="C17" s="277" t="s">
        <v>151</v>
      </c>
      <c r="D17" s="282"/>
      <c r="E17" s="283"/>
      <c r="F17" s="283"/>
      <c r="G17" s="283"/>
      <c r="H17" s="283"/>
      <c r="I17" s="283"/>
      <c r="J17" s="283"/>
      <c r="K17" s="293"/>
      <c r="M17" s="282"/>
      <c r="N17" s="283"/>
      <c r="O17" s="283"/>
      <c r="P17" s="283"/>
      <c r="Q17" s="283"/>
      <c r="R17" s="283"/>
      <c r="S17" s="283"/>
      <c r="T17" s="293"/>
      <c r="V17" s="282"/>
      <c r="W17" s="283"/>
      <c r="X17" s="283"/>
      <c r="Y17" s="283"/>
      <c r="Z17" s="283"/>
      <c r="AA17" s="283"/>
      <c r="AB17" s="283"/>
      <c r="AC17" s="293"/>
    </row>
    <row r="18" spans="1:29" ht="13.5" thickBot="1">
      <c r="A18" s="1234"/>
      <c r="B18" s="1246"/>
      <c r="C18" s="278" t="s">
        <v>161</v>
      </c>
      <c r="D18" s="284"/>
      <c r="E18" s="285"/>
      <c r="F18" s="285"/>
      <c r="G18" s="285"/>
      <c r="H18" s="285"/>
      <c r="I18" s="285"/>
      <c r="J18" s="285"/>
      <c r="K18" s="294"/>
      <c r="M18" s="284"/>
      <c r="N18" s="285"/>
      <c r="O18" s="285"/>
      <c r="P18" s="285"/>
      <c r="Q18" s="285"/>
      <c r="R18" s="285"/>
      <c r="S18" s="285"/>
      <c r="T18" s="294"/>
      <c r="V18" s="282"/>
      <c r="W18" s="283"/>
      <c r="X18" s="283"/>
      <c r="Y18" s="283"/>
      <c r="Z18" s="283"/>
      <c r="AA18" s="283"/>
      <c r="AB18" s="283"/>
      <c r="AC18" s="293"/>
    </row>
    <row r="19" spans="1:29" s="275" customFormat="1" ht="13.5" thickBot="1">
      <c r="A19" s="1235"/>
      <c r="B19" s="1247"/>
      <c r="C19" s="279" t="s">
        <v>170</v>
      </c>
      <c r="D19" s="286"/>
      <c r="E19" s="287"/>
      <c r="F19" s="287"/>
      <c r="G19" s="287"/>
      <c r="H19" s="287"/>
      <c r="I19" s="287"/>
      <c r="J19" s="287"/>
      <c r="K19" s="288"/>
      <c r="M19" s="291"/>
      <c r="N19" s="111"/>
      <c r="O19" s="111"/>
      <c r="P19" s="111"/>
      <c r="Q19" s="111"/>
      <c r="R19" s="111"/>
      <c r="S19" s="111"/>
      <c r="T19" s="288"/>
      <c r="V19" s="296"/>
      <c r="W19" s="297"/>
      <c r="X19" s="297"/>
      <c r="Y19" s="297"/>
      <c r="Z19" s="297"/>
      <c r="AA19" s="297"/>
      <c r="AB19" s="297"/>
      <c r="AC19" s="298"/>
    </row>
    <row r="20" spans="1:29" ht="9.9499999999999993" customHeight="1" thickBot="1"/>
    <row r="21" spans="1:29">
      <c r="A21" s="1233" t="s">
        <v>887</v>
      </c>
      <c r="B21" s="314"/>
      <c r="C21" s="276" t="s">
        <v>487</v>
      </c>
      <c r="D21" s="280"/>
      <c r="E21" s="281"/>
      <c r="F21" s="281"/>
      <c r="G21" s="281"/>
      <c r="H21" s="281"/>
      <c r="I21" s="281"/>
      <c r="J21" s="281"/>
      <c r="K21" s="292"/>
      <c r="M21" s="280"/>
      <c r="N21" s="281"/>
      <c r="O21" s="281"/>
      <c r="P21" s="281"/>
      <c r="Q21" s="281"/>
      <c r="R21" s="281"/>
      <c r="S21" s="281"/>
      <c r="T21" s="292"/>
      <c r="V21" s="280"/>
      <c r="W21" s="281"/>
      <c r="X21" s="281"/>
      <c r="Y21" s="281"/>
      <c r="Z21" s="281"/>
      <c r="AA21" s="281"/>
      <c r="AB21" s="281"/>
      <c r="AC21" s="292"/>
    </row>
    <row r="22" spans="1:29">
      <c r="A22" s="1234"/>
      <c r="B22" s="315"/>
      <c r="C22" s="277" t="s">
        <v>429</v>
      </c>
      <c r="D22" s="282"/>
      <c r="E22" s="283"/>
      <c r="F22" s="283"/>
      <c r="G22" s="283"/>
      <c r="H22" s="283"/>
      <c r="I22" s="283"/>
      <c r="J22" s="283"/>
      <c r="K22" s="293"/>
      <c r="M22" s="282"/>
      <c r="N22" s="283"/>
      <c r="O22" s="283"/>
      <c r="P22" s="283"/>
      <c r="Q22" s="283"/>
      <c r="R22" s="283"/>
      <c r="S22" s="283"/>
      <c r="T22" s="293"/>
      <c r="V22" s="282"/>
      <c r="W22" s="283"/>
      <c r="X22" s="283"/>
      <c r="Y22" s="283"/>
      <c r="Z22" s="283"/>
      <c r="AA22" s="283"/>
      <c r="AB22" s="283"/>
      <c r="AC22" s="293"/>
    </row>
    <row r="23" spans="1:29">
      <c r="A23" s="1234"/>
      <c r="B23" s="315"/>
      <c r="C23" s="277" t="s">
        <v>97</v>
      </c>
      <c r="D23" s="282"/>
      <c r="E23" s="283"/>
      <c r="F23" s="283"/>
      <c r="G23" s="283"/>
      <c r="H23" s="283"/>
      <c r="I23" s="283"/>
      <c r="J23" s="283"/>
      <c r="K23" s="293"/>
      <c r="M23" s="282"/>
      <c r="N23" s="283"/>
      <c r="O23" s="283"/>
      <c r="P23" s="283"/>
      <c r="Q23" s="283"/>
      <c r="R23" s="283"/>
      <c r="S23" s="283"/>
      <c r="T23" s="293"/>
      <c r="V23" s="282"/>
      <c r="W23" s="283"/>
      <c r="X23" s="283"/>
      <c r="Y23" s="283"/>
      <c r="Z23" s="283"/>
      <c r="AA23" s="283"/>
      <c r="AB23" s="283"/>
      <c r="AC23" s="293"/>
    </row>
    <row r="24" spans="1:29">
      <c r="A24" s="1234"/>
      <c r="B24" s="315"/>
      <c r="C24" s="277" t="s">
        <v>137</v>
      </c>
      <c r="D24" s="282"/>
      <c r="E24" s="283"/>
      <c r="F24" s="283"/>
      <c r="G24" s="283"/>
      <c r="H24" s="283"/>
      <c r="I24" s="283"/>
      <c r="J24" s="283"/>
      <c r="K24" s="293"/>
      <c r="M24" s="282"/>
      <c r="N24" s="283"/>
      <c r="O24" s="283"/>
      <c r="P24" s="283"/>
      <c r="Q24" s="283"/>
      <c r="R24" s="283"/>
      <c r="S24" s="283"/>
      <c r="T24" s="293"/>
      <c r="V24" s="282"/>
      <c r="W24" s="283"/>
      <c r="X24" s="283"/>
      <c r="Y24" s="283"/>
      <c r="Z24" s="283"/>
      <c r="AA24" s="283"/>
      <c r="AB24" s="283"/>
      <c r="AC24" s="293"/>
    </row>
    <row r="25" spans="1:29">
      <c r="A25" s="1234"/>
      <c r="B25" s="315"/>
      <c r="C25" s="277" t="s">
        <v>151</v>
      </c>
      <c r="D25" s="282"/>
      <c r="E25" s="283"/>
      <c r="F25" s="283"/>
      <c r="G25" s="283"/>
      <c r="H25" s="283"/>
      <c r="I25" s="283"/>
      <c r="J25" s="283"/>
      <c r="K25" s="293"/>
      <c r="M25" s="282"/>
      <c r="N25" s="283"/>
      <c r="O25" s="283"/>
      <c r="P25" s="283"/>
      <c r="Q25" s="283"/>
      <c r="R25" s="283"/>
      <c r="S25" s="283"/>
      <c r="T25" s="293"/>
      <c r="V25" s="282"/>
      <c r="W25" s="283"/>
      <c r="X25" s="283"/>
      <c r="Y25" s="283"/>
      <c r="Z25" s="283"/>
      <c r="AA25" s="283"/>
      <c r="AB25" s="283"/>
      <c r="AC25" s="293"/>
    </row>
    <row r="26" spans="1:29" ht="13.5" thickBot="1">
      <c r="A26" s="1234"/>
      <c r="B26" s="316"/>
      <c r="C26" s="278" t="s">
        <v>161</v>
      </c>
      <c r="D26" s="284"/>
      <c r="E26" s="285"/>
      <c r="F26" s="285"/>
      <c r="G26" s="285"/>
      <c r="H26" s="285"/>
      <c r="I26" s="285"/>
      <c r="J26" s="285"/>
      <c r="K26" s="294"/>
      <c r="M26" s="284"/>
      <c r="N26" s="285"/>
      <c r="O26" s="285"/>
      <c r="P26" s="285"/>
      <c r="Q26" s="285"/>
      <c r="R26" s="285"/>
      <c r="S26" s="285"/>
      <c r="T26" s="294"/>
      <c r="V26" s="282"/>
      <c r="W26" s="283"/>
      <c r="X26" s="283"/>
      <c r="Y26" s="283"/>
      <c r="Z26" s="283"/>
      <c r="AA26" s="283"/>
      <c r="AB26" s="283"/>
      <c r="AC26" s="293"/>
    </row>
    <row r="27" spans="1:29" s="275" customFormat="1" ht="13.5" thickBot="1">
      <c r="A27" s="1235"/>
      <c r="B27" s="317"/>
      <c r="C27" s="279" t="s">
        <v>170</v>
      </c>
      <c r="D27" s="286"/>
      <c r="E27" s="287"/>
      <c r="F27" s="287"/>
      <c r="G27" s="287"/>
      <c r="H27" s="287"/>
      <c r="I27" s="287"/>
      <c r="J27" s="287"/>
      <c r="K27" s="288"/>
      <c r="M27" s="291"/>
      <c r="N27" s="111"/>
      <c r="O27" s="111"/>
      <c r="P27" s="111"/>
      <c r="Q27" s="111"/>
      <c r="R27" s="111"/>
      <c r="S27" s="111"/>
      <c r="T27" s="288"/>
      <c r="V27" s="296"/>
      <c r="W27" s="297"/>
      <c r="X27" s="297"/>
      <c r="Y27" s="297"/>
      <c r="Z27" s="297"/>
      <c r="AA27" s="297"/>
      <c r="AB27" s="297"/>
      <c r="AC27" s="298"/>
    </row>
    <row r="28" spans="1:29" ht="9.9499999999999993" customHeight="1" thickBot="1"/>
    <row r="29" spans="1:29">
      <c r="A29" s="1233" t="s">
        <v>887</v>
      </c>
      <c r="B29" s="314"/>
      <c r="C29" s="276" t="s">
        <v>487</v>
      </c>
      <c r="D29" s="280"/>
      <c r="E29" s="281"/>
      <c r="F29" s="281"/>
      <c r="G29" s="281"/>
      <c r="H29" s="281"/>
      <c r="I29" s="281"/>
      <c r="J29" s="281"/>
      <c r="K29" s="292"/>
      <c r="M29" s="280"/>
      <c r="N29" s="281"/>
      <c r="O29" s="281"/>
      <c r="P29" s="281"/>
      <c r="Q29" s="281"/>
      <c r="R29" s="281"/>
      <c r="S29" s="281"/>
      <c r="T29" s="292"/>
      <c r="V29" s="280"/>
      <c r="W29" s="281"/>
      <c r="X29" s="281"/>
      <c r="Y29" s="281"/>
      <c r="Z29" s="281"/>
      <c r="AA29" s="281"/>
      <c r="AB29" s="281"/>
      <c r="AC29" s="292"/>
    </row>
    <row r="30" spans="1:29">
      <c r="A30" s="1234"/>
      <c r="B30" s="315"/>
      <c r="C30" s="277" t="s">
        <v>429</v>
      </c>
      <c r="D30" s="282"/>
      <c r="E30" s="283"/>
      <c r="F30" s="283"/>
      <c r="G30" s="283"/>
      <c r="H30" s="283"/>
      <c r="I30" s="283"/>
      <c r="J30" s="283"/>
      <c r="K30" s="293"/>
      <c r="M30" s="282"/>
      <c r="N30" s="283"/>
      <c r="O30" s="283"/>
      <c r="P30" s="283"/>
      <c r="Q30" s="283"/>
      <c r="R30" s="283"/>
      <c r="S30" s="283"/>
      <c r="T30" s="293"/>
      <c r="V30" s="282"/>
      <c r="W30" s="283"/>
      <c r="X30" s="283"/>
      <c r="Y30" s="283"/>
      <c r="Z30" s="283"/>
      <c r="AA30" s="283"/>
      <c r="AB30" s="283"/>
      <c r="AC30" s="293"/>
    </row>
    <row r="31" spans="1:29">
      <c r="A31" s="1234"/>
      <c r="B31" s="315"/>
      <c r="C31" s="277" t="s">
        <v>97</v>
      </c>
      <c r="D31" s="282"/>
      <c r="E31" s="283"/>
      <c r="F31" s="283"/>
      <c r="G31" s="283"/>
      <c r="H31" s="283"/>
      <c r="I31" s="283"/>
      <c r="J31" s="283"/>
      <c r="K31" s="293"/>
      <c r="M31" s="282"/>
      <c r="N31" s="283"/>
      <c r="O31" s="283"/>
      <c r="P31" s="283"/>
      <c r="Q31" s="283"/>
      <c r="R31" s="283"/>
      <c r="S31" s="283"/>
      <c r="T31" s="293"/>
      <c r="V31" s="282"/>
      <c r="W31" s="283"/>
      <c r="X31" s="283"/>
      <c r="Y31" s="283"/>
      <c r="Z31" s="283"/>
      <c r="AA31" s="283"/>
      <c r="AB31" s="283"/>
      <c r="AC31" s="293"/>
    </row>
    <row r="32" spans="1:29">
      <c r="A32" s="1234"/>
      <c r="B32" s="315"/>
      <c r="C32" s="277" t="s">
        <v>137</v>
      </c>
      <c r="D32" s="282"/>
      <c r="E32" s="283"/>
      <c r="F32" s="283"/>
      <c r="G32" s="283"/>
      <c r="H32" s="283"/>
      <c r="I32" s="283"/>
      <c r="J32" s="283"/>
      <c r="K32" s="293"/>
      <c r="M32" s="282"/>
      <c r="N32" s="283"/>
      <c r="O32" s="283"/>
      <c r="P32" s="283"/>
      <c r="Q32" s="283"/>
      <c r="R32" s="283"/>
      <c r="S32" s="283"/>
      <c r="T32" s="293"/>
      <c r="V32" s="282"/>
      <c r="W32" s="283"/>
      <c r="X32" s="283"/>
      <c r="Y32" s="283"/>
      <c r="Z32" s="283"/>
      <c r="AA32" s="283"/>
      <c r="AB32" s="283"/>
      <c r="AC32" s="293"/>
    </row>
    <row r="33" spans="1:29">
      <c r="A33" s="1234"/>
      <c r="B33" s="315"/>
      <c r="C33" s="277" t="s">
        <v>151</v>
      </c>
      <c r="D33" s="282"/>
      <c r="E33" s="283"/>
      <c r="F33" s="283"/>
      <c r="G33" s="283"/>
      <c r="H33" s="283"/>
      <c r="I33" s="283"/>
      <c r="J33" s="283"/>
      <c r="K33" s="293"/>
      <c r="M33" s="282"/>
      <c r="N33" s="283"/>
      <c r="O33" s="283"/>
      <c r="P33" s="283"/>
      <c r="Q33" s="283"/>
      <c r="R33" s="283"/>
      <c r="S33" s="283"/>
      <c r="T33" s="293"/>
      <c r="V33" s="282"/>
      <c r="W33" s="283"/>
      <c r="X33" s="283"/>
      <c r="Y33" s="283"/>
      <c r="Z33" s="283"/>
      <c r="AA33" s="283"/>
      <c r="AB33" s="283"/>
      <c r="AC33" s="293"/>
    </row>
    <row r="34" spans="1:29" ht="13.5" thickBot="1">
      <c r="A34" s="1234"/>
      <c r="B34" s="316"/>
      <c r="C34" s="278" t="s">
        <v>161</v>
      </c>
      <c r="D34" s="284"/>
      <c r="E34" s="285"/>
      <c r="F34" s="285"/>
      <c r="G34" s="285"/>
      <c r="H34" s="285"/>
      <c r="I34" s="285"/>
      <c r="J34" s="285"/>
      <c r="K34" s="294"/>
      <c r="M34" s="284"/>
      <c r="N34" s="285"/>
      <c r="O34" s="285"/>
      <c r="P34" s="285"/>
      <c r="Q34" s="285"/>
      <c r="R34" s="285"/>
      <c r="S34" s="285"/>
      <c r="T34" s="294"/>
      <c r="V34" s="282"/>
      <c r="W34" s="283"/>
      <c r="X34" s="283"/>
      <c r="Y34" s="283"/>
      <c r="Z34" s="283"/>
      <c r="AA34" s="283"/>
      <c r="AB34" s="283"/>
      <c r="AC34" s="293"/>
    </row>
    <row r="35" spans="1:29" s="275" customFormat="1" ht="13.5" thickBot="1">
      <c r="A35" s="1235"/>
      <c r="B35" s="317"/>
      <c r="C35" s="279" t="s">
        <v>170</v>
      </c>
      <c r="D35" s="286"/>
      <c r="E35" s="287"/>
      <c r="F35" s="287"/>
      <c r="G35" s="287"/>
      <c r="H35" s="287"/>
      <c r="I35" s="287"/>
      <c r="J35" s="287"/>
      <c r="K35" s="288"/>
      <c r="M35" s="291"/>
      <c r="N35" s="111"/>
      <c r="O35" s="111"/>
      <c r="P35" s="111"/>
      <c r="Q35" s="111"/>
      <c r="R35" s="111"/>
      <c r="S35" s="111"/>
      <c r="T35" s="288"/>
      <c r="V35" s="296"/>
      <c r="W35" s="297"/>
      <c r="X35" s="297"/>
      <c r="Y35" s="297"/>
      <c r="Z35" s="297"/>
      <c r="AA35" s="297"/>
      <c r="AB35" s="297"/>
      <c r="AC35" s="298"/>
    </row>
    <row r="36" spans="1:29" ht="9.9499999999999993" customHeight="1" thickBot="1"/>
    <row r="37" spans="1:29">
      <c r="A37" s="1233" t="s">
        <v>887</v>
      </c>
      <c r="B37" s="314"/>
      <c r="C37" s="276" t="s">
        <v>487</v>
      </c>
      <c r="D37" s="280"/>
      <c r="E37" s="281"/>
      <c r="F37" s="281"/>
      <c r="G37" s="281"/>
      <c r="H37" s="281"/>
      <c r="I37" s="281"/>
      <c r="J37" s="281"/>
      <c r="K37" s="292"/>
      <c r="M37" s="280"/>
      <c r="N37" s="281"/>
      <c r="O37" s="281"/>
      <c r="P37" s="281"/>
      <c r="Q37" s="281"/>
      <c r="R37" s="281"/>
      <c r="S37" s="281"/>
      <c r="T37" s="292"/>
      <c r="V37" s="280"/>
      <c r="W37" s="281"/>
      <c r="X37" s="281"/>
      <c r="Y37" s="281"/>
      <c r="Z37" s="281"/>
      <c r="AA37" s="281"/>
      <c r="AB37" s="281"/>
      <c r="AC37" s="292"/>
    </row>
    <row r="38" spans="1:29">
      <c r="A38" s="1234"/>
      <c r="B38" s="315"/>
      <c r="C38" s="277" t="s">
        <v>429</v>
      </c>
      <c r="D38" s="282"/>
      <c r="E38" s="283"/>
      <c r="F38" s="283"/>
      <c r="G38" s="283"/>
      <c r="H38" s="283"/>
      <c r="I38" s="283"/>
      <c r="J38" s="283"/>
      <c r="K38" s="293"/>
      <c r="M38" s="282"/>
      <c r="N38" s="283"/>
      <c r="O38" s="283"/>
      <c r="P38" s="283"/>
      <c r="Q38" s="283"/>
      <c r="R38" s="283"/>
      <c r="S38" s="283"/>
      <c r="T38" s="293"/>
      <c r="V38" s="282"/>
      <c r="W38" s="283"/>
      <c r="X38" s="283"/>
      <c r="Y38" s="283"/>
      <c r="Z38" s="283"/>
      <c r="AA38" s="283"/>
      <c r="AB38" s="283"/>
      <c r="AC38" s="293"/>
    </row>
    <row r="39" spans="1:29">
      <c r="A39" s="1234"/>
      <c r="B39" s="315"/>
      <c r="C39" s="277" t="s">
        <v>97</v>
      </c>
      <c r="D39" s="282"/>
      <c r="E39" s="283"/>
      <c r="F39" s="283"/>
      <c r="G39" s="283"/>
      <c r="H39" s="283"/>
      <c r="I39" s="283"/>
      <c r="J39" s="283"/>
      <c r="K39" s="293"/>
      <c r="M39" s="282"/>
      <c r="N39" s="283"/>
      <c r="O39" s="283"/>
      <c r="P39" s="283"/>
      <c r="Q39" s="283"/>
      <c r="R39" s="283"/>
      <c r="S39" s="283"/>
      <c r="T39" s="293"/>
      <c r="V39" s="282"/>
      <c r="W39" s="283"/>
      <c r="X39" s="283"/>
      <c r="Y39" s="283"/>
      <c r="Z39" s="283"/>
      <c r="AA39" s="283"/>
      <c r="AB39" s="283"/>
      <c r="AC39" s="293"/>
    </row>
    <row r="40" spans="1:29">
      <c r="A40" s="1234"/>
      <c r="B40" s="315"/>
      <c r="C40" s="277" t="s">
        <v>137</v>
      </c>
      <c r="D40" s="282"/>
      <c r="E40" s="283"/>
      <c r="F40" s="283"/>
      <c r="G40" s="283"/>
      <c r="H40" s="283"/>
      <c r="I40" s="283"/>
      <c r="J40" s="283"/>
      <c r="K40" s="293"/>
      <c r="M40" s="282"/>
      <c r="N40" s="283"/>
      <c r="O40" s="283"/>
      <c r="P40" s="283"/>
      <c r="Q40" s="283"/>
      <c r="R40" s="283"/>
      <c r="S40" s="283"/>
      <c r="T40" s="293"/>
      <c r="V40" s="282"/>
      <c r="W40" s="283"/>
      <c r="X40" s="283"/>
      <c r="Y40" s="283"/>
      <c r="Z40" s="283"/>
      <c r="AA40" s="283"/>
      <c r="AB40" s="283"/>
      <c r="AC40" s="293"/>
    </row>
    <row r="41" spans="1:29">
      <c r="A41" s="1234"/>
      <c r="B41" s="315"/>
      <c r="C41" s="277" t="s">
        <v>151</v>
      </c>
      <c r="D41" s="282"/>
      <c r="E41" s="283"/>
      <c r="F41" s="283"/>
      <c r="G41" s="283"/>
      <c r="H41" s="283"/>
      <c r="I41" s="283"/>
      <c r="J41" s="283"/>
      <c r="K41" s="293"/>
      <c r="M41" s="282"/>
      <c r="N41" s="283"/>
      <c r="O41" s="283"/>
      <c r="P41" s="283"/>
      <c r="Q41" s="283"/>
      <c r="R41" s="283"/>
      <c r="S41" s="283"/>
      <c r="T41" s="293"/>
      <c r="V41" s="282"/>
      <c r="W41" s="283"/>
      <c r="X41" s="283"/>
      <c r="Y41" s="283"/>
      <c r="Z41" s="283"/>
      <c r="AA41" s="283"/>
      <c r="AB41" s="283"/>
      <c r="AC41" s="293"/>
    </row>
    <row r="42" spans="1:29" ht="13.5" thickBot="1">
      <c r="A42" s="1234"/>
      <c r="B42" s="316"/>
      <c r="C42" s="278" t="s">
        <v>161</v>
      </c>
      <c r="D42" s="284"/>
      <c r="E42" s="285"/>
      <c r="F42" s="285"/>
      <c r="G42" s="285"/>
      <c r="H42" s="285"/>
      <c r="I42" s="285"/>
      <c r="J42" s="285"/>
      <c r="K42" s="294"/>
      <c r="M42" s="284"/>
      <c r="N42" s="285"/>
      <c r="O42" s="285"/>
      <c r="P42" s="285"/>
      <c r="Q42" s="285"/>
      <c r="R42" s="285"/>
      <c r="S42" s="285"/>
      <c r="T42" s="294"/>
      <c r="V42" s="282"/>
      <c r="W42" s="283"/>
      <c r="X42" s="283"/>
      <c r="Y42" s="283"/>
      <c r="Z42" s="283"/>
      <c r="AA42" s="283"/>
      <c r="AB42" s="283"/>
      <c r="AC42" s="293"/>
    </row>
    <row r="43" spans="1:29" s="275" customFormat="1" ht="13.5" thickBot="1">
      <c r="A43" s="1235"/>
      <c r="B43" s="317"/>
      <c r="C43" s="279" t="s">
        <v>170</v>
      </c>
      <c r="D43" s="286"/>
      <c r="E43" s="287"/>
      <c r="F43" s="287"/>
      <c r="G43" s="287"/>
      <c r="H43" s="287"/>
      <c r="I43" s="287"/>
      <c r="J43" s="287"/>
      <c r="K43" s="288"/>
      <c r="M43" s="291"/>
      <c r="N43" s="111"/>
      <c r="O43" s="111"/>
      <c r="P43" s="111"/>
      <c r="Q43" s="111"/>
      <c r="R43" s="111"/>
      <c r="S43" s="111"/>
      <c r="T43" s="288"/>
      <c r="V43" s="296"/>
      <c r="W43" s="297"/>
      <c r="X43" s="297"/>
      <c r="Y43" s="297"/>
      <c r="Z43" s="297"/>
      <c r="AA43" s="297"/>
      <c r="AB43" s="297"/>
      <c r="AC43" s="298"/>
    </row>
  </sheetData>
  <mergeCells count="10">
    <mergeCell ref="A21:A27"/>
    <mergeCell ref="A29:A35"/>
    <mergeCell ref="A37:A43"/>
    <mergeCell ref="D3:K3"/>
    <mergeCell ref="V3:AC3"/>
    <mergeCell ref="M3:T3"/>
    <mergeCell ref="A5:A11"/>
    <mergeCell ref="A13:A19"/>
    <mergeCell ref="B5:B11"/>
    <mergeCell ref="B13:B19"/>
  </mergeCells>
  <printOptions horizontalCentered="1" verticalCentered="1" gridLines="1" gridLinesSet="0"/>
  <pageMargins left="0.23622047244094491" right="0.23622047244094491" top="0.31496062992125984" bottom="0.31496062992125984" header="0.51181102362204722" footer="0.51181102362204722"/>
  <pageSetup scale="89" orientation="portrait" horizontalDpi="4294967292" verticalDpi="4294967292" r:id="rId1"/>
  <headerFooter alignWithMargins="0"/>
  <ignoredErrors>
    <ignoredError sqref="P8 G8 Y8" formula="1"/>
  </ignoredErrors>
  <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A67D8-E0BA-43C7-9748-F84C388F5370}">
  <dimension ref="A1:XFC183"/>
  <sheetViews>
    <sheetView topLeftCell="B118" zoomScale="70" zoomScaleNormal="70" workbookViewId="0">
      <selection activeCell="G335" sqref="G335"/>
    </sheetView>
  </sheetViews>
  <sheetFormatPr defaultColWidth="0" defaultRowHeight="12.75"/>
  <cols>
    <col min="1" max="1" width="7.5703125" style="248" hidden="1" customWidth="1"/>
    <col min="2" max="2" width="18.140625" style="248" bestFit="1" customWidth="1"/>
    <col min="3" max="3" width="17.85546875" style="252" customWidth="1"/>
    <col min="4" max="4" width="18" style="252" bestFit="1" customWidth="1"/>
    <col min="5" max="5" width="57.42578125" style="252" customWidth="1"/>
    <col min="6" max="6" width="14.5703125" style="252" customWidth="1"/>
    <col min="7" max="7" width="36" style="252" customWidth="1"/>
    <col min="8" max="8" width="16.5703125" style="252" bestFit="1" customWidth="1"/>
    <col min="9" max="9" width="13.85546875" style="252" customWidth="1"/>
    <col min="10" max="10" width="22" style="252" bestFit="1" customWidth="1"/>
    <col min="11" max="11" width="19.140625" style="252" bestFit="1" customWidth="1"/>
    <col min="12" max="12" width="8.42578125" style="252" bestFit="1" customWidth="1"/>
    <col min="13" max="13" width="12.140625" style="252" customWidth="1"/>
    <col min="14" max="14" width="18" style="252" customWidth="1"/>
    <col min="15" max="15" width="15.85546875" style="252" customWidth="1"/>
    <col min="16" max="16" width="16.5703125" style="303" customWidth="1"/>
    <col min="17" max="27" width="12.85546875" style="303" hidden="1" customWidth="1"/>
    <col min="28" max="28" width="12.85546875" style="257" hidden="1" customWidth="1"/>
    <col min="29" max="29" width="31.5703125" style="248" hidden="1" customWidth="1"/>
    <col min="30" max="41" width="15.42578125" style="303" hidden="1" customWidth="1"/>
    <col min="42" max="42" width="15.42578125" style="257" hidden="1" customWidth="1"/>
    <col min="43" max="43" width="32.85546875" style="248" hidden="1" customWidth="1"/>
    <col min="44" max="55" width="6.42578125" style="303" hidden="1" customWidth="1"/>
    <col min="56" max="56" width="6.42578125" style="257" hidden="1" customWidth="1"/>
    <col min="57" max="57" width="29.5703125" style="248" hidden="1" customWidth="1"/>
    <col min="58" max="62" width="9.140625" style="248" hidden="1" customWidth="1"/>
    <col min="63" max="63" width="38.42578125" style="248" hidden="1" customWidth="1"/>
    <col min="64" max="65" width="19.85546875" style="248" hidden="1" customWidth="1"/>
    <col min="66" max="66" width="0" style="248" hidden="1" customWidth="1"/>
    <col min="67" max="67" width="19.85546875" style="248" hidden="1" customWidth="1"/>
    <col min="68" max="69" width="0" style="248" hidden="1" customWidth="1"/>
    <col min="70" max="16382" width="9.140625" style="248" hidden="1"/>
    <col min="16383" max="16383" width="7.85546875" style="248" hidden="1" customWidth="1"/>
    <col min="16384" max="16384" width="8.42578125" style="248" hidden="1" customWidth="1"/>
  </cols>
  <sheetData>
    <row r="1" spans="1:66" ht="37.5" customHeight="1" thickBot="1">
      <c r="B1" s="1251"/>
      <c r="C1" s="1251"/>
      <c r="D1" s="1251"/>
      <c r="E1" s="1251"/>
      <c r="F1" s="1251"/>
      <c r="G1" s="1251"/>
      <c r="H1" s="1251"/>
      <c r="I1" s="1251"/>
      <c r="J1" s="1251"/>
      <c r="K1" s="1251"/>
      <c r="L1" s="1251"/>
      <c r="M1" s="1251"/>
      <c r="N1" s="1251"/>
      <c r="O1" s="1251"/>
      <c r="P1" s="1251"/>
      <c r="Q1" s="300"/>
      <c r="R1" s="300"/>
      <c r="S1" s="300"/>
      <c r="T1" s="300"/>
      <c r="U1" s="300"/>
      <c r="V1" s="300"/>
      <c r="W1" s="300"/>
      <c r="X1" s="300"/>
      <c r="Y1" s="300"/>
      <c r="Z1" s="300"/>
      <c r="AA1" s="300"/>
      <c r="AB1" s="256"/>
      <c r="AC1" s="256"/>
      <c r="AD1" s="256"/>
      <c r="AE1" s="256"/>
      <c r="AF1" s="256"/>
      <c r="AG1" s="300"/>
      <c r="AH1" s="300"/>
      <c r="AI1" s="300"/>
      <c r="AJ1" s="300"/>
      <c r="AK1" s="300"/>
      <c r="AL1" s="300"/>
      <c r="AM1" s="300"/>
      <c r="AN1" s="300"/>
      <c r="AO1" s="300"/>
      <c r="AP1" s="247"/>
      <c r="AQ1" s="262"/>
      <c r="AR1" s="256"/>
      <c r="AS1" s="256"/>
      <c r="AT1" s="256"/>
      <c r="AU1" s="300"/>
      <c r="AV1" s="300"/>
      <c r="AW1" s="300"/>
      <c r="AX1" s="300"/>
      <c r="AY1" s="300"/>
      <c r="AZ1" s="300"/>
      <c r="BA1" s="300"/>
      <c r="BB1" s="300"/>
      <c r="BC1" s="300"/>
      <c r="BD1" s="247"/>
      <c r="BE1" s="262"/>
    </row>
    <row r="2" spans="1:66" ht="47.25">
      <c r="B2" s="451" t="str">
        <f>'Opportunity Details'!A3</f>
        <v>Salesforce Opportunity Number</v>
      </c>
      <c r="C2" s="1007" t="str">
        <f>IF(ISBLANK('Opportunity Details'!C3), "Populate Sales Force ID on Opportunity Details Sheet", 'Opportunity Details'!C3)</f>
        <v>Populate Sales Force ID on Opportunity Details Sheet</v>
      </c>
      <c r="D2" s="1007"/>
      <c r="E2" s="1007"/>
      <c r="F2" s="452"/>
      <c r="G2" s="253"/>
      <c r="H2" s="253"/>
      <c r="I2" s="253"/>
      <c r="J2" s="253"/>
      <c r="K2" s="253"/>
      <c r="L2" s="253"/>
      <c r="M2" s="253"/>
      <c r="N2" s="253"/>
      <c r="O2" s="253"/>
      <c r="Q2" s="301"/>
      <c r="R2" s="301"/>
      <c r="S2" s="301"/>
      <c r="T2" s="301"/>
      <c r="U2" s="301"/>
      <c r="V2" s="301"/>
      <c r="W2" s="301"/>
      <c r="X2" s="301"/>
      <c r="Y2" s="301"/>
      <c r="Z2" s="301"/>
      <c r="AA2" s="301"/>
      <c r="AB2" s="254"/>
      <c r="AC2" s="266"/>
      <c r="AD2" s="301"/>
      <c r="AE2" s="301"/>
      <c r="AF2" s="301"/>
      <c r="AG2" s="301"/>
      <c r="AH2" s="301"/>
      <c r="AI2" s="301"/>
      <c r="AJ2" s="301"/>
      <c r="AK2" s="301"/>
      <c r="AL2" s="301"/>
      <c r="AM2" s="301"/>
      <c r="AN2" s="301"/>
      <c r="AO2" s="301"/>
      <c r="AP2" s="254"/>
      <c r="AQ2" s="266"/>
      <c r="AR2" s="301"/>
      <c r="AS2" s="301"/>
      <c r="AT2" s="301"/>
      <c r="AU2" s="301"/>
      <c r="AV2" s="301"/>
      <c r="AW2" s="301"/>
      <c r="AX2" s="301"/>
      <c r="AY2" s="301"/>
      <c r="AZ2" s="301"/>
      <c r="BA2" s="301"/>
      <c r="BB2" s="301"/>
      <c r="BC2" s="301"/>
      <c r="BD2" s="254"/>
      <c r="BE2" s="266"/>
    </row>
    <row r="3" spans="1:66" ht="31.5">
      <c r="B3" s="451" t="str">
        <f>'Opportunity Details'!A4</f>
        <v>Opportunity Name</v>
      </c>
      <c r="C3" s="1007" t="s">
        <v>893</v>
      </c>
      <c r="D3" s="1007"/>
      <c r="E3" s="1007"/>
      <c r="F3" s="452"/>
      <c r="G3" s="253"/>
      <c r="H3" s="253"/>
      <c r="I3" s="253"/>
      <c r="J3" s="253"/>
      <c r="K3" s="253"/>
      <c r="L3" s="253"/>
      <c r="M3" s="253"/>
      <c r="N3" s="253"/>
      <c r="O3" s="253"/>
      <c r="Q3" s="301"/>
      <c r="R3" s="301"/>
      <c r="S3" s="301"/>
      <c r="T3" s="301"/>
      <c r="U3" s="301"/>
      <c r="V3" s="301"/>
      <c r="W3" s="301"/>
      <c r="X3" s="301"/>
      <c r="Y3" s="301"/>
      <c r="Z3" s="301"/>
      <c r="AA3" s="301"/>
      <c r="AB3" s="254"/>
      <c r="AC3" s="266"/>
      <c r="AD3" s="301"/>
      <c r="AE3" s="301"/>
      <c r="AF3" s="301"/>
      <c r="AG3" s="301"/>
      <c r="AH3" s="301"/>
      <c r="AI3" s="301"/>
      <c r="AJ3" s="301"/>
      <c r="AK3" s="301"/>
      <c r="AL3" s="301"/>
      <c r="AM3" s="301"/>
      <c r="AN3" s="301"/>
      <c r="AO3" s="301"/>
      <c r="AP3" s="254"/>
      <c r="AQ3" s="266"/>
      <c r="AR3" s="301"/>
      <c r="AS3" s="301"/>
      <c r="AT3" s="301"/>
      <c r="AU3" s="301"/>
      <c r="AV3" s="301"/>
      <c r="AW3" s="301"/>
      <c r="AX3" s="301"/>
      <c r="AY3" s="301"/>
      <c r="AZ3" s="301"/>
      <c r="BA3" s="301"/>
      <c r="BB3" s="301"/>
      <c r="BC3" s="301"/>
      <c r="BD3" s="254"/>
      <c r="BE3" s="266"/>
    </row>
    <row r="4" spans="1:66" ht="15.75">
      <c r="B4" s="451" t="str">
        <f>'Opportunity Details'!A7</f>
        <v>Account Name</v>
      </c>
      <c r="C4" s="1007" t="str">
        <f>IF(ISBLANK('Opportunity Details'!C7),"Populate Client on Opportunity Details Sheet",'Opportunity Details'!C7)</f>
        <v>Boeing ITSM Now Assist AI POC</v>
      </c>
      <c r="D4" s="1007"/>
      <c r="E4" s="1007"/>
      <c r="F4" s="452"/>
      <c r="G4" s="253"/>
      <c r="H4" s="253"/>
      <c r="I4" s="253"/>
      <c r="J4" s="253"/>
      <c r="K4" s="253"/>
      <c r="L4" s="253"/>
      <c r="M4" s="253"/>
      <c r="N4" s="253"/>
      <c r="O4" s="253"/>
      <c r="Q4" s="301"/>
      <c r="R4" s="301"/>
      <c r="S4" s="301"/>
      <c r="T4" s="301"/>
      <c r="U4" s="301"/>
      <c r="V4" s="301"/>
      <c r="W4" s="301"/>
      <c r="X4" s="301"/>
      <c r="Y4" s="301"/>
      <c r="Z4" s="301"/>
      <c r="AA4" s="301"/>
      <c r="AB4" s="254"/>
      <c r="AC4" s="266"/>
      <c r="AD4" s="301"/>
      <c r="AE4" s="301"/>
      <c r="AF4" s="301"/>
      <c r="AG4" s="301"/>
      <c r="AH4" s="301"/>
      <c r="AI4" s="301"/>
      <c r="AJ4" s="301"/>
      <c r="AK4" s="301"/>
      <c r="AL4" s="301"/>
      <c r="AM4" s="301"/>
      <c r="AN4" s="301"/>
      <c r="AO4" s="301"/>
      <c r="AP4" s="254"/>
      <c r="AQ4" s="266"/>
      <c r="AR4" s="301"/>
      <c r="AS4" s="301"/>
      <c r="AT4" s="301"/>
      <c r="AU4" s="301"/>
      <c r="AV4" s="301"/>
      <c r="AW4" s="301"/>
      <c r="AX4" s="301"/>
      <c r="AY4" s="301"/>
      <c r="AZ4" s="301"/>
      <c r="BA4" s="301"/>
      <c r="BB4" s="301"/>
      <c r="BC4" s="301"/>
      <c r="BD4" s="254"/>
      <c r="BE4" s="266"/>
    </row>
    <row r="5" spans="1:66" ht="15.75">
      <c r="B5" s="451" t="s">
        <v>0</v>
      </c>
      <c r="C5" s="1007" t="s">
        <v>894</v>
      </c>
      <c r="D5" s="1007"/>
      <c r="E5" s="1007"/>
      <c r="F5" s="452"/>
      <c r="G5" s="253"/>
      <c r="H5" s="253"/>
      <c r="I5" s="253"/>
      <c r="J5" s="253"/>
      <c r="K5" s="253"/>
      <c r="L5" s="253"/>
      <c r="M5" s="253"/>
      <c r="N5" s="253"/>
      <c r="O5" s="253"/>
      <c r="Q5" s="301"/>
      <c r="R5" s="301"/>
      <c r="S5" s="301"/>
      <c r="T5" s="301"/>
      <c r="U5" s="301"/>
      <c r="V5" s="301"/>
      <c r="W5" s="301"/>
      <c r="X5" s="301"/>
      <c r="Y5" s="301"/>
      <c r="Z5" s="301"/>
      <c r="AA5" s="301"/>
      <c r="AB5" s="254"/>
      <c r="AC5" s="266"/>
      <c r="AD5" s="301"/>
      <c r="AE5" s="301"/>
      <c r="AF5" s="301"/>
      <c r="AG5" s="301"/>
      <c r="AH5" s="301"/>
      <c r="AI5" s="301"/>
      <c r="AJ5" s="301"/>
      <c r="AK5" s="301"/>
      <c r="AL5" s="301"/>
      <c r="AM5" s="301"/>
      <c r="AN5" s="301"/>
      <c r="AO5" s="301"/>
      <c r="AP5" s="254"/>
      <c r="AQ5" s="266"/>
      <c r="AR5" s="301"/>
      <c r="AS5" s="301"/>
      <c r="AT5" s="301"/>
      <c r="AU5" s="301"/>
      <c r="AV5" s="301"/>
      <c r="AW5" s="301"/>
      <c r="AX5" s="301"/>
      <c r="AY5" s="301"/>
      <c r="AZ5" s="301"/>
      <c r="BA5" s="301"/>
      <c r="BB5" s="301"/>
      <c r="BC5" s="301"/>
      <c r="BD5" s="254"/>
      <c r="BE5" s="266"/>
    </row>
    <row r="6" spans="1:66" ht="15.75">
      <c r="B6" s="451" t="s">
        <v>2</v>
      </c>
      <c r="C6" s="1007" t="s">
        <v>4</v>
      </c>
      <c r="D6" s="1007"/>
      <c r="E6" s="1007"/>
      <c r="F6" s="452"/>
      <c r="Q6" s="301"/>
      <c r="R6" s="301"/>
      <c r="S6" s="301"/>
      <c r="T6" s="301"/>
      <c r="U6" s="301"/>
      <c r="V6" s="301"/>
      <c r="W6" s="301"/>
      <c r="X6" s="301"/>
      <c r="Y6" s="301"/>
      <c r="Z6" s="301"/>
      <c r="AA6" s="301"/>
      <c r="AB6" s="254"/>
      <c r="AC6" s="266"/>
      <c r="AD6" s="301"/>
      <c r="AE6" s="301"/>
      <c r="AF6" s="301"/>
      <c r="AG6" s="301"/>
      <c r="AH6" s="301"/>
      <c r="AI6" s="301"/>
      <c r="AJ6" s="301"/>
      <c r="AK6" s="301"/>
      <c r="AL6" s="301"/>
      <c r="AM6" s="301"/>
      <c r="AN6" s="301"/>
      <c r="AO6" s="301"/>
      <c r="AP6" s="254"/>
      <c r="AQ6" s="266"/>
      <c r="AR6" s="301"/>
      <c r="AS6" s="301"/>
      <c r="AT6" s="301"/>
      <c r="AU6" s="301"/>
      <c r="AV6" s="301"/>
      <c r="AW6" s="301"/>
      <c r="AX6" s="301"/>
      <c r="AY6" s="301"/>
      <c r="AZ6" s="301"/>
      <c r="BA6" s="301"/>
      <c r="BB6" s="301"/>
      <c r="BC6" s="301"/>
      <c r="BD6" s="254"/>
      <c r="BE6" s="266"/>
    </row>
    <row r="7" spans="1:66" ht="31.5" customHeight="1">
      <c r="B7" s="451" t="s">
        <v>895</v>
      </c>
      <c r="C7" s="1249" t="s">
        <v>896</v>
      </c>
      <c r="D7" s="1249"/>
      <c r="E7" s="1249"/>
      <c r="G7" s="405"/>
      <c r="H7" s="405"/>
      <c r="J7" s="405"/>
      <c r="K7" s="405"/>
      <c r="L7" s="405"/>
      <c r="M7" s="405"/>
      <c r="N7" s="405"/>
      <c r="O7" s="405"/>
      <c r="Q7" s="1001" t="s">
        <v>3</v>
      </c>
      <c r="R7" s="1002"/>
      <c r="S7" s="1002"/>
      <c r="T7" s="1002"/>
      <c r="U7" s="1002"/>
      <c r="V7" s="1002"/>
      <c r="W7" s="1002"/>
      <c r="X7" s="1002"/>
      <c r="Y7" s="1002"/>
      <c r="Z7" s="1002"/>
      <c r="AA7" s="1002"/>
      <c r="AB7" s="1002"/>
      <c r="AC7" s="1003"/>
      <c r="AD7" s="1000" t="s">
        <v>4</v>
      </c>
      <c r="AE7" s="1000"/>
      <c r="AF7" s="1000"/>
      <c r="AG7" s="1000"/>
      <c r="AH7" s="1000"/>
      <c r="AI7" s="1000"/>
      <c r="AJ7" s="1000"/>
      <c r="AK7" s="1000"/>
      <c r="AL7" s="1000"/>
      <c r="AM7" s="1000"/>
      <c r="AN7" s="1000"/>
      <c r="AO7" s="1000"/>
      <c r="AP7" s="1000"/>
      <c r="AQ7" s="1000"/>
      <c r="AR7" s="1000" t="s">
        <v>5</v>
      </c>
      <c r="AS7" s="1000"/>
      <c r="AT7" s="1000"/>
      <c r="AU7" s="1000"/>
      <c r="AV7" s="1000"/>
      <c r="AW7" s="1000"/>
      <c r="AX7" s="1000"/>
      <c r="AY7" s="1000"/>
      <c r="AZ7" s="1000"/>
      <c r="BA7" s="1000"/>
      <c r="BB7" s="1000"/>
      <c r="BC7" s="1000"/>
      <c r="BD7" s="1000"/>
      <c r="BE7" s="1000"/>
    </row>
    <row r="8" spans="1:66" ht="31.5">
      <c r="B8" s="451" t="s">
        <v>897</v>
      </c>
      <c r="C8" s="1249" t="s">
        <v>898</v>
      </c>
      <c r="D8" s="1249"/>
      <c r="E8" s="1249"/>
      <c r="G8" s="405"/>
      <c r="H8" s="405"/>
      <c r="J8" s="405"/>
      <c r="K8" s="405"/>
      <c r="L8" s="405"/>
      <c r="M8" s="405"/>
      <c r="N8" s="405"/>
      <c r="O8" s="405"/>
      <c r="Q8" s="395"/>
      <c r="R8" s="396"/>
      <c r="S8" s="396"/>
      <c r="T8" s="396"/>
      <c r="U8" s="396"/>
      <c r="V8" s="396"/>
      <c r="W8" s="396"/>
      <c r="X8" s="396"/>
      <c r="Y8" s="396"/>
      <c r="Z8" s="396"/>
      <c r="AA8" s="396"/>
      <c r="AB8" s="396"/>
      <c r="AC8" s="397"/>
      <c r="AD8" s="394"/>
      <c r="AE8" s="394"/>
      <c r="AF8" s="394"/>
      <c r="AG8" s="394"/>
      <c r="AH8" s="394"/>
      <c r="AI8" s="394"/>
      <c r="AJ8" s="394"/>
      <c r="AK8" s="394"/>
      <c r="AL8" s="394"/>
      <c r="AM8" s="394"/>
      <c r="AN8" s="394"/>
      <c r="AO8" s="394"/>
      <c r="AP8" s="394"/>
      <c r="AQ8" s="394"/>
      <c r="AR8" s="394"/>
      <c r="AS8" s="394"/>
      <c r="AT8" s="394"/>
      <c r="AU8" s="394"/>
      <c r="AV8" s="394"/>
      <c r="AW8" s="394"/>
      <c r="AX8" s="394"/>
      <c r="AY8" s="394"/>
      <c r="AZ8" s="394"/>
      <c r="BA8" s="394"/>
      <c r="BB8" s="394"/>
      <c r="BC8" s="394"/>
      <c r="BD8" s="394"/>
      <c r="BE8" s="394"/>
    </row>
    <row r="9" spans="1:66" ht="30" customHeight="1">
      <c r="B9" s="451" t="s">
        <v>899</v>
      </c>
      <c r="C9" s="1249" t="s">
        <v>900</v>
      </c>
      <c r="D9" s="1249"/>
      <c r="E9" s="1249"/>
      <c r="Q9" s="1004" t="s">
        <v>6</v>
      </c>
      <c r="R9" s="1005"/>
      <c r="S9" s="1005"/>
      <c r="T9" s="1005"/>
      <c r="U9" s="1005"/>
      <c r="V9" s="1005"/>
      <c r="W9" s="1005"/>
      <c r="X9" s="1005"/>
      <c r="Y9" s="1005"/>
      <c r="Z9" s="1005"/>
      <c r="AA9" s="1005"/>
      <c r="AB9" s="1005"/>
      <c r="AC9" s="1006"/>
      <c r="AD9" s="1000" t="s">
        <v>6</v>
      </c>
      <c r="AE9" s="1000"/>
      <c r="AF9" s="1000"/>
      <c r="AG9" s="1000"/>
      <c r="AH9" s="1000"/>
      <c r="AI9" s="1000"/>
      <c r="AJ9" s="1000"/>
      <c r="AK9" s="1000"/>
      <c r="AL9" s="1000"/>
      <c r="AM9" s="1000"/>
      <c r="AN9" s="1000"/>
      <c r="AO9" s="1000"/>
      <c r="AP9" s="1000"/>
      <c r="AQ9" s="1000"/>
      <c r="AR9" s="1000" t="s">
        <v>6</v>
      </c>
      <c r="AS9" s="1000"/>
      <c r="AT9" s="1000"/>
      <c r="AU9" s="1000"/>
      <c r="AV9" s="1000"/>
      <c r="AW9" s="1000"/>
      <c r="AX9" s="1000"/>
      <c r="AY9" s="1000"/>
      <c r="AZ9" s="1000"/>
      <c r="BA9" s="1000"/>
      <c r="BB9" s="1000"/>
      <c r="BC9" s="1000"/>
      <c r="BD9" s="1000"/>
      <c r="BE9" s="1000"/>
    </row>
    <row r="10" spans="1:66" ht="31.5">
      <c r="B10" s="451" t="s">
        <v>901</v>
      </c>
      <c r="C10" s="1249"/>
      <c r="D10" s="1249"/>
      <c r="E10" s="1249"/>
      <c r="Q10" s="398"/>
      <c r="R10" s="399"/>
      <c r="S10" s="399"/>
      <c r="T10" s="399"/>
      <c r="U10" s="399"/>
      <c r="V10" s="399"/>
      <c r="W10" s="399"/>
      <c r="X10" s="399"/>
      <c r="Y10" s="399"/>
      <c r="Z10" s="399"/>
      <c r="AA10" s="399"/>
      <c r="AB10" s="399"/>
      <c r="AC10" s="400"/>
      <c r="AD10" s="394"/>
      <c r="AE10" s="394"/>
      <c r="AF10" s="394"/>
      <c r="AG10" s="394"/>
      <c r="AH10" s="394"/>
      <c r="AI10" s="394"/>
      <c r="AJ10" s="394"/>
      <c r="AK10" s="394"/>
      <c r="AL10" s="394"/>
      <c r="AM10" s="394"/>
      <c r="AN10" s="394"/>
      <c r="AO10" s="394"/>
      <c r="AP10" s="394"/>
      <c r="AQ10" s="394"/>
      <c r="AR10" s="394"/>
      <c r="AS10" s="394"/>
      <c r="AT10" s="394"/>
      <c r="AU10" s="394"/>
      <c r="AV10" s="394"/>
      <c r="AW10" s="394"/>
      <c r="AX10" s="394"/>
      <c r="AY10" s="394"/>
      <c r="AZ10" s="394"/>
      <c r="BA10" s="394"/>
      <c r="BB10" s="394"/>
      <c r="BC10" s="394"/>
      <c r="BD10" s="394"/>
      <c r="BE10" s="394"/>
    </row>
    <row r="11" spans="1:66" ht="15.75">
      <c r="B11" s="451" t="s">
        <v>902</v>
      </c>
      <c r="C11" s="1250" t="e">
        <f>M128/K125</f>
        <v>#N/A</v>
      </c>
      <c r="D11" s="1007"/>
      <c r="E11" s="1007"/>
      <c r="Q11" s="398"/>
      <c r="R11" s="399"/>
      <c r="S11" s="399"/>
      <c r="T11" s="399"/>
      <c r="U11" s="399"/>
      <c r="V11" s="399"/>
      <c r="W11" s="399"/>
      <c r="X11" s="399"/>
      <c r="Y11" s="399"/>
      <c r="Z11" s="399"/>
      <c r="AA11" s="399"/>
      <c r="AB11" s="399"/>
      <c r="AC11" s="400"/>
      <c r="AD11" s="394"/>
      <c r="AE11" s="394"/>
      <c r="AF11" s="394"/>
      <c r="AG11" s="394"/>
      <c r="AH11" s="394"/>
      <c r="AI11" s="394"/>
      <c r="AJ11" s="394"/>
      <c r="AK11" s="394"/>
      <c r="AL11" s="394"/>
      <c r="AM11" s="394"/>
      <c r="AN11" s="394"/>
      <c r="AO11" s="394"/>
      <c r="AP11" s="394"/>
      <c r="AQ11" s="394"/>
      <c r="AR11" s="394"/>
      <c r="AS11" s="394"/>
      <c r="AT11" s="394"/>
      <c r="AU11" s="394"/>
      <c r="AV11" s="394"/>
      <c r="AW11" s="394"/>
      <c r="AX11" s="394"/>
      <c r="AY11" s="394"/>
      <c r="AZ11" s="394"/>
      <c r="BA11" s="394"/>
      <c r="BB11" s="394"/>
      <c r="BC11" s="394"/>
      <c r="BD11" s="394"/>
      <c r="BE11" s="394"/>
    </row>
    <row r="12" spans="1:66">
      <c r="C12" s="248"/>
      <c r="D12" s="248"/>
      <c r="E12" s="248"/>
      <c r="Q12" s="398"/>
      <c r="R12" s="399"/>
      <c r="S12" s="399"/>
      <c r="T12" s="399"/>
      <c r="U12" s="399"/>
      <c r="V12" s="399"/>
      <c r="W12" s="399"/>
      <c r="X12" s="399"/>
      <c r="Y12" s="399"/>
      <c r="Z12" s="399"/>
      <c r="AA12" s="399"/>
      <c r="AB12" s="399"/>
      <c r="AC12" s="400"/>
      <c r="AD12" s="394"/>
      <c r="AE12" s="394"/>
      <c r="AF12" s="394"/>
      <c r="AG12" s="394"/>
      <c r="AH12" s="394"/>
      <c r="AI12" s="394"/>
      <c r="AJ12" s="394"/>
      <c r="AK12" s="394"/>
      <c r="AL12" s="394"/>
      <c r="AM12" s="394"/>
      <c r="AN12" s="394"/>
      <c r="AO12" s="394"/>
      <c r="AP12" s="394"/>
      <c r="AQ12" s="394"/>
      <c r="AR12" s="394"/>
      <c r="AS12" s="394"/>
      <c r="AT12" s="394"/>
      <c r="AU12" s="394"/>
      <c r="AV12" s="394"/>
      <c r="AW12" s="394"/>
      <c r="AX12" s="394"/>
      <c r="AY12" s="394"/>
      <c r="AZ12" s="394"/>
      <c r="BA12" s="394"/>
      <c r="BB12" s="394"/>
      <c r="BC12" s="394"/>
      <c r="BD12" s="394"/>
      <c r="BE12" s="394"/>
    </row>
    <row r="13" spans="1:66">
      <c r="J13" s="405"/>
      <c r="K13" s="405"/>
      <c r="L13" s="405"/>
      <c r="M13" s="405"/>
      <c r="N13" s="405"/>
      <c r="O13" s="405"/>
      <c r="Q13" s="302" t="e">
        <f>#REF!</f>
        <v>#REF!</v>
      </c>
      <c r="R13" s="302" t="e">
        <f>#REF!</f>
        <v>#REF!</v>
      </c>
      <c r="S13" s="302" t="e">
        <f>#REF!</f>
        <v>#REF!</v>
      </c>
      <c r="T13" s="302" t="e">
        <f>#REF!</f>
        <v>#REF!</v>
      </c>
      <c r="U13" s="302" t="e">
        <f>#REF!</f>
        <v>#REF!</v>
      </c>
      <c r="V13" s="302" t="e">
        <f>#REF!</f>
        <v>#REF!</v>
      </c>
      <c r="W13" s="302" t="e">
        <f>#REF!</f>
        <v>#REF!</v>
      </c>
      <c r="X13" s="302" t="e">
        <f>#REF!</f>
        <v>#REF!</v>
      </c>
      <c r="Y13" s="302" t="e">
        <f>#REF!</f>
        <v>#REF!</v>
      </c>
      <c r="Z13" s="302" t="e">
        <f>#REF!</f>
        <v>#REF!</v>
      </c>
      <c r="AA13" s="302" t="e">
        <f>#REF!</f>
        <v>#REF!</v>
      </c>
      <c r="AB13" s="999"/>
      <c r="AC13" s="999"/>
      <c r="AD13" s="304" t="e">
        <f>#REF!</f>
        <v>#REF!</v>
      </c>
      <c r="AE13" s="304" t="e">
        <f>#REF!</f>
        <v>#REF!</v>
      </c>
      <c r="AF13" s="304" t="e">
        <f>#REF!</f>
        <v>#REF!</v>
      </c>
      <c r="AG13" s="304" t="e">
        <f>#REF!</f>
        <v>#REF!</v>
      </c>
      <c r="AH13" s="304" t="e">
        <f>#REF!</f>
        <v>#REF!</v>
      </c>
      <c r="AI13" s="304" t="e">
        <f>#REF!</f>
        <v>#REF!</v>
      </c>
      <c r="AJ13" s="304" t="e">
        <f>#REF!</f>
        <v>#REF!</v>
      </c>
      <c r="AK13" s="304" t="e">
        <f>#REF!</f>
        <v>#REF!</v>
      </c>
      <c r="AL13" s="304" t="e">
        <f>#REF!</f>
        <v>#REF!</v>
      </c>
      <c r="AM13" s="304" t="e">
        <f>#REF!</f>
        <v>#REF!</v>
      </c>
      <c r="AN13" s="304" t="e">
        <f>#REF!</f>
        <v>#REF!</v>
      </c>
      <c r="AO13" s="304" t="e">
        <f>#REF!</f>
        <v>#REF!</v>
      </c>
      <c r="AP13" s="1000"/>
      <c r="AQ13" s="1000"/>
      <c r="AR13" s="304" t="e">
        <f>#REF!</f>
        <v>#REF!</v>
      </c>
      <c r="AS13" s="304" t="e">
        <f>#REF!</f>
        <v>#REF!</v>
      </c>
      <c r="AT13" s="304" t="e">
        <f>#REF!</f>
        <v>#REF!</v>
      </c>
      <c r="AU13" s="304" t="e">
        <f>#REF!</f>
        <v>#REF!</v>
      </c>
      <c r="AV13" s="304" t="e">
        <f>#REF!</f>
        <v>#REF!</v>
      </c>
      <c r="AW13" s="304" t="e">
        <f>#REF!</f>
        <v>#REF!</v>
      </c>
      <c r="AX13" s="304" t="e">
        <f>#REF!</f>
        <v>#REF!</v>
      </c>
      <c r="AY13" s="304" t="e">
        <f>#REF!</f>
        <v>#REF!</v>
      </c>
      <c r="AZ13" s="304" t="e">
        <f>#REF!</f>
        <v>#REF!</v>
      </c>
      <c r="BA13" s="304" t="e">
        <f>#REF!</f>
        <v>#REF!</v>
      </c>
      <c r="BB13" s="304" t="e">
        <f>#REF!</f>
        <v>#REF!</v>
      </c>
      <c r="BC13" s="304" t="e">
        <f>#REF!</f>
        <v>#REF!</v>
      </c>
      <c r="BD13" s="1000"/>
      <c r="BE13" s="1000"/>
    </row>
    <row r="14" spans="1:66" s="251" customFormat="1" ht="143.25">
      <c r="B14" s="406" t="s">
        <v>7</v>
      </c>
      <c r="C14" s="407" t="s">
        <v>8</v>
      </c>
      <c r="D14" s="407" t="s">
        <v>9</v>
      </c>
      <c r="E14" s="408" t="s">
        <v>10</v>
      </c>
      <c r="F14" s="408" t="s">
        <v>903</v>
      </c>
      <c r="G14" s="408" t="s">
        <v>11</v>
      </c>
      <c r="H14" s="408" t="s">
        <v>12</v>
      </c>
      <c r="I14" s="408" t="s">
        <v>230</v>
      </c>
      <c r="J14" s="408" t="s">
        <v>13</v>
      </c>
      <c r="K14" s="409" t="s">
        <v>14</v>
      </c>
      <c r="L14" s="409" t="s">
        <v>15</v>
      </c>
      <c r="M14" s="409" t="s">
        <v>16</v>
      </c>
      <c r="N14" s="409" t="s">
        <v>17</v>
      </c>
      <c r="O14" s="409" t="s">
        <v>18</v>
      </c>
      <c r="P14" s="409" t="s">
        <v>19</v>
      </c>
      <c r="Q14" s="321" t="s">
        <v>20</v>
      </c>
      <c r="R14" s="321" t="s">
        <v>21</v>
      </c>
      <c r="S14" s="321" t="s">
        <v>22</v>
      </c>
      <c r="T14" s="321" t="s">
        <v>23</v>
      </c>
      <c r="U14" s="321" t="s">
        <v>24</v>
      </c>
      <c r="V14" s="321" t="s">
        <v>25</v>
      </c>
      <c r="W14" s="321" t="s">
        <v>26</v>
      </c>
      <c r="X14" s="321" t="s">
        <v>27</v>
      </c>
      <c r="Y14" s="321" t="s">
        <v>28</v>
      </c>
      <c r="Z14" s="321" t="s">
        <v>29</v>
      </c>
      <c r="AA14" s="321" t="s">
        <v>30</v>
      </c>
      <c r="AB14" s="321" t="s">
        <v>31</v>
      </c>
      <c r="AC14" s="322" t="s">
        <v>32</v>
      </c>
      <c r="AD14" s="323" t="s">
        <v>33</v>
      </c>
      <c r="AE14" s="324" t="s">
        <v>34</v>
      </c>
      <c r="AF14" s="324" t="s">
        <v>35</v>
      </c>
      <c r="AG14" s="324" t="s">
        <v>36</v>
      </c>
      <c r="AH14" s="324" t="s">
        <v>37</v>
      </c>
      <c r="AI14" s="324" t="s">
        <v>38</v>
      </c>
      <c r="AJ14" s="324" t="s">
        <v>39</v>
      </c>
      <c r="AK14" s="324" t="s">
        <v>40</v>
      </c>
      <c r="AL14" s="324" t="s">
        <v>41</v>
      </c>
      <c r="AM14" s="324" t="s">
        <v>42</v>
      </c>
      <c r="AN14" s="324" t="s">
        <v>43</v>
      </c>
      <c r="AO14" s="324" t="s">
        <v>44</v>
      </c>
      <c r="AP14" s="324" t="s">
        <v>45</v>
      </c>
      <c r="AQ14" s="325" t="s">
        <v>46</v>
      </c>
      <c r="AR14" s="326" t="s">
        <v>47</v>
      </c>
      <c r="AS14" s="327" t="s">
        <v>48</v>
      </c>
      <c r="AT14" s="327" t="s">
        <v>49</v>
      </c>
      <c r="AU14" s="327" t="s">
        <v>50</v>
      </c>
      <c r="AV14" s="327" t="s">
        <v>51</v>
      </c>
      <c r="AW14" s="327" t="s">
        <v>52</v>
      </c>
      <c r="AX14" s="327" t="s">
        <v>53</v>
      </c>
      <c r="AY14" s="327" t="s">
        <v>54</v>
      </c>
      <c r="AZ14" s="327" t="s">
        <v>55</v>
      </c>
      <c r="BA14" s="327" t="s">
        <v>56</v>
      </c>
      <c r="BB14" s="327" t="s">
        <v>57</v>
      </c>
      <c r="BC14" s="327" t="s">
        <v>58</v>
      </c>
      <c r="BD14" s="327" t="s">
        <v>59</v>
      </c>
      <c r="BE14" s="306" t="s">
        <v>60</v>
      </c>
      <c r="BF14" s="307" t="s">
        <v>47</v>
      </c>
      <c r="BL14"/>
      <c r="BM14"/>
      <c r="BN14"/>
    </row>
    <row r="15" spans="1:66" s="345" customFormat="1">
      <c r="A15" s="251"/>
      <c r="B15" s="412" t="s">
        <v>61</v>
      </c>
      <c r="C15" s="413"/>
      <c r="D15" s="413"/>
      <c r="E15" s="414"/>
      <c r="F15" s="414"/>
      <c r="G15" s="414"/>
      <c r="H15" s="413"/>
      <c r="I15" s="413"/>
      <c r="J15" s="413"/>
      <c r="K15" s="415"/>
      <c r="L15" s="416"/>
      <c r="M15" s="416"/>
      <c r="N15" s="415"/>
      <c r="O15" s="415"/>
      <c r="P15" s="415"/>
      <c r="AC15" s="345">
        <f>SUM(Table1453[[#This Row],[Program Director 
(IT Workflow - US)]:[Engineer
(IT Workflow - US)]])</f>
        <v>0</v>
      </c>
      <c r="AQ15" s="345">
        <f>SUM(Table1453[[#This Row],[Program Director 
(Customer and Employee Workflow - US)]:[Engineer
(Customer and Employee Workflow - US)]])</f>
        <v>0</v>
      </c>
    </row>
    <row r="16" spans="1:66" ht="25.5">
      <c r="B16" s="410"/>
      <c r="C16" s="438" t="s">
        <v>487</v>
      </c>
      <c r="D16" s="438" t="s">
        <v>63</v>
      </c>
      <c r="E16" s="438" t="s">
        <v>64</v>
      </c>
      <c r="F16" s="438"/>
      <c r="G16" s="438"/>
      <c r="H16" s="438" t="s">
        <v>158</v>
      </c>
      <c r="I16" s="438"/>
      <c r="J16" s="438" t="s">
        <v>71</v>
      </c>
      <c r="K16" s="439">
        <v>3</v>
      </c>
      <c r="L16" s="440" t="e" cm="1">
        <f t="array" ref="L16">INDEX('Client Rates and Roles'!$F$2:$F$433,MATCH(1,COUNTIFS('Opportunity Details'!$C$14,'Client Rates and Roles'!$D$2:$D$433,H16,'Client Rates and Roles'!$B$2:$B$433,J16,'Client Rates and Roles'!$C$2:$C$433,$C$6,'Client Rates and Roles'!$A$2:$A$433),0))</f>
        <v>#N/A</v>
      </c>
      <c r="M16" s="440" t="e">
        <f>K16*L16</f>
        <v>#N/A</v>
      </c>
      <c r="N16" s="439"/>
      <c r="O16" s="439">
        <v>1</v>
      </c>
      <c r="P16" s="439">
        <v>1</v>
      </c>
      <c r="Q16" s="329"/>
      <c r="R16" s="329"/>
      <c r="S16" s="329"/>
      <c r="T16" s="329"/>
      <c r="U16" s="329"/>
      <c r="V16" s="329"/>
      <c r="W16" s="329"/>
      <c r="X16" s="329"/>
      <c r="Y16" s="329"/>
      <c r="Z16" s="329"/>
      <c r="AA16" s="329"/>
      <c r="AB16" s="329"/>
      <c r="AC16" s="331">
        <f>SUM(Table1453[[#This Row],[Program Director 
(IT Workflow - US)]:[Engineer
(IT Workflow - US)]])</f>
        <v>0</v>
      </c>
      <c r="AD16" s="332"/>
      <c r="AE16" s="329"/>
      <c r="AF16" s="329"/>
      <c r="AG16" s="329"/>
      <c r="AH16" s="329"/>
      <c r="AI16" s="329"/>
      <c r="AJ16" s="329"/>
      <c r="AK16" s="329"/>
      <c r="AL16" s="329"/>
      <c r="AM16" s="329"/>
      <c r="AN16" s="329"/>
      <c r="AO16" s="329"/>
      <c r="AP16" s="329"/>
      <c r="AQ16" s="333">
        <f>SUM(Table1453[[#This Row],[Program Director 
(Customer and Employee Workflow - US)]:[Engineer
(Customer and Employee Workflow - US)]])</f>
        <v>0</v>
      </c>
      <c r="AR16" s="329"/>
      <c r="AS16" s="329"/>
      <c r="AT16" s="329"/>
      <c r="AU16" s="329"/>
      <c r="AV16" s="329"/>
      <c r="AW16" s="329"/>
      <c r="AX16" s="329"/>
      <c r="AY16" s="329"/>
      <c r="AZ16" s="329"/>
      <c r="BA16" s="329"/>
      <c r="BB16" s="329"/>
      <c r="BC16" s="329"/>
      <c r="BD16" s="329"/>
      <c r="BE16" s="305">
        <f>SUM(Table1453[[#This Row],[Program Director 
(IT Workflow - US)]:[Chief Architect
(IT Workflow - US)]])</f>
        <v>0</v>
      </c>
      <c r="BF16" s="303"/>
      <c r="BL16"/>
      <c r="BM16"/>
      <c r="BN16"/>
    </row>
    <row r="17" spans="2:66" ht="102">
      <c r="B17" s="411"/>
      <c r="C17" s="438" t="s">
        <v>487</v>
      </c>
      <c r="D17" s="438" t="s">
        <v>67</v>
      </c>
      <c r="E17" s="438" t="str">
        <f>"NewRocket will prepare a pre-engagement questionnaire regarding current state of "&amp;$C$4&amp;"'s platform and vulnerability response program. "</f>
        <v xml:space="preserve">NewRocket will prepare a pre-engagement questionnaire regarding current state of Boeing ITSM Now Assist AI POC's platform and vulnerability response program. </v>
      </c>
      <c r="F17" s="441" t="s">
        <v>904</v>
      </c>
      <c r="G17" s="438" t="str">
        <f>CONCATENATE("• "&amp;$C$4&amp;" will be responsible for responding to the pre-engagement questionnaire prior to resource assignment and project kick-off.
• ",""&amp;$C$4&amp;" will be responsible for locating the service account owners with access to credentials for any integrations (ex. Scanner). ")</f>
        <v xml:space="preserve">• Boeing ITSM Now Assist AI POC will be responsible for responding to the pre-engagement questionnaire prior to resource assignment and project kick-off.
• Boeing ITSM Now Assist AI POC will be responsible for locating the service account owners with access to credentials for any integrations (ex. Scanner). </v>
      </c>
      <c r="H17" s="438" t="s">
        <v>158</v>
      </c>
      <c r="I17" s="438"/>
      <c r="J17" s="438" t="s">
        <v>71</v>
      </c>
      <c r="K17" s="439">
        <v>4</v>
      </c>
      <c r="L17" s="440" t="e" cm="1">
        <f t="array" ref="L17">INDEX('Client Rates and Roles'!$F$2:$F$433,MATCH(1,COUNTIFS('Opportunity Details'!$C$14,'Client Rates and Roles'!$D$2:$D$433,H17,'Client Rates and Roles'!$B$2:$B$433,J17,'Client Rates and Roles'!$C$2:$C$433,$C$6,'Client Rates and Roles'!$A$2:$A$433),0))</f>
        <v>#N/A</v>
      </c>
      <c r="M17" s="440" t="e">
        <f>K17*L17</f>
        <v>#N/A</v>
      </c>
      <c r="N17" s="439"/>
      <c r="O17" s="439">
        <v>2</v>
      </c>
      <c r="P17" s="439">
        <v>2</v>
      </c>
      <c r="Q17" s="329"/>
      <c r="R17" s="329"/>
      <c r="S17" s="329"/>
      <c r="T17" s="329"/>
      <c r="U17" s="329"/>
      <c r="V17" s="329"/>
      <c r="W17" s="329"/>
      <c r="X17" s="329"/>
      <c r="Y17" s="329"/>
      <c r="Z17" s="329"/>
      <c r="AA17" s="329"/>
      <c r="AB17" s="329"/>
      <c r="AC17" s="331">
        <f>SUM(Table1453[[#This Row],[Program Director 
(IT Workflow - US)]:[Engineer
(IT Workflow - US)]])</f>
        <v>0</v>
      </c>
      <c r="AD17" s="332"/>
      <c r="AE17" s="329"/>
      <c r="AF17" s="329"/>
      <c r="AG17" s="329"/>
      <c r="AH17" s="329"/>
      <c r="AI17" s="329"/>
      <c r="AJ17" s="329"/>
      <c r="AK17" s="329"/>
      <c r="AL17" s="329"/>
      <c r="AM17" s="329"/>
      <c r="AN17" s="329"/>
      <c r="AO17" s="329"/>
      <c r="AP17" s="329"/>
      <c r="AQ17" s="333">
        <f>SUM(Table1453[[#This Row],[Program Director 
(Customer and Employee Workflow - US)]:[Engineer
(Customer and Employee Workflow - US)]])</f>
        <v>0</v>
      </c>
      <c r="AR17" s="329"/>
      <c r="AS17" s="329"/>
      <c r="AT17" s="329"/>
      <c r="AU17" s="329"/>
      <c r="AV17" s="329"/>
      <c r="AW17" s="329"/>
      <c r="AX17" s="329"/>
      <c r="AY17" s="329"/>
      <c r="AZ17" s="329"/>
      <c r="BA17" s="329"/>
      <c r="BB17" s="329"/>
      <c r="BC17" s="329"/>
      <c r="BD17" s="329"/>
      <c r="BE17" s="305">
        <f>SUM(Table1453[[#This Row],[Program Director 
(IT Workflow - US)]:[Chief Architect
(IT Workflow - US)]])</f>
        <v>0</v>
      </c>
      <c r="BF17" s="303"/>
      <c r="BL17"/>
      <c r="BM17"/>
      <c r="BN17"/>
    </row>
    <row r="18" spans="2:66" ht="63.75">
      <c r="B18" s="411"/>
      <c r="C18" s="438" t="s">
        <v>487</v>
      </c>
      <c r="D18" s="438" t="s">
        <v>72</v>
      </c>
      <c r="E18" s="438" t="str">
        <f>"Project team assigned and coordination with "&amp;$C$4&amp;" PM to arrange NewRocket access to client's ServiceNow environment(s)."</f>
        <v>Project team assigned and coordination with Boeing ITSM Now Assist AI POC PM to arrange NewRocket access to client's ServiceNow environment(s).</v>
      </c>
      <c r="F18" s="438" t="s">
        <v>905</v>
      </c>
      <c r="G18" s="438" t="s">
        <v>74</v>
      </c>
      <c r="H18" s="438" t="s">
        <v>158</v>
      </c>
      <c r="I18" s="438"/>
      <c r="J18" s="438" t="s">
        <v>71</v>
      </c>
      <c r="K18" s="439">
        <v>2</v>
      </c>
      <c r="L18" s="440" t="e" cm="1">
        <f t="array" ref="L18">INDEX('Client Rates and Roles'!$F$2:$F$433,MATCH(1,COUNTIFS('Opportunity Details'!$C$14,'Client Rates and Roles'!$D$2:$D$433,H18,'Client Rates and Roles'!$B$2:$B$433,J18,'Client Rates and Roles'!$C$2:$C$433,$C$6,'Client Rates and Roles'!$A$2:$A$433),0))</f>
        <v>#N/A</v>
      </c>
      <c r="M18" s="440" t="e">
        <f>K18*L18</f>
        <v>#N/A</v>
      </c>
      <c r="N18" s="439"/>
      <c r="O18" s="439"/>
      <c r="P18" s="439"/>
      <c r="Q18" s="329"/>
      <c r="R18" s="329"/>
      <c r="S18" s="329"/>
      <c r="T18" s="329"/>
      <c r="U18" s="329"/>
      <c r="V18" s="329"/>
      <c r="W18" s="329"/>
      <c r="X18" s="329"/>
      <c r="Y18" s="329"/>
      <c r="Z18" s="329"/>
      <c r="AA18" s="329"/>
      <c r="AB18" s="329"/>
      <c r="AC18" s="331">
        <f>SUM(Table1453[[#This Row],[Program Director 
(IT Workflow - US)]:[Engineer
(IT Workflow - US)]])</f>
        <v>0</v>
      </c>
      <c r="AD18" s="332"/>
      <c r="AE18" s="329"/>
      <c r="AF18" s="329"/>
      <c r="AG18" s="329"/>
      <c r="AH18" s="329"/>
      <c r="AI18" s="329"/>
      <c r="AJ18" s="329"/>
      <c r="AK18" s="329"/>
      <c r="AL18" s="329"/>
      <c r="AM18" s="329"/>
      <c r="AN18" s="329"/>
      <c r="AO18" s="329"/>
      <c r="AP18" s="329"/>
      <c r="AQ18" s="333">
        <f>SUM(Table1453[[#This Row],[Program Director 
(Customer and Employee Workflow - US)]:[Engineer
(Customer and Employee Workflow - US)]])</f>
        <v>0</v>
      </c>
      <c r="AR18" s="329"/>
      <c r="AS18" s="329"/>
      <c r="AT18" s="329"/>
      <c r="AU18" s="329"/>
      <c r="AV18" s="329"/>
      <c r="AW18" s="329"/>
      <c r="AX18" s="329"/>
      <c r="AY18" s="329"/>
      <c r="AZ18" s="329"/>
      <c r="BA18" s="329"/>
      <c r="BB18" s="329"/>
      <c r="BC18" s="329"/>
      <c r="BD18" s="329"/>
      <c r="BE18" s="305">
        <f>SUM(Table1453[[#This Row],[Program Director 
(IT Workflow - US)]:[Chief Architect
(IT Workflow - US)]])</f>
        <v>0</v>
      </c>
      <c r="BF18" s="303"/>
      <c r="BL18"/>
      <c r="BM18"/>
      <c r="BN18"/>
    </row>
    <row r="19" spans="2:66" ht="38.25">
      <c r="B19" s="411"/>
      <c r="C19" s="438" t="s">
        <v>487</v>
      </c>
      <c r="D19" s="438" t="s">
        <v>906</v>
      </c>
      <c r="E19" s="438" t="str">
        <f>"Co-develop draft project plan between NewRocket and "&amp;$C$4&amp;" PM, including review of NewRocket governance process that will be used for project delivery."</f>
        <v>Co-develop draft project plan between NewRocket and Boeing ITSM Now Assist AI POC PM, including review of NewRocket governance process that will be used for project delivery.</v>
      </c>
      <c r="F19" s="438"/>
      <c r="G19" s="438"/>
      <c r="H19" s="438" t="s">
        <v>158</v>
      </c>
      <c r="I19" s="438"/>
      <c r="J19" s="438" t="s">
        <v>71</v>
      </c>
      <c r="K19" s="439">
        <v>10</v>
      </c>
      <c r="L19" s="440" t="e" cm="1">
        <f t="array" ref="L19">INDEX('Client Rates and Roles'!$F$2:$F$433,MATCH(1,COUNTIFS('Opportunity Details'!$C$14,'Client Rates and Roles'!$D$2:$D$433,H19,'Client Rates and Roles'!$B$2:$B$433,J19,'Client Rates and Roles'!$C$2:$C$433,$C$6,'Client Rates and Roles'!$A$2:$A$433),0))</f>
        <v>#N/A</v>
      </c>
      <c r="M19" s="440" t="e">
        <f>K19*L19</f>
        <v>#N/A</v>
      </c>
      <c r="N19" s="439"/>
      <c r="O19" s="439">
        <v>1</v>
      </c>
      <c r="P19" s="439">
        <v>1</v>
      </c>
      <c r="Q19" s="329"/>
      <c r="R19" s="329"/>
      <c r="S19" s="329"/>
      <c r="T19" s="329"/>
      <c r="U19" s="329"/>
      <c r="V19" s="329"/>
      <c r="W19" s="329"/>
      <c r="X19" s="329"/>
      <c r="Y19" s="329"/>
      <c r="Z19" s="329"/>
      <c r="AA19" s="329"/>
      <c r="AB19" s="329"/>
      <c r="AC19" s="331">
        <f>SUM(Table1453[[#This Row],[Program Director 
(IT Workflow - US)]:[Engineer
(IT Workflow - US)]])</f>
        <v>0</v>
      </c>
      <c r="AD19" s="332"/>
      <c r="AE19" s="329"/>
      <c r="AF19" s="329"/>
      <c r="AG19" s="329"/>
      <c r="AH19" s="329"/>
      <c r="AI19" s="329"/>
      <c r="AJ19" s="329"/>
      <c r="AK19" s="329"/>
      <c r="AL19" s="329"/>
      <c r="AM19" s="329"/>
      <c r="AN19" s="329"/>
      <c r="AO19" s="329"/>
      <c r="AP19" s="329"/>
      <c r="AQ19" s="333">
        <f>SUM(Table1453[[#This Row],[Program Director 
(Customer and Employee Workflow - US)]:[Engineer
(Customer and Employee Workflow - US)]])</f>
        <v>0</v>
      </c>
      <c r="AR19" s="329"/>
      <c r="AS19" s="329"/>
      <c r="AT19" s="329"/>
      <c r="AU19" s="329"/>
      <c r="AV19" s="329"/>
      <c r="AW19" s="329"/>
      <c r="AX19" s="329"/>
      <c r="AY19" s="329"/>
      <c r="AZ19" s="329"/>
      <c r="BA19" s="329"/>
      <c r="BB19" s="329"/>
      <c r="BC19" s="329"/>
      <c r="BD19" s="329"/>
      <c r="BE19" s="305">
        <f>SUM(Table1453[[#This Row],[Program Director 
(IT Workflow - US)]:[Chief Architect
(IT Workflow - US)]])</f>
        <v>0</v>
      </c>
      <c r="BF19" s="303"/>
      <c r="BL19"/>
      <c r="BM19"/>
      <c r="BN19"/>
    </row>
    <row r="20" spans="2:66" ht="38.25">
      <c r="B20" s="411"/>
      <c r="C20" s="438" t="s">
        <v>487</v>
      </c>
      <c r="D20" s="438" t="s">
        <v>907</v>
      </c>
      <c r="E20" s="438" t="s">
        <v>79</v>
      </c>
      <c r="F20" s="438"/>
      <c r="G20" s="438"/>
      <c r="H20" s="438" t="s">
        <v>158</v>
      </c>
      <c r="I20" s="438"/>
      <c r="J20" s="438" t="s">
        <v>71</v>
      </c>
      <c r="K20" s="439">
        <v>3</v>
      </c>
      <c r="L20" s="440" t="e" cm="1">
        <f t="array" ref="L20">INDEX('Client Rates and Roles'!$F$2:$F$433,MATCH(1,COUNTIFS('Opportunity Details'!$C$14,'Client Rates and Roles'!$D$2:$D$433,H20,'Client Rates and Roles'!$B$2:$B$433,J20,'Client Rates and Roles'!$C$2:$C$433,$C$6,'Client Rates and Roles'!$A$2:$A$433),0))</f>
        <v>#N/A</v>
      </c>
      <c r="M20" s="440" t="e">
        <f>K20*L20</f>
        <v>#N/A</v>
      </c>
      <c r="N20" s="439"/>
      <c r="O20" s="439">
        <v>1</v>
      </c>
      <c r="P20" s="439">
        <v>1</v>
      </c>
      <c r="Q20" s="329"/>
      <c r="R20" s="329"/>
      <c r="S20" s="329"/>
      <c r="T20" s="329"/>
      <c r="U20" s="329"/>
      <c r="V20" s="329"/>
      <c r="W20" s="329"/>
      <c r="X20" s="329"/>
      <c r="Y20" s="329"/>
      <c r="Z20" s="329"/>
      <c r="AA20" s="329"/>
      <c r="AB20" s="329"/>
      <c r="AC20" s="331">
        <f>SUM(Table1453[[#This Row],[Program Director 
(IT Workflow - US)]:[Engineer
(IT Workflow - US)]])</f>
        <v>0</v>
      </c>
      <c r="AD20" s="332"/>
      <c r="AE20" s="329"/>
      <c r="AF20" s="329"/>
      <c r="AG20" s="329"/>
      <c r="AH20" s="329"/>
      <c r="AI20" s="329"/>
      <c r="AJ20" s="329"/>
      <c r="AK20" s="329"/>
      <c r="AL20" s="329"/>
      <c r="AM20" s="329"/>
      <c r="AN20" s="329"/>
      <c r="AO20" s="329"/>
      <c r="AP20" s="329"/>
      <c r="AQ20" s="333">
        <f>SUM(Table1453[[#This Row],[Program Director 
(Customer and Employee Workflow - US)]:[Engineer
(Customer and Employee Workflow - US)]])</f>
        <v>0</v>
      </c>
      <c r="AR20" s="329"/>
      <c r="AS20" s="329"/>
      <c r="AT20" s="329"/>
      <c r="AU20" s="329"/>
      <c r="AV20" s="329"/>
      <c r="AW20" s="329"/>
      <c r="AX20" s="329"/>
      <c r="AY20" s="329"/>
      <c r="AZ20" s="329"/>
      <c r="BA20" s="329"/>
      <c r="BB20" s="329"/>
      <c r="BC20" s="329"/>
      <c r="BD20" s="329"/>
      <c r="BE20" s="305">
        <f>SUM(Table1453[[#This Row],[Program Director 
(IT Workflow - US)]:[Chief Architect
(IT Workflow - US)]])</f>
        <v>0</v>
      </c>
      <c r="BF20" s="303"/>
      <c r="BL20"/>
      <c r="BM20"/>
      <c r="BN20"/>
    </row>
    <row r="21" spans="2:66">
      <c r="B21" s="420" t="s">
        <v>908</v>
      </c>
      <c r="C21" s="417"/>
      <c r="D21" s="417"/>
      <c r="E21" s="417"/>
      <c r="F21" s="417"/>
      <c r="G21" s="417"/>
      <c r="H21" s="417"/>
      <c r="I21" s="417"/>
      <c r="J21" s="417"/>
      <c r="K21" s="418"/>
      <c r="L21" s="419"/>
      <c r="M21" s="419"/>
      <c r="N21" s="418"/>
      <c r="O21" s="418"/>
      <c r="P21" s="418"/>
      <c r="Q21" s="329"/>
      <c r="R21" s="329"/>
      <c r="S21" s="329"/>
      <c r="T21" s="329"/>
      <c r="U21" s="329"/>
      <c r="V21" s="329"/>
      <c r="W21" s="329"/>
      <c r="X21" s="329"/>
      <c r="Y21" s="329"/>
      <c r="Z21" s="329"/>
      <c r="AA21" s="329"/>
      <c r="AB21" s="329"/>
      <c r="AC21" s="331">
        <f>SUM(Table1453[[#This Row],[Program Director 
(IT Workflow - US)]:[Engineer
(IT Workflow - US)]])</f>
        <v>0</v>
      </c>
      <c r="AD21" s="332"/>
      <c r="AE21" s="329"/>
      <c r="AF21" s="329"/>
      <c r="AG21" s="329"/>
      <c r="AH21" s="329"/>
      <c r="AI21" s="329"/>
      <c r="AJ21" s="329"/>
      <c r="AK21" s="329"/>
      <c r="AL21" s="329"/>
      <c r="AM21" s="329"/>
      <c r="AN21" s="329"/>
      <c r="AO21" s="329"/>
      <c r="AP21" s="329"/>
      <c r="AQ21" s="333">
        <f>SUM(Table1453[[#This Row],[Program Director 
(Customer and Employee Workflow - US)]:[Engineer
(Customer and Employee Workflow - US)]])</f>
        <v>0</v>
      </c>
      <c r="AR21" s="329"/>
      <c r="AS21" s="329"/>
      <c r="AT21" s="329"/>
      <c r="AU21" s="329"/>
      <c r="AV21" s="329"/>
      <c r="AW21" s="329"/>
      <c r="AX21" s="329"/>
      <c r="AY21" s="329"/>
      <c r="AZ21" s="329"/>
      <c r="BA21" s="329"/>
      <c r="BB21" s="329"/>
      <c r="BC21" s="329"/>
      <c r="BD21" s="329"/>
      <c r="BE21" s="305"/>
      <c r="BF21" s="303"/>
      <c r="BL21"/>
      <c r="BM21"/>
      <c r="BN21"/>
    </row>
    <row r="22" spans="2:66" ht="63.75">
      <c r="B22" s="355"/>
      <c r="C22" s="438" t="s">
        <v>429</v>
      </c>
      <c r="D22" s="438" t="s">
        <v>909</v>
      </c>
      <c r="E22" s="438" t="str">
        <f>"Review of "&amp;$C$4&amp;"'s response to pre-engagement questionnaire and any processes/artifacts provided as part of the response. "</f>
        <v xml:space="preserve">Review of Boeing ITSM Now Assist AI POC's response to pre-engagement questionnaire and any processes/artifacts provided as part of the response. </v>
      </c>
      <c r="F22" s="441" t="s">
        <v>904</v>
      </c>
      <c r="G22" s="438"/>
      <c r="H22" s="438" t="s">
        <v>823</v>
      </c>
      <c r="I22" s="438"/>
      <c r="J22" s="438" t="s">
        <v>71</v>
      </c>
      <c r="K22" s="439">
        <v>2</v>
      </c>
      <c r="L22" s="440" t="e" cm="1">
        <f t="array" ref="L22">INDEX('Client Rates and Roles'!$F$2:$F$433,MATCH(1,COUNTIFS('Opportunity Details'!$C$14,'Client Rates and Roles'!$D$2:$D$433,H22,'Client Rates and Roles'!$B$2:$B$433,J22,'Client Rates and Roles'!$C$2:$C$433,$C$6,'Client Rates and Roles'!$A$2:$A$433),0))</f>
        <v>#N/A</v>
      </c>
      <c r="M22" s="440" t="e">
        <f t="shared" ref="M22:M45" si="0">K22*L22</f>
        <v>#N/A</v>
      </c>
      <c r="N22" s="439"/>
      <c r="O22" s="439"/>
      <c r="P22" s="439">
        <f>Table1453[[#This Row],[Hours]]</f>
        <v>2</v>
      </c>
      <c r="Q22" s="329"/>
      <c r="R22" s="329"/>
      <c r="S22" s="329"/>
      <c r="T22" s="329"/>
      <c r="U22" s="329"/>
      <c r="V22" s="329"/>
      <c r="W22" s="329"/>
      <c r="X22" s="329"/>
      <c r="Y22" s="329"/>
      <c r="Z22" s="329"/>
      <c r="AA22" s="329"/>
      <c r="AB22" s="329"/>
      <c r="AC22" s="331">
        <f>SUM(Table1453[[#This Row],[Program Director 
(IT Workflow - US)]:[Engineer
(IT Workflow - US)]])</f>
        <v>0</v>
      </c>
      <c r="AD22" s="332"/>
      <c r="AE22" s="329"/>
      <c r="AF22" s="329"/>
      <c r="AG22" s="329"/>
      <c r="AH22" s="329"/>
      <c r="AI22" s="329"/>
      <c r="AJ22" s="329"/>
      <c r="AK22" s="329"/>
      <c r="AL22" s="329"/>
      <c r="AM22" s="329"/>
      <c r="AN22" s="329"/>
      <c r="AO22" s="329"/>
      <c r="AP22" s="329"/>
      <c r="AQ22" s="333">
        <f>SUM(Table1453[[#This Row],[Program Director 
(Customer and Employee Workflow - US)]:[Engineer
(Customer and Employee Workflow - US)]])</f>
        <v>0</v>
      </c>
      <c r="AR22" s="329"/>
      <c r="AS22" s="329"/>
      <c r="AT22" s="329"/>
      <c r="AU22" s="329"/>
      <c r="AV22" s="329"/>
      <c r="AW22" s="329"/>
      <c r="AX22" s="329"/>
      <c r="AY22" s="329"/>
      <c r="AZ22" s="329"/>
      <c r="BA22" s="329"/>
      <c r="BB22" s="329"/>
      <c r="BC22" s="329"/>
      <c r="BD22" s="329"/>
      <c r="BE22" s="305">
        <f>SUM(Table1453[[#This Row],[Program Director 
(IT Workflow - US)]:[Chief Architect
(IT Workflow - US)]])</f>
        <v>0</v>
      </c>
      <c r="BF22" s="303"/>
      <c r="BL22"/>
      <c r="BM22"/>
      <c r="BN22"/>
    </row>
    <row r="23" spans="2:66" ht="76.5">
      <c r="B23" s="355"/>
      <c r="C23" s="438" t="s">
        <v>429</v>
      </c>
      <c r="D23" s="438" t="s">
        <v>910</v>
      </c>
      <c r="E23" s="438" t="s">
        <v>89</v>
      </c>
      <c r="F23" s="441" t="s">
        <v>904</v>
      </c>
      <c r="G23" s="438"/>
      <c r="H23" s="438" t="s">
        <v>359</v>
      </c>
      <c r="I23" s="438"/>
      <c r="J23" s="438" t="s">
        <v>71</v>
      </c>
      <c r="K23" s="439">
        <v>4</v>
      </c>
      <c r="L23" s="440" t="e" cm="1">
        <f t="array" ref="L23">INDEX('Client Rates and Roles'!$F$2:$F$433,MATCH(1,COUNTIFS('Opportunity Details'!$C$14,'Client Rates and Roles'!$D$2:$D$433,H23,'Client Rates and Roles'!$B$2:$B$433,J23,'Client Rates and Roles'!$C$2:$C$433,$C$6,'Client Rates and Roles'!$A$2:$A$433),0))</f>
        <v>#N/A</v>
      </c>
      <c r="M23" s="440" t="e">
        <f t="shared" si="0"/>
        <v>#N/A</v>
      </c>
      <c r="N23" s="439"/>
      <c r="O23" s="439"/>
      <c r="P23" s="439">
        <f>Table1453[[#This Row],[Hours]]</f>
        <v>4</v>
      </c>
      <c r="Q23" s="329"/>
      <c r="R23" s="329"/>
      <c r="S23" s="329"/>
      <c r="T23" s="329"/>
      <c r="U23" s="329"/>
      <c r="V23" s="329"/>
      <c r="W23" s="329"/>
      <c r="X23" s="329"/>
      <c r="Y23" s="329"/>
      <c r="Z23" s="329"/>
      <c r="AA23" s="329"/>
      <c r="AB23" s="329"/>
      <c r="AC23" s="331">
        <f>SUM(Table1453[[#This Row],[Program Director 
(IT Workflow - US)]:[Engineer
(IT Workflow - US)]])</f>
        <v>0</v>
      </c>
      <c r="AD23" s="332"/>
      <c r="AE23" s="329"/>
      <c r="AF23" s="329"/>
      <c r="AG23" s="329"/>
      <c r="AH23" s="329"/>
      <c r="AI23" s="329"/>
      <c r="AJ23" s="329"/>
      <c r="AK23" s="329"/>
      <c r="AL23" s="329"/>
      <c r="AM23" s="329"/>
      <c r="AN23" s="329"/>
      <c r="AO23" s="329"/>
      <c r="AP23" s="329"/>
      <c r="AQ23" s="333">
        <f>SUM(Table1453[[#This Row],[Program Director 
(Customer and Employee Workflow - US)]:[Engineer
(Customer and Employee Workflow - US)]])</f>
        <v>0</v>
      </c>
      <c r="AR23" s="329"/>
      <c r="AS23" s="329"/>
      <c r="AT23" s="329"/>
      <c r="AU23" s="329"/>
      <c r="AV23" s="329"/>
      <c r="AW23" s="329"/>
      <c r="AX23" s="329"/>
      <c r="AY23" s="329"/>
      <c r="AZ23" s="329"/>
      <c r="BA23" s="329"/>
      <c r="BB23" s="329"/>
      <c r="BC23" s="329"/>
      <c r="BD23" s="329"/>
      <c r="BE23" s="305">
        <f>SUM(Table1453[[#This Row],[Program Director 
(IT Workflow - US)]:[Chief Architect
(IT Workflow - US)]])</f>
        <v>0</v>
      </c>
      <c r="BF23" s="303"/>
      <c r="BL23"/>
      <c r="BM23"/>
      <c r="BN23"/>
    </row>
    <row r="24" spans="2:66" ht="25.5">
      <c r="B24" s="355"/>
      <c r="C24" s="438" t="s">
        <v>429</v>
      </c>
      <c r="D24" s="438" t="s">
        <v>911</v>
      </c>
      <c r="E24" s="438" t="s">
        <v>912</v>
      </c>
      <c r="F24" s="453"/>
      <c r="G24" s="438" t="s">
        <v>913</v>
      </c>
      <c r="H24" s="438" t="s">
        <v>823</v>
      </c>
      <c r="I24" s="438"/>
      <c r="J24" s="438" t="s">
        <v>71</v>
      </c>
      <c r="K24" s="439">
        <v>2</v>
      </c>
      <c r="L24" s="440" t="e" cm="1">
        <f t="array" ref="L24">INDEX('Client Rates and Roles'!$F$2:$F$433,MATCH(1,COUNTIFS('Opportunity Details'!$C$14,'Client Rates and Roles'!$D$2:$D$433,H24,'Client Rates and Roles'!$B$2:$B$433,J24,'Client Rates and Roles'!$C$2:$C$433,$C$6,'Client Rates and Roles'!$A$2:$A$433),0))</f>
        <v>#N/A</v>
      </c>
      <c r="M24" s="440" t="e">
        <f t="shared" si="0"/>
        <v>#N/A</v>
      </c>
      <c r="N24" s="439"/>
      <c r="O24" s="439"/>
      <c r="P24" s="439">
        <f>Table1453[[#This Row],[Hours]]</f>
        <v>2</v>
      </c>
      <c r="Q24" s="329"/>
      <c r="R24" s="329"/>
      <c r="S24" s="329"/>
      <c r="T24" s="329"/>
      <c r="U24" s="329"/>
      <c r="V24" s="329"/>
      <c r="W24" s="329"/>
      <c r="X24" s="329"/>
      <c r="Y24" s="329"/>
      <c r="Z24" s="329"/>
      <c r="AA24" s="329"/>
      <c r="AB24" s="329"/>
      <c r="AC24" s="331">
        <f>SUM(Table1453[[#This Row],[Program Director 
(IT Workflow - US)]:[Engineer
(IT Workflow - US)]])</f>
        <v>0</v>
      </c>
      <c r="AD24" s="332"/>
      <c r="AE24" s="329"/>
      <c r="AF24" s="329"/>
      <c r="AG24" s="329"/>
      <c r="AH24" s="329"/>
      <c r="AI24" s="329"/>
      <c r="AJ24" s="329"/>
      <c r="AK24" s="329"/>
      <c r="AL24" s="329"/>
      <c r="AM24" s="329"/>
      <c r="AN24" s="329"/>
      <c r="AO24" s="329"/>
      <c r="AP24" s="329"/>
      <c r="AQ24" s="333">
        <f>SUM(Table1453[[#This Row],[Program Director 
(Customer and Employee Workflow - US)]:[Engineer
(Customer and Employee Workflow - US)]])</f>
        <v>0</v>
      </c>
      <c r="AR24" s="329"/>
      <c r="AS24" s="329"/>
      <c r="AT24" s="329"/>
      <c r="AU24" s="329"/>
      <c r="AV24" s="329"/>
      <c r="AW24" s="329"/>
      <c r="AX24" s="329"/>
      <c r="AY24" s="329"/>
      <c r="AZ24" s="329"/>
      <c r="BA24" s="329"/>
      <c r="BB24" s="329"/>
      <c r="BC24" s="329"/>
      <c r="BD24" s="329"/>
      <c r="BE24" s="305"/>
      <c r="BF24" s="303"/>
      <c r="BL24"/>
      <c r="BM24"/>
      <c r="BN24"/>
    </row>
    <row r="25" spans="2:66" ht="38.25">
      <c r="B25" s="355"/>
      <c r="C25" s="438" t="s">
        <v>429</v>
      </c>
      <c r="D25" s="438" t="s">
        <v>914</v>
      </c>
      <c r="E25" s="438" t="s">
        <v>915</v>
      </c>
      <c r="F25" s="453"/>
      <c r="G25" s="438"/>
      <c r="H25" s="438" t="s">
        <v>823</v>
      </c>
      <c r="I25" s="438"/>
      <c r="J25" s="438" t="s">
        <v>71</v>
      </c>
      <c r="K25" s="439">
        <v>4</v>
      </c>
      <c r="L25" s="440" t="e" cm="1">
        <f t="array" ref="L25">INDEX('Client Rates and Roles'!$F$2:$F$433,MATCH(1,COUNTIFS('Opportunity Details'!$C$14,'Client Rates and Roles'!$D$2:$D$433,H25,'Client Rates and Roles'!$B$2:$B$433,J25,'Client Rates and Roles'!$C$2:$C$433,$C$6,'Client Rates and Roles'!$A$2:$A$433),0))</f>
        <v>#N/A</v>
      </c>
      <c r="M25" s="440" t="e">
        <f t="shared" si="0"/>
        <v>#N/A</v>
      </c>
      <c r="N25" s="439"/>
      <c r="O25" s="439"/>
      <c r="P25" s="439">
        <f>Table1453[[#This Row],[Hours]]</f>
        <v>4</v>
      </c>
      <c r="Q25" s="329"/>
      <c r="R25" s="329"/>
      <c r="S25" s="329"/>
      <c r="T25" s="329"/>
      <c r="U25" s="329"/>
      <c r="V25" s="329"/>
      <c r="W25" s="329"/>
      <c r="X25" s="329"/>
      <c r="Y25" s="329"/>
      <c r="Z25" s="329"/>
      <c r="AA25" s="329"/>
      <c r="AB25" s="329"/>
      <c r="AC25" s="331">
        <f>SUM(Table1453[[#This Row],[Program Director 
(IT Workflow - US)]:[Engineer
(IT Workflow - US)]])</f>
        <v>0</v>
      </c>
      <c r="AD25" s="332"/>
      <c r="AE25" s="329"/>
      <c r="AF25" s="329"/>
      <c r="AG25" s="329"/>
      <c r="AH25" s="329"/>
      <c r="AI25" s="329"/>
      <c r="AJ25" s="329"/>
      <c r="AK25" s="329"/>
      <c r="AL25" s="329"/>
      <c r="AM25" s="329"/>
      <c r="AN25" s="329"/>
      <c r="AO25" s="329"/>
      <c r="AP25" s="329"/>
      <c r="AQ25" s="333">
        <f>SUM(Table1453[[#This Row],[Program Director 
(Customer and Employee Workflow - US)]:[Engineer
(Customer and Employee Workflow - US)]])</f>
        <v>0</v>
      </c>
      <c r="AR25" s="329"/>
      <c r="AS25" s="329"/>
      <c r="AT25" s="329"/>
      <c r="AU25" s="329"/>
      <c r="AV25" s="329"/>
      <c r="AW25" s="329"/>
      <c r="AX25" s="329"/>
      <c r="AY25" s="329"/>
      <c r="AZ25" s="329"/>
      <c r="BA25" s="329"/>
      <c r="BB25" s="329"/>
      <c r="BC25" s="329"/>
      <c r="BD25" s="329"/>
      <c r="BE25" s="305"/>
      <c r="BF25" s="303"/>
      <c r="BL25"/>
      <c r="BM25"/>
      <c r="BN25"/>
    </row>
    <row r="26" spans="2:66" ht="38.25">
      <c r="B26" s="355"/>
      <c r="C26" s="438" t="s">
        <v>429</v>
      </c>
      <c r="D26" s="438" t="s">
        <v>916</v>
      </c>
      <c r="E26" s="438" t="s">
        <v>917</v>
      </c>
      <c r="F26" s="453"/>
      <c r="G26" s="438"/>
      <c r="H26" s="438" t="s">
        <v>823</v>
      </c>
      <c r="I26" s="438"/>
      <c r="J26" s="438" t="s">
        <v>71</v>
      </c>
      <c r="K26" s="439">
        <v>8</v>
      </c>
      <c r="L26" s="440" t="e" cm="1">
        <f t="array" ref="L26">INDEX('Client Rates and Roles'!$F$2:$F$433,MATCH(1,COUNTIFS('Opportunity Details'!$C$14,'Client Rates and Roles'!$D$2:$D$433,H26,'Client Rates and Roles'!$B$2:$B$433,J26,'Client Rates and Roles'!$C$2:$C$433,$C$6,'Client Rates and Roles'!$A$2:$A$433),0))</f>
        <v>#N/A</v>
      </c>
      <c r="M26" s="440" t="e">
        <f t="shared" si="0"/>
        <v>#N/A</v>
      </c>
      <c r="N26" s="439"/>
      <c r="O26" s="439"/>
      <c r="P26" s="439">
        <f>Table1453[[#This Row],[Hours]]</f>
        <v>8</v>
      </c>
      <c r="Q26" s="329"/>
      <c r="R26" s="329"/>
      <c r="S26" s="329"/>
      <c r="T26" s="329"/>
      <c r="U26" s="329"/>
      <c r="V26" s="329"/>
      <c r="W26" s="329"/>
      <c r="X26" s="329"/>
      <c r="Y26" s="329"/>
      <c r="Z26" s="329"/>
      <c r="AA26" s="329"/>
      <c r="AB26" s="329"/>
      <c r="AC26" s="331">
        <f>SUM(Table1453[[#This Row],[Program Director 
(IT Workflow - US)]:[Engineer
(IT Workflow - US)]])</f>
        <v>0</v>
      </c>
      <c r="AD26" s="332"/>
      <c r="AE26" s="329"/>
      <c r="AF26" s="329"/>
      <c r="AG26" s="329"/>
      <c r="AH26" s="329"/>
      <c r="AI26" s="329"/>
      <c r="AJ26" s="329"/>
      <c r="AK26" s="329"/>
      <c r="AL26" s="329"/>
      <c r="AM26" s="329"/>
      <c r="AN26" s="329"/>
      <c r="AO26" s="329"/>
      <c r="AP26" s="329"/>
      <c r="AQ26" s="333">
        <f>SUM(Table1453[[#This Row],[Program Director 
(Customer and Employee Workflow - US)]:[Engineer
(Customer and Employee Workflow - US)]])</f>
        <v>0</v>
      </c>
      <c r="AR26" s="329"/>
      <c r="AS26" s="329"/>
      <c r="AT26" s="329"/>
      <c r="AU26" s="329"/>
      <c r="AV26" s="329"/>
      <c r="AW26" s="329"/>
      <c r="AX26" s="329"/>
      <c r="AY26" s="329"/>
      <c r="AZ26" s="329"/>
      <c r="BA26" s="329"/>
      <c r="BB26" s="329"/>
      <c r="BC26" s="329"/>
      <c r="BD26" s="329"/>
      <c r="BE26" s="305"/>
      <c r="BF26" s="303"/>
      <c r="BL26"/>
      <c r="BM26"/>
      <c r="BN26"/>
    </row>
    <row r="27" spans="2:66" ht="38.25">
      <c r="B27" s="355"/>
      <c r="C27" s="438" t="s">
        <v>429</v>
      </c>
      <c r="D27" s="438" t="s">
        <v>918</v>
      </c>
      <c r="E27" s="438" t="s">
        <v>919</v>
      </c>
      <c r="F27" s="453"/>
      <c r="G27" s="438"/>
      <c r="H27" s="438" t="s">
        <v>823</v>
      </c>
      <c r="I27" s="438"/>
      <c r="J27" s="438" t="s">
        <v>71</v>
      </c>
      <c r="K27" s="439">
        <v>8</v>
      </c>
      <c r="L27" s="440" t="e" cm="1">
        <f t="array" ref="L27">INDEX('Client Rates and Roles'!$F$2:$F$433,MATCH(1,COUNTIFS('Opportunity Details'!$C$14,'Client Rates and Roles'!$D$2:$D$433,H27,'Client Rates and Roles'!$B$2:$B$433,J27,'Client Rates and Roles'!$C$2:$C$433,$C$6,'Client Rates and Roles'!$A$2:$A$433),0))</f>
        <v>#N/A</v>
      </c>
      <c r="M27" s="440" t="e">
        <f t="shared" si="0"/>
        <v>#N/A</v>
      </c>
      <c r="N27" s="439"/>
      <c r="O27" s="439"/>
      <c r="P27" s="439">
        <f>Table1453[[#This Row],[Hours]]</f>
        <v>8</v>
      </c>
      <c r="Q27" s="329"/>
      <c r="R27" s="329"/>
      <c r="S27" s="329"/>
      <c r="T27" s="329"/>
      <c r="U27" s="329"/>
      <c r="V27" s="329"/>
      <c r="W27" s="329"/>
      <c r="X27" s="329"/>
      <c r="Y27" s="329"/>
      <c r="Z27" s="329"/>
      <c r="AA27" s="329"/>
      <c r="AB27" s="329"/>
      <c r="AC27" s="331">
        <f>SUM(Table1453[[#This Row],[Program Director 
(IT Workflow - US)]:[Engineer
(IT Workflow - US)]])</f>
        <v>0</v>
      </c>
      <c r="AD27" s="332"/>
      <c r="AE27" s="329"/>
      <c r="AF27" s="329"/>
      <c r="AG27" s="329"/>
      <c r="AH27" s="329"/>
      <c r="AI27" s="329"/>
      <c r="AJ27" s="329"/>
      <c r="AK27" s="329"/>
      <c r="AL27" s="329"/>
      <c r="AM27" s="329"/>
      <c r="AN27" s="329"/>
      <c r="AO27" s="329"/>
      <c r="AP27" s="329"/>
      <c r="AQ27" s="333">
        <f>SUM(Table1453[[#This Row],[Program Director 
(Customer and Employee Workflow - US)]:[Engineer
(Customer and Employee Workflow - US)]])</f>
        <v>0</v>
      </c>
      <c r="AR27" s="329"/>
      <c r="AS27" s="329"/>
      <c r="AT27" s="329"/>
      <c r="AU27" s="329"/>
      <c r="AV27" s="329"/>
      <c r="AW27" s="329"/>
      <c r="AX27" s="329"/>
      <c r="AY27" s="329"/>
      <c r="AZ27" s="329"/>
      <c r="BA27" s="329"/>
      <c r="BB27" s="329"/>
      <c r="BC27" s="329"/>
      <c r="BD27" s="329"/>
      <c r="BE27" s="305"/>
      <c r="BF27" s="303"/>
      <c r="BL27"/>
      <c r="BM27"/>
      <c r="BN27"/>
    </row>
    <row r="28" spans="2:66" ht="25.5">
      <c r="B28" s="355"/>
      <c r="C28" s="438" t="s">
        <v>429</v>
      </c>
      <c r="D28" s="438" t="s">
        <v>920</v>
      </c>
      <c r="E28" s="438" t="s">
        <v>921</v>
      </c>
      <c r="F28" s="453"/>
      <c r="G28" s="438"/>
      <c r="H28" s="438" t="s">
        <v>823</v>
      </c>
      <c r="I28" s="438"/>
      <c r="J28" s="438" t="s">
        <v>71</v>
      </c>
      <c r="K28" s="439">
        <v>16</v>
      </c>
      <c r="L28" s="440" t="e" cm="1">
        <f t="array" ref="L28">INDEX('Client Rates and Roles'!$F$2:$F$433,MATCH(1,COUNTIFS('Opportunity Details'!$C$14,'Client Rates and Roles'!$D$2:$D$433,H28,'Client Rates and Roles'!$B$2:$B$433,J28,'Client Rates and Roles'!$C$2:$C$433,$C$6,'Client Rates and Roles'!$A$2:$A$433),0))</f>
        <v>#N/A</v>
      </c>
      <c r="M28" s="440" t="e">
        <f t="shared" si="0"/>
        <v>#N/A</v>
      </c>
      <c r="N28" s="439"/>
      <c r="O28" s="439"/>
      <c r="P28" s="439">
        <f>Table1453[[#This Row],[Hours]]</f>
        <v>16</v>
      </c>
      <c r="Q28" s="329"/>
      <c r="R28" s="329"/>
      <c r="S28" s="329"/>
      <c r="T28" s="329"/>
      <c r="U28" s="329"/>
      <c r="V28" s="329"/>
      <c r="W28" s="329"/>
      <c r="X28" s="329"/>
      <c r="Y28" s="329"/>
      <c r="Z28" s="329"/>
      <c r="AA28" s="329"/>
      <c r="AB28" s="329"/>
      <c r="AC28" s="331">
        <f>SUM(Table1453[[#This Row],[Program Director 
(IT Workflow - US)]:[Engineer
(IT Workflow - US)]])</f>
        <v>0</v>
      </c>
      <c r="AD28" s="332"/>
      <c r="AE28" s="329"/>
      <c r="AF28" s="329"/>
      <c r="AG28" s="329"/>
      <c r="AH28" s="329"/>
      <c r="AI28" s="329"/>
      <c r="AJ28" s="329"/>
      <c r="AK28" s="329"/>
      <c r="AL28" s="329"/>
      <c r="AM28" s="329"/>
      <c r="AN28" s="329"/>
      <c r="AO28" s="329"/>
      <c r="AP28" s="329"/>
      <c r="AQ28" s="333">
        <f>SUM(Table1453[[#This Row],[Program Director 
(Customer and Employee Workflow - US)]:[Engineer
(Customer and Employee Workflow - US)]])</f>
        <v>0</v>
      </c>
      <c r="AR28" s="329"/>
      <c r="AS28" s="329"/>
      <c r="AT28" s="329"/>
      <c r="AU28" s="329"/>
      <c r="AV28" s="329"/>
      <c r="AW28" s="329"/>
      <c r="AX28" s="329"/>
      <c r="AY28" s="329"/>
      <c r="AZ28" s="329"/>
      <c r="BA28" s="329"/>
      <c r="BB28" s="329"/>
      <c r="BC28" s="329"/>
      <c r="BD28" s="329"/>
      <c r="BE28" s="305"/>
      <c r="BF28" s="303"/>
      <c r="BL28"/>
      <c r="BM28"/>
      <c r="BN28"/>
    </row>
    <row r="29" spans="2:66" ht="38.25">
      <c r="B29" s="355"/>
      <c r="C29" s="438" t="s">
        <v>429</v>
      </c>
      <c r="D29" s="438" t="s">
        <v>922</v>
      </c>
      <c r="E29" s="438" t="s">
        <v>923</v>
      </c>
      <c r="F29" s="453"/>
      <c r="G29" s="438"/>
      <c r="H29" s="438" t="s">
        <v>823</v>
      </c>
      <c r="I29" s="438"/>
      <c r="J29" s="438" t="s">
        <v>71</v>
      </c>
      <c r="K29" s="439">
        <v>4</v>
      </c>
      <c r="L29" s="440" t="e" cm="1">
        <f t="array" ref="L29">INDEX('Client Rates and Roles'!$F$2:$F$433,MATCH(1,COUNTIFS('Opportunity Details'!$C$14,'Client Rates and Roles'!$D$2:$D$433,H29,'Client Rates and Roles'!$B$2:$B$433,J29,'Client Rates and Roles'!$C$2:$C$433,$C$6,'Client Rates and Roles'!$A$2:$A$433),0))</f>
        <v>#N/A</v>
      </c>
      <c r="M29" s="440" t="e">
        <f t="shared" si="0"/>
        <v>#N/A</v>
      </c>
      <c r="N29" s="439"/>
      <c r="O29" s="439"/>
      <c r="P29" s="439">
        <f>Table1453[[#This Row],[Hours]]</f>
        <v>4</v>
      </c>
      <c r="Q29" s="329"/>
      <c r="R29" s="329"/>
      <c r="S29" s="329"/>
      <c r="T29" s="329"/>
      <c r="U29" s="329"/>
      <c r="V29" s="329"/>
      <c r="W29" s="329"/>
      <c r="X29" s="329"/>
      <c r="Y29" s="329"/>
      <c r="Z29" s="329"/>
      <c r="AA29" s="329"/>
      <c r="AB29" s="329"/>
      <c r="AC29" s="331">
        <f>SUM(Table1453[[#This Row],[Program Director 
(IT Workflow - US)]:[Engineer
(IT Workflow - US)]])</f>
        <v>0</v>
      </c>
      <c r="AD29" s="332"/>
      <c r="AE29" s="329"/>
      <c r="AF29" s="329"/>
      <c r="AG29" s="329"/>
      <c r="AH29" s="329"/>
      <c r="AI29" s="329"/>
      <c r="AJ29" s="329"/>
      <c r="AK29" s="329"/>
      <c r="AL29" s="329"/>
      <c r="AM29" s="329"/>
      <c r="AN29" s="329"/>
      <c r="AO29" s="329"/>
      <c r="AP29" s="329"/>
      <c r="AQ29" s="333">
        <f>SUM(Table1453[[#This Row],[Program Director 
(Customer and Employee Workflow - US)]:[Engineer
(Customer and Employee Workflow - US)]])</f>
        <v>0</v>
      </c>
      <c r="AR29" s="329"/>
      <c r="AS29" s="329"/>
      <c r="AT29" s="329"/>
      <c r="AU29" s="329"/>
      <c r="AV29" s="329"/>
      <c r="AW29" s="329"/>
      <c r="AX29" s="329"/>
      <c r="AY29" s="329"/>
      <c r="AZ29" s="329"/>
      <c r="BA29" s="329"/>
      <c r="BB29" s="329"/>
      <c r="BC29" s="329"/>
      <c r="BD29" s="329"/>
      <c r="BE29" s="305"/>
      <c r="BF29" s="303"/>
      <c r="BL29"/>
      <c r="BM29"/>
      <c r="BN29"/>
    </row>
    <row r="30" spans="2:66" ht="38.25">
      <c r="B30" s="355"/>
      <c r="C30" s="438" t="s">
        <v>429</v>
      </c>
      <c r="D30" s="438" t="s">
        <v>924</v>
      </c>
      <c r="E30" s="438" t="s">
        <v>925</v>
      </c>
      <c r="F30" s="453"/>
      <c r="G30" s="438"/>
      <c r="H30" s="438" t="s">
        <v>823</v>
      </c>
      <c r="I30" s="438"/>
      <c r="J30" s="438" t="s">
        <v>71</v>
      </c>
      <c r="K30" s="439">
        <v>4</v>
      </c>
      <c r="L30" s="440" t="e" cm="1">
        <f t="array" ref="L30">INDEX('Client Rates and Roles'!$F$2:$F$433,MATCH(1,COUNTIFS('Opportunity Details'!$C$14,'Client Rates and Roles'!$D$2:$D$433,H30,'Client Rates and Roles'!$B$2:$B$433,J30,'Client Rates and Roles'!$C$2:$C$433,$C$6,'Client Rates and Roles'!$A$2:$A$433),0))</f>
        <v>#N/A</v>
      </c>
      <c r="M30" s="440" t="e">
        <f t="shared" si="0"/>
        <v>#N/A</v>
      </c>
      <c r="N30" s="439"/>
      <c r="O30" s="439"/>
      <c r="P30" s="439">
        <f>Table1453[[#This Row],[Hours]]</f>
        <v>4</v>
      </c>
      <c r="Q30" s="329"/>
      <c r="R30" s="329"/>
      <c r="S30" s="329"/>
      <c r="T30" s="329"/>
      <c r="U30" s="329"/>
      <c r="V30" s="329"/>
      <c r="W30" s="329"/>
      <c r="X30" s="329"/>
      <c r="Y30" s="329"/>
      <c r="Z30" s="329"/>
      <c r="AA30" s="329"/>
      <c r="AB30" s="329"/>
      <c r="AC30" s="331">
        <f>SUM(Table1453[[#This Row],[Program Director 
(IT Workflow - US)]:[Engineer
(IT Workflow - US)]])</f>
        <v>0</v>
      </c>
      <c r="AD30" s="332"/>
      <c r="AE30" s="329"/>
      <c r="AF30" s="329"/>
      <c r="AG30" s="329"/>
      <c r="AH30" s="329"/>
      <c r="AI30" s="329"/>
      <c r="AJ30" s="329"/>
      <c r="AK30" s="329"/>
      <c r="AL30" s="329"/>
      <c r="AM30" s="329"/>
      <c r="AN30" s="329"/>
      <c r="AO30" s="329"/>
      <c r="AP30" s="329"/>
      <c r="AQ30" s="333">
        <f>SUM(Table1453[[#This Row],[Program Director 
(Customer and Employee Workflow - US)]:[Engineer
(Customer and Employee Workflow - US)]])</f>
        <v>0</v>
      </c>
      <c r="AR30" s="329"/>
      <c r="AS30" s="329"/>
      <c r="AT30" s="329"/>
      <c r="AU30" s="329"/>
      <c r="AV30" s="329"/>
      <c r="AW30" s="329"/>
      <c r="AX30" s="329"/>
      <c r="AY30" s="329"/>
      <c r="AZ30" s="329"/>
      <c r="BA30" s="329"/>
      <c r="BB30" s="329"/>
      <c r="BC30" s="329"/>
      <c r="BD30" s="329"/>
      <c r="BE30" s="305"/>
      <c r="BF30" s="303"/>
      <c r="BL30"/>
      <c r="BM30"/>
      <c r="BN30"/>
    </row>
    <row r="31" spans="2:66" ht="51">
      <c r="B31" s="355"/>
      <c r="C31" s="438" t="s">
        <v>429</v>
      </c>
      <c r="D31" s="438" t="s">
        <v>926</v>
      </c>
      <c r="E31" s="438" t="s">
        <v>927</v>
      </c>
      <c r="F31" s="453"/>
      <c r="G31" s="438"/>
      <c r="H31" s="438" t="s">
        <v>823</v>
      </c>
      <c r="I31" s="438"/>
      <c r="J31" s="438" t="s">
        <v>71</v>
      </c>
      <c r="K31" s="439">
        <v>8</v>
      </c>
      <c r="L31" s="440" t="e" cm="1">
        <f t="array" ref="L31">INDEX('Client Rates and Roles'!$F$2:$F$433,MATCH(1,COUNTIFS('Opportunity Details'!$C$14,'Client Rates and Roles'!$D$2:$D$433,H31,'Client Rates and Roles'!$B$2:$B$433,J31,'Client Rates and Roles'!$C$2:$C$433,$C$6,'Client Rates and Roles'!$A$2:$A$433),0))</f>
        <v>#N/A</v>
      </c>
      <c r="M31" s="440" t="e">
        <f t="shared" si="0"/>
        <v>#N/A</v>
      </c>
      <c r="N31" s="439"/>
      <c r="O31" s="439"/>
      <c r="P31" s="439">
        <f>Table1453[[#This Row],[Hours]]</f>
        <v>8</v>
      </c>
      <c r="Q31" s="329"/>
      <c r="R31" s="329"/>
      <c r="S31" s="329"/>
      <c r="T31" s="329"/>
      <c r="U31" s="329"/>
      <c r="V31" s="329"/>
      <c r="W31" s="329"/>
      <c r="X31" s="329"/>
      <c r="Y31" s="329"/>
      <c r="Z31" s="329"/>
      <c r="AA31" s="329"/>
      <c r="AB31" s="329"/>
      <c r="AC31" s="331">
        <f>SUM(Table1453[[#This Row],[Program Director 
(IT Workflow - US)]:[Engineer
(IT Workflow - US)]])</f>
        <v>0</v>
      </c>
      <c r="AD31" s="332"/>
      <c r="AE31" s="329"/>
      <c r="AF31" s="329"/>
      <c r="AG31" s="329"/>
      <c r="AH31" s="329"/>
      <c r="AI31" s="329"/>
      <c r="AJ31" s="329"/>
      <c r="AK31" s="329"/>
      <c r="AL31" s="329"/>
      <c r="AM31" s="329"/>
      <c r="AN31" s="329"/>
      <c r="AO31" s="329"/>
      <c r="AP31" s="329"/>
      <c r="AQ31" s="333">
        <f>SUM(Table1453[[#This Row],[Program Director 
(Customer and Employee Workflow - US)]:[Engineer
(Customer and Employee Workflow - US)]])</f>
        <v>0</v>
      </c>
      <c r="AR31" s="329"/>
      <c r="AS31" s="329"/>
      <c r="AT31" s="329"/>
      <c r="AU31" s="329"/>
      <c r="AV31" s="329"/>
      <c r="AW31" s="329"/>
      <c r="AX31" s="329"/>
      <c r="AY31" s="329"/>
      <c r="AZ31" s="329"/>
      <c r="BA31" s="329"/>
      <c r="BB31" s="329"/>
      <c r="BC31" s="329"/>
      <c r="BD31" s="329"/>
      <c r="BE31" s="305"/>
      <c r="BF31" s="303"/>
      <c r="BL31"/>
      <c r="BM31"/>
      <c r="BN31"/>
    </row>
    <row r="32" spans="2:66" ht="38.25">
      <c r="B32" s="355"/>
      <c r="C32" s="438" t="s">
        <v>429</v>
      </c>
      <c r="D32" s="438" t="s">
        <v>928</v>
      </c>
      <c r="E32" s="438" t="s">
        <v>929</v>
      </c>
      <c r="F32" s="453"/>
      <c r="G32" s="438"/>
      <c r="H32" s="438" t="s">
        <v>823</v>
      </c>
      <c r="I32" s="438"/>
      <c r="J32" s="438" t="s">
        <v>71</v>
      </c>
      <c r="K32" s="439">
        <v>24</v>
      </c>
      <c r="L32" s="440" t="e" cm="1">
        <f t="array" ref="L32">INDEX('Client Rates and Roles'!$F$2:$F$433,MATCH(1,COUNTIFS('Opportunity Details'!$C$14,'Client Rates and Roles'!$D$2:$D$433,H32,'Client Rates and Roles'!$B$2:$B$433,J32,'Client Rates and Roles'!$C$2:$C$433,$C$6,'Client Rates and Roles'!$A$2:$A$433),0))</f>
        <v>#N/A</v>
      </c>
      <c r="M32" s="440" t="e">
        <f t="shared" si="0"/>
        <v>#N/A</v>
      </c>
      <c r="N32" s="439"/>
      <c r="O32" s="439"/>
      <c r="P32" s="439">
        <f>Table1453[[#This Row],[Hours]]</f>
        <v>24</v>
      </c>
      <c r="Q32" s="329"/>
      <c r="R32" s="329"/>
      <c r="S32" s="329"/>
      <c r="T32" s="329"/>
      <c r="U32" s="329"/>
      <c r="V32" s="329"/>
      <c r="W32" s="329"/>
      <c r="X32" s="329"/>
      <c r="Y32" s="329"/>
      <c r="Z32" s="329"/>
      <c r="AA32" s="329"/>
      <c r="AB32" s="329"/>
      <c r="AC32" s="331">
        <f>SUM(Table1453[[#This Row],[Program Director 
(IT Workflow - US)]:[Engineer
(IT Workflow - US)]])</f>
        <v>0</v>
      </c>
      <c r="AD32" s="332"/>
      <c r="AE32" s="329"/>
      <c r="AF32" s="329"/>
      <c r="AG32" s="329"/>
      <c r="AH32" s="329"/>
      <c r="AI32" s="329"/>
      <c r="AJ32" s="329"/>
      <c r="AK32" s="329"/>
      <c r="AL32" s="329"/>
      <c r="AM32" s="329"/>
      <c r="AN32" s="329"/>
      <c r="AO32" s="329"/>
      <c r="AP32" s="329"/>
      <c r="AQ32" s="333">
        <f>SUM(Table1453[[#This Row],[Program Director 
(Customer and Employee Workflow - US)]:[Engineer
(Customer and Employee Workflow - US)]])</f>
        <v>0</v>
      </c>
      <c r="AR32" s="329"/>
      <c r="AS32" s="329"/>
      <c r="AT32" s="329"/>
      <c r="AU32" s="329"/>
      <c r="AV32" s="329"/>
      <c r="AW32" s="329"/>
      <c r="AX32" s="329"/>
      <c r="AY32" s="329"/>
      <c r="AZ32" s="329"/>
      <c r="BA32" s="329"/>
      <c r="BB32" s="329"/>
      <c r="BC32" s="329"/>
      <c r="BD32" s="329"/>
      <c r="BE32" s="305"/>
      <c r="BF32" s="303"/>
      <c r="BL32"/>
      <c r="BM32"/>
      <c r="BN32"/>
    </row>
    <row r="33" spans="2:66" ht="38.25">
      <c r="B33" s="355"/>
      <c r="C33" s="438" t="s">
        <v>429</v>
      </c>
      <c r="D33" s="438" t="s">
        <v>930</v>
      </c>
      <c r="E33" s="438" t="s">
        <v>931</v>
      </c>
      <c r="F33" s="453"/>
      <c r="G33" s="438"/>
      <c r="H33" s="438" t="s">
        <v>823</v>
      </c>
      <c r="I33" s="438"/>
      <c r="J33" s="438" t="s">
        <v>71</v>
      </c>
      <c r="K33" s="439">
        <v>4</v>
      </c>
      <c r="L33" s="440" t="e" cm="1">
        <f t="array" ref="L33">INDEX('Client Rates and Roles'!$F$2:$F$433,MATCH(1,COUNTIFS('Opportunity Details'!$C$14,'Client Rates and Roles'!$D$2:$D$433,H33,'Client Rates and Roles'!$B$2:$B$433,J33,'Client Rates and Roles'!$C$2:$C$433,$C$6,'Client Rates and Roles'!$A$2:$A$433),0))</f>
        <v>#N/A</v>
      </c>
      <c r="M33" s="440" t="e">
        <f t="shared" si="0"/>
        <v>#N/A</v>
      </c>
      <c r="N33" s="439"/>
      <c r="O33" s="439"/>
      <c r="P33" s="439">
        <f>Table1453[[#This Row],[Hours]]</f>
        <v>4</v>
      </c>
      <c r="Q33" s="329"/>
      <c r="R33" s="329"/>
      <c r="S33" s="329"/>
      <c r="T33" s="329"/>
      <c r="U33" s="329"/>
      <c r="V33" s="329"/>
      <c r="W33" s="329"/>
      <c r="X33" s="329"/>
      <c r="Y33" s="329"/>
      <c r="Z33" s="329"/>
      <c r="AA33" s="329"/>
      <c r="AB33" s="329"/>
      <c r="AC33" s="331">
        <f>SUM(Table1453[[#This Row],[Program Director 
(IT Workflow - US)]:[Engineer
(IT Workflow - US)]])</f>
        <v>0</v>
      </c>
      <c r="AD33" s="332"/>
      <c r="AE33" s="329"/>
      <c r="AF33" s="329"/>
      <c r="AG33" s="329"/>
      <c r="AH33" s="329"/>
      <c r="AI33" s="329"/>
      <c r="AJ33" s="329"/>
      <c r="AK33" s="329"/>
      <c r="AL33" s="329"/>
      <c r="AM33" s="329"/>
      <c r="AN33" s="329"/>
      <c r="AO33" s="329"/>
      <c r="AP33" s="329"/>
      <c r="AQ33" s="333">
        <f>SUM(Table1453[[#This Row],[Program Director 
(Customer and Employee Workflow - US)]:[Engineer
(Customer and Employee Workflow - US)]])</f>
        <v>0</v>
      </c>
      <c r="AR33" s="329"/>
      <c r="AS33" s="329"/>
      <c r="AT33" s="329"/>
      <c r="AU33" s="329"/>
      <c r="AV33" s="329"/>
      <c r="AW33" s="329"/>
      <c r="AX33" s="329"/>
      <c r="AY33" s="329"/>
      <c r="AZ33" s="329"/>
      <c r="BA33" s="329"/>
      <c r="BB33" s="329"/>
      <c r="BC33" s="329"/>
      <c r="BD33" s="329"/>
      <c r="BE33" s="305"/>
      <c r="BF33" s="303"/>
      <c r="BL33"/>
      <c r="BM33"/>
      <c r="BN33"/>
    </row>
    <row r="34" spans="2:66" ht="25.5">
      <c r="B34" s="355"/>
      <c r="C34" s="438" t="s">
        <v>429</v>
      </c>
      <c r="D34" s="438" t="s">
        <v>932</v>
      </c>
      <c r="E34" s="438" t="s">
        <v>933</v>
      </c>
      <c r="F34" s="453"/>
      <c r="G34" s="438"/>
      <c r="H34" s="438" t="s">
        <v>823</v>
      </c>
      <c r="I34" s="438"/>
      <c r="J34" s="438" t="s">
        <v>71</v>
      </c>
      <c r="K34" s="439">
        <v>8</v>
      </c>
      <c r="L34" s="440" t="e" cm="1">
        <f t="array" ref="L34">INDEX('Client Rates and Roles'!$F$2:$F$433,MATCH(1,COUNTIFS('Opportunity Details'!$C$14,'Client Rates and Roles'!$D$2:$D$433,H34,'Client Rates and Roles'!$B$2:$B$433,J34,'Client Rates and Roles'!$C$2:$C$433,$C$6,'Client Rates and Roles'!$A$2:$A$433),0))</f>
        <v>#N/A</v>
      </c>
      <c r="M34" s="440" t="e">
        <f t="shared" si="0"/>
        <v>#N/A</v>
      </c>
      <c r="N34" s="439"/>
      <c r="O34" s="439"/>
      <c r="P34" s="439">
        <f>Table1453[[#This Row],[Hours]]</f>
        <v>8</v>
      </c>
      <c r="Q34" s="329"/>
      <c r="R34" s="329"/>
      <c r="S34" s="329"/>
      <c r="T34" s="329"/>
      <c r="U34" s="329"/>
      <c r="V34" s="329"/>
      <c r="W34" s="329"/>
      <c r="X34" s="329"/>
      <c r="Y34" s="329"/>
      <c r="Z34" s="329"/>
      <c r="AA34" s="329"/>
      <c r="AB34" s="329"/>
      <c r="AC34" s="331">
        <f>SUM(Table1453[[#This Row],[Program Director 
(IT Workflow - US)]:[Engineer
(IT Workflow - US)]])</f>
        <v>0</v>
      </c>
      <c r="AD34" s="332"/>
      <c r="AE34" s="329"/>
      <c r="AF34" s="329"/>
      <c r="AG34" s="329"/>
      <c r="AH34" s="329"/>
      <c r="AI34" s="329"/>
      <c r="AJ34" s="329"/>
      <c r="AK34" s="329"/>
      <c r="AL34" s="329"/>
      <c r="AM34" s="329"/>
      <c r="AN34" s="329"/>
      <c r="AO34" s="329"/>
      <c r="AP34" s="329"/>
      <c r="AQ34" s="333">
        <f>SUM(Table1453[[#This Row],[Program Director 
(Customer and Employee Workflow - US)]:[Engineer
(Customer and Employee Workflow - US)]])</f>
        <v>0</v>
      </c>
      <c r="AR34" s="329"/>
      <c r="AS34" s="329"/>
      <c r="AT34" s="329"/>
      <c r="AU34" s="329"/>
      <c r="AV34" s="329"/>
      <c r="AW34" s="329"/>
      <c r="AX34" s="329"/>
      <c r="AY34" s="329"/>
      <c r="AZ34" s="329"/>
      <c r="BA34" s="329"/>
      <c r="BB34" s="329"/>
      <c r="BC34" s="329"/>
      <c r="BD34" s="329"/>
      <c r="BE34" s="305"/>
      <c r="BF34" s="303"/>
      <c r="BL34"/>
      <c r="BM34"/>
      <c r="BN34"/>
    </row>
    <row r="35" spans="2:66" ht="38.25">
      <c r="B35" s="355"/>
      <c r="C35" s="438" t="s">
        <v>429</v>
      </c>
      <c r="D35" s="438" t="s">
        <v>934</v>
      </c>
      <c r="E35" s="438" t="s">
        <v>935</v>
      </c>
      <c r="F35" s="453"/>
      <c r="G35" s="438" t="s">
        <v>936</v>
      </c>
      <c r="H35" s="438" t="s">
        <v>823</v>
      </c>
      <c r="I35" s="438"/>
      <c r="J35" s="438" t="s">
        <v>71</v>
      </c>
      <c r="K35" s="439">
        <v>8</v>
      </c>
      <c r="L35" s="440" t="e" cm="1">
        <f t="array" ref="L35">INDEX('Client Rates and Roles'!$F$2:$F$433,MATCH(1,COUNTIFS('Opportunity Details'!$C$14,'Client Rates and Roles'!$D$2:$D$433,H35,'Client Rates and Roles'!$B$2:$B$433,J35,'Client Rates and Roles'!$C$2:$C$433,$C$6,'Client Rates and Roles'!$A$2:$A$433),0))</f>
        <v>#N/A</v>
      </c>
      <c r="M35" s="440" t="e">
        <f t="shared" si="0"/>
        <v>#N/A</v>
      </c>
      <c r="N35" s="439"/>
      <c r="O35" s="439"/>
      <c r="P35" s="439">
        <f>Table1453[[#This Row],[Hours]]</f>
        <v>8</v>
      </c>
      <c r="Q35" s="329"/>
      <c r="R35" s="329"/>
      <c r="S35" s="329"/>
      <c r="T35" s="329"/>
      <c r="U35" s="329"/>
      <c r="V35" s="329"/>
      <c r="W35" s="329"/>
      <c r="X35" s="329"/>
      <c r="Y35" s="329"/>
      <c r="Z35" s="329"/>
      <c r="AA35" s="329"/>
      <c r="AB35" s="329"/>
      <c r="AC35" s="331">
        <f>SUM(Table1453[[#This Row],[Program Director 
(IT Workflow - US)]:[Engineer
(IT Workflow - US)]])</f>
        <v>0</v>
      </c>
      <c r="AD35" s="332"/>
      <c r="AE35" s="329"/>
      <c r="AF35" s="329"/>
      <c r="AG35" s="329"/>
      <c r="AH35" s="329"/>
      <c r="AI35" s="329"/>
      <c r="AJ35" s="329"/>
      <c r="AK35" s="329"/>
      <c r="AL35" s="329"/>
      <c r="AM35" s="329"/>
      <c r="AN35" s="329"/>
      <c r="AO35" s="329"/>
      <c r="AP35" s="329"/>
      <c r="AQ35" s="333">
        <f>SUM(Table1453[[#This Row],[Program Director 
(Customer and Employee Workflow - US)]:[Engineer
(Customer and Employee Workflow - US)]])</f>
        <v>0</v>
      </c>
      <c r="AR35" s="329"/>
      <c r="AS35" s="329"/>
      <c r="AT35" s="329"/>
      <c r="AU35" s="329"/>
      <c r="AV35" s="329"/>
      <c r="AW35" s="329"/>
      <c r="AX35" s="329"/>
      <c r="AY35" s="329"/>
      <c r="AZ35" s="329"/>
      <c r="BA35" s="329"/>
      <c r="BB35" s="329"/>
      <c r="BC35" s="329"/>
      <c r="BD35" s="329"/>
      <c r="BE35" s="305"/>
      <c r="BF35" s="303"/>
      <c r="BL35"/>
      <c r="BM35"/>
      <c r="BN35"/>
    </row>
    <row r="36" spans="2:66" ht="25.5">
      <c r="B36" s="355"/>
      <c r="C36" s="438" t="s">
        <v>429</v>
      </c>
      <c r="D36" s="438" t="s">
        <v>937</v>
      </c>
      <c r="E36" s="438" t="s">
        <v>938</v>
      </c>
      <c r="F36" s="453"/>
      <c r="G36" s="438"/>
      <c r="H36" s="438" t="s">
        <v>823</v>
      </c>
      <c r="I36" s="438"/>
      <c r="J36" s="438" t="s">
        <v>71</v>
      </c>
      <c r="K36" s="439">
        <v>4</v>
      </c>
      <c r="L36" s="440" t="e" cm="1">
        <f t="array" ref="L36">INDEX('Client Rates and Roles'!$F$2:$F$433,MATCH(1,COUNTIFS('Opportunity Details'!$C$14,'Client Rates and Roles'!$D$2:$D$433,H36,'Client Rates and Roles'!$B$2:$B$433,J36,'Client Rates and Roles'!$C$2:$C$433,$C$6,'Client Rates and Roles'!$A$2:$A$433),0))</f>
        <v>#N/A</v>
      </c>
      <c r="M36" s="440" t="e">
        <f t="shared" si="0"/>
        <v>#N/A</v>
      </c>
      <c r="N36" s="439"/>
      <c r="O36" s="439"/>
      <c r="P36" s="439">
        <f>Table1453[[#This Row],[Hours]]</f>
        <v>4</v>
      </c>
      <c r="Q36" s="329"/>
      <c r="R36" s="329"/>
      <c r="S36" s="329"/>
      <c r="T36" s="329"/>
      <c r="U36" s="329"/>
      <c r="V36" s="329"/>
      <c r="W36" s="329"/>
      <c r="X36" s="329"/>
      <c r="Y36" s="329"/>
      <c r="Z36" s="329"/>
      <c r="AA36" s="329"/>
      <c r="AB36" s="329"/>
      <c r="AC36" s="331">
        <f>SUM(Table1453[[#This Row],[Program Director 
(IT Workflow - US)]:[Engineer
(IT Workflow - US)]])</f>
        <v>0</v>
      </c>
      <c r="AD36" s="332"/>
      <c r="AE36" s="329"/>
      <c r="AF36" s="329"/>
      <c r="AG36" s="329"/>
      <c r="AH36" s="329"/>
      <c r="AI36" s="329"/>
      <c r="AJ36" s="329"/>
      <c r="AK36" s="329"/>
      <c r="AL36" s="329"/>
      <c r="AM36" s="329"/>
      <c r="AN36" s="329"/>
      <c r="AO36" s="329"/>
      <c r="AP36" s="329"/>
      <c r="AQ36" s="333">
        <f>SUM(Table1453[[#This Row],[Program Director 
(Customer and Employee Workflow - US)]:[Engineer
(Customer and Employee Workflow - US)]])</f>
        <v>0</v>
      </c>
      <c r="AR36" s="329"/>
      <c r="AS36" s="329"/>
      <c r="AT36" s="329"/>
      <c r="AU36" s="329"/>
      <c r="AV36" s="329"/>
      <c r="AW36" s="329"/>
      <c r="AX36" s="329"/>
      <c r="AY36" s="329"/>
      <c r="AZ36" s="329"/>
      <c r="BA36" s="329"/>
      <c r="BB36" s="329"/>
      <c r="BC36" s="329"/>
      <c r="BD36" s="329"/>
      <c r="BE36" s="305"/>
      <c r="BF36" s="303"/>
      <c r="BL36"/>
      <c r="BM36"/>
      <c r="BN36"/>
    </row>
    <row r="37" spans="2:66" ht="38.25">
      <c r="B37" s="355"/>
      <c r="C37" s="438" t="s">
        <v>429</v>
      </c>
      <c r="D37" s="438" t="s">
        <v>939</v>
      </c>
      <c r="E37" s="438" t="s">
        <v>940</v>
      </c>
      <c r="F37" s="453"/>
      <c r="G37" s="438"/>
      <c r="H37" s="438" t="s">
        <v>823</v>
      </c>
      <c r="I37" s="438" t="s">
        <v>419</v>
      </c>
      <c r="J37" s="438" t="s">
        <v>71</v>
      </c>
      <c r="K37" s="439">
        <v>12</v>
      </c>
      <c r="L37" s="440" t="e" cm="1">
        <f t="array" ref="L37">INDEX('Client Rates and Roles'!$F$2:$F$433,MATCH(1,COUNTIFS('Opportunity Details'!$C$14,'Client Rates and Roles'!$D$2:$D$433,H37,'Client Rates and Roles'!$B$2:$B$433,J37,'Client Rates and Roles'!$C$2:$C$433,$C$6,'Client Rates and Roles'!$A$2:$A$433),0))</f>
        <v>#N/A</v>
      </c>
      <c r="M37" s="440" t="e">
        <f t="shared" si="0"/>
        <v>#N/A</v>
      </c>
      <c r="N37" s="439"/>
      <c r="O37" s="439"/>
      <c r="P37" s="439">
        <v>12</v>
      </c>
      <c r="Q37" s="329"/>
      <c r="R37" s="329"/>
      <c r="S37" s="329"/>
      <c r="T37" s="329"/>
      <c r="U37" s="329"/>
      <c r="V37" s="329"/>
      <c r="W37" s="329"/>
      <c r="X37" s="329"/>
      <c r="Y37" s="329"/>
      <c r="Z37" s="329"/>
      <c r="AA37" s="329"/>
      <c r="AB37" s="329"/>
      <c r="AC37" s="331">
        <f>SUM(Table1453[[#This Row],[Program Director 
(IT Workflow - US)]:[Engineer
(IT Workflow - US)]])</f>
        <v>0</v>
      </c>
      <c r="AD37" s="332"/>
      <c r="AE37" s="329"/>
      <c r="AF37" s="329"/>
      <c r="AG37" s="329"/>
      <c r="AH37" s="329"/>
      <c r="AI37" s="329"/>
      <c r="AJ37" s="329"/>
      <c r="AK37" s="329"/>
      <c r="AL37" s="329"/>
      <c r="AM37" s="329"/>
      <c r="AN37" s="329"/>
      <c r="AO37" s="329"/>
      <c r="AP37" s="329"/>
      <c r="AQ37" s="333">
        <f>SUM(Table1453[[#This Row],[Program Director 
(Customer and Employee Workflow - US)]:[Engineer
(Customer and Employee Workflow - US)]])</f>
        <v>0</v>
      </c>
      <c r="AR37" s="329"/>
      <c r="AS37" s="329"/>
      <c r="AT37" s="329"/>
      <c r="AU37" s="329"/>
      <c r="AV37" s="329"/>
      <c r="AW37" s="329"/>
      <c r="AX37" s="329"/>
      <c r="AY37" s="329"/>
      <c r="AZ37" s="329"/>
      <c r="BA37" s="329"/>
      <c r="BB37" s="329"/>
      <c r="BC37" s="329"/>
      <c r="BD37" s="329"/>
      <c r="BE37" s="305"/>
      <c r="BF37" s="303"/>
      <c r="BL37"/>
      <c r="BM37"/>
      <c r="BN37"/>
    </row>
    <row r="38" spans="2:66" ht="51">
      <c r="B38" s="355"/>
      <c r="C38" s="438" t="s">
        <v>429</v>
      </c>
      <c r="D38" s="438" t="s">
        <v>941</v>
      </c>
      <c r="E38" s="438" t="s">
        <v>942</v>
      </c>
      <c r="F38" s="453"/>
      <c r="G38" s="438"/>
      <c r="H38" s="438" t="s">
        <v>823</v>
      </c>
      <c r="I38" s="438" t="s">
        <v>419</v>
      </c>
      <c r="J38" s="438" t="s">
        <v>71</v>
      </c>
      <c r="K38" s="439">
        <v>8</v>
      </c>
      <c r="L38" s="440" t="e" cm="1">
        <f t="array" ref="L38">INDEX('Client Rates and Roles'!$F$2:$F$433,MATCH(1,COUNTIFS('Opportunity Details'!$C$14,'Client Rates and Roles'!$D$2:$D$433,H38,'Client Rates and Roles'!$B$2:$B$433,J38,'Client Rates and Roles'!$C$2:$C$433,$C$6,'Client Rates and Roles'!$A$2:$A$433),0))</f>
        <v>#N/A</v>
      </c>
      <c r="M38" s="440" t="e">
        <f t="shared" si="0"/>
        <v>#N/A</v>
      </c>
      <c r="N38" s="439"/>
      <c r="O38" s="439"/>
      <c r="P38" s="439">
        <v>8</v>
      </c>
      <c r="Q38" s="329"/>
      <c r="R38" s="329"/>
      <c r="S38" s="329"/>
      <c r="T38" s="329"/>
      <c r="U38" s="329"/>
      <c r="V38" s="329"/>
      <c r="W38" s="329"/>
      <c r="X38" s="329"/>
      <c r="Y38" s="329"/>
      <c r="Z38" s="329"/>
      <c r="AA38" s="329"/>
      <c r="AB38" s="329"/>
      <c r="AC38" s="331">
        <f>SUM(Table1453[[#This Row],[Program Director 
(IT Workflow - US)]:[Engineer
(IT Workflow - US)]])</f>
        <v>0</v>
      </c>
      <c r="AD38" s="332"/>
      <c r="AE38" s="329"/>
      <c r="AF38" s="329"/>
      <c r="AG38" s="329"/>
      <c r="AH38" s="329"/>
      <c r="AI38" s="329"/>
      <c r="AJ38" s="329"/>
      <c r="AK38" s="329"/>
      <c r="AL38" s="329"/>
      <c r="AM38" s="329"/>
      <c r="AN38" s="329"/>
      <c r="AO38" s="329"/>
      <c r="AP38" s="329"/>
      <c r="AQ38" s="333">
        <f>SUM(Table1453[[#This Row],[Program Director 
(Customer and Employee Workflow - US)]:[Engineer
(Customer and Employee Workflow - US)]])</f>
        <v>0</v>
      </c>
      <c r="AR38" s="329"/>
      <c r="AS38" s="329"/>
      <c r="AT38" s="329"/>
      <c r="AU38" s="329"/>
      <c r="AV38" s="329"/>
      <c r="AW38" s="329"/>
      <c r="AX38" s="329"/>
      <c r="AY38" s="329"/>
      <c r="AZ38" s="329"/>
      <c r="BA38" s="329"/>
      <c r="BB38" s="329"/>
      <c r="BC38" s="329"/>
      <c r="BD38" s="329"/>
      <c r="BE38" s="305"/>
      <c r="BF38" s="303"/>
      <c r="BL38"/>
      <c r="BM38"/>
      <c r="BN38"/>
    </row>
    <row r="39" spans="2:66" ht="38.25">
      <c r="B39" s="355"/>
      <c r="C39" s="438" t="s">
        <v>429</v>
      </c>
      <c r="D39" s="438" t="s">
        <v>943</v>
      </c>
      <c r="E39" s="438" t="s">
        <v>944</v>
      </c>
      <c r="F39" s="453"/>
      <c r="G39" s="438"/>
      <c r="H39" s="438" t="s">
        <v>823</v>
      </c>
      <c r="I39" s="438" t="s">
        <v>419</v>
      </c>
      <c r="J39" s="438" t="s">
        <v>71</v>
      </c>
      <c r="K39" s="439">
        <v>8</v>
      </c>
      <c r="L39" s="440" t="e" cm="1">
        <f t="array" ref="L39">INDEX('Client Rates and Roles'!$F$2:$F$433,MATCH(1,COUNTIFS('Opportunity Details'!$C$14,'Client Rates and Roles'!$D$2:$D$433,H39,'Client Rates and Roles'!$B$2:$B$433,J39,'Client Rates and Roles'!$C$2:$C$433,$C$6,'Client Rates and Roles'!$A$2:$A$433),0))</f>
        <v>#N/A</v>
      </c>
      <c r="M39" s="440" t="e">
        <f t="shared" si="0"/>
        <v>#N/A</v>
      </c>
      <c r="N39" s="439"/>
      <c r="O39" s="439"/>
      <c r="P39" s="439">
        <v>8</v>
      </c>
      <c r="Q39" s="329"/>
      <c r="R39" s="329"/>
      <c r="S39" s="329"/>
      <c r="T39" s="329"/>
      <c r="U39" s="329"/>
      <c r="V39" s="329"/>
      <c r="W39" s="329"/>
      <c r="X39" s="329"/>
      <c r="Y39" s="329"/>
      <c r="Z39" s="329"/>
      <c r="AA39" s="329"/>
      <c r="AB39" s="329"/>
      <c r="AC39" s="331">
        <f>SUM(Table1453[[#This Row],[Program Director 
(IT Workflow - US)]:[Engineer
(IT Workflow - US)]])</f>
        <v>0</v>
      </c>
      <c r="AD39" s="332"/>
      <c r="AE39" s="329"/>
      <c r="AF39" s="329"/>
      <c r="AG39" s="329"/>
      <c r="AH39" s="329"/>
      <c r="AI39" s="329"/>
      <c r="AJ39" s="329"/>
      <c r="AK39" s="329"/>
      <c r="AL39" s="329"/>
      <c r="AM39" s="329"/>
      <c r="AN39" s="329"/>
      <c r="AO39" s="329"/>
      <c r="AP39" s="329"/>
      <c r="AQ39" s="333">
        <f>SUM(Table1453[[#This Row],[Program Director 
(Customer and Employee Workflow - US)]:[Engineer
(Customer and Employee Workflow - US)]])</f>
        <v>0</v>
      </c>
      <c r="AR39" s="329"/>
      <c r="AS39" s="329"/>
      <c r="AT39" s="329"/>
      <c r="AU39" s="329"/>
      <c r="AV39" s="329"/>
      <c r="AW39" s="329"/>
      <c r="AX39" s="329"/>
      <c r="AY39" s="329"/>
      <c r="AZ39" s="329"/>
      <c r="BA39" s="329"/>
      <c r="BB39" s="329"/>
      <c r="BC39" s="329"/>
      <c r="BD39" s="329"/>
      <c r="BE39" s="305"/>
      <c r="BF39" s="303"/>
      <c r="BL39"/>
      <c r="BM39"/>
      <c r="BN39"/>
    </row>
    <row r="40" spans="2:66" ht="38.25">
      <c r="B40" s="355"/>
      <c r="C40" s="438" t="s">
        <v>429</v>
      </c>
      <c r="D40" s="438" t="s">
        <v>945</v>
      </c>
      <c r="E40" s="438" t="s">
        <v>946</v>
      </c>
      <c r="F40" s="453"/>
      <c r="G40" s="438"/>
      <c r="H40" s="438" t="s">
        <v>823</v>
      </c>
      <c r="I40" s="438"/>
      <c r="J40" s="438" t="s">
        <v>71</v>
      </c>
      <c r="K40" s="439">
        <v>8</v>
      </c>
      <c r="L40" s="440" t="e" cm="1">
        <f t="array" ref="L40">INDEX('Client Rates and Roles'!$F$2:$F$433,MATCH(1,COUNTIFS('Opportunity Details'!$C$14,'Client Rates and Roles'!$D$2:$D$433,H40,'Client Rates and Roles'!$B$2:$B$433,J40,'Client Rates and Roles'!$C$2:$C$433,$C$6,'Client Rates and Roles'!$A$2:$A$433),0))</f>
        <v>#N/A</v>
      </c>
      <c r="M40" s="440" t="e">
        <f t="shared" si="0"/>
        <v>#N/A</v>
      </c>
      <c r="N40" s="439"/>
      <c r="O40" s="439"/>
      <c r="P40" s="439">
        <v>8</v>
      </c>
      <c r="Q40" s="329"/>
      <c r="R40" s="329"/>
      <c r="S40" s="329"/>
      <c r="T40" s="329"/>
      <c r="U40" s="329"/>
      <c r="V40" s="329"/>
      <c r="W40" s="329"/>
      <c r="X40" s="329"/>
      <c r="Y40" s="329"/>
      <c r="Z40" s="329"/>
      <c r="AA40" s="329"/>
      <c r="AB40" s="329"/>
      <c r="AC40" s="331">
        <f>SUM(Table1453[[#This Row],[Program Director 
(IT Workflow - US)]:[Engineer
(IT Workflow - US)]])</f>
        <v>0</v>
      </c>
      <c r="AD40" s="332"/>
      <c r="AE40" s="329"/>
      <c r="AF40" s="329"/>
      <c r="AG40" s="329"/>
      <c r="AH40" s="329"/>
      <c r="AI40" s="329"/>
      <c r="AJ40" s="329"/>
      <c r="AK40" s="329"/>
      <c r="AL40" s="329"/>
      <c r="AM40" s="329"/>
      <c r="AN40" s="329"/>
      <c r="AO40" s="329"/>
      <c r="AP40" s="329"/>
      <c r="AQ40" s="333">
        <f>SUM(Table1453[[#This Row],[Program Director 
(Customer and Employee Workflow - US)]:[Engineer
(Customer and Employee Workflow - US)]])</f>
        <v>0</v>
      </c>
      <c r="AR40" s="329"/>
      <c r="AS40" s="329"/>
      <c r="AT40" s="329"/>
      <c r="AU40" s="329"/>
      <c r="AV40" s="329"/>
      <c r="AW40" s="329"/>
      <c r="AX40" s="329"/>
      <c r="AY40" s="329"/>
      <c r="AZ40" s="329"/>
      <c r="BA40" s="329"/>
      <c r="BB40" s="329"/>
      <c r="BC40" s="329"/>
      <c r="BD40" s="329"/>
      <c r="BE40" s="305"/>
      <c r="BF40" s="303"/>
      <c r="BL40"/>
      <c r="BM40"/>
      <c r="BN40"/>
    </row>
    <row r="41" spans="2:66" ht="51">
      <c r="B41" s="355"/>
      <c r="C41" s="438" t="s">
        <v>429</v>
      </c>
      <c r="D41" s="438" t="s">
        <v>947</v>
      </c>
      <c r="E41" s="438" t="s">
        <v>948</v>
      </c>
      <c r="F41" s="438"/>
      <c r="G41" s="438" t="s">
        <v>949</v>
      </c>
      <c r="H41" s="438" t="s">
        <v>823</v>
      </c>
      <c r="I41" s="438"/>
      <c r="J41" s="438" t="s">
        <v>71</v>
      </c>
      <c r="K41" s="439">
        <v>24</v>
      </c>
      <c r="L41" s="440" t="e" cm="1">
        <f t="array" ref="L41">INDEX('Client Rates and Roles'!$F$2:$F$433,MATCH(1,COUNTIFS('Opportunity Details'!$C$14,'Client Rates and Roles'!$D$2:$D$433,H41,'Client Rates and Roles'!$B$2:$B$433,J41,'Client Rates and Roles'!$C$2:$C$433,$C$6,'Client Rates and Roles'!$A$2:$A$433),0))</f>
        <v>#N/A</v>
      </c>
      <c r="M41" s="440" t="e">
        <f t="shared" si="0"/>
        <v>#N/A</v>
      </c>
      <c r="N41" s="439"/>
      <c r="O41" s="439"/>
      <c r="P41" s="439">
        <f>Table1453[[#This Row],[Hours]]</f>
        <v>24</v>
      </c>
      <c r="Q41" s="329"/>
      <c r="R41" s="329"/>
      <c r="S41" s="329"/>
      <c r="T41" s="329"/>
      <c r="U41" s="329"/>
      <c r="V41" s="329"/>
      <c r="W41" s="329"/>
      <c r="X41" s="329"/>
      <c r="Y41" s="329"/>
      <c r="Z41" s="329"/>
      <c r="AA41" s="329"/>
      <c r="AB41" s="329"/>
      <c r="AC41" s="331">
        <f>SUM(Table1453[[#This Row],[Program Director 
(IT Workflow - US)]:[Engineer
(IT Workflow - US)]])</f>
        <v>0</v>
      </c>
      <c r="AD41" s="332"/>
      <c r="AE41" s="329"/>
      <c r="AF41" s="329"/>
      <c r="AG41" s="329"/>
      <c r="AH41" s="329"/>
      <c r="AI41" s="329"/>
      <c r="AJ41" s="329"/>
      <c r="AK41" s="329"/>
      <c r="AL41" s="329"/>
      <c r="AM41" s="329"/>
      <c r="AN41" s="329"/>
      <c r="AO41" s="329"/>
      <c r="AP41" s="329"/>
      <c r="AQ41" s="333">
        <f>SUM(Table1453[[#This Row],[Program Director 
(Customer and Employee Workflow - US)]:[Engineer
(Customer and Employee Workflow - US)]])</f>
        <v>0</v>
      </c>
      <c r="AR41" s="329"/>
      <c r="AS41" s="329"/>
      <c r="AT41" s="329"/>
      <c r="AU41" s="329"/>
      <c r="AV41" s="329"/>
      <c r="AW41" s="329"/>
      <c r="AX41" s="329"/>
      <c r="AY41" s="329"/>
      <c r="AZ41" s="329"/>
      <c r="BA41" s="329"/>
      <c r="BB41" s="329"/>
      <c r="BC41" s="329"/>
      <c r="BD41" s="329"/>
      <c r="BE41" s="305"/>
      <c r="BF41" s="303"/>
      <c r="BL41"/>
      <c r="BM41"/>
      <c r="BN41"/>
    </row>
    <row r="42" spans="2:66" ht="25.5">
      <c r="B42" s="355"/>
      <c r="C42" s="438" t="s">
        <v>429</v>
      </c>
      <c r="D42" s="438" t="s">
        <v>950</v>
      </c>
      <c r="E42" s="438" t="s">
        <v>951</v>
      </c>
      <c r="F42" s="438"/>
      <c r="G42" s="438"/>
      <c r="H42" s="438" t="s">
        <v>823</v>
      </c>
      <c r="I42" s="438"/>
      <c r="J42" s="438" t="s">
        <v>71</v>
      </c>
      <c r="K42" s="439">
        <v>8</v>
      </c>
      <c r="L42" s="440" t="e" cm="1">
        <f t="array" ref="L42">INDEX('Client Rates and Roles'!$F$2:$F$433,MATCH(1,COUNTIFS('Opportunity Details'!$C$14,'Client Rates and Roles'!$D$2:$D$433,H42,'Client Rates and Roles'!$B$2:$B$433,J42,'Client Rates and Roles'!$C$2:$C$433,$C$6,'Client Rates and Roles'!$A$2:$A$433),0))</f>
        <v>#N/A</v>
      </c>
      <c r="M42" s="440" t="e">
        <f t="shared" si="0"/>
        <v>#N/A</v>
      </c>
      <c r="N42" s="439"/>
      <c r="O42" s="439"/>
      <c r="P42" s="439">
        <f>Table1453[[#This Row],[Hours]]</f>
        <v>8</v>
      </c>
      <c r="Q42" s="329"/>
      <c r="R42" s="329"/>
      <c r="S42" s="329"/>
      <c r="T42" s="329"/>
      <c r="U42" s="329"/>
      <c r="V42" s="329"/>
      <c r="W42" s="329"/>
      <c r="X42" s="329"/>
      <c r="Y42" s="329"/>
      <c r="Z42" s="329"/>
      <c r="AA42" s="329"/>
      <c r="AB42" s="329"/>
      <c r="AC42" s="331">
        <f>SUM(Table1453[[#This Row],[Program Director 
(IT Workflow - US)]:[Engineer
(IT Workflow - US)]])</f>
        <v>0</v>
      </c>
      <c r="AD42" s="332"/>
      <c r="AE42" s="329"/>
      <c r="AF42" s="329"/>
      <c r="AG42" s="329"/>
      <c r="AH42" s="329"/>
      <c r="AI42" s="329"/>
      <c r="AJ42" s="329"/>
      <c r="AK42" s="329"/>
      <c r="AL42" s="329"/>
      <c r="AM42" s="329"/>
      <c r="AN42" s="329"/>
      <c r="AO42" s="329"/>
      <c r="AP42" s="329"/>
      <c r="AQ42" s="333">
        <f>SUM(Table1453[[#This Row],[Program Director 
(Customer and Employee Workflow - US)]:[Engineer
(Customer and Employee Workflow - US)]])</f>
        <v>0</v>
      </c>
      <c r="AR42" s="329"/>
      <c r="AS42" s="329"/>
      <c r="AT42" s="329"/>
      <c r="AU42" s="329"/>
      <c r="AV42" s="329"/>
      <c r="AW42" s="329"/>
      <c r="AX42" s="329"/>
      <c r="AY42" s="329"/>
      <c r="AZ42" s="329"/>
      <c r="BA42" s="329"/>
      <c r="BB42" s="329"/>
      <c r="BC42" s="329"/>
      <c r="BD42" s="329"/>
      <c r="BE42" s="305"/>
      <c r="BF42" s="303"/>
      <c r="BL42"/>
      <c r="BM42"/>
      <c r="BN42"/>
    </row>
    <row r="43" spans="2:66" ht="38.25">
      <c r="B43" s="355"/>
      <c r="C43" s="438" t="s">
        <v>429</v>
      </c>
      <c r="D43" s="438" t="s">
        <v>93</v>
      </c>
      <c r="E43" s="438" t="s">
        <v>952</v>
      </c>
      <c r="F43" s="438"/>
      <c r="G43" s="438"/>
      <c r="H43" s="438" t="s">
        <v>359</v>
      </c>
      <c r="I43" s="438"/>
      <c r="J43" s="438" t="s">
        <v>71</v>
      </c>
      <c r="K43" s="439">
        <v>40</v>
      </c>
      <c r="L43" s="440" t="e" cm="1">
        <f t="array" ref="L43">INDEX('Client Rates and Roles'!$F$2:$F$433,MATCH(1,COUNTIFS('Opportunity Details'!$C$14,'Client Rates and Roles'!$D$2:$D$433,H43,'Client Rates and Roles'!$B$2:$B$433,J43,'Client Rates and Roles'!$C$2:$C$433,$C$6,'Client Rates and Roles'!$A$2:$A$433),0))</f>
        <v>#N/A</v>
      </c>
      <c r="M43" s="440" t="e">
        <f t="shared" si="0"/>
        <v>#N/A</v>
      </c>
      <c r="N43" s="439"/>
      <c r="O43" s="439">
        <v>32</v>
      </c>
      <c r="P43" s="439"/>
      <c r="Q43" s="329"/>
      <c r="R43" s="329"/>
      <c r="S43" s="329"/>
      <c r="T43" s="329"/>
      <c r="U43" s="329"/>
      <c r="V43" s="329"/>
      <c r="W43" s="329"/>
      <c r="X43" s="329"/>
      <c r="Y43" s="329"/>
      <c r="Z43" s="329"/>
      <c r="AA43" s="329"/>
      <c r="AB43" s="329"/>
      <c r="AC43" s="331">
        <f>SUM(Table1453[[#This Row],[Program Director 
(IT Workflow - US)]:[Engineer
(IT Workflow - US)]])</f>
        <v>0</v>
      </c>
      <c r="AD43" s="332"/>
      <c r="AE43" s="329"/>
      <c r="AF43" s="329"/>
      <c r="AG43" s="329"/>
      <c r="AH43" s="329"/>
      <c r="AI43" s="329"/>
      <c r="AJ43" s="329"/>
      <c r="AK43" s="329"/>
      <c r="AL43" s="329"/>
      <c r="AM43" s="329"/>
      <c r="AN43" s="329"/>
      <c r="AO43" s="329"/>
      <c r="AP43" s="329"/>
      <c r="AQ43" s="333">
        <f>SUM(Table1453[[#This Row],[Program Director 
(Customer and Employee Workflow - US)]:[Engineer
(Customer and Employee Workflow - US)]])</f>
        <v>0</v>
      </c>
      <c r="AR43" s="329"/>
      <c r="AS43" s="329"/>
      <c r="AT43" s="329"/>
      <c r="AU43" s="329"/>
      <c r="AV43" s="329"/>
      <c r="AW43" s="329"/>
      <c r="AX43" s="329"/>
      <c r="AY43" s="329"/>
      <c r="AZ43" s="329"/>
      <c r="BA43" s="329"/>
      <c r="BB43" s="329"/>
      <c r="BC43" s="329"/>
      <c r="BD43" s="329"/>
      <c r="BE43" s="305">
        <f>SUM(Table1453[[#This Row],[Program Director 
(IT Workflow - US)]:[Chief Architect
(IT Workflow - US)]])</f>
        <v>0</v>
      </c>
      <c r="BF43" s="303"/>
      <c r="BL43"/>
      <c r="BM43"/>
      <c r="BN43"/>
    </row>
    <row r="44" spans="2:66" ht="25.5">
      <c r="B44" s="355"/>
      <c r="C44" s="438" t="s">
        <v>429</v>
      </c>
      <c r="D44" s="438" t="s">
        <v>91</v>
      </c>
      <c r="E44" s="438" t="s">
        <v>92</v>
      </c>
      <c r="F44" s="438"/>
      <c r="G44" s="438"/>
      <c r="H44" s="438" t="s">
        <v>158</v>
      </c>
      <c r="I44" s="438"/>
      <c r="J44" s="438" t="s">
        <v>71</v>
      </c>
      <c r="K44" s="439">
        <v>4</v>
      </c>
      <c r="L44" s="440" t="e" cm="1">
        <f t="array" ref="L44">INDEX('Client Rates and Roles'!$F$2:$F$433,MATCH(1,COUNTIFS('Opportunity Details'!$C$14,'Client Rates and Roles'!$D$2:$D$433,H44,'Client Rates and Roles'!$B$2:$B$433,J44,'Client Rates and Roles'!$C$2:$C$433,$C$6,'Client Rates and Roles'!$A$2:$A$433),0))</f>
        <v>#N/A</v>
      </c>
      <c r="M44" s="440" t="e">
        <f t="shared" si="0"/>
        <v>#N/A</v>
      </c>
      <c r="N44" s="439"/>
      <c r="O44" s="439">
        <v>4</v>
      </c>
      <c r="P44" s="439">
        <f>Table1453[[#This Row],[Hours]]</f>
        <v>4</v>
      </c>
      <c r="Q44" s="329"/>
      <c r="R44" s="329"/>
      <c r="S44" s="329"/>
      <c r="T44" s="329"/>
      <c r="U44" s="329"/>
      <c r="V44" s="329"/>
      <c r="W44" s="329"/>
      <c r="X44" s="329"/>
      <c r="Y44" s="329"/>
      <c r="Z44" s="329"/>
      <c r="AA44" s="329"/>
      <c r="AB44" s="329"/>
      <c r="AC44" s="331">
        <f>SUM(Table1453[[#This Row],[Program Director 
(IT Workflow - US)]:[Engineer
(IT Workflow - US)]])</f>
        <v>0</v>
      </c>
      <c r="AD44" s="332"/>
      <c r="AE44" s="329"/>
      <c r="AF44" s="329"/>
      <c r="AG44" s="329"/>
      <c r="AH44" s="329"/>
      <c r="AI44" s="329"/>
      <c r="AJ44" s="329"/>
      <c r="AK44" s="329"/>
      <c r="AL44" s="329"/>
      <c r="AM44" s="329"/>
      <c r="AN44" s="329"/>
      <c r="AO44" s="329"/>
      <c r="AP44" s="329"/>
      <c r="AQ44" s="333">
        <f>SUM(Table1453[[#This Row],[Program Director 
(Customer and Employee Workflow - US)]:[Engineer
(Customer and Employee Workflow - US)]])</f>
        <v>0</v>
      </c>
      <c r="AR44" s="329"/>
      <c r="AS44" s="329"/>
      <c r="AT44" s="329"/>
      <c r="AU44" s="329"/>
      <c r="AV44" s="329"/>
      <c r="AW44" s="329"/>
      <c r="AX44" s="329"/>
      <c r="AY44" s="329"/>
      <c r="AZ44" s="329"/>
      <c r="BA44" s="329"/>
      <c r="BB44" s="329"/>
      <c r="BC44" s="329"/>
      <c r="BD44" s="329"/>
      <c r="BE44" s="305">
        <f>SUM(Table1453[[#This Row],[Program Director 
(IT Workflow - US)]:[Chief Architect
(IT Workflow - US)]])</f>
        <v>0</v>
      </c>
      <c r="BF44" s="303"/>
      <c r="BL44"/>
      <c r="BM44"/>
      <c r="BN44"/>
    </row>
    <row r="45" spans="2:66" ht="38.25">
      <c r="B45" s="355"/>
      <c r="C45" s="438" t="s">
        <v>429</v>
      </c>
      <c r="D45" s="438" t="s">
        <v>953</v>
      </c>
      <c r="E45" s="438" t="s">
        <v>954</v>
      </c>
      <c r="F45" s="438"/>
      <c r="G45" s="438" t="s">
        <v>955</v>
      </c>
      <c r="H45" s="438" t="s">
        <v>823</v>
      </c>
      <c r="I45" s="438"/>
      <c r="J45" s="438" t="s">
        <v>71</v>
      </c>
      <c r="K45" s="439">
        <v>4</v>
      </c>
      <c r="L45" s="440" t="e" cm="1">
        <f t="array" ref="L45">INDEX('Client Rates and Roles'!$F$2:$F$433,MATCH(1,COUNTIFS('Opportunity Details'!$C$14,'Client Rates and Roles'!$D$2:$D$433,H45,'Client Rates and Roles'!$B$2:$B$433,J45,'Client Rates and Roles'!$C$2:$C$433,$C$6,'Client Rates and Roles'!$A$2:$A$433),0))</f>
        <v>#N/A</v>
      </c>
      <c r="M45" s="440" t="e">
        <f t="shared" si="0"/>
        <v>#N/A</v>
      </c>
      <c r="N45" s="439"/>
      <c r="O45" s="439"/>
      <c r="P45" s="439">
        <f>Table1453[[#This Row],[Hours]]</f>
        <v>4</v>
      </c>
      <c r="Q45" s="329"/>
      <c r="R45" s="329"/>
      <c r="S45" s="329"/>
      <c r="T45" s="329"/>
      <c r="U45" s="329"/>
      <c r="V45" s="329"/>
      <c r="W45" s="329"/>
      <c r="X45" s="329"/>
      <c r="Y45" s="329"/>
      <c r="Z45" s="329"/>
      <c r="AA45" s="329"/>
      <c r="AB45" s="329"/>
      <c r="AC45" s="331">
        <f>SUM(Table1453[[#This Row],[Program Director 
(IT Workflow - US)]:[Engineer
(IT Workflow - US)]])</f>
        <v>0</v>
      </c>
      <c r="AD45" s="332"/>
      <c r="AE45" s="329"/>
      <c r="AF45" s="329"/>
      <c r="AG45" s="329"/>
      <c r="AH45" s="329"/>
      <c r="AI45" s="329"/>
      <c r="AJ45" s="329"/>
      <c r="AK45" s="329"/>
      <c r="AL45" s="329"/>
      <c r="AM45" s="329"/>
      <c r="AN45" s="329"/>
      <c r="AO45" s="329"/>
      <c r="AP45" s="329"/>
      <c r="AQ45" s="333">
        <f>SUM(Table1453[[#This Row],[Program Director 
(Customer and Employee Workflow - US)]:[Engineer
(Customer and Employee Workflow - US)]])</f>
        <v>0</v>
      </c>
      <c r="AR45" s="329"/>
      <c r="AS45" s="329"/>
      <c r="AT45" s="329"/>
      <c r="AU45" s="329"/>
      <c r="AV45" s="329"/>
      <c r="AW45" s="329"/>
      <c r="AX45" s="329"/>
      <c r="AY45" s="329"/>
      <c r="AZ45" s="329"/>
      <c r="BA45" s="329"/>
      <c r="BB45" s="329"/>
      <c r="BC45" s="329"/>
      <c r="BD45" s="329"/>
      <c r="BE45" s="305">
        <f>SUM(Table1453[[#This Row],[Program Director 
(IT Workflow - US)]:[Chief Architect
(IT Workflow - US)]])</f>
        <v>0</v>
      </c>
      <c r="BF45" s="303"/>
      <c r="BL45"/>
      <c r="BM45"/>
      <c r="BN45"/>
    </row>
    <row r="46" spans="2:66">
      <c r="B46" s="421" t="s">
        <v>96</v>
      </c>
      <c r="C46" s="422"/>
      <c r="D46" s="422"/>
      <c r="E46" s="422"/>
      <c r="F46" s="422"/>
      <c r="G46" s="422"/>
      <c r="H46" s="422"/>
      <c r="I46" s="422"/>
      <c r="J46" s="422"/>
      <c r="K46" s="423"/>
      <c r="L46" s="424"/>
      <c r="M46" s="424"/>
      <c r="N46" s="423"/>
      <c r="O46" s="423"/>
      <c r="P46" s="423"/>
      <c r="Q46" s="329"/>
      <c r="R46" s="329"/>
      <c r="S46" s="329"/>
      <c r="T46" s="329"/>
      <c r="U46" s="329"/>
      <c r="V46" s="329"/>
      <c r="W46" s="329"/>
      <c r="X46" s="329"/>
      <c r="Y46" s="329"/>
      <c r="Z46" s="329"/>
      <c r="AA46" s="329"/>
      <c r="AB46" s="329"/>
      <c r="AC46" s="331">
        <f>SUM(Table1453[[#This Row],[Program Director 
(IT Workflow - US)]:[Engineer
(IT Workflow - US)]])</f>
        <v>0</v>
      </c>
      <c r="AD46" s="332"/>
      <c r="AE46" s="329"/>
      <c r="AF46" s="329"/>
      <c r="AG46" s="329"/>
      <c r="AH46" s="329"/>
      <c r="AI46" s="329"/>
      <c r="AJ46" s="329"/>
      <c r="AK46" s="329"/>
      <c r="AL46" s="329"/>
      <c r="AM46" s="329"/>
      <c r="AN46" s="329"/>
      <c r="AO46" s="329"/>
      <c r="AP46" s="329"/>
      <c r="AQ46" s="333">
        <f>SUM(Table1453[[#This Row],[Program Director 
(Customer and Employee Workflow - US)]:[Engineer
(Customer and Employee Workflow - US)]])</f>
        <v>0</v>
      </c>
      <c r="AR46" s="329"/>
      <c r="AS46" s="329"/>
      <c r="AT46" s="329"/>
      <c r="AU46" s="329"/>
      <c r="AV46" s="329"/>
      <c r="AW46" s="329"/>
      <c r="AX46" s="329"/>
      <c r="AY46" s="329"/>
      <c r="AZ46" s="329"/>
      <c r="BA46" s="329"/>
      <c r="BB46" s="329"/>
      <c r="BC46" s="329"/>
      <c r="BD46" s="329"/>
      <c r="BE46" s="305"/>
      <c r="BF46" s="303"/>
      <c r="BL46"/>
      <c r="BM46"/>
      <c r="BN46"/>
    </row>
    <row r="47" spans="2:66" ht="25.5">
      <c r="B47" s="425"/>
      <c r="C47" s="438" t="s">
        <v>97</v>
      </c>
      <c r="D47" s="438" t="s">
        <v>956</v>
      </c>
      <c r="E47" s="438" t="s">
        <v>957</v>
      </c>
      <c r="F47" s="438"/>
      <c r="G47" s="438"/>
      <c r="H47" s="438" t="s">
        <v>844</v>
      </c>
      <c r="I47" s="438"/>
      <c r="J47" s="438" t="s">
        <v>71</v>
      </c>
      <c r="K47" s="439">
        <v>2</v>
      </c>
      <c r="L47" s="440" t="e" cm="1">
        <f t="array" ref="L47">INDEX('Client Rates and Roles'!$F$2:$F$433,MATCH(1,COUNTIFS('Opportunity Details'!$C$14,'Client Rates and Roles'!$D$2:$D$433,H47,'Client Rates and Roles'!$B$2:$B$433,J47,'Client Rates and Roles'!$C$2:$C$433,$C$6,'Client Rates and Roles'!$A$2:$A$433),0))</f>
        <v>#N/A</v>
      </c>
      <c r="M47" s="440" t="e">
        <f t="shared" ref="M47:M92" si="1">K47*L47</f>
        <v>#N/A</v>
      </c>
      <c r="N47" s="439"/>
      <c r="O47" s="439"/>
      <c r="P47" s="439"/>
      <c r="Q47" s="329"/>
      <c r="R47" s="329"/>
      <c r="S47" s="329"/>
      <c r="T47" s="329"/>
      <c r="U47" s="329"/>
      <c r="V47" s="329"/>
      <c r="W47" s="329"/>
      <c r="X47" s="329"/>
      <c r="Y47" s="329"/>
      <c r="Z47" s="329"/>
      <c r="AA47" s="329"/>
      <c r="AB47" s="329"/>
      <c r="AC47" s="331">
        <f>SUM(Table1453[[#This Row],[Program Director 
(IT Workflow - US)]:[Engineer
(IT Workflow - US)]])</f>
        <v>0</v>
      </c>
      <c r="AD47" s="332"/>
      <c r="AE47" s="329"/>
      <c r="AF47" s="329"/>
      <c r="AG47" s="329"/>
      <c r="AH47" s="329"/>
      <c r="AI47" s="329"/>
      <c r="AJ47" s="329"/>
      <c r="AK47" s="329"/>
      <c r="AL47" s="329"/>
      <c r="AM47" s="329"/>
      <c r="AN47" s="329"/>
      <c r="AO47" s="329"/>
      <c r="AP47" s="329"/>
      <c r="AQ47" s="333">
        <f>SUM(Table1453[[#This Row],[Program Director 
(Customer and Employee Workflow - US)]:[Engineer
(Customer and Employee Workflow - US)]])</f>
        <v>0</v>
      </c>
      <c r="AR47" s="329"/>
      <c r="AS47" s="329"/>
      <c r="AT47" s="329"/>
      <c r="AU47" s="329"/>
      <c r="AV47" s="329"/>
      <c r="AW47" s="329"/>
      <c r="AX47" s="329"/>
      <c r="AY47" s="329"/>
      <c r="AZ47" s="329"/>
      <c r="BA47" s="329"/>
      <c r="BB47" s="329"/>
      <c r="BC47" s="329"/>
      <c r="BD47" s="329"/>
      <c r="BE47" s="305"/>
      <c r="BF47" s="303"/>
      <c r="BL47"/>
      <c r="BM47"/>
      <c r="BN47"/>
    </row>
    <row r="48" spans="2:66" ht="25.5">
      <c r="B48" s="425"/>
      <c r="C48" s="438" t="s">
        <v>97</v>
      </c>
      <c r="D48" s="438" t="s">
        <v>958</v>
      </c>
      <c r="E48" s="438" t="s">
        <v>959</v>
      </c>
      <c r="F48" s="438"/>
      <c r="G48" s="438"/>
      <c r="H48" s="438" t="s">
        <v>844</v>
      </c>
      <c r="I48" s="438"/>
      <c r="J48" s="438" t="s">
        <v>71</v>
      </c>
      <c r="K48" s="439">
        <v>8</v>
      </c>
      <c r="L48" s="440" t="e" cm="1">
        <f t="array" ref="L48">INDEX('Client Rates and Roles'!$F$2:$F$433,MATCH(1,COUNTIFS('Opportunity Details'!$C$14,'Client Rates and Roles'!$D$2:$D$433,H48,'Client Rates and Roles'!$B$2:$B$433,J48,'Client Rates and Roles'!$C$2:$C$433,$C$6,'Client Rates and Roles'!$A$2:$A$433),0))</f>
        <v>#N/A</v>
      </c>
      <c r="M48" s="440" t="e">
        <f t="shared" si="1"/>
        <v>#N/A</v>
      </c>
      <c r="N48" s="439"/>
      <c r="O48" s="439"/>
      <c r="P48" s="439"/>
      <c r="Q48" s="329"/>
      <c r="R48" s="329"/>
      <c r="S48" s="329"/>
      <c r="T48" s="329"/>
      <c r="U48" s="329"/>
      <c r="V48" s="329"/>
      <c r="W48" s="329"/>
      <c r="X48" s="329"/>
      <c r="Y48" s="329"/>
      <c r="Z48" s="329"/>
      <c r="AA48" s="329"/>
      <c r="AB48" s="329"/>
      <c r="AC48" s="331">
        <f>SUM(Table1453[[#This Row],[Program Director 
(IT Workflow - US)]:[Engineer
(IT Workflow - US)]])</f>
        <v>0</v>
      </c>
      <c r="AD48" s="332"/>
      <c r="AE48" s="329"/>
      <c r="AF48" s="329"/>
      <c r="AG48" s="329"/>
      <c r="AH48" s="329"/>
      <c r="AI48" s="329"/>
      <c r="AJ48" s="329"/>
      <c r="AK48" s="329"/>
      <c r="AL48" s="329"/>
      <c r="AM48" s="329"/>
      <c r="AN48" s="329"/>
      <c r="AO48" s="329"/>
      <c r="AP48" s="329"/>
      <c r="AQ48" s="333">
        <f>SUM(Table1453[[#This Row],[Program Director 
(Customer and Employee Workflow - US)]:[Engineer
(Customer and Employee Workflow - US)]])</f>
        <v>0</v>
      </c>
      <c r="AR48" s="329"/>
      <c r="AS48" s="329"/>
      <c r="AT48" s="329"/>
      <c r="AU48" s="329"/>
      <c r="AV48" s="329"/>
      <c r="AW48" s="329"/>
      <c r="AX48" s="329"/>
      <c r="AY48" s="329"/>
      <c r="AZ48" s="329"/>
      <c r="BA48" s="329"/>
      <c r="BB48" s="329"/>
      <c r="BC48" s="329"/>
      <c r="BD48" s="329"/>
      <c r="BE48" s="305"/>
      <c r="BF48" s="303"/>
      <c r="BL48"/>
      <c r="BM48"/>
      <c r="BN48"/>
    </row>
    <row r="49" spans="2:66" ht="25.5">
      <c r="B49" s="425"/>
      <c r="C49" s="438" t="s">
        <v>97</v>
      </c>
      <c r="D49" s="438" t="s">
        <v>960</v>
      </c>
      <c r="E49" s="438" t="s">
        <v>961</v>
      </c>
      <c r="F49" s="438"/>
      <c r="G49" s="438"/>
      <c r="H49" s="438" t="s">
        <v>844</v>
      </c>
      <c r="I49" s="438"/>
      <c r="J49" s="438" t="s">
        <v>71</v>
      </c>
      <c r="K49" s="439">
        <v>16</v>
      </c>
      <c r="L49" s="440" t="e" cm="1">
        <f t="array" ref="L49">INDEX('Client Rates and Roles'!$F$2:$F$433,MATCH(1,COUNTIFS('Opportunity Details'!$C$14,'Client Rates and Roles'!$D$2:$D$433,H49,'Client Rates and Roles'!$B$2:$B$433,J49,'Client Rates and Roles'!$C$2:$C$433,$C$6,'Client Rates and Roles'!$A$2:$A$433),0))</f>
        <v>#N/A</v>
      </c>
      <c r="M49" s="440" t="e">
        <f t="shared" si="1"/>
        <v>#N/A</v>
      </c>
      <c r="N49" s="439"/>
      <c r="O49" s="439"/>
      <c r="P49" s="439"/>
      <c r="Q49" s="329"/>
      <c r="R49" s="329"/>
      <c r="S49" s="329"/>
      <c r="T49" s="329"/>
      <c r="U49" s="329"/>
      <c r="V49" s="329"/>
      <c r="W49" s="329"/>
      <c r="X49" s="329"/>
      <c r="Y49" s="329"/>
      <c r="Z49" s="329"/>
      <c r="AA49" s="329"/>
      <c r="AB49" s="329"/>
      <c r="AC49" s="331">
        <f>SUM(Table1453[[#This Row],[Program Director 
(IT Workflow - US)]:[Engineer
(IT Workflow - US)]])</f>
        <v>0</v>
      </c>
      <c r="AD49" s="332"/>
      <c r="AE49" s="329"/>
      <c r="AF49" s="329"/>
      <c r="AG49" s="329"/>
      <c r="AH49" s="329"/>
      <c r="AI49" s="329"/>
      <c r="AJ49" s="329"/>
      <c r="AK49" s="329"/>
      <c r="AL49" s="329"/>
      <c r="AM49" s="329"/>
      <c r="AN49" s="329"/>
      <c r="AO49" s="329"/>
      <c r="AP49" s="329"/>
      <c r="AQ49" s="333">
        <f>SUM(Table1453[[#This Row],[Program Director 
(Customer and Employee Workflow - US)]:[Engineer
(Customer and Employee Workflow - US)]])</f>
        <v>0</v>
      </c>
      <c r="AR49" s="329"/>
      <c r="AS49" s="329"/>
      <c r="AT49" s="329"/>
      <c r="AU49" s="329"/>
      <c r="AV49" s="329"/>
      <c r="AW49" s="329"/>
      <c r="AX49" s="329"/>
      <c r="AY49" s="329"/>
      <c r="AZ49" s="329"/>
      <c r="BA49" s="329"/>
      <c r="BB49" s="329"/>
      <c r="BC49" s="329"/>
      <c r="BD49" s="329"/>
      <c r="BE49" s="305"/>
      <c r="BF49" s="303"/>
      <c r="BL49"/>
      <c r="BM49"/>
      <c r="BN49"/>
    </row>
    <row r="50" spans="2:66" ht="38.25">
      <c r="B50" s="425"/>
      <c r="C50" s="438" t="s">
        <v>97</v>
      </c>
      <c r="D50" s="438" t="s">
        <v>962</v>
      </c>
      <c r="E50" s="438" t="s">
        <v>963</v>
      </c>
      <c r="F50" s="438"/>
      <c r="G50" s="438"/>
      <c r="H50" s="438" t="s">
        <v>844</v>
      </c>
      <c r="I50" s="438"/>
      <c r="J50" s="438" t="s">
        <v>71</v>
      </c>
      <c r="K50" s="439">
        <v>8</v>
      </c>
      <c r="L50" s="440" t="e" cm="1">
        <f t="array" ref="L50">INDEX('Client Rates and Roles'!$F$2:$F$433,MATCH(1,COUNTIFS('Opportunity Details'!$C$14,'Client Rates and Roles'!$D$2:$D$433,H50,'Client Rates and Roles'!$B$2:$B$433,J50,'Client Rates and Roles'!$C$2:$C$433,$C$6,'Client Rates and Roles'!$A$2:$A$433),0))</f>
        <v>#N/A</v>
      </c>
      <c r="M50" s="440" t="e">
        <f t="shared" si="1"/>
        <v>#N/A</v>
      </c>
      <c r="N50" s="439"/>
      <c r="O50" s="439"/>
      <c r="P50" s="439"/>
      <c r="Q50" s="329"/>
      <c r="R50" s="329"/>
      <c r="S50" s="329"/>
      <c r="T50" s="329"/>
      <c r="U50" s="329"/>
      <c r="V50" s="329"/>
      <c r="W50" s="329"/>
      <c r="X50" s="329"/>
      <c r="Y50" s="329"/>
      <c r="Z50" s="329"/>
      <c r="AA50" s="329"/>
      <c r="AB50" s="329"/>
      <c r="AC50" s="331">
        <f>SUM(Table1453[[#This Row],[Program Director 
(IT Workflow - US)]:[Engineer
(IT Workflow - US)]])</f>
        <v>0</v>
      </c>
      <c r="AD50" s="332"/>
      <c r="AE50" s="329"/>
      <c r="AF50" s="329"/>
      <c r="AG50" s="329"/>
      <c r="AH50" s="329"/>
      <c r="AI50" s="329"/>
      <c r="AJ50" s="329"/>
      <c r="AK50" s="329"/>
      <c r="AL50" s="329"/>
      <c r="AM50" s="329"/>
      <c r="AN50" s="329"/>
      <c r="AO50" s="329"/>
      <c r="AP50" s="329"/>
      <c r="AQ50" s="333">
        <f>SUM(Table1453[[#This Row],[Program Director 
(Customer and Employee Workflow - US)]:[Engineer
(Customer and Employee Workflow - US)]])</f>
        <v>0</v>
      </c>
      <c r="AR50" s="329"/>
      <c r="AS50" s="329"/>
      <c r="AT50" s="329"/>
      <c r="AU50" s="329"/>
      <c r="AV50" s="329"/>
      <c r="AW50" s="329"/>
      <c r="AX50" s="329"/>
      <c r="AY50" s="329"/>
      <c r="AZ50" s="329"/>
      <c r="BA50" s="329"/>
      <c r="BB50" s="329"/>
      <c r="BC50" s="329"/>
      <c r="BD50" s="329"/>
      <c r="BE50" s="305"/>
      <c r="BF50" s="303"/>
      <c r="BL50"/>
      <c r="BM50"/>
      <c r="BN50"/>
    </row>
    <row r="51" spans="2:66" ht="51">
      <c r="B51" s="425"/>
      <c r="C51" s="438" t="s">
        <v>97</v>
      </c>
      <c r="D51" s="438" t="s">
        <v>964</v>
      </c>
      <c r="E51" s="438" t="s">
        <v>965</v>
      </c>
      <c r="F51" s="438"/>
      <c r="G51" s="438" t="s">
        <v>966</v>
      </c>
      <c r="H51" s="438" t="s">
        <v>844</v>
      </c>
      <c r="I51" s="438"/>
      <c r="J51" s="438" t="s">
        <v>71</v>
      </c>
      <c r="K51" s="439">
        <v>80</v>
      </c>
      <c r="L51" s="440" t="e" cm="1">
        <f t="array" ref="L51">INDEX('Client Rates and Roles'!$F$2:$F$433,MATCH(1,COUNTIFS('Opportunity Details'!$C$14,'Client Rates and Roles'!$D$2:$D$433,H51,'Client Rates and Roles'!$B$2:$B$433,J51,'Client Rates and Roles'!$C$2:$C$433,$C$6,'Client Rates and Roles'!$A$2:$A$433),0))</f>
        <v>#N/A</v>
      </c>
      <c r="M51" s="440" t="e">
        <f t="shared" si="1"/>
        <v>#N/A</v>
      </c>
      <c r="N51" s="439"/>
      <c r="O51" s="439"/>
      <c r="P51" s="439"/>
      <c r="Q51" s="329"/>
      <c r="R51" s="329"/>
      <c r="S51" s="329"/>
      <c r="T51" s="329"/>
      <c r="U51" s="329"/>
      <c r="V51" s="329"/>
      <c r="W51" s="329"/>
      <c r="X51" s="329"/>
      <c r="Y51" s="329"/>
      <c r="Z51" s="329"/>
      <c r="AA51" s="329"/>
      <c r="AB51" s="329"/>
      <c r="AC51" s="331">
        <f>SUM(Table1453[[#This Row],[Program Director 
(IT Workflow - US)]:[Engineer
(IT Workflow - US)]])</f>
        <v>0</v>
      </c>
      <c r="AD51" s="332"/>
      <c r="AE51" s="329"/>
      <c r="AF51" s="329"/>
      <c r="AG51" s="329"/>
      <c r="AH51" s="329"/>
      <c r="AI51" s="329"/>
      <c r="AJ51" s="329"/>
      <c r="AK51" s="329"/>
      <c r="AL51" s="329"/>
      <c r="AM51" s="329"/>
      <c r="AN51" s="329"/>
      <c r="AO51" s="329"/>
      <c r="AP51" s="329"/>
      <c r="AQ51" s="333">
        <f>SUM(Table1453[[#This Row],[Program Director 
(Customer and Employee Workflow - US)]:[Engineer
(Customer and Employee Workflow - US)]])</f>
        <v>0</v>
      </c>
      <c r="AR51" s="329"/>
      <c r="AS51" s="329"/>
      <c r="AT51" s="329"/>
      <c r="AU51" s="329"/>
      <c r="AV51" s="329"/>
      <c r="AW51" s="329"/>
      <c r="AX51" s="329"/>
      <c r="AY51" s="329"/>
      <c r="AZ51" s="329"/>
      <c r="BA51" s="329"/>
      <c r="BB51" s="329"/>
      <c r="BC51" s="329"/>
      <c r="BD51" s="329"/>
      <c r="BE51" s="305"/>
      <c r="BF51" s="303"/>
      <c r="BL51"/>
      <c r="BM51"/>
      <c r="BN51"/>
    </row>
    <row r="52" spans="2:66" ht="25.5">
      <c r="B52" s="425"/>
      <c r="C52" s="438" t="s">
        <v>97</v>
      </c>
      <c r="D52" s="438" t="s">
        <v>967</v>
      </c>
      <c r="E52" s="438" t="s">
        <v>968</v>
      </c>
      <c r="F52" s="438"/>
      <c r="G52" s="438" t="s">
        <v>969</v>
      </c>
      <c r="H52" s="438" t="s">
        <v>844</v>
      </c>
      <c r="I52" s="438"/>
      <c r="J52" s="438" t="s">
        <v>71</v>
      </c>
      <c r="K52" s="439">
        <v>4</v>
      </c>
      <c r="L52" s="440" t="e" cm="1">
        <f t="array" ref="L52">INDEX('Client Rates and Roles'!$F$2:$F$433,MATCH(1,COUNTIFS('Opportunity Details'!$C$14,'Client Rates and Roles'!$D$2:$D$433,H52,'Client Rates and Roles'!$B$2:$B$433,J52,'Client Rates and Roles'!$C$2:$C$433,$C$6,'Client Rates and Roles'!$A$2:$A$433),0))</f>
        <v>#N/A</v>
      </c>
      <c r="M52" s="440" t="e">
        <f t="shared" si="1"/>
        <v>#N/A</v>
      </c>
      <c r="N52" s="439"/>
      <c r="O52" s="439"/>
      <c r="P52" s="439"/>
      <c r="Q52" s="329"/>
      <c r="R52" s="329"/>
      <c r="S52" s="329"/>
      <c r="T52" s="329"/>
      <c r="U52" s="329"/>
      <c r="V52" s="329"/>
      <c r="W52" s="329"/>
      <c r="X52" s="329"/>
      <c r="Y52" s="329"/>
      <c r="Z52" s="329"/>
      <c r="AA52" s="329"/>
      <c r="AB52" s="329"/>
      <c r="AC52" s="331">
        <f>SUM(Table1453[[#This Row],[Program Director 
(IT Workflow - US)]:[Engineer
(IT Workflow - US)]])</f>
        <v>0</v>
      </c>
      <c r="AD52" s="332"/>
      <c r="AE52" s="329"/>
      <c r="AF52" s="329"/>
      <c r="AG52" s="329"/>
      <c r="AH52" s="329"/>
      <c r="AI52" s="329"/>
      <c r="AJ52" s="329"/>
      <c r="AK52" s="329"/>
      <c r="AL52" s="329"/>
      <c r="AM52" s="329"/>
      <c r="AN52" s="329"/>
      <c r="AO52" s="329"/>
      <c r="AP52" s="329"/>
      <c r="AQ52" s="333">
        <f>SUM(Table1453[[#This Row],[Program Director 
(Customer and Employee Workflow - US)]:[Engineer
(Customer and Employee Workflow - US)]])</f>
        <v>0</v>
      </c>
      <c r="AR52" s="329"/>
      <c r="AS52" s="329"/>
      <c r="AT52" s="329"/>
      <c r="AU52" s="329"/>
      <c r="AV52" s="329"/>
      <c r="AW52" s="329"/>
      <c r="AX52" s="329"/>
      <c r="AY52" s="329"/>
      <c r="AZ52" s="329"/>
      <c r="BA52" s="329"/>
      <c r="BB52" s="329"/>
      <c r="BC52" s="329"/>
      <c r="BD52" s="329"/>
      <c r="BE52" s="305"/>
      <c r="BF52" s="303"/>
      <c r="BL52"/>
      <c r="BM52"/>
      <c r="BN52"/>
    </row>
    <row r="53" spans="2:66" ht="102">
      <c r="B53" s="425"/>
      <c r="C53" s="438" t="s">
        <v>97</v>
      </c>
      <c r="D53" s="438" t="s">
        <v>970</v>
      </c>
      <c r="E53" s="438" t="s">
        <v>971</v>
      </c>
      <c r="F53" s="438"/>
      <c r="G53" s="438" t="s">
        <v>972</v>
      </c>
      <c r="H53" s="438" t="s">
        <v>844</v>
      </c>
      <c r="I53" s="438"/>
      <c r="J53" s="438" t="s">
        <v>71</v>
      </c>
      <c r="K53" s="439">
        <v>80</v>
      </c>
      <c r="L53" s="440" t="e" cm="1">
        <f t="array" ref="L53">INDEX('Client Rates and Roles'!$F$2:$F$433,MATCH(1,COUNTIFS('Opportunity Details'!$C$14,'Client Rates and Roles'!$D$2:$D$433,H53,'Client Rates and Roles'!$B$2:$B$433,J53,'Client Rates and Roles'!$C$2:$C$433,$C$6,'Client Rates and Roles'!$A$2:$A$433),0))</f>
        <v>#N/A</v>
      </c>
      <c r="M53" s="440" t="e">
        <f t="shared" si="1"/>
        <v>#N/A</v>
      </c>
      <c r="N53" s="439"/>
      <c r="O53" s="439"/>
      <c r="P53" s="439"/>
      <c r="Q53" s="329"/>
      <c r="R53" s="329"/>
      <c r="S53" s="329"/>
      <c r="T53" s="329"/>
      <c r="U53" s="329"/>
      <c r="V53" s="329"/>
      <c r="W53" s="329"/>
      <c r="X53" s="329"/>
      <c r="Y53" s="329"/>
      <c r="Z53" s="329"/>
      <c r="AA53" s="329"/>
      <c r="AB53" s="329"/>
      <c r="AC53" s="331">
        <f>SUM(Table1453[[#This Row],[Program Director 
(IT Workflow - US)]:[Engineer
(IT Workflow - US)]])</f>
        <v>0</v>
      </c>
      <c r="AD53" s="332"/>
      <c r="AE53" s="329"/>
      <c r="AF53" s="329"/>
      <c r="AG53" s="329"/>
      <c r="AH53" s="329"/>
      <c r="AI53" s="329"/>
      <c r="AJ53" s="329"/>
      <c r="AK53" s="329"/>
      <c r="AL53" s="329"/>
      <c r="AM53" s="329"/>
      <c r="AN53" s="329"/>
      <c r="AO53" s="329"/>
      <c r="AP53" s="329"/>
      <c r="AQ53" s="333">
        <f>SUM(Table1453[[#This Row],[Program Director 
(Customer and Employee Workflow - US)]:[Engineer
(Customer and Employee Workflow - US)]])</f>
        <v>0</v>
      </c>
      <c r="AR53" s="329"/>
      <c r="AS53" s="329"/>
      <c r="AT53" s="329"/>
      <c r="AU53" s="329"/>
      <c r="AV53" s="329"/>
      <c r="AW53" s="329"/>
      <c r="AX53" s="329"/>
      <c r="AY53" s="329"/>
      <c r="AZ53" s="329"/>
      <c r="BA53" s="329"/>
      <c r="BB53" s="329"/>
      <c r="BC53" s="329"/>
      <c r="BD53" s="329"/>
      <c r="BE53" s="305"/>
      <c r="BF53" s="303"/>
      <c r="BL53"/>
      <c r="BM53"/>
      <c r="BN53"/>
    </row>
    <row r="54" spans="2:66">
      <c r="B54" s="425"/>
      <c r="C54" s="438" t="s">
        <v>97</v>
      </c>
      <c r="D54" s="442" t="s">
        <v>973</v>
      </c>
      <c r="E54" s="442" t="s">
        <v>974</v>
      </c>
      <c r="F54" s="438"/>
      <c r="G54" s="438"/>
      <c r="H54" s="438" t="s">
        <v>844</v>
      </c>
      <c r="I54" s="438"/>
      <c r="J54" s="438" t="s">
        <v>71</v>
      </c>
      <c r="K54" s="439"/>
      <c r="L54" s="440" t="e" cm="1">
        <f t="array" ref="L54">INDEX('Client Rates and Roles'!$F$2:$F$433,MATCH(1,COUNTIFS('Opportunity Details'!$C$14,'Client Rates and Roles'!$D$2:$D$433,H54,'Client Rates and Roles'!$B$2:$B$433,J54,'Client Rates and Roles'!$C$2:$C$433,$C$6,'Client Rates and Roles'!$A$2:$A$433),0))</f>
        <v>#N/A</v>
      </c>
      <c r="M54" s="440" t="e">
        <f t="shared" si="1"/>
        <v>#N/A</v>
      </c>
      <c r="N54" s="439"/>
      <c r="O54" s="439"/>
      <c r="P54" s="439"/>
      <c r="Q54" s="329"/>
      <c r="R54" s="329"/>
      <c r="S54" s="329"/>
      <c r="T54" s="329"/>
      <c r="U54" s="329"/>
      <c r="V54" s="329"/>
      <c r="W54" s="329"/>
      <c r="X54" s="329"/>
      <c r="Y54" s="329"/>
      <c r="Z54" s="329"/>
      <c r="AA54" s="329"/>
      <c r="AB54" s="329"/>
      <c r="AC54" s="331">
        <f>SUM(Table1453[[#This Row],[Program Director 
(IT Workflow - US)]:[Engineer
(IT Workflow - US)]])</f>
        <v>0</v>
      </c>
      <c r="AD54" s="332"/>
      <c r="AE54" s="329"/>
      <c r="AF54" s="329"/>
      <c r="AG54" s="329"/>
      <c r="AH54" s="329"/>
      <c r="AI54" s="329"/>
      <c r="AJ54" s="329"/>
      <c r="AK54" s="329"/>
      <c r="AL54" s="329"/>
      <c r="AM54" s="329"/>
      <c r="AN54" s="329"/>
      <c r="AO54" s="329"/>
      <c r="AP54" s="329"/>
      <c r="AQ54" s="333">
        <f>SUM(Table1453[[#This Row],[Program Director 
(Customer and Employee Workflow - US)]:[Engineer
(Customer and Employee Workflow - US)]])</f>
        <v>0</v>
      </c>
      <c r="AR54" s="329"/>
      <c r="AS54" s="329"/>
      <c r="AT54" s="329"/>
      <c r="AU54" s="329"/>
      <c r="AV54" s="329"/>
      <c r="AW54" s="329"/>
      <c r="AX54" s="329"/>
      <c r="AY54" s="329"/>
      <c r="AZ54" s="329"/>
      <c r="BA54" s="329"/>
      <c r="BB54" s="329"/>
      <c r="BC54" s="329"/>
      <c r="BD54" s="329"/>
      <c r="BE54" s="305"/>
      <c r="BF54" s="303"/>
      <c r="BL54"/>
      <c r="BM54"/>
      <c r="BN54"/>
    </row>
    <row r="55" spans="2:66">
      <c r="B55" s="425"/>
      <c r="C55" s="438" t="s">
        <v>97</v>
      </c>
      <c r="D55" s="442" t="s">
        <v>975</v>
      </c>
      <c r="E55" s="442" t="s">
        <v>974</v>
      </c>
      <c r="F55" s="438"/>
      <c r="G55" s="438"/>
      <c r="H55" s="438" t="s">
        <v>844</v>
      </c>
      <c r="I55" s="438"/>
      <c r="J55" s="438" t="s">
        <v>71</v>
      </c>
      <c r="K55" s="439"/>
      <c r="L55" s="440" t="e" cm="1">
        <f t="array" ref="L55">INDEX('Client Rates and Roles'!$F$2:$F$433,MATCH(1,COUNTIFS('Opportunity Details'!$C$14,'Client Rates and Roles'!$D$2:$D$433,H55,'Client Rates and Roles'!$B$2:$B$433,J55,'Client Rates and Roles'!$C$2:$C$433,$C$6,'Client Rates and Roles'!$A$2:$A$433),0))</f>
        <v>#N/A</v>
      </c>
      <c r="M55" s="440" t="e">
        <f t="shared" si="1"/>
        <v>#N/A</v>
      </c>
      <c r="N55" s="439"/>
      <c r="O55" s="439"/>
      <c r="P55" s="439"/>
      <c r="Q55" s="329"/>
      <c r="R55" s="329"/>
      <c r="S55" s="329"/>
      <c r="T55" s="329"/>
      <c r="U55" s="329"/>
      <c r="V55" s="329"/>
      <c r="W55" s="329"/>
      <c r="X55" s="329"/>
      <c r="Y55" s="329"/>
      <c r="Z55" s="329"/>
      <c r="AA55" s="329"/>
      <c r="AB55" s="329"/>
      <c r="AC55" s="331">
        <f>SUM(Table1453[[#This Row],[Program Director 
(IT Workflow - US)]:[Engineer
(IT Workflow - US)]])</f>
        <v>0</v>
      </c>
      <c r="AD55" s="332"/>
      <c r="AE55" s="329"/>
      <c r="AF55" s="329"/>
      <c r="AG55" s="329"/>
      <c r="AH55" s="329"/>
      <c r="AI55" s="329"/>
      <c r="AJ55" s="329"/>
      <c r="AK55" s="329"/>
      <c r="AL55" s="329"/>
      <c r="AM55" s="329"/>
      <c r="AN55" s="329"/>
      <c r="AO55" s="329"/>
      <c r="AP55" s="329"/>
      <c r="AQ55" s="333">
        <f>SUM(Table1453[[#This Row],[Program Director 
(Customer and Employee Workflow - US)]:[Engineer
(Customer and Employee Workflow - US)]])</f>
        <v>0</v>
      </c>
      <c r="AR55" s="329"/>
      <c r="AS55" s="329"/>
      <c r="AT55" s="329"/>
      <c r="AU55" s="329"/>
      <c r="AV55" s="329"/>
      <c r="AW55" s="329"/>
      <c r="AX55" s="329"/>
      <c r="AY55" s="329"/>
      <c r="AZ55" s="329"/>
      <c r="BA55" s="329"/>
      <c r="BB55" s="329"/>
      <c r="BC55" s="329"/>
      <c r="BD55" s="329"/>
      <c r="BE55" s="305"/>
      <c r="BF55" s="303"/>
      <c r="BL55"/>
      <c r="BM55"/>
      <c r="BN55"/>
    </row>
    <row r="56" spans="2:66" ht="76.5">
      <c r="B56" s="425"/>
      <c r="C56" s="438" t="s">
        <v>97</v>
      </c>
      <c r="D56" s="438" t="s">
        <v>976</v>
      </c>
      <c r="E56" s="438" t="s">
        <v>977</v>
      </c>
      <c r="F56" s="438"/>
      <c r="G56" s="438"/>
      <c r="H56" s="438" t="s">
        <v>844</v>
      </c>
      <c r="I56" s="438"/>
      <c r="J56" s="438" t="s">
        <v>71</v>
      </c>
      <c r="K56" s="439">
        <v>38</v>
      </c>
      <c r="L56" s="440" t="e" cm="1">
        <f t="array" ref="L56">INDEX('Client Rates and Roles'!$F$2:$F$433,MATCH(1,COUNTIFS('Opportunity Details'!$C$14,'Client Rates and Roles'!$D$2:$D$433,H56,'Client Rates and Roles'!$B$2:$B$433,J56,'Client Rates and Roles'!$C$2:$C$433,$C$6,'Client Rates and Roles'!$A$2:$A$433),0))</f>
        <v>#N/A</v>
      </c>
      <c r="M56" s="440" t="e">
        <f t="shared" si="1"/>
        <v>#N/A</v>
      </c>
      <c r="N56" s="439"/>
      <c r="O56" s="439"/>
      <c r="P56" s="439"/>
      <c r="Q56" s="329"/>
      <c r="R56" s="329"/>
      <c r="S56" s="329"/>
      <c r="T56" s="329"/>
      <c r="U56" s="329"/>
      <c r="V56" s="329"/>
      <c r="W56" s="329"/>
      <c r="X56" s="329"/>
      <c r="Y56" s="329"/>
      <c r="Z56" s="329"/>
      <c r="AA56" s="329"/>
      <c r="AB56" s="329"/>
      <c r="AC56" s="331">
        <f>SUM(Table1453[[#This Row],[Program Director 
(IT Workflow - US)]:[Engineer
(IT Workflow - US)]])</f>
        <v>0</v>
      </c>
      <c r="AD56" s="332"/>
      <c r="AE56" s="329"/>
      <c r="AF56" s="329"/>
      <c r="AG56" s="329"/>
      <c r="AH56" s="329"/>
      <c r="AI56" s="329"/>
      <c r="AJ56" s="329"/>
      <c r="AK56" s="329"/>
      <c r="AL56" s="329"/>
      <c r="AM56" s="329"/>
      <c r="AN56" s="329"/>
      <c r="AO56" s="329"/>
      <c r="AP56" s="329"/>
      <c r="AQ56" s="333">
        <f>SUM(Table1453[[#This Row],[Program Director 
(Customer and Employee Workflow - US)]:[Engineer
(Customer and Employee Workflow - US)]])</f>
        <v>0</v>
      </c>
      <c r="AR56" s="329"/>
      <c r="AS56" s="329"/>
      <c r="AT56" s="329"/>
      <c r="AU56" s="329"/>
      <c r="AV56" s="329"/>
      <c r="AW56" s="329"/>
      <c r="AX56" s="329"/>
      <c r="AY56" s="329"/>
      <c r="AZ56" s="329"/>
      <c r="BA56" s="329"/>
      <c r="BB56" s="329"/>
      <c r="BC56" s="329"/>
      <c r="BD56" s="329"/>
      <c r="BE56" s="305"/>
      <c r="BF56" s="303"/>
      <c r="BL56"/>
      <c r="BM56"/>
      <c r="BN56"/>
    </row>
    <row r="57" spans="2:66" ht="25.5">
      <c r="B57" s="425"/>
      <c r="C57" s="438" t="s">
        <v>97</v>
      </c>
      <c r="D57" s="438" t="s">
        <v>978</v>
      </c>
      <c r="E57" s="438" t="s">
        <v>979</v>
      </c>
      <c r="F57" s="438"/>
      <c r="G57" s="438"/>
      <c r="H57" s="438" t="s">
        <v>844</v>
      </c>
      <c r="I57" s="438"/>
      <c r="J57" s="438" t="s">
        <v>71</v>
      </c>
      <c r="K57" s="439">
        <v>8</v>
      </c>
      <c r="L57" s="440" t="e" cm="1">
        <f t="array" ref="L57">INDEX('Client Rates and Roles'!$F$2:$F$433,MATCH(1,COUNTIFS('Opportunity Details'!$C$14,'Client Rates and Roles'!$D$2:$D$433,H57,'Client Rates and Roles'!$B$2:$B$433,J57,'Client Rates and Roles'!$C$2:$C$433,$C$6,'Client Rates and Roles'!$A$2:$A$433),0))</f>
        <v>#N/A</v>
      </c>
      <c r="M57" s="440" t="e">
        <f t="shared" si="1"/>
        <v>#N/A</v>
      </c>
      <c r="N57" s="439"/>
      <c r="O57" s="439"/>
      <c r="P57" s="439"/>
      <c r="Q57" s="329"/>
      <c r="R57" s="329"/>
      <c r="S57" s="329"/>
      <c r="T57" s="329"/>
      <c r="U57" s="329"/>
      <c r="V57" s="329"/>
      <c r="W57" s="329"/>
      <c r="X57" s="329"/>
      <c r="Y57" s="329"/>
      <c r="Z57" s="329"/>
      <c r="AA57" s="329"/>
      <c r="AB57" s="329"/>
      <c r="AC57" s="331">
        <f>SUM(Table1453[[#This Row],[Program Director 
(IT Workflow - US)]:[Engineer
(IT Workflow - US)]])</f>
        <v>0</v>
      </c>
      <c r="AD57" s="332"/>
      <c r="AE57" s="329"/>
      <c r="AF57" s="329"/>
      <c r="AG57" s="329"/>
      <c r="AH57" s="329"/>
      <c r="AI57" s="329"/>
      <c r="AJ57" s="329"/>
      <c r="AK57" s="329"/>
      <c r="AL57" s="329"/>
      <c r="AM57" s="329"/>
      <c r="AN57" s="329"/>
      <c r="AO57" s="329"/>
      <c r="AP57" s="329"/>
      <c r="AQ57" s="333">
        <f>SUM(Table1453[[#This Row],[Program Director 
(Customer and Employee Workflow - US)]:[Engineer
(Customer and Employee Workflow - US)]])</f>
        <v>0</v>
      </c>
      <c r="AR57" s="329"/>
      <c r="AS57" s="329"/>
      <c r="AT57" s="329"/>
      <c r="AU57" s="329"/>
      <c r="AV57" s="329"/>
      <c r="AW57" s="329"/>
      <c r="AX57" s="329"/>
      <c r="AY57" s="329"/>
      <c r="AZ57" s="329"/>
      <c r="BA57" s="329"/>
      <c r="BB57" s="329"/>
      <c r="BC57" s="329"/>
      <c r="BD57" s="329"/>
      <c r="BE57" s="305"/>
      <c r="BF57" s="303"/>
      <c r="BL57"/>
      <c r="BM57"/>
      <c r="BN57"/>
    </row>
    <row r="58" spans="2:66" ht="25.5">
      <c r="B58" s="425"/>
      <c r="C58" s="438" t="s">
        <v>97</v>
      </c>
      <c r="D58" s="438" t="s">
        <v>980</v>
      </c>
      <c r="E58" s="438" t="s">
        <v>981</v>
      </c>
      <c r="F58" s="438"/>
      <c r="G58" s="438"/>
      <c r="H58" s="438" t="s">
        <v>844</v>
      </c>
      <c r="I58" s="438"/>
      <c r="J58" s="438" t="s">
        <v>71</v>
      </c>
      <c r="K58" s="439">
        <v>28</v>
      </c>
      <c r="L58" s="440" t="e" cm="1">
        <f t="array" ref="L58">INDEX('Client Rates and Roles'!$F$2:$F$433,MATCH(1,COUNTIFS('Opportunity Details'!$C$14,'Client Rates and Roles'!$D$2:$D$433,H58,'Client Rates and Roles'!$B$2:$B$433,J58,'Client Rates and Roles'!$C$2:$C$433,$C$6,'Client Rates and Roles'!$A$2:$A$433),0))</f>
        <v>#N/A</v>
      </c>
      <c r="M58" s="440" t="e">
        <f t="shared" si="1"/>
        <v>#N/A</v>
      </c>
      <c r="N58" s="439"/>
      <c r="O58" s="439"/>
      <c r="P58" s="439"/>
      <c r="Q58" s="329"/>
      <c r="R58" s="329"/>
      <c r="S58" s="329"/>
      <c r="T58" s="329"/>
      <c r="U58" s="329"/>
      <c r="V58" s="329"/>
      <c r="W58" s="329"/>
      <c r="X58" s="329"/>
      <c r="Y58" s="329"/>
      <c r="Z58" s="329"/>
      <c r="AA58" s="329"/>
      <c r="AB58" s="329"/>
      <c r="AC58" s="331">
        <f>SUM(Table1453[[#This Row],[Program Director 
(IT Workflow - US)]:[Engineer
(IT Workflow - US)]])</f>
        <v>0</v>
      </c>
      <c r="AD58" s="332"/>
      <c r="AE58" s="329"/>
      <c r="AF58" s="329"/>
      <c r="AG58" s="329"/>
      <c r="AH58" s="329"/>
      <c r="AI58" s="329"/>
      <c r="AJ58" s="329"/>
      <c r="AK58" s="329"/>
      <c r="AL58" s="329"/>
      <c r="AM58" s="329"/>
      <c r="AN58" s="329"/>
      <c r="AO58" s="329"/>
      <c r="AP58" s="329"/>
      <c r="AQ58" s="333">
        <f>SUM(Table1453[[#This Row],[Program Director 
(Customer and Employee Workflow - US)]:[Engineer
(Customer and Employee Workflow - US)]])</f>
        <v>0</v>
      </c>
      <c r="AR58" s="329"/>
      <c r="AS58" s="329"/>
      <c r="AT58" s="329"/>
      <c r="AU58" s="329"/>
      <c r="AV58" s="329"/>
      <c r="AW58" s="329"/>
      <c r="AX58" s="329"/>
      <c r="AY58" s="329"/>
      <c r="AZ58" s="329"/>
      <c r="BA58" s="329"/>
      <c r="BB58" s="329"/>
      <c r="BC58" s="329"/>
      <c r="BD58" s="329"/>
      <c r="BE58" s="305"/>
      <c r="BF58" s="303"/>
      <c r="BL58"/>
      <c r="BM58"/>
      <c r="BN58"/>
    </row>
    <row r="59" spans="2:66" ht="191.25">
      <c r="B59" s="425"/>
      <c r="C59" s="438" t="s">
        <v>97</v>
      </c>
      <c r="D59" s="438" t="s">
        <v>982</v>
      </c>
      <c r="E59" s="438" t="s">
        <v>983</v>
      </c>
      <c r="F59" s="438"/>
      <c r="G59" s="438"/>
      <c r="H59" s="438" t="s">
        <v>844</v>
      </c>
      <c r="I59" s="438"/>
      <c r="J59" s="438" t="s">
        <v>71</v>
      </c>
      <c r="K59" s="439">
        <v>24</v>
      </c>
      <c r="L59" s="440" t="e" cm="1">
        <f t="array" ref="L59">INDEX('Client Rates and Roles'!$F$2:$F$433,MATCH(1,COUNTIFS('Opportunity Details'!$C$14,'Client Rates and Roles'!$D$2:$D$433,H59,'Client Rates and Roles'!$B$2:$B$433,J59,'Client Rates and Roles'!$C$2:$C$433,$C$6,'Client Rates and Roles'!$A$2:$A$433),0))</f>
        <v>#N/A</v>
      </c>
      <c r="M59" s="440" t="e">
        <f t="shared" si="1"/>
        <v>#N/A</v>
      </c>
      <c r="N59" s="439"/>
      <c r="O59" s="439"/>
      <c r="P59" s="439"/>
      <c r="Q59" s="329"/>
      <c r="R59" s="329"/>
      <c r="S59" s="329"/>
      <c r="T59" s="329"/>
      <c r="U59" s="329"/>
      <c r="V59" s="329"/>
      <c r="W59" s="329"/>
      <c r="X59" s="329"/>
      <c r="Y59" s="329"/>
      <c r="Z59" s="329"/>
      <c r="AA59" s="329"/>
      <c r="AB59" s="329"/>
      <c r="AC59" s="331">
        <f>SUM(Table1453[[#This Row],[Program Director 
(IT Workflow - US)]:[Engineer
(IT Workflow - US)]])</f>
        <v>0</v>
      </c>
      <c r="AD59" s="332"/>
      <c r="AE59" s="329"/>
      <c r="AF59" s="329"/>
      <c r="AG59" s="329"/>
      <c r="AH59" s="329"/>
      <c r="AI59" s="329"/>
      <c r="AJ59" s="329"/>
      <c r="AK59" s="329"/>
      <c r="AL59" s="329"/>
      <c r="AM59" s="329"/>
      <c r="AN59" s="329"/>
      <c r="AO59" s="329"/>
      <c r="AP59" s="329"/>
      <c r="AQ59" s="333">
        <f>SUM(Table1453[[#This Row],[Program Director 
(Customer and Employee Workflow - US)]:[Engineer
(Customer and Employee Workflow - US)]])</f>
        <v>0</v>
      </c>
      <c r="AR59" s="329"/>
      <c r="AS59" s="329"/>
      <c r="AT59" s="329"/>
      <c r="AU59" s="329"/>
      <c r="AV59" s="329"/>
      <c r="AW59" s="329"/>
      <c r="AX59" s="329"/>
      <c r="AY59" s="329"/>
      <c r="AZ59" s="329"/>
      <c r="BA59" s="329"/>
      <c r="BB59" s="329"/>
      <c r="BC59" s="329"/>
      <c r="BD59" s="329"/>
      <c r="BE59" s="305"/>
      <c r="BF59" s="303"/>
      <c r="BL59"/>
      <c r="BM59"/>
      <c r="BN59"/>
    </row>
    <row r="60" spans="2:66" ht="38.25">
      <c r="B60" s="425"/>
      <c r="C60" s="438" t="s">
        <v>97</v>
      </c>
      <c r="D60" s="438" t="s">
        <v>984</v>
      </c>
      <c r="E60" s="438" t="s">
        <v>985</v>
      </c>
      <c r="F60" s="438"/>
      <c r="G60" s="438"/>
      <c r="H60" s="438" t="s">
        <v>844</v>
      </c>
      <c r="I60" s="438"/>
      <c r="J60" s="438" t="s">
        <v>71</v>
      </c>
      <c r="K60" s="439">
        <v>16</v>
      </c>
      <c r="L60" s="440" t="e" cm="1">
        <f t="array" ref="L60">INDEX('Client Rates and Roles'!$F$2:$F$433,MATCH(1,COUNTIFS('Opportunity Details'!$C$14,'Client Rates and Roles'!$D$2:$D$433,H60,'Client Rates and Roles'!$B$2:$B$433,J60,'Client Rates and Roles'!$C$2:$C$433,$C$6,'Client Rates and Roles'!$A$2:$A$433),0))</f>
        <v>#N/A</v>
      </c>
      <c r="M60" s="440" t="e">
        <f t="shared" si="1"/>
        <v>#N/A</v>
      </c>
      <c r="N60" s="439"/>
      <c r="O60" s="439"/>
      <c r="P60" s="439"/>
      <c r="Q60" s="329"/>
      <c r="R60" s="329"/>
      <c r="S60" s="329"/>
      <c r="T60" s="329"/>
      <c r="U60" s="329"/>
      <c r="V60" s="329"/>
      <c r="W60" s="329"/>
      <c r="X60" s="329"/>
      <c r="Y60" s="329"/>
      <c r="Z60" s="329"/>
      <c r="AA60" s="329"/>
      <c r="AB60" s="329"/>
      <c r="AC60" s="331">
        <f>SUM(Table1453[[#This Row],[Program Director 
(IT Workflow - US)]:[Engineer
(IT Workflow - US)]])</f>
        <v>0</v>
      </c>
      <c r="AD60" s="332"/>
      <c r="AE60" s="329"/>
      <c r="AF60" s="329"/>
      <c r="AG60" s="329"/>
      <c r="AH60" s="329"/>
      <c r="AI60" s="329"/>
      <c r="AJ60" s="329"/>
      <c r="AK60" s="329"/>
      <c r="AL60" s="329"/>
      <c r="AM60" s="329"/>
      <c r="AN60" s="329"/>
      <c r="AO60" s="329"/>
      <c r="AP60" s="329"/>
      <c r="AQ60" s="333">
        <f>SUM(Table1453[[#This Row],[Program Director 
(Customer and Employee Workflow - US)]:[Engineer
(Customer and Employee Workflow - US)]])</f>
        <v>0</v>
      </c>
      <c r="AR60" s="329"/>
      <c r="AS60" s="329"/>
      <c r="AT60" s="329"/>
      <c r="AU60" s="329"/>
      <c r="AV60" s="329"/>
      <c r="AW60" s="329"/>
      <c r="AX60" s="329"/>
      <c r="AY60" s="329"/>
      <c r="AZ60" s="329"/>
      <c r="BA60" s="329"/>
      <c r="BB60" s="329"/>
      <c r="BC60" s="329"/>
      <c r="BD60" s="329"/>
      <c r="BE60" s="305"/>
      <c r="BF60" s="303"/>
      <c r="BL60"/>
      <c r="BM60"/>
      <c r="BN60"/>
    </row>
    <row r="61" spans="2:66" ht="191.25">
      <c r="B61" s="425"/>
      <c r="C61" s="438" t="s">
        <v>97</v>
      </c>
      <c r="D61" s="438" t="s">
        <v>986</v>
      </c>
      <c r="E61" s="438" t="s">
        <v>987</v>
      </c>
      <c r="F61" s="438"/>
      <c r="G61" s="438"/>
      <c r="H61" s="438" t="s">
        <v>844</v>
      </c>
      <c r="I61" s="438"/>
      <c r="J61" s="438" t="s">
        <v>71</v>
      </c>
      <c r="K61" s="439">
        <v>24</v>
      </c>
      <c r="L61" s="440" t="e" cm="1">
        <f t="array" ref="L61">INDEX('Client Rates and Roles'!$F$2:$F$433,MATCH(1,COUNTIFS('Opportunity Details'!$C$14,'Client Rates and Roles'!$D$2:$D$433,H61,'Client Rates and Roles'!$B$2:$B$433,J61,'Client Rates and Roles'!$C$2:$C$433,$C$6,'Client Rates and Roles'!$A$2:$A$433),0))</f>
        <v>#N/A</v>
      </c>
      <c r="M61" s="440" t="e">
        <f t="shared" si="1"/>
        <v>#N/A</v>
      </c>
      <c r="N61" s="439"/>
      <c r="O61" s="439"/>
      <c r="P61" s="439"/>
      <c r="Q61" s="329"/>
      <c r="R61" s="329"/>
      <c r="S61" s="329"/>
      <c r="T61" s="329"/>
      <c r="U61" s="329"/>
      <c r="V61" s="329"/>
      <c r="W61" s="329"/>
      <c r="X61" s="329"/>
      <c r="Y61" s="329"/>
      <c r="Z61" s="329"/>
      <c r="AA61" s="329"/>
      <c r="AB61" s="329"/>
      <c r="AC61" s="331">
        <f>SUM(Table1453[[#This Row],[Program Director 
(IT Workflow - US)]:[Engineer
(IT Workflow - US)]])</f>
        <v>0</v>
      </c>
      <c r="AD61" s="332"/>
      <c r="AE61" s="329"/>
      <c r="AF61" s="329"/>
      <c r="AG61" s="329"/>
      <c r="AH61" s="329"/>
      <c r="AI61" s="329"/>
      <c r="AJ61" s="329"/>
      <c r="AK61" s="329"/>
      <c r="AL61" s="329"/>
      <c r="AM61" s="329"/>
      <c r="AN61" s="329"/>
      <c r="AO61" s="329"/>
      <c r="AP61" s="329"/>
      <c r="AQ61" s="333">
        <f>SUM(Table1453[[#This Row],[Program Director 
(Customer and Employee Workflow - US)]:[Engineer
(Customer and Employee Workflow - US)]])</f>
        <v>0</v>
      </c>
      <c r="AR61" s="329"/>
      <c r="AS61" s="329"/>
      <c r="AT61" s="329"/>
      <c r="AU61" s="329"/>
      <c r="AV61" s="329"/>
      <c r="AW61" s="329"/>
      <c r="AX61" s="329"/>
      <c r="AY61" s="329"/>
      <c r="AZ61" s="329"/>
      <c r="BA61" s="329"/>
      <c r="BB61" s="329"/>
      <c r="BC61" s="329"/>
      <c r="BD61" s="329"/>
      <c r="BE61" s="305"/>
      <c r="BF61" s="303"/>
      <c r="BL61"/>
      <c r="BM61"/>
      <c r="BN61"/>
    </row>
    <row r="62" spans="2:66" ht="242.25">
      <c r="B62" s="425"/>
      <c r="C62" s="438" t="s">
        <v>97</v>
      </c>
      <c r="D62" s="438" t="s">
        <v>988</v>
      </c>
      <c r="E62" s="438" t="s">
        <v>989</v>
      </c>
      <c r="F62" s="438"/>
      <c r="G62" s="438"/>
      <c r="H62" s="438" t="s">
        <v>844</v>
      </c>
      <c r="I62" s="438"/>
      <c r="J62" s="438" t="s">
        <v>71</v>
      </c>
      <c r="K62" s="439">
        <v>40</v>
      </c>
      <c r="L62" s="440" t="e" cm="1">
        <f t="array" ref="L62">INDEX('Client Rates and Roles'!$F$2:$F$433,MATCH(1,COUNTIFS('Opportunity Details'!$C$14,'Client Rates and Roles'!$D$2:$D$433,H62,'Client Rates and Roles'!$B$2:$B$433,J62,'Client Rates and Roles'!$C$2:$C$433,$C$6,'Client Rates and Roles'!$A$2:$A$433),0))</f>
        <v>#N/A</v>
      </c>
      <c r="M62" s="440" t="e">
        <f t="shared" si="1"/>
        <v>#N/A</v>
      </c>
      <c r="N62" s="439"/>
      <c r="O62" s="439"/>
      <c r="P62" s="439"/>
      <c r="Q62" s="329"/>
      <c r="R62" s="329"/>
      <c r="S62" s="329"/>
      <c r="T62" s="329"/>
      <c r="U62" s="329"/>
      <c r="V62" s="329"/>
      <c r="W62" s="329"/>
      <c r="X62" s="329"/>
      <c r="Y62" s="329"/>
      <c r="Z62" s="329"/>
      <c r="AA62" s="329"/>
      <c r="AB62" s="329"/>
      <c r="AC62" s="331">
        <f>SUM(Table1453[[#This Row],[Program Director 
(IT Workflow - US)]:[Engineer
(IT Workflow - US)]])</f>
        <v>0</v>
      </c>
      <c r="AD62" s="332"/>
      <c r="AE62" s="329"/>
      <c r="AF62" s="329"/>
      <c r="AG62" s="329"/>
      <c r="AH62" s="329"/>
      <c r="AI62" s="329"/>
      <c r="AJ62" s="329"/>
      <c r="AK62" s="329"/>
      <c r="AL62" s="329"/>
      <c r="AM62" s="329"/>
      <c r="AN62" s="329"/>
      <c r="AO62" s="329"/>
      <c r="AP62" s="329"/>
      <c r="AQ62" s="333">
        <f>SUM(Table1453[[#This Row],[Program Director 
(Customer and Employee Workflow - US)]:[Engineer
(Customer and Employee Workflow - US)]])</f>
        <v>0</v>
      </c>
      <c r="AR62" s="329"/>
      <c r="AS62" s="329"/>
      <c r="AT62" s="329"/>
      <c r="AU62" s="329"/>
      <c r="AV62" s="329"/>
      <c r="AW62" s="329"/>
      <c r="AX62" s="329"/>
      <c r="AY62" s="329"/>
      <c r="AZ62" s="329"/>
      <c r="BA62" s="329"/>
      <c r="BB62" s="329"/>
      <c r="BC62" s="329"/>
      <c r="BD62" s="329"/>
      <c r="BE62" s="305"/>
      <c r="BF62" s="303"/>
      <c r="BL62"/>
      <c r="BM62"/>
      <c r="BN62"/>
    </row>
    <row r="63" spans="2:66" ht="127.5">
      <c r="B63" s="425"/>
      <c r="C63" s="438" t="s">
        <v>97</v>
      </c>
      <c r="D63" s="438" t="s">
        <v>990</v>
      </c>
      <c r="E63" s="438" t="s">
        <v>991</v>
      </c>
      <c r="F63" s="438"/>
      <c r="G63" s="438"/>
      <c r="H63" s="438" t="s">
        <v>844</v>
      </c>
      <c r="I63" s="438"/>
      <c r="J63" s="438" t="s">
        <v>71</v>
      </c>
      <c r="K63" s="439">
        <v>24</v>
      </c>
      <c r="L63" s="440" t="e" cm="1">
        <f t="array" ref="L63">INDEX('Client Rates and Roles'!$F$2:$F$433,MATCH(1,COUNTIFS('Opportunity Details'!$C$14,'Client Rates and Roles'!$D$2:$D$433,H63,'Client Rates and Roles'!$B$2:$B$433,J63,'Client Rates and Roles'!$C$2:$C$433,$C$6,'Client Rates and Roles'!$A$2:$A$433),0))</f>
        <v>#N/A</v>
      </c>
      <c r="M63" s="440" t="e">
        <f t="shared" si="1"/>
        <v>#N/A</v>
      </c>
      <c r="N63" s="439"/>
      <c r="O63" s="439"/>
      <c r="P63" s="439"/>
      <c r="Q63" s="329"/>
      <c r="R63" s="329"/>
      <c r="S63" s="329"/>
      <c r="T63" s="329"/>
      <c r="U63" s="329"/>
      <c r="V63" s="329"/>
      <c r="W63" s="329"/>
      <c r="X63" s="329"/>
      <c r="Y63" s="329"/>
      <c r="Z63" s="329"/>
      <c r="AA63" s="329"/>
      <c r="AB63" s="329"/>
      <c r="AC63" s="331">
        <f>SUM(Table1453[[#This Row],[Program Director 
(IT Workflow - US)]:[Engineer
(IT Workflow - US)]])</f>
        <v>0</v>
      </c>
      <c r="AD63" s="332"/>
      <c r="AE63" s="329"/>
      <c r="AF63" s="329"/>
      <c r="AG63" s="329"/>
      <c r="AH63" s="329"/>
      <c r="AI63" s="329"/>
      <c r="AJ63" s="329"/>
      <c r="AK63" s="329"/>
      <c r="AL63" s="329"/>
      <c r="AM63" s="329"/>
      <c r="AN63" s="329"/>
      <c r="AO63" s="329"/>
      <c r="AP63" s="329"/>
      <c r="AQ63" s="333">
        <f>SUM(Table1453[[#This Row],[Program Director 
(Customer and Employee Workflow - US)]:[Engineer
(Customer and Employee Workflow - US)]])</f>
        <v>0</v>
      </c>
      <c r="AR63" s="329"/>
      <c r="AS63" s="329"/>
      <c r="AT63" s="329"/>
      <c r="AU63" s="329"/>
      <c r="AV63" s="329"/>
      <c r="AW63" s="329"/>
      <c r="AX63" s="329"/>
      <c r="AY63" s="329"/>
      <c r="AZ63" s="329"/>
      <c r="BA63" s="329"/>
      <c r="BB63" s="329"/>
      <c r="BC63" s="329"/>
      <c r="BD63" s="329"/>
      <c r="BE63" s="305"/>
      <c r="BF63" s="303"/>
      <c r="BL63"/>
      <c r="BM63"/>
      <c r="BN63"/>
    </row>
    <row r="64" spans="2:66" ht="24.75">
      <c r="B64" s="425"/>
      <c r="C64" s="438" t="s">
        <v>97</v>
      </c>
      <c r="D64" s="438" t="s">
        <v>992</v>
      </c>
      <c r="E64" s="438" t="s">
        <v>993</v>
      </c>
      <c r="F64" s="438"/>
      <c r="G64" s="438"/>
      <c r="H64" s="438" t="s">
        <v>844</v>
      </c>
      <c r="I64" s="438"/>
      <c r="J64" s="438" t="s">
        <v>71</v>
      </c>
      <c r="K64" s="439">
        <v>40</v>
      </c>
      <c r="L64" s="440" t="e" cm="1">
        <f t="array" ref="L64">INDEX('Client Rates and Roles'!$F$2:$F$433,MATCH(1,COUNTIFS('Opportunity Details'!$C$14,'Client Rates and Roles'!$D$2:$D$433,H64,'Client Rates and Roles'!$B$2:$B$433,J64,'Client Rates and Roles'!$C$2:$C$433,$C$6,'Client Rates and Roles'!$A$2:$A$433),0))</f>
        <v>#N/A</v>
      </c>
      <c r="M64" s="440" t="e">
        <f t="shared" si="1"/>
        <v>#N/A</v>
      </c>
      <c r="N64" s="439"/>
      <c r="O64" s="439"/>
      <c r="P64" s="439"/>
      <c r="Q64" s="329"/>
      <c r="R64" s="329"/>
      <c r="S64" s="329"/>
      <c r="T64" s="329"/>
      <c r="U64" s="329"/>
      <c r="V64" s="329"/>
      <c r="W64" s="329"/>
      <c r="X64" s="329"/>
      <c r="Y64" s="329"/>
      <c r="Z64" s="329"/>
      <c r="AA64" s="329"/>
      <c r="AB64" s="329"/>
      <c r="AC64" s="331">
        <f>SUM(Table1453[[#This Row],[Program Director 
(IT Workflow - US)]:[Engineer
(IT Workflow - US)]])</f>
        <v>0</v>
      </c>
      <c r="AD64" s="332"/>
      <c r="AE64" s="329"/>
      <c r="AF64" s="329"/>
      <c r="AG64" s="329"/>
      <c r="AH64" s="329"/>
      <c r="AI64" s="329"/>
      <c r="AJ64" s="329"/>
      <c r="AK64" s="329"/>
      <c r="AL64" s="329"/>
      <c r="AM64" s="329"/>
      <c r="AN64" s="329"/>
      <c r="AO64" s="329"/>
      <c r="AP64" s="329"/>
      <c r="AQ64" s="333">
        <f>SUM(Table1453[[#This Row],[Program Director 
(Customer and Employee Workflow - US)]:[Engineer
(Customer and Employee Workflow - US)]])</f>
        <v>0</v>
      </c>
      <c r="AR64" s="329"/>
      <c r="AS64" s="329"/>
      <c r="AT64" s="329"/>
      <c r="AU64" s="329"/>
      <c r="AV64" s="329"/>
      <c r="AW64" s="329"/>
      <c r="AX64" s="329"/>
      <c r="AY64" s="329"/>
      <c r="AZ64" s="329"/>
      <c r="BA64" s="329"/>
      <c r="BB64" s="329"/>
      <c r="BC64" s="329"/>
      <c r="BD64" s="329"/>
      <c r="BE64" s="305"/>
      <c r="BF64" s="303"/>
      <c r="BL64"/>
      <c r="BM64"/>
      <c r="BN64"/>
    </row>
    <row r="65" spans="2:66" ht="38.25">
      <c r="B65" s="425"/>
      <c r="C65" s="438" t="s">
        <v>97</v>
      </c>
      <c r="D65" s="438" t="s">
        <v>994</v>
      </c>
      <c r="E65" s="438" t="s">
        <v>995</v>
      </c>
      <c r="F65" s="438"/>
      <c r="G65" s="438"/>
      <c r="H65" s="438" t="s">
        <v>844</v>
      </c>
      <c r="I65" s="438"/>
      <c r="J65" s="438" t="s">
        <v>71</v>
      </c>
      <c r="K65" s="439">
        <v>16</v>
      </c>
      <c r="L65" s="440" t="e" cm="1">
        <f t="array" ref="L65">INDEX('Client Rates and Roles'!$F$2:$F$433,MATCH(1,COUNTIFS('Opportunity Details'!$C$14,'Client Rates and Roles'!$D$2:$D$433,H65,'Client Rates and Roles'!$B$2:$B$433,J65,'Client Rates and Roles'!$C$2:$C$433,$C$6,'Client Rates and Roles'!$A$2:$A$433),0))</f>
        <v>#N/A</v>
      </c>
      <c r="M65" s="440" t="e">
        <f t="shared" si="1"/>
        <v>#N/A</v>
      </c>
      <c r="N65" s="439"/>
      <c r="O65" s="439"/>
      <c r="P65" s="439"/>
      <c r="Q65" s="329"/>
      <c r="R65" s="329"/>
      <c r="S65" s="329"/>
      <c r="T65" s="329"/>
      <c r="U65" s="329"/>
      <c r="V65" s="329"/>
      <c r="W65" s="329"/>
      <c r="X65" s="329"/>
      <c r="Y65" s="329"/>
      <c r="Z65" s="329"/>
      <c r="AA65" s="329"/>
      <c r="AB65" s="329"/>
      <c r="AC65" s="331">
        <f>SUM(Table1453[[#This Row],[Program Director 
(IT Workflow - US)]:[Engineer
(IT Workflow - US)]])</f>
        <v>0</v>
      </c>
      <c r="AD65" s="332"/>
      <c r="AE65" s="329"/>
      <c r="AF65" s="329"/>
      <c r="AG65" s="329"/>
      <c r="AH65" s="329"/>
      <c r="AI65" s="329"/>
      <c r="AJ65" s="329"/>
      <c r="AK65" s="329"/>
      <c r="AL65" s="329"/>
      <c r="AM65" s="329"/>
      <c r="AN65" s="329"/>
      <c r="AO65" s="329"/>
      <c r="AP65" s="329"/>
      <c r="AQ65" s="333">
        <f>SUM(Table1453[[#This Row],[Program Director 
(Customer and Employee Workflow - US)]:[Engineer
(Customer and Employee Workflow - US)]])</f>
        <v>0</v>
      </c>
      <c r="AR65" s="329"/>
      <c r="AS65" s="329"/>
      <c r="AT65" s="329"/>
      <c r="AU65" s="329"/>
      <c r="AV65" s="329"/>
      <c r="AW65" s="329"/>
      <c r="AX65" s="329"/>
      <c r="AY65" s="329"/>
      <c r="AZ65" s="329"/>
      <c r="BA65" s="329"/>
      <c r="BB65" s="329"/>
      <c r="BC65" s="329"/>
      <c r="BD65" s="329"/>
      <c r="BE65" s="305"/>
      <c r="BF65" s="303"/>
      <c r="BL65"/>
      <c r="BM65"/>
      <c r="BN65"/>
    </row>
    <row r="66" spans="2:66" ht="25.5">
      <c r="B66" s="425"/>
      <c r="C66" s="438" t="s">
        <v>97</v>
      </c>
      <c r="D66" s="438" t="s">
        <v>996</v>
      </c>
      <c r="E66" s="438" t="s">
        <v>997</v>
      </c>
      <c r="F66" s="438"/>
      <c r="G66" s="438" t="s">
        <v>998</v>
      </c>
      <c r="H66" s="438" t="s">
        <v>844</v>
      </c>
      <c r="I66" s="438"/>
      <c r="J66" s="438" t="s">
        <v>71</v>
      </c>
      <c r="K66" s="439">
        <v>16</v>
      </c>
      <c r="L66" s="440" t="e" cm="1">
        <f t="array" ref="L66">INDEX('Client Rates and Roles'!$F$2:$F$433,MATCH(1,COUNTIFS('Opportunity Details'!$C$14,'Client Rates and Roles'!$D$2:$D$433,H66,'Client Rates and Roles'!$B$2:$B$433,J66,'Client Rates and Roles'!$C$2:$C$433,$C$6,'Client Rates and Roles'!$A$2:$A$433),0))</f>
        <v>#N/A</v>
      </c>
      <c r="M66" s="440" t="e">
        <f t="shared" si="1"/>
        <v>#N/A</v>
      </c>
      <c r="N66" s="439"/>
      <c r="O66" s="439"/>
      <c r="P66" s="439"/>
      <c r="Q66" s="329"/>
      <c r="R66" s="329"/>
      <c r="S66" s="329"/>
      <c r="T66" s="329"/>
      <c r="U66" s="329"/>
      <c r="V66" s="329"/>
      <c r="W66" s="329"/>
      <c r="X66" s="329"/>
      <c r="Y66" s="329"/>
      <c r="Z66" s="329"/>
      <c r="AA66" s="329"/>
      <c r="AB66" s="329"/>
      <c r="AC66" s="331">
        <f>SUM(Table1453[[#This Row],[Program Director 
(IT Workflow - US)]:[Engineer
(IT Workflow - US)]])</f>
        <v>0</v>
      </c>
      <c r="AD66" s="332"/>
      <c r="AE66" s="329"/>
      <c r="AF66" s="329"/>
      <c r="AG66" s="329"/>
      <c r="AH66" s="329"/>
      <c r="AI66" s="329"/>
      <c r="AJ66" s="329"/>
      <c r="AK66" s="329"/>
      <c r="AL66" s="329"/>
      <c r="AM66" s="329"/>
      <c r="AN66" s="329"/>
      <c r="AO66" s="329"/>
      <c r="AP66" s="329"/>
      <c r="AQ66" s="333">
        <f>SUM(Table1453[[#This Row],[Program Director 
(Customer and Employee Workflow - US)]:[Engineer
(Customer and Employee Workflow - US)]])</f>
        <v>0</v>
      </c>
      <c r="AR66" s="329"/>
      <c r="AS66" s="329"/>
      <c r="AT66" s="329"/>
      <c r="AU66" s="329"/>
      <c r="AV66" s="329"/>
      <c r="AW66" s="329"/>
      <c r="AX66" s="329"/>
      <c r="AY66" s="329"/>
      <c r="AZ66" s="329"/>
      <c r="BA66" s="329"/>
      <c r="BB66" s="329"/>
      <c r="BC66" s="329"/>
      <c r="BD66" s="329"/>
      <c r="BE66" s="305"/>
      <c r="BF66" s="303"/>
      <c r="BL66"/>
      <c r="BM66"/>
      <c r="BN66"/>
    </row>
    <row r="67" spans="2:66" ht="140.25">
      <c r="B67" s="425"/>
      <c r="C67" s="438" t="s">
        <v>97</v>
      </c>
      <c r="D67" s="438" t="s">
        <v>999</v>
      </c>
      <c r="E67" s="438" t="s">
        <v>1000</v>
      </c>
      <c r="F67" s="438"/>
      <c r="G67" s="438" t="s">
        <v>1001</v>
      </c>
      <c r="H67" s="438" t="s">
        <v>844</v>
      </c>
      <c r="I67" s="438"/>
      <c r="J67" s="438" t="s">
        <v>71</v>
      </c>
      <c r="K67" s="439">
        <v>16</v>
      </c>
      <c r="L67" s="440" t="e" cm="1">
        <f t="array" ref="L67">INDEX('Client Rates and Roles'!$F$2:$F$433,MATCH(1,COUNTIFS('Opportunity Details'!$C$14,'Client Rates and Roles'!$D$2:$D$433,H67,'Client Rates and Roles'!$B$2:$B$433,J67,'Client Rates and Roles'!$C$2:$C$433,$C$6,'Client Rates and Roles'!$A$2:$A$433),0))</f>
        <v>#N/A</v>
      </c>
      <c r="M67" s="440" t="e">
        <f t="shared" si="1"/>
        <v>#N/A</v>
      </c>
      <c r="N67" s="439"/>
      <c r="O67" s="439"/>
      <c r="P67" s="439"/>
      <c r="Q67" s="329"/>
      <c r="R67" s="329"/>
      <c r="S67" s="329"/>
      <c r="T67" s="329"/>
      <c r="U67" s="329"/>
      <c r="V67" s="329"/>
      <c r="W67" s="329"/>
      <c r="X67" s="329"/>
      <c r="Y67" s="329"/>
      <c r="Z67" s="329"/>
      <c r="AA67" s="329"/>
      <c r="AB67" s="329"/>
      <c r="AC67" s="331">
        <f>SUM(Table1453[[#This Row],[Program Director 
(IT Workflow - US)]:[Engineer
(IT Workflow - US)]])</f>
        <v>0</v>
      </c>
      <c r="AD67" s="332"/>
      <c r="AE67" s="329"/>
      <c r="AF67" s="329"/>
      <c r="AG67" s="329"/>
      <c r="AH67" s="329"/>
      <c r="AI67" s="329"/>
      <c r="AJ67" s="329"/>
      <c r="AK67" s="329"/>
      <c r="AL67" s="329"/>
      <c r="AM67" s="329"/>
      <c r="AN67" s="329"/>
      <c r="AO67" s="329"/>
      <c r="AP67" s="329"/>
      <c r="AQ67" s="333">
        <f>SUM(Table1453[[#This Row],[Program Director 
(Customer and Employee Workflow - US)]:[Engineer
(Customer and Employee Workflow - US)]])</f>
        <v>0</v>
      </c>
      <c r="AR67" s="329"/>
      <c r="AS67" s="329"/>
      <c r="AT67" s="329"/>
      <c r="AU67" s="329"/>
      <c r="AV67" s="329"/>
      <c r="AW67" s="329"/>
      <c r="AX67" s="329"/>
      <c r="AY67" s="329"/>
      <c r="AZ67" s="329"/>
      <c r="BA67" s="329"/>
      <c r="BB67" s="329"/>
      <c r="BC67" s="329"/>
      <c r="BD67" s="329"/>
      <c r="BE67" s="305"/>
      <c r="BF67" s="303"/>
      <c r="BL67"/>
      <c r="BM67"/>
      <c r="BN67"/>
    </row>
    <row r="68" spans="2:66" ht="178.5">
      <c r="B68" s="425"/>
      <c r="C68" s="438" t="s">
        <v>97</v>
      </c>
      <c r="D68" s="438" t="s">
        <v>1002</v>
      </c>
      <c r="E68" s="438" t="s">
        <v>1003</v>
      </c>
      <c r="F68" s="438"/>
      <c r="G68" s="438" t="s">
        <v>1004</v>
      </c>
      <c r="H68" s="438" t="s">
        <v>844</v>
      </c>
      <c r="I68" s="438"/>
      <c r="J68" s="438" t="s">
        <v>71</v>
      </c>
      <c r="K68" s="439">
        <v>16</v>
      </c>
      <c r="L68" s="440" t="e" cm="1">
        <f t="array" ref="L68">INDEX('Client Rates and Roles'!$F$2:$F$433,MATCH(1,COUNTIFS('Opportunity Details'!$C$14,'Client Rates and Roles'!$D$2:$D$433,H68,'Client Rates and Roles'!$B$2:$B$433,J68,'Client Rates and Roles'!$C$2:$C$433,$C$6,'Client Rates and Roles'!$A$2:$A$433),0))</f>
        <v>#N/A</v>
      </c>
      <c r="M68" s="440" t="e">
        <f t="shared" si="1"/>
        <v>#N/A</v>
      </c>
      <c r="N68" s="439"/>
      <c r="O68" s="439"/>
      <c r="P68" s="439"/>
      <c r="Q68" s="329"/>
      <c r="R68" s="329"/>
      <c r="S68" s="329"/>
      <c r="T68" s="329"/>
      <c r="U68" s="329"/>
      <c r="V68" s="329"/>
      <c r="W68" s="329"/>
      <c r="X68" s="329"/>
      <c r="Y68" s="329"/>
      <c r="Z68" s="329"/>
      <c r="AA68" s="329"/>
      <c r="AB68" s="329"/>
      <c r="AC68" s="331">
        <f>SUM(Table1453[[#This Row],[Program Director 
(IT Workflow - US)]:[Engineer
(IT Workflow - US)]])</f>
        <v>0</v>
      </c>
      <c r="AD68" s="332"/>
      <c r="AE68" s="329"/>
      <c r="AF68" s="329"/>
      <c r="AG68" s="329"/>
      <c r="AH68" s="329"/>
      <c r="AI68" s="329"/>
      <c r="AJ68" s="329"/>
      <c r="AK68" s="329"/>
      <c r="AL68" s="329"/>
      <c r="AM68" s="329"/>
      <c r="AN68" s="329"/>
      <c r="AO68" s="329"/>
      <c r="AP68" s="329"/>
      <c r="AQ68" s="333">
        <f>SUM(Table1453[[#This Row],[Program Director 
(Customer and Employee Workflow - US)]:[Engineer
(Customer and Employee Workflow - US)]])</f>
        <v>0</v>
      </c>
      <c r="AR68" s="329"/>
      <c r="AS68" s="329"/>
      <c r="AT68" s="329"/>
      <c r="AU68" s="329"/>
      <c r="AV68" s="329"/>
      <c r="AW68" s="329"/>
      <c r="AX68" s="329"/>
      <c r="AY68" s="329"/>
      <c r="AZ68" s="329"/>
      <c r="BA68" s="329"/>
      <c r="BB68" s="329"/>
      <c r="BC68" s="329"/>
      <c r="BD68" s="329"/>
      <c r="BE68" s="305"/>
      <c r="BF68" s="303"/>
      <c r="BL68"/>
      <c r="BM68"/>
      <c r="BN68"/>
    </row>
    <row r="69" spans="2:66" ht="140.25">
      <c r="B69" s="425"/>
      <c r="C69" s="438" t="s">
        <v>97</v>
      </c>
      <c r="D69" s="438" t="s">
        <v>1005</v>
      </c>
      <c r="E69" s="438" t="s">
        <v>1006</v>
      </c>
      <c r="F69" s="438"/>
      <c r="G69" s="438" t="s">
        <v>1007</v>
      </c>
      <c r="H69" s="438" t="s">
        <v>844</v>
      </c>
      <c r="I69" s="438"/>
      <c r="J69" s="438" t="s">
        <v>71</v>
      </c>
      <c r="K69" s="439">
        <v>16</v>
      </c>
      <c r="L69" s="440" t="e" cm="1">
        <f t="array" ref="L69">INDEX('Client Rates and Roles'!$F$2:$F$433,MATCH(1,COUNTIFS('Opportunity Details'!$C$14,'Client Rates and Roles'!$D$2:$D$433,H69,'Client Rates and Roles'!$B$2:$B$433,J69,'Client Rates and Roles'!$C$2:$C$433,$C$6,'Client Rates and Roles'!$A$2:$A$433),0))</f>
        <v>#N/A</v>
      </c>
      <c r="M69" s="440" t="e">
        <f t="shared" si="1"/>
        <v>#N/A</v>
      </c>
      <c r="N69" s="439"/>
      <c r="O69" s="439"/>
      <c r="P69" s="439"/>
      <c r="Q69" s="329"/>
      <c r="R69" s="329"/>
      <c r="S69" s="329"/>
      <c r="T69" s="329"/>
      <c r="U69" s="329"/>
      <c r="V69" s="329"/>
      <c r="W69" s="329"/>
      <c r="X69" s="329"/>
      <c r="Y69" s="329"/>
      <c r="Z69" s="329"/>
      <c r="AA69" s="329"/>
      <c r="AB69" s="329"/>
      <c r="AC69" s="331">
        <f>SUM(Table1453[[#This Row],[Program Director 
(IT Workflow - US)]:[Engineer
(IT Workflow - US)]])</f>
        <v>0</v>
      </c>
      <c r="AD69" s="332"/>
      <c r="AE69" s="329"/>
      <c r="AF69" s="329"/>
      <c r="AG69" s="329"/>
      <c r="AH69" s="329"/>
      <c r="AI69" s="329"/>
      <c r="AJ69" s="329"/>
      <c r="AK69" s="329"/>
      <c r="AL69" s="329"/>
      <c r="AM69" s="329"/>
      <c r="AN69" s="329"/>
      <c r="AO69" s="329"/>
      <c r="AP69" s="329"/>
      <c r="AQ69" s="333">
        <f>SUM(Table1453[[#This Row],[Program Director 
(Customer and Employee Workflow - US)]:[Engineer
(Customer and Employee Workflow - US)]])</f>
        <v>0</v>
      </c>
      <c r="AR69" s="329"/>
      <c r="AS69" s="329"/>
      <c r="AT69" s="329"/>
      <c r="AU69" s="329"/>
      <c r="AV69" s="329"/>
      <c r="AW69" s="329"/>
      <c r="AX69" s="329"/>
      <c r="AY69" s="329"/>
      <c r="AZ69" s="329"/>
      <c r="BA69" s="329"/>
      <c r="BB69" s="329"/>
      <c r="BC69" s="329"/>
      <c r="BD69" s="329"/>
      <c r="BE69" s="305"/>
      <c r="BF69" s="303"/>
      <c r="BL69"/>
      <c r="BM69"/>
      <c r="BN69"/>
    </row>
    <row r="70" spans="2:66" ht="25.5">
      <c r="B70" s="425"/>
      <c r="C70" s="438" t="s">
        <v>97</v>
      </c>
      <c r="D70" s="438" t="s">
        <v>1008</v>
      </c>
      <c r="E70" s="438" t="s">
        <v>1009</v>
      </c>
      <c r="F70" s="438"/>
      <c r="G70" s="438" t="s">
        <v>1010</v>
      </c>
      <c r="H70" s="438" t="s">
        <v>844</v>
      </c>
      <c r="I70" s="438"/>
      <c r="J70" s="438" t="s">
        <v>71</v>
      </c>
      <c r="K70" s="439"/>
      <c r="L70" s="440" t="e" cm="1">
        <f t="array" ref="L70">INDEX('Client Rates and Roles'!$F$2:$F$433,MATCH(1,COUNTIFS('Opportunity Details'!$C$14,'Client Rates and Roles'!$D$2:$D$433,H70,'Client Rates and Roles'!$B$2:$B$433,J70,'Client Rates and Roles'!$C$2:$C$433,$C$6,'Client Rates and Roles'!$A$2:$A$433),0))</f>
        <v>#N/A</v>
      </c>
      <c r="M70" s="440" t="e">
        <f t="shared" si="1"/>
        <v>#N/A</v>
      </c>
      <c r="N70" s="439"/>
      <c r="O70" s="439"/>
      <c r="P70" s="439"/>
      <c r="Q70" s="329"/>
      <c r="R70" s="329"/>
      <c r="S70" s="329"/>
      <c r="T70" s="329"/>
      <c r="U70" s="329"/>
      <c r="V70" s="329"/>
      <c r="W70" s="329"/>
      <c r="X70" s="329"/>
      <c r="Y70" s="329"/>
      <c r="Z70" s="329"/>
      <c r="AA70" s="329"/>
      <c r="AB70" s="329"/>
      <c r="AC70" s="331">
        <f>SUM(Table1453[[#This Row],[Program Director 
(IT Workflow - US)]:[Engineer
(IT Workflow - US)]])</f>
        <v>0</v>
      </c>
      <c r="AD70" s="332"/>
      <c r="AE70" s="329"/>
      <c r="AF70" s="329"/>
      <c r="AG70" s="329"/>
      <c r="AH70" s="329"/>
      <c r="AI70" s="329"/>
      <c r="AJ70" s="329"/>
      <c r="AK70" s="329"/>
      <c r="AL70" s="329"/>
      <c r="AM70" s="329"/>
      <c r="AN70" s="329"/>
      <c r="AO70" s="329"/>
      <c r="AP70" s="329"/>
      <c r="AQ70" s="333">
        <f>SUM(Table1453[[#This Row],[Program Director 
(Customer and Employee Workflow - US)]:[Engineer
(Customer and Employee Workflow - US)]])</f>
        <v>0</v>
      </c>
      <c r="AR70" s="329"/>
      <c r="AS70" s="329"/>
      <c r="AT70" s="329"/>
      <c r="AU70" s="329"/>
      <c r="AV70" s="329"/>
      <c r="AW70" s="329"/>
      <c r="AX70" s="329"/>
      <c r="AY70" s="329"/>
      <c r="AZ70" s="329"/>
      <c r="BA70" s="329"/>
      <c r="BB70" s="329"/>
      <c r="BC70" s="329"/>
      <c r="BD70" s="329"/>
      <c r="BE70" s="305"/>
      <c r="BF70" s="303"/>
      <c r="BL70"/>
      <c r="BM70"/>
      <c r="BN70"/>
    </row>
    <row r="71" spans="2:66" ht="102">
      <c r="B71" s="425"/>
      <c r="C71" s="438" t="s">
        <v>97</v>
      </c>
      <c r="D71" s="438" t="s">
        <v>1011</v>
      </c>
      <c r="E71" s="438" t="s">
        <v>1012</v>
      </c>
      <c r="F71" s="438"/>
      <c r="G71" s="438"/>
      <c r="H71" s="438" t="s">
        <v>844</v>
      </c>
      <c r="I71" s="438"/>
      <c r="J71" s="438" t="s">
        <v>71</v>
      </c>
      <c r="K71" s="439">
        <v>28</v>
      </c>
      <c r="L71" s="440" t="e" cm="1">
        <f t="array" ref="L71">INDEX('Client Rates and Roles'!$F$2:$F$433,MATCH(1,COUNTIFS('Opportunity Details'!$C$14,'Client Rates and Roles'!$D$2:$D$433,H71,'Client Rates and Roles'!$B$2:$B$433,J71,'Client Rates and Roles'!$C$2:$C$433,$C$6,'Client Rates and Roles'!$A$2:$A$433),0))</f>
        <v>#N/A</v>
      </c>
      <c r="M71" s="440" t="e">
        <f t="shared" si="1"/>
        <v>#N/A</v>
      </c>
      <c r="N71" s="439"/>
      <c r="O71" s="439"/>
      <c r="P71" s="439"/>
      <c r="Q71" s="329"/>
      <c r="R71" s="329"/>
      <c r="S71" s="329"/>
      <c r="T71" s="329"/>
      <c r="U71" s="329"/>
      <c r="V71" s="329"/>
      <c r="W71" s="329"/>
      <c r="X71" s="329"/>
      <c r="Y71" s="329"/>
      <c r="Z71" s="329"/>
      <c r="AA71" s="329"/>
      <c r="AB71" s="329"/>
      <c r="AC71" s="331">
        <f>SUM(Table1453[[#This Row],[Program Director 
(IT Workflow - US)]:[Engineer
(IT Workflow - US)]])</f>
        <v>0</v>
      </c>
      <c r="AD71" s="332"/>
      <c r="AE71" s="329"/>
      <c r="AF71" s="329"/>
      <c r="AG71" s="329"/>
      <c r="AH71" s="329"/>
      <c r="AI71" s="329"/>
      <c r="AJ71" s="329"/>
      <c r="AK71" s="329"/>
      <c r="AL71" s="329"/>
      <c r="AM71" s="329"/>
      <c r="AN71" s="329"/>
      <c r="AO71" s="329"/>
      <c r="AP71" s="329"/>
      <c r="AQ71" s="333">
        <f>SUM(Table1453[[#This Row],[Program Director 
(Customer and Employee Workflow - US)]:[Engineer
(Customer and Employee Workflow - US)]])</f>
        <v>0</v>
      </c>
      <c r="AR71" s="329"/>
      <c r="AS71" s="329"/>
      <c r="AT71" s="329"/>
      <c r="AU71" s="329"/>
      <c r="AV71" s="329"/>
      <c r="AW71" s="329"/>
      <c r="AX71" s="329"/>
      <c r="AY71" s="329"/>
      <c r="AZ71" s="329"/>
      <c r="BA71" s="329"/>
      <c r="BB71" s="329"/>
      <c r="BC71" s="329"/>
      <c r="BD71" s="329"/>
      <c r="BE71" s="305"/>
      <c r="BF71" s="303"/>
      <c r="BL71"/>
      <c r="BM71"/>
      <c r="BN71"/>
    </row>
    <row r="72" spans="2:66" ht="38.25">
      <c r="B72" s="425"/>
      <c r="C72" s="438" t="s">
        <v>97</v>
      </c>
      <c r="D72" s="438" t="s">
        <v>1013</v>
      </c>
      <c r="E72" s="438" t="s">
        <v>1014</v>
      </c>
      <c r="F72" s="438"/>
      <c r="G72" s="438"/>
      <c r="H72" s="438" t="s">
        <v>844</v>
      </c>
      <c r="I72" s="438"/>
      <c r="J72" s="438" t="s">
        <v>71</v>
      </c>
      <c r="K72" s="439">
        <v>86</v>
      </c>
      <c r="L72" s="440" t="e" cm="1">
        <f t="array" ref="L72">INDEX('Client Rates and Roles'!$F$2:$F$433,MATCH(1,COUNTIFS('Opportunity Details'!$C$14,'Client Rates and Roles'!$D$2:$D$433,H72,'Client Rates and Roles'!$B$2:$B$433,J72,'Client Rates and Roles'!$C$2:$C$433,$C$6,'Client Rates and Roles'!$A$2:$A$433),0))</f>
        <v>#N/A</v>
      </c>
      <c r="M72" s="440" t="e">
        <f t="shared" si="1"/>
        <v>#N/A</v>
      </c>
      <c r="N72" s="439"/>
      <c r="O72" s="439"/>
      <c r="P72" s="439"/>
      <c r="Q72" s="329"/>
      <c r="R72" s="329"/>
      <c r="S72" s="329"/>
      <c r="T72" s="329"/>
      <c r="U72" s="329"/>
      <c r="V72" s="329"/>
      <c r="W72" s="329"/>
      <c r="X72" s="329"/>
      <c r="Y72" s="329"/>
      <c r="Z72" s="329"/>
      <c r="AA72" s="329"/>
      <c r="AB72" s="329"/>
      <c r="AC72" s="331">
        <f>SUM(Table1453[[#This Row],[Program Director 
(IT Workflow - US)]:[Engineer
(IT Workflow - US)]])</f>
        <v>0</v>
      </c>
      <c r="AD72" s="332"/>
      <c r="AE72" s="329"/>
      <c r="AF72" s="329"/>
      <c r="AG72" s="329"/>
      <c r="AH72" s="329"/>
      <c r="AI72" s="329"/>
      <c r="AJ72" s="329"/>
      <c r="AK72" s="329"/>
      <c r="AL72" s="329"/>
      <c r="AM72" s="329"/>
      <c r="AN72" s="329"/>
      <c r="AO72" s="329"/>
      <c r="AP72" s="329"/>
      <c r="AQ72" s="333">
        <f>SUM(Table1453[[#This Row],[Program Director 
(Customer and Employee Workflow - US)]:[Engineer
(Customer and Employee Workflow - US)]])</f>
        <v>0</v>
      </c>
      <c r="AR72" s="329"/>
      <c r="AS72" s="329"/>
      <c r="AT72" s="329"/>
      <c r="AU72" s="329"/>
      <c r="AV72" s="329"/>
      <c r="AW72" s="329"/>
      <c r="AX72" s="329"/>
      <c r="AY72" s="329"/>
      <c r="AZ72" s="329"/>
      <c r="BA72" s="329"/>
      <c r="BB72" s="329"/>
      <c r="BC72" s="329"/>
      <c r="BD72" s="329"/>
      <c r="BE72" s="305"/>
      <c r="BF72" s="303"/>
      <c r="BL72"/>
      <c r="BM72"/>
      <c r="BN72"/>
    </row>
    <row r="73" spans="2:66" ht="38.25">
      <c r="B73" s="425"/>
      <c r="C73" s="438" t="s">
        <v>97</v>
      </c>
      <c r="D73" s="438" t="s">
        <v>1015</v>
      </c>
      <c r="E73" s="438" t="s">
        <v>1016</v>
      </c>
      <c r="F73" s="438"/>
      <c r="G73" s="438"/>
      <c r="H73" s="438" t="s">
        <v>844</v>
      </c>
      <c r="I73" s="438"/>
      <c r="J73" s="438" t="s">
        <v>71</v>
      </c>
      <c r="K73" s="439">
        <v>40</v>
      </c>
      <c r="L73" s="440" t="e" cm="1">
        <f t="array" ref="L73">INDEX('Client Rates and Roles'!$F$2:$F$433,MATCH(1,COUNTIFS('Opportunity Details'!$C$14,'Client Rates and Roles'!$D$2:$D$433,H73,'Client Rates and Roles'!$B$2:$B$433,J73,'Client Rates and Roles'!$C$2:$C$433,$C$6,'Client Rates and Roles'!$A$2:$A$433),0))</f>
        <v>#N/A</v>
      </c>
      <c r="M73" s="440" t="e">
        <f t="shared" si="1"/>
        <v>#N/A</v>
      </c>
      <c r="N73" s="439"/>
      <c r="O73" s="439"/>
      <c r="P73" s="439"/>
      <c r="Q73" s="329"/>
      <c r="R73" s="329"/>
      <c r="S73" s="329"/>
      <c r="T73" s="329"/>
      <c r="U73" s="329"/>
      <c r="V73" s="329"/>
      <c r="W73" s="329"/>
      <c r="X73" s="329"/>
      <c r="Y73" s="329"/>
      <c r="Z73" s="329"/>
      <c r="AA73" s="329"/>
      <c r="AB73" s="329"/>
      <c r="AC73" s="331">
        <f>SUM(Table1453[[#This Row],[Program Director 
(IT Workflow - US)]:[Engineer
(IT Workflow - US)]])</f>
        <v>0</v>
      </c>
      <c r="AD73" s="332"/>
      <c r="AE73" s="329"/>
      <c r="AF73" s="329"/>
      <c r="AG73" s="329"/>
      <c r="AH73" s="329"/>
      <c r="AI73" s="329"/>
      <c r="AJ73" s="329"/>
      <c r="AK73" s="329"/>
      <c r="AL73" s="329"/>
      <c r="AM73" s="329"/>
      <c r="AN73" s="329"/>
      <c r="AO73" s="329"/>
      <c r="AP73" s="329"/>
      <c r="AQ73" s="333">
        <f>SUM(Table1453[[#This Row],[Program Director 
(Customer and Employee Workflow - US)]:[Engineer
(Customer and Employee Workflow - US)]])</f>
        <v>0</v>
      </c>
      <c r="AR73" s="329"/>
      <c r="AS73" s="329"/>
      <c r="AT73" s="329"/>
      <c r="AU73" s="329"/>
      <c r="AV73" s="329"/>
      <c r="AW73" s="329"/>
      <c r="AX73" s="329"/>
      <c r="AY73" s="329"/>
      <c r="AZ73" s="329"/>
      <c r="BA73" s="329"/>
      <c r="BB73" s="329"/>
      <c r="BC73" s="329"/>
      <c r="BD73" s="329"/>
      <c r="BE73" s="305"/>
      <c r="BF73" s="303"/>
      <c r="BL73"/>
      <c r="BM73"/>
      <c r="BN73"/>
    </row>
    <row r="74" spans="2:66" ht="102">
      <c r="B74" s="425"/>
      <c r="C74" s="438" t="s">
        <v>97</v>
      </c>
      <c r="D74" s="438" t="s">
        <v>1017</v>
      </c>
      <c r="E74" s="438" t="s">
        <v>1018</v>
      </c>
      <c r="F74" s="438"/>
      <c r="G74" s="438"/>
      <c r="H74" s="438" t="s">
        <v>844</v>
      </c>
      <c r="I74" s="438"/>
      <c r="J74" s="438" t="s">
        <v>71</v>
      </c>
      <c r="K74" s="439">
        <v>40</v>
      </c>
      <c r="L74" s="440" t="e" cm="1">
        <f t="array" ref="L74">INDEX('Client Rates and Roles'!$F$2:$F$433,MATCH(1,COUNTIFS('Opportunity Details'!$C$14,'Client Rates and Roles'!$D$2:$D$433,H74,'Client Rates and Roles'!$B$2:$B$433,J74,'Client Rates and Roles'!$C$2:$C$433,$C$6,'Client Rates and Roles'!$A$2:$A$433),0))</f>
        <v>#N/A</v>
      </c>
      <c r="M74" s="440" t="e">
        <f t="shared" si="1"/>
        <v>#N/A</v>
      </c>
      <c r="N74" s="439"/>
      <c r="O74" s="439"/>
      <c r="P74" s="439"/>
      <c r="Q74" s="329"/>
      <c r="R74" s="329"/>
      <c r="S74" s="329"/>
      <c r="T74" s="329"/>
      <c r="U74" s="329"/>
      <c r="V74" s="329"/>
      <c r="W74" s="329"/>
      <c r="X74" s="329"/>
      <c r="Y74" s="329"/>
      <c r="Z74" s="329"/>
      <c r="AA74" s="329"/>
      <c r="AB74" s="329"/>
      <c r="AC74" s="331">
        <f>SUM(Table1453[[#This Row],[Program Director 
(IT Workflow - US)]:[Engineer
(IT Workflow - US)]])</f>
        <v>0</v>
      </c>
      <c r="AD74" s="332"/>
      <c r="AE74" s="329"/>
      <c r="AF74" s="329"/>
      <c r="AG74" s="329"/>
      <c r="AH74" s="329"/>
      <c r="AI74" s="329"/>
      <c r="AJ74" s="329"/>
      <c r="AK74" s="329"/>
      <c r="AL74" s="329"/>
      <c r="AM74" s="329"/>
      <c r="AN74" s="329"/>
      <c r="AO74" s="329"/>
      <c r="AP74" s="329"/>
      <c r="AQ74" s="333">
        <f>SUM(Table1453[[#This Row],[Program Director 
(Customer and Employee Workflow - US)]:[Engineer
(Customer and Employee Workflow - US)]])</f>
        <v>0</v>
      </c>
      <c r="AR74" s="329"/>
      <c r="AS74" s="329"/>
      <c r="AT74" s="329"/>
      <c r="AU74" s="329"/>
      <c r="AV74" s="329"/>
      <c r="AW74" s="329"/>
      <c r="AX74" s="329"/>
      <c r="AY74" s="329"/>
      <c r="AZ74" s="329"/>
      <c r="BA74" s="329"/>
      <c r="BB74" s="329"/>
      <c r="BC74" s="329"/>
      <c r="BD74" s="329"/>
      <c r="BE74" s="305"/>
      <c r="BF74" s="303"/>
      <c r="BL74"/>
      <c r="BM74"/>
      <c r="BN74"/>
    </row>
    <row r="75" spans="2:66" ht="191.25">
      <c r="B75" s="425"/>
      <c r="C75" s="438" t="s">
        <v>97</v>
      </c>
      <c r="D75" s="438" t="s">
        <v>1019</v>
      </c>
      <c r="E75" s="438" t="s">
        <v>1020</v>
      </c>
      <c r="F75" s="438"/>
      <c r="G75" s="438"/>
      <c r="H75" s="438" t="s">
        <v>844</v>
      </c>
      <c r="I75" s="438"/>
      <c r="J75" s="438" t="s">
        <v>71</v>
      </c>
      <c r="K75" s="439">
        <v>32</v>
      </c>
      <c r="L75" s="440" t="e" cm="1">
        <f t="array" ref="L75">INDEX('Client Rates and Roles'!$F$2:$F$433,MATCH(1,COUNTIFS('Opportunity Details'!$C$14,'Client Rates and Roles'!$D$2:$D$433,H75,'Client Rates and Roles'!$B$2:$B$433,J75,'Client Rates and Roles'!$C$2:$C$433,$C$6,'Client Rates and Roles'!$A$2:$A$433),0))</f>
        <v>#N/A</v>
      </c>
      <c r="M75" s="440" t="e">
        <f t="shared" si="1"/>
        <v>#N/A</v>
      </c>
      <c r="N75" s="439"/>
      <c r="O75" s="439"/>
      <c r="P75" s="439"/>
      <c r="Q75" s="329"/>
      <c r="R75" s="329"/>
      <c r="S75" s="329"/>
      <c r="T75" s="329"/>
      <c r="U75" s="329"/>
      <c r="V75" s="329"/>
      <c r="W75" s="329"/>
      <c r="X75" s="329"/>
      <c r="Y75" s="329"/>
      <c r="Z75" s="329"/>
      <c r="AA75" s="329"/>
      <c r="AB75" s="329"/>
      <c r="AC75" s="331">
        <f>SUM(Table1453[[#This Row],[Program Director 
(IT Workflow - US)]:[Engineer
(IT Workflow - US)]])</f>
        <v>0</v>
      </c>
      <c r="AD75" s="332"/>
      <c r="AE75" s="329"/>
      <c r="AF75" s="329"/>
      <c r="AG75" s="329"/>
      <c r="AH75" s="329"/>
      <c r="AI75" s="329"/>
      <c r="AJ75" s="329"/>
      <c r="AK75" s="329"/>
      <c r="AL75" s="329"/>
      <c r="AM75" s="329"/>
      <c r="AN75" s="329"/>
      <c r="AO75" s="329"/>
      <c r="AP75" s="329"/>
      <c r="AQ75" s="333">
        <f>SUM(Table1453[[#This Row],[Program Director 
(Customer and Employee Workflow - US)]:[Engineer
(Customer and Employee Workflow - US)]])</f>
        <v>0</v>
      </c>
      <c r="AR75" s="329"/>
      <c r="AS75" s="329"/>
      <c r="AT75" s="329"/>
      <c r="AU75" s="329"/>
      <c r="AV75" s="329"/>
      <c r="AW75" s="329"/>
      <c r="AX75" s="329"/>
      <c r="AY75" s="329"/>
      <c r="AZ75" s="329"/>
      <c r="BA75" s="329"/>
      <c r="BB75" s="329"/>
      <c r="BC75" s="329"/>
      <c r="BD75" s="329"/>
      <c r="BE75" s="305"/>
      <c r="BF75" s="303"/>
      <c r="BL75"/>
      <c r="BM75"/>
      <c r="BN75"/>
    </row>
    <row r="76" spans="2:66" ht="51">
      <c r="B76" s="425"/>
      <c r="C76" s="438" t="s">
        <v>97</v>
      </c>
      <c r="D76" s="438" t="s">
        <v>1021</v>
      </c>
      <c r="E76" s="438" t="s">
        <v>1022</v>
      </c>
      <c r="F76" s="438"/>
      <c r="G76" s="438"/>
      <c r="H76" s="438" t="s">
        <v>844</v>
      </c>
      <c r="I76" s="438"/>
      <c r="J76" s="438" t="s">
        <v>71</v>
      </c>
      <c r="K76" s="439">
        <v>140</v>
      </c>
      <c r="L76" s="440" t="e" cm="1">
        <f t="array" ref="L76">INDEX('Client Rates and Roles'!$F$2:$F$433,MATCH(1,COUNTIFS('Opportunity Details'!$C$14,'Client Rates and Roles'!$D$2:$D$433,H76,'Client Rates and Roles'!$B$2:$B$433,J76,'Client Rates and Roles'!$C$2:$C$433,$C$6,'Client Rates and Roles'!$A$2:$A$433),0))</f>
        <v>#N/A</v>
      </c>
      <c r="M76" s="440" t="e">
        <f t="shared" si="1"/>
        <v>#N/A</v>
      </c>
      <c r="N76" s="439"/>
      <c r="O76" s="439"/>
      <c r="P76" s="439"/>
      <c r="Q76" s="329"/>
      <c r="R76" s="329"/>
      <c r="S76" s="329"/>
      <c r="T76" s="329"/>
      <c r="U76" s="329"/>
      <c r="V76" s="329"/>
      <c r="W76" s="329"/>
      <c r="X76" s="329"/>
      <c r="Y76" s="329"/>
      <c r="Z76" s="329"/>
      <c r="AA76" s="329"/>
      <c r="AB76" s="329"/>
      <c r="AC76" s="331">
        <f>SUM(Table1453[[#This Row],[Program Director 
(IT Workflow - US)]:[Engineer
(IT Workflow - US)]])</f>
        <v>0</v>
      </c>
      <c r="AD76" s="332"/>
      <c r="AE76" s="329"/>
      <c r="AF76" s="329"/>
      <c r="AG76" s="329"/>
      <c r="AH76" s="329"/>
      <c r="AI76" s="329"/>
      <c r="AJ76" s="329"/>
      <c r="AK76" s="329"/>
      <c r="AL76" s="329"/>
      <c r="AM76" s="329"/>
      <c r="AN76" s="329"/>
      <c r="AO76" s="329"/>
      <c r="AP76" s="329"/>
      <c r="AQ76" s="333">
        <f>SUM(Table1453[[#This Row],[Program Director 
(Customer and Employee Workflow - US)]:[Engineer
(Customer and Employee Workflow - US)]])</f>
        <v>0</v>
      </c>
      <c r="AR76" s="329"/>
      <c r="AS76" s="329"/>
      <c r="AT76" s="329"/>
      <c r="AU76" s="329"/>
      <c r="AV76" s="329"/>
      <c r="AW76" s="329"/>
      <c r="AX76" s="329"/>
      <c r="AY76" s="329"/>
      <c r="AZ76" s="329"/>
      <c r="BA76" s="329"/>
      <c r="BB76" s="329"/>
      <c r="BC76" s="329"/>
      <c r="BD76" s="329"/>
      <c r="BE76" s="305"/>
      <c r="BF76" s="303"/>
      <c r="BL76"/>
      <c r="BM76"/>
      <c r="BN76"/>
    </row>
    <row r="77" spans="2:66" ht="72.75">
      <c r="B77" s="425"/>
      <c r="C77" s="438" t="s">
        <v>97</v>
      </c>
      <c r="D77" s="438" t="s">
        <v>1023</v>
      </c>
      <c r="E77" s="438" t="s">
        <v>1024</v>
      </c>
      <c r="F77" s="438"/>
      <c r="G77" s="438"/>
      <c r="H77" s="438" t="s">
        <v>844</v>
      </c>
      <c r="I77" s="438" t="s">
        <v>419</v>
      </c>
      <c r="J77" s="438" t="s">
        <v>71</v>
      </c>
      <c r="K77" s="439">
        <v>20</v>
      </c>
      <c r="L77" s="440" t="e" cm="1">
        <f t="array" ref="L77">INDEX('Client Rates and Roles'!$F$2:$F$433,MATCH(1,COUNTIFS('Opportunity Details'!$C$14,'Client Rates and Roles'!$D$2:$D$433,H77,'Client Rates and Roles'!$B$2:$B$433,J77,'Client Rates and Roles'!$C$2:$C$433,$C$6,'Client Rates and Roles'!$A$2:$A$433),0))</f>
        <v>#N/A</v>
      </c>
      <c r="M77" s="440" t="e">
        <f t="shared" si="1"/>
        <v>#N/A</v>
      </c>
      <c r="N77" s="439"/>
      <c r="O77" s="439"/>
      <c r="P77" s="439"/>
      <c r="Q77" s="329"/>
      <c r="R77" s="329"/>
      <c r="S77" s="329"/>
      <c r="T77" s="329"/>
      <c r="U77" s="329"/>
      <c r="V77" s="329"/>
      <c r="W77" s="329"/>
      <c r="X77" s="329"/>
      <c r="Y77" s="329"/>
      <c r="Z77" s="329"/>
      <c r="AA77" s="329"/>
      <c r="AB77" s="329"/>
      <c r="AC77" s="331">
        <f>SUM(Table1453[[#This Row],[Program Director 
(IT Workflow - US)]:[Engineer
(IT Workflow - US)]])</f>
        <v>0</v>
      </c>
      <c r="AD77" s="332"/>
      <c r="AE77" s="329"/>
      <c r="AF77" s="329"/>
      <c r="AG77" s="329"/>
      <c r="AH77" s="329"/>
      <c r="AI77" s="329"/>
      <c r="AJ77" s="329"/>
      <c r="AK77" s="329"/>
      <c r="AL77" s="329"/>
      <c r="AM77" s="329"/>
      <c r="AN77" s="329"/>
      <c r="AO77" s="329"/>
      <c r="AP77" s="329"/>
      <c r="AQ77" s="333">
        <f>SUM(Table1453[[#This Row],[Program Director 
(Customer and Employee Workflow - US)]:[Engineer
(Customer and Employee Workflow - US)]])</f>
        <v>0</v>
      </c>
      <c r="AR77" s="329"/>
      <c r="AS77" s="329"/>
      <c r="AT77" s="329"/>
      <c r="AU77" s="329"/>
      <c r="AV77" s="329"/>
      <c r="AW77" s="329"/>
      <c r="AX77" s="329"/>
      <c r="AY77" s="329"/>
      <c r="AZ77" s="329"/>
      <c r="BA77" s="329"/>
      <c r="BB77" s="329"/>
      <c r="BC77" s="329"/>
      <c r="BD77" s="329"/>
      <c r="BE77" s="305"/>
      <c r="BF77" s="303"/>
      <c r="BL77"/>
      <c r="BM77"/>
      <c r="BN77"/>
    </row>
    <row r="78" spans="2:66" ht="76.5">
      <c r="B78" s="425"/>
      <c r="C78" s="438" t="s">
        <v>97</v>
      </c>
      <c r="D78" s="438" t="s">
        <v>1025</v>
      </c>
      <c r="E78" s="438" t="s">
        <v>1026</v>
      </c>
      <c r="F78" s="438"/>
      <c r="G78" s="438"/>
      <c r="H78" s="438" t="s">
        <v>844</v>
      </c>
      <c r="I78" s="438" t="s">
        <v>419</v>
      </c>
      <c r="J78" s="438" t="s">
        <v>71</v>
      </c>
      <c r="K78" s="439">
        <v>80</v>
      </c>
      <c r="L78" s="440" t="e" cm="1">
        <f t="array" ref="L78">INDEX('Client Rates and Roles'!$F$2:$F$433,MATCH(1,COUNTIFS('Opportunity Details'!$C$14,'Client Rates and Roles'!$D$2:$D$433,H78,'Client Rates and Roles'!$B$2:$B$433,J78,'Client Rates and Roles'!$C$2:$C$433,$C$6,'Client Rates and Roles'!$A$2:$A$433),0))</f>
        <v>#N/A</v>
      </c>
      <c r="M78" s="440" t="e">
        <f t="shared" si="1"/>
        <v>#N/A</v>
      </c>
      <c r="N78" s="439"/>
      <c r="O78" s="439"/>
      <c r="P78" s="439"/>
      <c r="Q78" s="329"/>
      <c r="R78" s="329"/>
      <c r="S78" s="329"/>
      <c r="T78" s="329"/>
      <c r="U78" s="329"/>
      <c r="V78" s="329"/>
      <c r="W78" s="329"/>
      <c r="X78" s="329"/>
      <c r="Y78" s="329"/>
      <c r="Z78" s="329"/>
      <c r="AA78" s="329"/>
      <c r="AB78" s="329"/>
      <c r="AC78" s="331">
        <f>SUM(Table1453[[#This Row],[Program Director 
(IT Workflow - US)]:[Engineer
(IT Workflow - US)]])</f>
        <v>0</v>
      </c>
      <c r="AD78" s="332"/>
      <c r="AE78" s="329"/>
      <c r="AF78" s="329"/>
      <c r="AG78" s="329"/>
      <c r="AH78" s="329"/>
      <c r="AI78" s="329"/>
      <c r="AJ78" s="329"/>
      <c r="AK78" s="329"/>
      <c r="AL78" s="329"/>
      <c r="AM78" s="329"/>
      <c r="AN78" s="329"/>
      <c r="AO78" s="329"/>
      <c r="AP78" s="329"/>
      <c r="AQ78" s="333">
        <f>SUM(Table1453[[#This Row],[Program Director 
(Customer and Employee Workflow - US)]:[Engineer
(Customer and Employee Workflow - US)]])</f>
        <v>0</v>
      </c>
      <c r="AR78" s="329"/>
      <c r="AS78" s="329"/>
      <c r="AT78" s="329"/>
      <c r="AU78" s="329"/>
      <c r="AV78" s="329"/>
      <c r="AW78" s="329"/>
      <c r="AX78" s="329"/>
      <c r="AY78" s="329"/>
      <c r="AZ78" s="329"/>
      <c r="BA78" s="329"/>
      <c r="BB78" s="329"/>
      <c r="BC78" s="329"/>
      <c r="BD78" s="329"/>
      <c r="BE78" s="305"/>
      <c r="BF78" s="303"/>
      <c r="BL78"/>
      <c r="BM78"/>
      <c r="BN78"/>
    </row>
    <row r="79" spans="2:66" ht="51">
      <c r="B79" s="425"/>
      <c r="C79" s="438" t="s">
        <v>97</v>
      </c>
      <c r="D79" s="438" t="s">
        <v>1027</v>
      </c>
      <c r="E79" s="438" t="s">
        <v>1028</v>
      </c>
      <c r="F79" s="438"/>
      <c r="G79" s="438"/>
      <c r="H79" s="438" t="s">
        <v>844</v>
      </c>
      <c r="I79" s="438" t="s">
        <v>419</v>
      </c>
      <c r="J79" s="438" t="s">
        <v>71</v>
      </c>
      <c r="K79" s="439">
        <v>24</v>
      </c>
      <c r="L79" s="440" t="e" cm="1">
        <f t="array" ref="L79">INDEX('Client Rates and Roles'!$F$2:$F$433,MATCH(1,COUNTIFS('Opportunity Details'!$C$14,'Client Rates and Roles'!$D$2:$D$433,H79,'Client Rates and Roles'!$B$2:$B$433,J79,'Client Rates and Roles'!$C$2:$C$433,$C$6,'Client Rates and Roles'!$A$2:$A$433),0))</f>
        <v>#N/A</v>
      </c>
      <c r="M79" s="440" t="e">
        <f t="shared" si="1"/>
        <v>#N/A</v>
      </c>
      <c r="N79" s="439"/>
      <c r="O79" s="439"/>
      <c r="P79" s="439"/>
      <c r="Q79" s="329"/>
      <c r="R79" s="329"/>
      <c r="S79" s="329"/>
      <c r="T79" s="329"/>
      <c r="U79" s="329"/>
      <c r="V79" s="329"/>
      <c r="W79" s="329"/>
      <c r="X79" s="329"/>
      <c r="Y79" s="329"/>
      <c r="Z79" s="329"/>
      <c r="AA79" s="329"/>
      <c r="AB79" s="329"/>
      <c r="AC79" s="331">
        <f>SUM(Table1453[[#This Row],[Program Director 
(IT Workflow - US)]:[Engineer
(IT Workflow - US)]])</f>
        <v>0</v>
      </c>
      <c r="AD79" s="332"/>
      <c r="AE79" s="329"/>
      <c r="AF79" s="329"/>
      <c r="AG79" s="329"/>
      <c r="AH79" s="329"/>
      <c r="AI79" s="329"/>
      <c r="AJ79" s="329"/>
      <c r="AK79" s="329"/>
      <c r="AL79" s="329"/>
      <c r="AM79" s="329"/>
      <c r="AN79" s="329"/>
      <c r="AO79" s="329"/>
      <c r="AP79" s="329"/>
      <c r="AQ79" s="333">
        <f>SUM(Table1453[[#This Row],[Program Director 
(Customer and Employee Workflow - US)]:[Engineer
(Customer and Employee Workflow - US)]])</f>
        <v>0</v>
      </c>
      <c r="AR79" s="329"/>
      <c r="AS79" s="329"/>
      <c r="AT79" s="329"/>
      <c r="AU79" s="329"/>
      <c r="AV79" s="329"/>
      <c r="AW79" s="329"/>
      <c r="AX79" s="329"/>
      <c r="AY79" s="329"/>
      <c r="AZ79" s="329"/>
      <c r="BA79" s="329"/>
      <c r="BB79" s="329"/>
      <c r="BC79" s="329"/>
      <c r="BD79" s="329"/>
      <c r="BE79" s="305"/>
      <c r="BF79" s="303"/>
      <c r="BL79"/>
      <c r="BM79"/>
      <c r="BN79"/>
    </row>
    <row r="80" spans="2:66" ht="25.5">
      <c r="B80" s="425"/>
      <c r="C80" s="438" t="s">
        <v>97</v>
      </c>
      <c r="D80" s="438" t="s">
        <v>1029</v>
      </c>
      <c r="E80" s="438" t="s">
        <v>1030</v>
      </c>
      <c r="F80" s="438"/>
      <c r="G80" s="438"/>
      <c r="H80" s="438" t="s">
        <v>844</v>
      </c>
      <c r="I80" s="438" t="s">
        <v>419</v>
      </c>
      <c r="J80" s="438" t="s">
        <v>71</v>
      </c>
      <c r="K80" s="439">
        <v>16</v>
      </c>
      <c r="L80" s="440" t="e" cm="1">
        <f t="array" ref="L80">INDEX('Client Rates and Roles'!$F$2:$F$433,MATCH(1,COUNTIFS('Opportunity Details'!$C$14,'Client Rates and Roles'!$D$2:$D$433,H80,'Client Rates and Roles'!$B$2:$B$433,J80,'Client Rates and Roles'!$C$2:$C$433,$C$6,'Client Rates and Roles'!$A$2:$A$433),0))</f>
        <v>#N/A</v>
      </c>
      <c r="M80" s="440" t="e">
        <f t="shared" si="1"/>
        <v>#N/A</v>
      </c>
      <c r="N80" s="439"/>
      <c r="O80" s="439"/>
      <c r="P80" s="439"/>
      <c r="Q80" s="329"/>
      <c r="R80" s="329"/>
      <c r="S80" s="329"/>
      <c r="T80" s="329"/>
      <c r="U80" s="329"/>
      <c r="V80" s="329"/>
      <c r="W80" s="329"/>
      <c r="X80" s="329"/>
      <c r="Y80" s="329"/>
      <c r="Z80" s="329"/>
      <c r="AA80" s="329"/>
      <c r="AB80" s="329"/>
      <c r="AC80" s="331">
        <f>SUM(Table1453[[#This Row],[Program Director 
(IT Workflow - US)]:[Engineer
(IT Workflow - US)]])</f>
        <v>0</v>
      </c>
      <c r="AD80" s="332"/>
      <c r="AE80" s="329"/>
      <c r="AF80" s="329"/>
      <c r="AG80" s="329"/>
      <c r="AH80" s="329"/>
      <c r="AI80" s="329"/>
      <c r="AJ80" s="329"/>
      <c r="AK80" s="329"/>
      <c r="AL80" s="329"/>
      <c r="AM80" s="329"/>
      <c r="AN80" s="329"/>
      <c r="AO80" s="329"/>
      <c r="AP80" s="329"/>
      <c r="AQ80" s="333">
        <f>SUM(Table1453[[#This Row],[Program Director 
(Customer and Employee Workflow - US)]:[Engineer
(Customer and Employee Workflow - US)]])</f>
        <v>0</v>
      </c>
      <c r="AR80" s="329"/>
      <c r="AS80" s="329"/>
      <c r="AT80" s="329"/>
      <c r="AU80" s="329"/>
      <c r="AV80" s="329"/>
      <c r="AW80" s="329"/>
      <c r="AX80" s="329"/>
      <c r="AY80" s="329"/>
      <c r="AZ80" s="329"/>
      <c r="BA80" s="329"/>
      <c r="BB80" s="329"/>
      <c r="BC80" s="329"/>
      <c r="BD80" s="329"/>
      <c r="BE80" s="305"/>
      <c r="BF80" s="303"/>
      <c r="BL80"/>
      <c r="BM80"/>
      <c r="BN80"/>
    </row>
    <row r="81" spans="2:66" ht="38.25">
      <c r="B81" s="425"/>
      <c r="C81" s="438" t="s">
        <v>97</v>
      </c>
      <c r="D81" s="438" t="s">
        <v>1031</v>
      </c>
      <c r="E81" s="438" t="s">
        <v>1032</v>
      </c>
      <c r="F81" s="438"/>
      <c r="G81" s="438"/>
      <c r="H81" s="438" t="s">
        <v>844</v>
      </c>
      <c r="I81" s="438" t="s">
        <v>419</v>
      </c>
      <c r="J81" s="438" t="s">
        <v>71</v>
      </c>
      <c r="K81" s="439">
        <v>16</v>
      </c>
      <c r="L81" s="440" t="e" cm="1">
        <f t="array" ref="L81">INDEX('Client Rates and Roles'!$F$2:$F$433,MATCH(1,COUNTIFS('Opportunity Details'!$C$14,'Client Rates and Roles'!$D$2:$D$433,H81,'Client Rates and Roles'!$B$2:$B$433,J81,'Client Rates and Roles'!$C$2:$C$433,$C$6,'Client Rates and Roles'!$A$2:$A$433),0))</f>
        <v>#N/A</v>
      </c>
      <c r="M81" s="440" t="e">
        <f t="shared" si="1"/>
        <v>#N/A</v>
      </c>
      <c r="N81" s="439"/>
      <c r="O81" s="439"/>
      <c r="P81" s="439"/>
      <c r="Q81" s="329"/>
      <c r="R81" s="329"/>
      <c r="S81" s="329"/>
      <c r="T81" s="329"/>
      <c r="U81" s="329"/>
      <c r="V81" s="329"/>
      <c r="W81" s="329"/>
      <c r="X81" s="329"/>
      <c r="Y81" s="329"/>
      <c r="Z81" s="329"/>
      <c r="AA81" s="329"/>
      <c r="AB81" s="329"/>
      <c r="AC81" s="331">
        <f>SUM(Table1453[[#This Row],[Program Director 
(IT Workflow - US)]:[Engineer
(IT Workflow - US)]])</f>
        <v>0</v>
      </c>
      <c r="AD81" s="332"/>
      <c r="AE81" s="329"/>
      <c r="AF81" s="329"/>
      <c r="AG81" s="329"/>
      <c r="AH81" s="329"/>
      <c r="AI81" s="329"/>
      <c r="AJ81" s="329"/>
      <c r="AK81" s="329"/>
      <c r="AL81" s="329"/>
      <c r="AM81" s="329"/>
      <c r="AN81" s="329"/>
      <c r="AO81" s="329"/>
      <c r="AP81" s="329"/>
      <c r="AQ81" s="333">
        <f>SUM(Table1453[[#This Row],[Program Director 
(Customer and Employee Workflow - US)]:[Engineer
(Customer and Employee Workflow - US)]])</f>
        <v>0</v>
      </c>
      <c r="AR81" s="329"/>
      <c r="AS81" s="329"/>
      <c r="AT81" s="329"/>
      <c r="AU81" s="329"/>
      <c r="AV81" s="329"/>
      <c r="AW81" s="329"/>
      <c r="AX81" s="329"/>
      <c r="AY81" s="329"/>
      <c r="AZ81" s="329"/>
      <c r="BA81" s="329"/>
      <c r="BB81" s="329"/>
      <c r="BC81" s="329"/>
      <c r="BD81" s="329"/>
      <c r="BE81" s="305"/>
      <c r="BF81" s="303"/>
      <c r="BL81"/>
      <c r="BM81"/>
      <c r="BN81"/>
    </row>
    <row r="82" spans="2:66" ht="60.75">
      <c r="B82" s="425"/>
      <c r="C82" s="438" t="s">
        <v>97</v>
      </c>
      <c r="D82" s="438" t="s">
        <v>1033</v>
      </c>
      <c r="E82" s="438" t="s">
        <v>1034</v>
      </c>
      <c r="F82" s="438"/>
      <c r="G82" s="438"/>
      <c r="H82" s="438" t="s">
        <v>844</v>
      </c>
      <c r="I82" s="438" t="s">
        <v>419</v>
      </c>
      <c r="J82" s="438" t="s">
        <v>71</v>
      </c>
      <c r="K82" s="439">
        <v>32</v>
      </c>
      <c r="L82" s="440" t="e" cm="1">
        <f t="array" ref="L82">INDEX('Client Rates and Roles'!$F$2:$F$433,MATCH(1,COUNTIFS('Opportunity Details'!$C$14,'Client Rates and Roles'!$D$2:$D$433,H82,'Client Rates and Roles'!$B$2:$B$433,J82,'Client Rates and Roles'!$C$2:$C$433,$C$6,'Client Rates and Roles'!$A$2:$A$433),0))</f>
        <v>#N/A</v>
      </c>
      <c r="M82" s="440" t="e">
        <f t="shared" si="1"/>
        <v>#N/A</v>
      </c>
      <c r="N82" s="439"/>
      <c r="O82" s="439"/>
      <c r="P82" s="439"/>
      <c r="Q82" s="329"/>
      <c r="R82" s="329"/>
      <c r="S82" s="329"/>
      <c r="T82" s="329"/>
      <c r="U82" s="329"/>
      <c r="V82" s="329"/>
      <c r="W82" s="329"/>
      <c r="X82" s="329"/>
      <c r="Y82" s="329"/>
      <c r="Z82" s="329"/>
      <c r="AA82" s="329"/>
      <c r="AB82" s="329"/>
      <c r="AC82" s="331">
        <f>SUM(Table1453[[#This Row],[Program Director 
(IT Workflow - US)]:[Engineer
(IT Workflow - US)]])</f>
        <v>0</v>
      </c>
      <c r="AD82" s="332"/>
      <c r="AE82" s="329"/>
      <c r="AF82" s="329"/>
      <c r="AG82" s="329"/>
      <c r="AH82" s="329"/>
      <c r="AI82" s="329"/>
      <c r="AJ82" s="329"/>
      <c r="AK82" s="329"/>
      <c r="AL82" s="329"/>
      <c r="AM82" s="329"/>
      <c r="AN82" s="329"/>
      <c r="AO82" s="329"/>
      <c r="AP82" s="329"/>
      <c r="AQ82" s="333">
        <f>SUM(Table1453[[#This Row],[Program Director 
(Customer and Employee Workflow - US)]:[Engineer
(Customer and Employee Workflow - US)]])</f>
        <v>0</v>
      </c>
      <c r="AR82" s="329"/>
      <c r="AS82" s="329"/>
      <c r="AT82" s="329"/>
      <c r="AU82" s="329"/>
      <c r="AV82" s="329"/>
      <c r="AW82" s="329"/>
      <c r="AX82" s="329"/>
      <c r="AY82" s="329"/>
      <c r="AZ82" s="329"/>
      <c r="BA82" s="329"/>
      <c r="BB82" s="329"/>
      <c r="BC82" s="329"/>
      <c r="BD82" s="329"/>
      <c r="BE82" s="305"/>
      <c r="BF82" s="303"/>
      <c r="BL82"/>
      <c r="BM82"/>
      <c r="BN82"/>
    </row>
    <row r="83" spans="2:66" ht="108.75">
      <c r="B83" s="425"/>
      <c r="C83" s="438" t="s">
        <v>97</v>
      </c>
      <c r="D83" s="438" t="s">
        <v>1035</v>
      </c>
      <c r="E83" s="438" t="s">
        <v>1036</v>
      </c>
      <c r="F83" s="438"/>
      <c r="G83" s="438"/>
      <c r="H83" s="438" t="s">
        <v>844</v>
      </c>
      <c r="I83" s="438" t="s">
        <v>419</v>
      </c>
      <c r="J83" s="438" t="s">
        <v>71</v>
      </c>
      <c r="K83" s="439">
        <v>40</v>
      </c>
      <c r="L83" s="440" t="e" cm="1">
        <f t="array" ref="L83">INDEX('Client Rates and Roles'!$F$2:$F$433,MATCH(1,COUNTIFS('Opportunity Details'!$C$14,'Client Rates and Roles'!$D$2:$D$433,H83,'Client Rates and Roles'!$B$2:$B$433,J83,'Client Rates and Roles'!$C$2:$C$433,$C$6,'Client Rates and Roles'!$A$2:$A$433),0))</f>
        <v>#N/A</v>
      </c>
      <c r="M83" s="440" t="e">
        <f t="shared" si="1"/>
        <v>#N/A</v>
      </c>
      <c r="N83" s="439"/>
      <c r="O83" s="439"/>
      <c r="P83" s="439"/>
      <c r="Q83" s="329"/>
      <c r="R83" s="329"/>
      <c r="S83" s="329"/>
      <c r="T83" s="329"/>
      <c r="U83" s="329"/>
      <c r="V83" s="329"/>
      <c r="W83" s="329"/>
      <c r="X83" s="329"/>
      <c r="Y83" s="329"/>
      <c r="Z83" s="329"/>
      <c r="AA83" s="329"/>
      <c r="AB83" s="329"/>
      <c r="AC83" s="331">
        <f>SUM(Table1453[[#This Row],[Program Director 
(IT Workflow - US)]:[Engineer
(IT Workflow - US)]])</f>
        <v>0</v>
      </c>
      <c r="AD83" s="332"/>
      <c r="AE83" s="329"/>
      <c r="AF83" s="329"/>
      <c r="AG83" s="329"/>
      <c r="AH83" s="329"/>
      <c r="AI83" s="329"/>
      <c r="AJ83" s="329"/>
      <c r="AK83" s="329"/>
      <c r="AL83" s="329"/>
      <c r="AM83" s="329"/>
      <c r="AN83" s="329"/>
      <c r="AO83" s="329"/>
      <c r="AP83" s="329"/>
      <c r="AQ83" s="333">
        <f>SUM(Table1453[[#This Row],[Program Director 
(Customer and Employee Workflow - US)]:[Engineer
(Customer and Employee Workflow - US)]])</f>
        <v>0</v>
      </c>
      <c r="AR83" s="329"/>
      <c r="AS83" s="329"/>
      <c r="AT83" s="329"/>
      <c r="AU83" s="329"/>
      <c r="AV83" s="329"/>
      <c r="AW83" s="329"/>
      <c r="AX83" s="329"/>
      <c r="AY83" s="329"/>
      <c r="AZ83" s="329"/>
      <c r="BA83" s="329"/>
      <c r="BB83" s="329"/>
      <c r="BC83" s="329"/>
      <c r="BD83" s="329"/>
      <c r="BE83" s="305"/>
      <c r="BF83" s="303"/>
      <c r="BL83"/>
      <c r="BM83"/>
      <c r="BN83"/>
    </row>
    <row r="84" spans="2:66" ht="165.75">
      <c r="B84" s="425"/>
      <c r="C84" s="438" t="s">
        <v>97</v>
      </c>
      <c r="D84" s="438" t="s">
        <v>1037</v>
      </c>
      <c r="E84" s="438" t="s">
        <v>1038</v>
      </c>
      <c r="F84" s="438"/>
      <c r="G84" s="438"/>
      <c r="H84" s="438" t="s">
        <v>844</v>
      </c>
      <c r="I84" s="438" t="s">
        <v>419</v>
      </c>
      <c r="J84" s="438" t="s">
        <v>71</v>
      </c>
      <c r="K84" s="439">
        <v>0</v>
      </c>
      <c r="L84" s="440" t="e" cm="1">
        <f t="array" ref="L84">INDEX('Client Rates and Roles'!$F$2:$F$433,MATCH(1,COUNTIFS('Opportunity Details'!$C$14,'Client Rates and Roles'!$D$2:$D$433,H84,'Client Rates and Roles'!$B$2:$B$433,J84,'Client Rates and Roles'!$C$2:$C$433,$C$6,'Client Rates and Roles'!$A$2:$A$433),0))</f>
        <v>#N/A</v>
      </c>
      <c r="M84" s="440" t="e">
        <f t="shared" si="1"/>
        <v>#N/A</v>
      </c>
      <c r="N84" s="439"/>
      <c r="O84" s="439"/>
      <c r="P84" s="439"/>
      <c r="Q84" s="329"/>
      <c r="R84" s="329"/>
      <c r="S84" s="329"/>
      <c r="T84" s="329"/>
      <c r="U84" s="329"/>
      <c r="V84" s="329"/>
      <c r="W84" s="329"/>
      <c r="X84" s="329"/>
      <c r="Y84" s="329"/>
      <c r="Z84" s="329"/>
      <c r="AA84" s="329"/>
      <c r="AB84" s="329"/>
      <c r="AC84" s="331">
        <f>SUM(Table1453[[#This Row],[Program Director 
(IT Workflow - US)]:[Engineer
(IT Workflow - US)]])</f>
        <v>0</v>
      </c>
      <c r="AD84" s="332"/>
      <c r="AE84" s="329"/>
      <c r="AF84" s="329"/>
      <c r="AG84" s="329"/>
      <c r="AH84" s="329"/>
      <c r="AI84" s="329"/>
      <c r="AJ84" s="329"/>
      <c r="AK84" s="329"/>
      <c r="AL84" s="329"/>
      <c r="AM84" s="329"/>
      <c r="AN84" s="329"/>
      <c r="AO84" s="329"/>
      <c r="AP84" s="329"/>
      <c r="AQ84" s="333">
        <f>SUM(Table1453[[#This Row],[Program Director 
(Customer and Employee Workflow - US)]:[Engineer
(Customer and Employee Workflow - US)]])</f>
        <v>0</v>
      </c>
      <c r="AR84" s="329"/>
      <c r="AS84" s="329"/>
      <c r="AT84" s="329"/>
      <c r="AU84" s="329"/>
      <c r="AV84" s="329"/>
      <c r="AW84" s="329"/>
      <c r="AX84" s="329"/>
      <c r="AY84" s="329"/>
      <c r="AZ84" s="329"/>
      <c r="BA84" s="329"/>
      <c r="BB84" s="329"/>
      <c r="BC84" s="329"/>
      <c r="BD84" s="329"/>
      <c r="BE84" s="305"/>
      <c r="BF84" s="303"/>
      <c r="BL84"/>
      <c r="BM84"/>
      <c r="BN84"/>
    </row>
    <row r="85" spans="2:66" ht="63.75">
      <c r="B85" s="425"/>
      <c r="C85" s="438" t="s">
        <v>97</v>
      </c>
      <c r="D85" s="438" t="s">
        <v>1039</v>
      </c>
      <c r="E85" s="438" t="s">
        <v>1040</v>
      </c>
      <c r="F85" s="438"/>
      <c r="G85" s="438"/>
      <c r="H85" s="438" t="s">
        <v>844</v>
      </c>
      <c r="I85" s="438" t="s">
        <v>419</v>
      </c>
      <c r="J85" s="438" t="s">
        <v>71</v>
      </c>
      <c r="K85" s="439">
        <v>0</v>
      </c>
      <c r="L85" s="440" t="e" cm="1">
        <f t="array" ref="L85">INDEX('Client Rates and Roles'!$F$2:$F$433,MATCH(1,COUNTIFS('Opportunity Details'!$C$14,'Client Rates and Roles'!$D$2:$D$433,H85,'Client Rates and Roles'!$B$2:$B$433,J85,'Client Rates and Roles'!$C$2:$C$433,$C$6,'Client Rates and Roles'!$A$2:$A$433),0))</f>
        <v>#N/A</v>
      </c>
      <c r="M85" s="440" t="e">
        <f t="shared" si="1"/>
        <v>#N/A</v>
      </c>
      <c r="N85" s="439"/>
      <c r="O85" s="439"/>
      <c r="P85" s="439"/>
      <c r="Q85" s="329"/>
      <c r="R85" s="329"/>
      <c r="S85" s="329"/>
      <c r="T85" s="329"/>
      <c r="U85" s="329"/>
      <c r="V85" s="329"/>
      <c r="W85" s="329"/>
      <c r="X85" s="329"/>
      <c r="Y85" s="329"/>
      <c r="Z85" s="329"/>
      <c r="AA85" s="329"/>
      <c r="AB85" s="329"/>
      <c r="AC85" s="331">
        <f>SUM(Table1453[[#This Row],[Program Director 
(IT Workflow - US)]:[Engineer
(IT Workflow - US)]])</f>
        <v>0</v>
      </c>
      <c r="AD85" s="332"/>
      <c r="AE85" s="329"/>
      <c r="AF85" s="329"/>
      <c r="AG85" s="329"/>
      <c r="AH85" s="329"/>
      <c r="AI85" s="329"/>
      <c r="AJ85" s="329"/>
      <c r="AK85" s="329"/>
      <c r="AL85" s="329"/>
      <c r="AM85" s="329"/>
      <c r="AN85" s="329"/>
      <c r="AO85" s="329"/>
      <c r="AP85" s="329"/>
      <c r="AQ85" s="333">
        <f>SUM(Table1453[[#This Row],[Program Director 
(Customer and Employee Workflow - US)]:[Engineer
(Customer and Employee Workflow - US)]])</f>
        <v>0</v>
      </c>
      <c r="AR85" s="329"/>
      <c r="AS85" s="329"/>
      <c r="AT85" s="329"/>
      <c r="AU85" s="329"/>
      <c r="AV85" s="329"/>
      <c r="AW85" s="329"/>
      <c r="AX85" s="329"/>
      <c r="AY85" s="329"/>
      <c r="AZ85" s="329"/>
      <c r="BA85" s="329"/>
      <c r="BB85" s="329"/>
      <c r="BC85" s="329"/>
      <c r="BD85" s="329"/>
      <c r="BE85" s="305"/>
      <c r="BF85" s="303"/>
      <c r="BL85"/>
      <c r="BM85"/>
      <c r="BN85"/>
    </row>
    <row r="86" spans="2:66" ht="76.5">
      <c r="B86" s="425"/>
      <c r="C86" s="438" t="s">
        <v>97</v>
      </c>
      <c r="D86" s="438" t="s">
        <v>1041</v>
      </c>
      <c r="E86" s="438" t="s">
        <v>1042</v>
      </c>
      <c r="F86" s="438"/>
      <c r="G86" s="438"/>
      <c r="H86" s="438" t="s">
        <v>844</v>
      </c>
      <c r="I86" s="438" t="s">
        <v>419</v>
      </c>
      <c r="J86" s="438" t="s">
        <v>71</v>
      </c>
      <c r="K86" s="439">
        <v>0</v>
      </c>
      <c r="L86" s="440" t="e" cm="1">
        <f t="array" ref="L86">INDEX('Client Rates and Roles'!$F$2:$F$433,MATCH(1,COUNTIFS('Opportunity Details'!$C$14,'Client Rates and Roles'!$D$2:$D$433,H86,'Client Rates and Roles'!$B$2:$B$433,J86,'Client Rates and Roles'!$C$2:$C$433,$C$6,'Client Rates and Roles'!$A$2:$A$433),0))</f>
        <v>#N/A</v>
      </c>
      <c r="M86" s="440" t="e">
        <f t="shared" si="1"/>
        <v>#N/A</v>
      </c>
      <c r="N86" s="439"/>
      <c r="O86" s="439"/>
      <c r="P86" s="439"/>
      <c r="Q86" s="329"/>
      <c r="R86" s="329"/>
      <c r="S86" s="329"/>
      <c r="T86" s="329"/>
      <c r="U86" s="329"/>
      <c r="V86" s="329"/>
      <c r="W86" s="329"/>
      <c r="X86" s="329"/>
      <c r="Y86" s="329"/>
      <c r="Z86" s="329"/>
      <c r="AA86" s="329"/>
      <c r="AB86" s="329"/>
      <c r="AC86" s="331">
        <f>SUM(Table1453[[#This Row],[Program Director 
(IT Workflow - US)]:[Engineer
(IT Workflow - US)]])</f>
        <v>0</v>
      </c>
      <c r="AD86" s="332"/>
      <c r="AE86" s="329"/>
      <c r="AF86" s="329"/>
      <c r="AG86" s="329"/>
      <c r="AH86" s="329"/>
      <c r="AI86" s="329"/>
      <c r="AJ86" s="329"/>
      <c r="AK86" s="329"/>
      <c r="AL86" s="329"/>
      <c r="AM86" s="329"/>
      <c r="AN86" s="329"/>
      <c r="AO86" s="329"/>
      <c r="AP86" s="329"/>
      <c r="AQ86" s="333">
        <f>SUM(Table1453[[#This Row],[Program Director 
(Customer and Employee Workflow - US)]:[Engineer
(Customer and Employee Workflow - US)]])</f>
        <v>0</v>
      </c>
      <c r="AR86" s="329"/>
      <c r="AS86" s="329"/>
      <c r="AT86" s="329"/>
      <c r="AU86" s="329"/>
      <c r="AV86" s="329"/>
      <c r="AW86" s="329"/>
      <c r="AX86" s="329"/>
      <c r="AY86" s="329"/>
      <c r="AZ86" s="329"/>
      <c r="BA86" s="329"/>
      <c r="BB86" s="329"/>
      <c r="BC86" s="329"/>
      <c r="BD86" s="329"/>
      <c r="BE86" s="305"/>
      <c r="BF86" s="303"/>
      <c r="BL86"/>
      <c r="BM86"/>
      <c r="BN86"/>
    </row>
    <row r="87" spans="2:66" ht="114.75">
      <c r="B87" s="425"/>
      <c r="C87" s="438" t="s">
        <v>97</v>
      </c>
      <c r="D87" s="438" t="s">
        <v>1043</v>
      </c>
      <c r="E87" s="438" t="s">
        <v>1044</v>
      </c>
      <c r="F87" s="438"/>
      <c r="G87" s="438"/>
      <c r="H87" s="438" t="s">
        <v>844</v>
      </c>
      <c r="I87" s="438" t="s">
        <v>419</v>
      </c>
      <c r="J87" s="438" t="s">
        <v>71</v>
      </c>
      <c r="K87" s="439">
        <v>96</v>
      </c>
      <c r="L87" s="440" t="e" cm="1">
        <f t="array" ref="L87">INDEX('Client Rates and Roles'!$F$2:$F$433,MATCH(1,COUNTIFS('Opportunity Details'!$C$14,'Client Rates and Roles'!$D$2:$D$433,H87,'Client Rates and Roles'!$B$2:$B$433,J87,'Client Rates and Roles'!$C$2:$C$433,$C$6,'Client Rates and Roles'!$A$2:$A$433),0))</f>
        <v>#N/A</v>
      </c>
      <c r="M87" s="440" t="e">
        <f t="shared" si="1"/>
        <v>#N/A</v>
      </c>
      <c r="N87" s="439"/>
      <c r="O87" s="439"/>
      <c r="P87" s="439"/>
      <c r="Q87" s="329"/>
      <c r="R87" s="329"/>
      <c r="S87" s="329"/>
      <c r="T87" s="329"/>
      <c r="U87" s="329"/>
      <c r="V87" s="329"/>
      <c r="W87" s="329"/>
      <c r="X87" s="329"/>
      <c r="Y87" s="329"/>
      <c r="Z87" s="329"/>
      <c r="AA87" s="329"/>
      <c r="AB87" s="329"/>
      <c r="AC87" s="331">
        <f>SUM(Table1453[[#This Row],[Program Director 
(IT Workflow - US)]:[Engineer
(IT Workflow - US)]])</f>
        <v>0</v>
      </c>
      <c r="AD87" s="332"/>
      <c r="AE87" s="329"/>
      <c r="AF87" s="329"/>
      <c r="AG87" s="329"/>
      <c r="AH87" s="329"/>
      <c r="AI87" s="329"/>
      <c r="AJ87" s="329"/>
      <c r="AK87" s="329"/>
      <c r="AL87" s="329"/>
      <c r="AM87" s="329"/>
      <c r="AN87" s="329"/>
      <c r="AO87" s="329"/>
      <c r="AP87" s="329"/>
      <c r="AQ87" s="333">
        <f>SUM(Table1453[[#This Row],[Program Director 
(Customer and Employee Workflow - US)]:[Engineer
(Customer and Employee Workflow - US)]])</f>
        <v>0</v>
      </c>
      <c r="AR87" s="329"/>
      <c r="AS87" s="329"/>
      <c r="AT87" s="329"/>
      <c r="AU87" s="329"/>
      <c r="AV87" s="329"/>
      <c r="AW87" s="329"/>
      <c r="AX87" s="329"/>
      <c r="AY87" s="329"/>
      <c r="AZ87" s="329"/>
      <c r="BA87" s="329"/>
      <c r="BB87" s="329"/>
      <c r="BC87" s="329"/>
      <c r="BD87" s="329"/>
      <c r="BE87" s="305"/>
      <c r="BF87" s="303"/>
      <c r="BL87"/>
      <c r="BM87"/>
      <c r="BN87"/>
    </row>
    <row r="88" spans="2:66" ht="127.5">
      <c r="B88" s="425"/>
      <c r="C88" s="438" t="s">
        <v>97</v>
      </c>
      <c r="D88" s="438" t="s">
        <v>1045</v>
      </c>
      <c r="E88" s="438" t="s">
        <v>1046</v>
      </c>
      <c r="F88" s="438"/>
      <c r="G88" s="438"/>
      <c r="H88" s="438" t="s">
        <v>844</v>
      </c>
      <c r="I88" s="438"/>
      <c r="J88" s="438" t="s">
        <v>71</v>
      </c>
      <c r="K88" s="439">
        <v>40</v>
      </c>
      <c r="L88" s="440" t="e" cm="1">
        <f t="array" ref="L88">INDEX('Client Rates and Roles'!$F$2:$F$433,MATCH(1,COUNTIFS('Opportunity Details'!$C$14,'Client Rates and Roles'!$D$2:$D$433,H88,'Client Rates and Roles'!$B$2:$B$433,J88,'Client Rates and Roles'!$C$2:$C$433,$C$6,'Client Rates and Roles'!$A$2:$A$433),0))</f>
        <v>#N/A</v>
      </c>
      <c r="M88" s="440" t="e">
        <f t="shared" si="1"/>
        <v>#N/A</v>
      </c>
      <c r="N88" s="439"/>
      <c r="O88" s="439"/>
      <c r="P88" s="439"/>
      <c r="Q88" s="329"/>
      <c r="R88" s="329"/>
      <c r="S88" s="329"/>
      <c r="T88" s="329"/>
      <c r="U88" s="329"/>
      <c r="V88" s="329"/>
      <c r="W88" s="329"/>
      <c r="X88" s="329"/>
      <c r="Y88" s="329"/>
      <c r="Z88" s="329"/>
      <c r="AA88" s="329"/>
      <c r="AB88" s="329"/>
      <c r="AC88" s="331">
        <f>SUM(Table1453[[#This Row],[Program Director 
(IT Workflow - US)]:[Engineer
(IT Workflow - US)]])</f>
        <v>0</v>
      </c>
      <c r="AD88" s="332"/>
      <c r="AE88" s="329"/>
      <c r="AF88" s="329"/>
      <c r="AG88" s="329"/>
      <c r="AH88" s="329"/>
      <c r="AI88" s="329"/>
      <c r="AJ88" s="329"/>
      <c r="AK88" s="329"/>
      <c r="AL88" s="329"/>
      <c r="AM88" s="329"/>
      <c r="AN88" s="329"/>
      <c r="AO88" s="329"/>
      <c r="AP88" s="329"/>
      <c r="AQ88" s="333">
        <f>SUM(Table1453[[#This Row],[Program Director 
(Customer and Employee Workflow - US)]:[Engineer
(Customer and Employee Workflow - US)]])</f>
        <v>0</v>
      </c>
      <c r="AR88" s="329"/>
      <c r="AS88" s="329"/>
      <c r="AT88" s="329"/>
      <c r="AU88" s="329"/>
      <c r="AV88" s="329"/>
      <c r="AW88" s="329"/>
      <c r="AX88" s="329"/>
      <c r="AY88" s="329"/>
      <c r="AZ88" s="329"/>
      <c r="BA88" s="329"/>
      <c r="BB88" s="329"/>
      <c r="BC88" s="329"/>
      <c r="BD88" s="329"/>
      <c r="BE88" s="305"/>
      <c r="BF88" s="303"/>
      <c r="BL88"/>
      <c r="BM88"/>
      <c r="BN88"/>
    </row>
    <row r="89" spans="2:66" ht="25.5">
      <c r="B89" s="425"/>
      <c r="C89" s="438" t="s">
        <v>97</v>
      </c>
      <c r="D89" s="438" t="s">
        <v>1047</v>
      </c>
      <c r="E89" s="438" t="s">
        <v>1048</v>
      </c>
      <c r="F89" s="438"/>
      <c r="G89" s="438"/>
      <c r="H89" s="438" t="s">
        <v>844</v>
      </c>
      <c r="I89" s="438"/>
      <c r="J89" s="438" t="s">
        <v>71</v>
      </c>
      <c r="K89" s="439">
        <v>80</v>
      </c>
      <c r="L89" s="440" t="e" cm="1">
        <f t="array" ref="L89">INDEX('Client Rates and Roles'!$F$2:$F$433,MATCH(1,COUNTIFS('Opportunity Details'!$C$14,'Client Rates and Roles'!$D$2:$D$433,H89,'Client Rates and Roles'!$B$2:$B$433,J89,'Client Rates and Roles'!$C$2:$C$433,$C$6,'Client Rates and Roles'!$A$2:$A$433),0))</f>
        <v>#N/A</v>
      </c>
      <c r="M89" s="440" t="e">
        <f t="shared" si="1"/>
        <v>#N/A</v>
      </c>
      <c r="N89" s="439"/>
      <c r="O89" s="439"/>
      <c r="P89" s="439"/>
      <c r="Q89" s="329"/>
      <c r="R89" s="329"/>
      <c r="S89" s="329"/>
      <c r="T89" s="329"/>
      <c r="U89" s="329"/>
      <c r="V89" s="329"/>
      <c r="W89" s="329"/>
      <c r="X89" s="329"/>
      <c r="Y89" s="329"/>
      <c r="Z89" s="329"/>
      <c r="AA89" s="329"/>
      <c r="AB89" s="329"/>
      <c r="AC89" s="331">
        <f>SUM(Table1453[[#This Row],[Program Director 
(IT Workflow - US)]:[Engineer
(IT Workflow - US)]])</f>
        <v>0</v>
      </c>
      <c r="AD89" s="332"/>
      <c r="AE89" s="329"/>
      <c r="AF89" s="329"/>
      <c r="AG89" s="329"/>
      <c r="AH89" s="329"/>
      <c r="AI89" s="329"/>
      <c r="AJ89" s="329"/>
      <c r="AK89" s="329"/>
      <c r="AL89" s="329"/>
      <c r="AM89" s="329"/>
      <c r="AN89" s="329"/>
      <c r="AO89" s="329"/>
      <c r="AP89" s="329"/>
      <c r="AQ89" s="333">
        <f>SUM(Table1453[[#This Row],[Program Director 
(Customer and Employee Workflow - US)]:[Engineer
(Customer and Employee Workflow - US)]])</f>
        <v>0</v>
      </c>
      <c r="AR89" s="329"/>
      <c r="AS89" s="329"/>
      <c r="AT89" s="329"/>
      <c r="AU89" s="329"/>
      <c r="AV89" s="329"/>
      <c r="AW89" s="329"/>
      <c r="AX89" s="329"/>
      <c r="AY89" s="329"/>
      <c r="AZ89" s="329"/>
      <c r="BA89" s="329"/>
      <c r="BB89" s="329"/>
      <c r="BC89" s="329"/>
      <c r="BD89" s="329"/>
      <c r="BE89" s="305"/>
      <c r="BF89" s="303"/>
      <c r="BL89"/>
      <c r="BM89"/>
      <c r="BN89"/>
    </row>
    <row r="90" spans="2:66" ht="38.25">
      <c r="B90" s="425"/>
      <c r="C90" s="438" t="s">
        <v>97</v>
      </c>
      <c r="D90" s="438" t="s">
        <v>1049</v>
      </c>
      <c r="E90" s="438" t="s">
        <v>1050</v>
      </c>
      <c r="F90" s="438"/>
      <c r="G90" s="438"/>
      <c r="H90" s="438" t="s">
        <v>844</v>
      </c>
      <c r="I90" s="438"/>
      <c r="J90" s="438" t="s">
        <v>71</v>
      </c>
      <c r="K90" s="439">
        <v>14</v>
      </c>
      <c r="L90" s="440" t="e" cm="1">
        <f t="array" ref="L90">INDEX('Client Rates and Roles'!$F$2:$F$433,MATCH(1,COUNTIFS('Opportunity Details'!$C$14,'Client Rates and Roles'!$D$2:$D$433,H90,'Client Rates and Roles'!$B$2:$B$433,J90,'Client Rates and Roles'!$C$2:$C$433,$C$6,'Client Rates and Roles'!$A$2:$A$433),0))</f>
        <v>#N/A</v>
      </c>
      <c r="M90" s="440" t="e">
        <f t="shared" si="1"/>
        <v>#N/A</v>
      </c>
      <c r="N90" s="439"/>
      <c r="O90" s="439"/>
      <c r="P90" s="439"/>
      <c r="Q90" s="329"/>
      <c r="R90" s="329"/>
      <c r="S90" s="329"/>
      <c r="T90" s="329"/>
      <c r="U90" s="329"/>
      <c r="V90" s="329"/>
      <c r="W90" s="329"/>
      <c r="X90" s="329"/>
      <c r="Y90" s="329"/>
      <c r="Z90" s="329"/>
      <c r="AA90" s="329"/>
      <c r="AB90" s="329"/>
      <c r="AC90" s="331">
        <f>SUM(Table1453[[#This Row],[Program Director 
(IT Workflow - US)]:[Engineer
(IT Workflow - US)]])</f>
        <v>0</v>
      </c>
      <c r="AD90" s="332"/>
      <c r="AE90" s="329"/>
      <c r="AF90" s="329"/>
      <c r="AG90" s="329"/>
      <c r="AH90" s="329"/>
      <c r="AI90" s="329"/>
      <c r="AJ90" s="329"/>
      <c r="AK90" s="329"/>
      <c r="AL90" s="329"/>
      <c r="AM90" s="329"/>
      <c r="AN90" s="329"/>
      <c r="AO90" s="329"/>
      <c r="AP90" s="329"/>
      <c r="AQ90" s="333">
        <f>SUM(Table1453[[#This Row],[Program Director 
(Customer and Employee Workflow - US)]:[Engineer
(Customer and Employee Workflow - US)]])</f>
        <v>0</v>
      </c>
      <c r="AR90" s="329"/>
      <c r="AS90" s="329"/>
      <c r="AT90" s="329"/>
      <c r="AU90" s="329"/>
      <c r="AV90" s="329"/>
      <c r="AW90" s="329"/>
      <c r="AX90" s="329"/>
      <c r="AY90" s="329"/>
      <c r="AZ90" s="329"/>
      <c r="BA90" s="329"/>
      <c r="BB90" s="329"/>
      <c r="BC90" s="329"/>
      <c r="BD90" s="329"/>
      <c r="BE90" s="305"/>
      <c r="BF90" s="303"/>
      <c r="BL90"/>
      <c r="BM90"/>
      <c r="BN90"/>
    </row>
    <row r="91" spans="2:66" ht="51">
      <c r="B91" s="425"/>
      <c r="C91" s="438" t="s">
        <v>97</v>
      </c>
      <c r="D91" s="438" t="s">
        <v>1051</v>
      </c>
      <c r="E91" s="438" t="s">
        <v>129</v>
      </c>
      <c r="F91" s="438"/>
      <c r="G91" s="438" t="s">
        <v>1052</v>
      </c>
      <c r="H91" s="438" t="s">
        <v>844</v>
      </c>
      <c r="I91" s="438"/>
      <c r="J91" s="438" t="s">
        <v>71</v>
      </c>
      <c r="K91" s="439">
        <v>60</v>
      </c>
      <c r="L91" s="440" t="e" cm="1">
        <f t="array" ref="L91">INDEX('Client Rates and Roles'!$F$2:$F$433,MATCH(1,COUNTIFS('Opportunity Details'!$C$14,'Client Rates and Roles'!$D$2:$D$433,H91,'Client Rates and Roles'!$B$2:$B$433,J91,'Client Rates and Roles'!$C$2:$C$433,$C$6,'Client Rates and Roles'!$A$2:$A$433),0))</f>
        <v>#N/A</v>
      </c>
      <c r="M91" s="440" t="e">
        <f t="shared" si="1"/>
        <v>#N/A</v>
      </c>
      <c r="N91" s="439"/>
      <c r="O91" s="439"/>
      <c r="P91" s="439"/>
      <c r="Q91" s="329"/>
      <c r="R91" s="329"/>
      <c r="S91" s="329"/>
      <c r="T91" s="329"/>
      <c r="U91" s="329"/>
      <c r="V91" s="329"/>
      <c r="W91" s="329"/>
      <c r="X91" s="329"/>
      <c r="Y91" s="329"/>
      <c r="Z91" s="329"/>
      <c r="AA91" s="329"/>
      <c r="AB91" s="329"/>
      <c r="AC91" s="331">
        <f>SUM(Table1453[[#This Row],[Program Director 
(IT Workflow - US)]:[Engineer
(IT Workflow - US)]])</f>
        <v>0</v>
      </c>
      <c r="AD91" s="332"/>
      <c r="AE91" s="329"/>
      <c r="AF91" s="329"/>
      <c r="AG91" s="329"/>
      <c r="AH91" s="329"/>
      <c r="AI91" s="329"/>
      <c r="AJ91" s="329"/>
      <c r="AK91" s="329"/>
      <c r="AL91" s="329"/>
      <c r="AM91" s="329"/>
      <c r="AN91" s="329"/>
      <c r="AO91" s="329"/>
      <c r="AP91" s="329"/>
      <c r="AQ91" s="333">
        <f>SUM(Table1453[[#This Row],[Program Director 
(Customer and Employee Workflow - US)]:[Engineer
(Customer and Employee Workflow - US)]])</f>
        <v>0</v>
      </c>
      <c r="AR91" s="329"/>
      <c r="AS91" s="329"/>
      <c r="AT91" s="329"/>
      <c r="AU91" s="329"/>
      <c r="AV91" s="329"/>
      <c r="AW91" s="329"/>
      <c r="AX91" s="329"/>
      <c r="AY91" s="329"/>
      <c r="AZ91" s="329"/>
      <c r="BA91" s="329"/>
      <c r="BB91" s="329"/>
      <c r="BC91" s="329"/>
      <c r="BD91" s="329"/>
      <c r="BE91" s="305"/>
      <c r="BF91" s="303"/>
      <c r="BL91"/>
      <c r="BM91"/>
      <c r="BN91"/>
    </row>
    <row r="92" spans="2:66" ht="51">
      <c r="B92" s="425"/>
      <c r="C92" s="443" t="s">
        <v>97</v>
      </c>
      <c r="D92" s="443" t="s">
        <v>1053</v>
      </c>
      <c r="E92" s="443" t="s">
        <v>1054</v>
      </c>
      <c r="F92" s="443" t="s">
        <v>1055</v>
      </c>
      <c r="G92" s="443"/>
      <c r="H92" s="443" t="s">
        <v>844</v>
      </c>
      <c r="I92" s="443" t="s">
        <v>1056</v>
      </c>
      <c r="J92" s="443" t="s">
        <v>71</v>
      </c>
      <c r="K92" s="444">
        <f>ROUNDUP(SUMIFS(Table1453[Hours],Table1453[Project Role],"*Engineer",Table1453[Practice],"&lt;&gt;Agile",Table1453[Billable/ Non-Billable],"Billable*",Table1453[Phase],"Execute")*$D$139,0)</f>
        <v>211</v>
      </c>
      <c r="L92" s="445" t="e" cm="1">
        <f t="array" ref="L92">INDEX('Client Rates and Roles'!$F$2:$F$433,MATCH(1,COUNTIFS('Opportunity Details'!$C$14,'Client Rates and Roles'!$D$2:$D$433,H92,'Client Rates and Roles'!$B$2:$B$433,J92,'Client Rates and Roles'!$C$2:$C$433,$C$6,'Client Rates and Roles'!$A$2:$A$433),0))</f>
        <v>#N/A</v>
      </c>
      <c r="M92" s="445" t="e">
        <f t="shared" si="1"/>
        <v>#N/A</v>
      </c>
      <c r="N92" s="444">
        <v>0</v>
      </c>
      <c r="O92" s="444"/>
      <c r="P92" s="444">
        <v>2</v>
      </c>
      <c r="Q92" s="329"/>
      <c r="R92" s="329"/>
      <c r="S92" s="329"/>
      <c r="T92" s="329"/>
      <c r="U92" s="329"/>
      <c r="V92" s="329"/>
      <c r="W92" s="329"/>
      <c r="X92" s="329"/>
      <c r="Y92" s="329"/>
      <c r="Z92" s="329"/>
      <c r="AA92" s="329"/>
      <c r="AB92" s="329"/>
      <c r="AC92" s="331">
        <f>SUM(Table1453[[#This Row],[Program Director 
(IT Workflow - US)]:[Engineer
(IT Workflow - US)]])</f>
        <v>0</v>
      </c>
      <c r="AD92" s="332"/>
      <c r="AE92" s="329"/>
      <c r="AF92" s="329"/>
      <c r="AG92" s="329"/>
      <c r="AH92" s="329"/>
      <c r="AI92" s="329"/>
      <c r="AJ92" s="329"/>
      <c r="AK92" s="329"/>
      <c r="AL92" s="329"/>
      <c r="AM92" s="329"/>
      <c r="AN92" s="329"/>
      <c r="AO92" s="329"/>
      <c r="AP92" s="329"/>
      <c r="AQ92" s="333">
        <f>SUM(Table1453[[#This Row],[Program Director 
(Customer and Employee Workflow - US)]:[Engineer
(Customer and Employee Workflow - US)]])</f>
        <v>0</v>
      </c>
      <c r="AR92" s="329"/>
      <c r="AS92" s="329"/>
      <c r="AT92" s="329"/>
      <c r="AU92" s="329"/>
      <c r="AV92" s="329"/>
      <c r="AW92" s="329"/>
      <c r="AX92" s="329"/>
      <c r="AY92" s="329"/>
      <c r="AZ92" s="329"/>
      <c r="BA92" s="329"/>
      <c r="BB92" s="329"/>
      <c r="BC92" s="329"/>
      <c r="BD92" s="329"/>
      <c r="BE92" s="305">
        <f>SUM(Table1453[[#This Row],[Program Director 
(IT Workflow - US)]:[Chief Architect
(IT Workflow - US)]])</f>
        <v>0</v>
      </c>
      <c r="BF92" s="303"/>
    </row>
    <row r="93" spans="2:66">
      <c r="B93" s="454" t="s">
        <v>136</v>
      </c>
      <c r="C93" s="427"/>
      <c r="D93" s="427"/>
      <c r="E93" s="427"/>
      <c r="F93" s="427"/>
      <c r="G93" s="427"/>
      <c r="H93" s="427"/>
      <c r="I93" s="427"/>
      <c r="J93" s="427"/>
      <c r="K93" s="428"/>
      <c r="L93" s="429"/>
      <c r="M93" s="429"/>
      <c r="N93" s="428"/>
      <c r="O93" s="428"/>
      <c r="P93" s="428"/>
      <c r="Q93" s="329"/>
      <c r="R93" s="329"/>
      <c r="S93" s="329"/>
      <c r="T93" s="329"/>
      <c r="U93" s="329"/>
      <c r="V93" s="329"/>
      <c r="W93" s="329"/>
      <c r="X93" s="329"/>
      <c r="Y93" s="329"/>
      <c r="Z93" s="329"/>
      <c r="AA93" s="329"/>
      <c r="AB93" s="329"/>
      <c r="AC93" s="331">
        <f>SUM(Table1453[[#This Row],[Program Director 
(IT Workflow - US)]:[Engineer
(IT Workflow - US)]])</f>
        <v>0</v>
      </c>
      <c r="AD93" s="332"/>
      <c r="AE93" s="329"/>
      <c r="AF93" s="329"/>
      <c r="AG93" s="329"/>
      <c r="AH93" s="329"/>
      <c r="AI93" s="329"/>
      <c r="AJ93" s="329"/>
      <c r="AK93" s="329"/>
      <c r="AL93" s="329"/>
      <c r="AM93" s="329"/>
      <c r="AN93" s="329"/>
      <c r="AO93" s="329"/>
      <c r="AP93" s="329"/>
      <c r="AQ93" s="333">
        <f>SUM(Table1453[[#This Row],[Program Director 
(Customer and Employee Workflow - US)]:[Engineer
(Customer and Employee Workflow - US)]])</f>
        <v>0</v>
      </c>
      <c r="AR93" s="329"/>
      <c r="AS93" s="329"/>
      <c r="AT93" s="329"/>
      <c r="AU93" s="329"/>
      <c r="AV93" s="329"/>
      <c r="AW93" s="329"/>
      <c r="AX93" s="329"/>
      <c r="AY93" s="329"/>
      <c r="AZ93" s="329"/>
      <c r="BA93" s="329"/>
      <c r="BB93" s="329"/>
      <c r="BC93" s="329"/>
      <c r="BD93" s="329"/>
      <c r="BE93" s="305"/>
      <c r="BF93" s="303"/>
    </row>
    <row r="94" spans="2:66" ht="38.25">
      <c r="B94" s="426"/>
      <c r="C94" s="438" t="s">
        <v>137</v>
      </c>
      <c r="D94" s="438" t="s">
        <v>1057</v>
      </c>
      <c r="E94" s="438" t="s">
        <v>1058</v>
      </c>
      <c r="F94" s="438"/>
      <c r="G94" s="438"/>
      <c r="H94" s="438" t="s">
        <v>844</v>
      </c>
      <c r="I94" s="438"/>
      <c r="J94" s="438" t="s">
        <v>71</v>
      </c>
      <c r="K94" s="439">
        <f>ROUNDUP((SUM(K96:K97)*0.4),0)</f>
        <v>87</v>
      </c>
      <c r="L94" s="440" t="e" cm="1">
        <f t="array" ref="L94">INDEX('Client Rates and Roles'!$F$2:$F$433,MATCH(1,COUNTIFS('Opportunity Details'!$C$14,'Client Rates and Roles'!$D$2:$D$433,H94,'Client Rates and Roles'!$B$2:$B$433,J94,'Client Rates and Roles'!$C$2:$C$433,$C$6,'Client Rates and Roles'!$A$2:$A$433),0))</f>
        <v>#N/A</v>
      </c>
      <c r="M94" s="440" t="e">
        <f>K94*L94</f>
        <v>#N/A</v>
      </c>
      <c r="N94" s="439"/>
      <c r="O94" s="439"/>
      <c r="P94" s="439"/>
      <c r="Q94" s="329"/>
      <c r="R94" s="329"/>
      <c r="S94" s="329"/>
      <c r="T94" s="329"/>
      <c r="U94" s="329"/>
      <c r="V94" s="329"/>
      <c r="W94" s="329"/>
      <c r="X94" s="329"/>
      <c r="Y94" s="329"/>
      <c r="Z94" s="329"/>
      <c r="AA94" s="329"/>
      <c r="AB94" s="329"/>
      <c r="AC94" s="331" t="e">
        <v>#VALUE!</v>
      </c>
      <c r="AD94" s="332"/>
      <c r="AE94" s="329"/>
      <c r="AF94" s="329"/>
      <c r="AG94" s="329"/>
      <c r="AH94" s="329"/>
      <c r="AI94" s="329"/>
      <c r="AJ94" s="329"/>
      <c r="AK94" s="329"/>
      <c r="AL94" s="329"/>
      <c r="AM94" s="329"/>
      <c r="AN94" s="329"/>
      <c r="AO94" s="329"/>
      <c r="AP94" s="329"/>
      <c r="AQ94" s="333" t="e">
        <v>#VALUE!</v>
      </c>
      <c r="AR94" s="329"/>
      <c r="AS94" s="329"/>
      <c r="AT94" s="329"/>
      <c r="AU94" s="329"/>
      <c r="AV94" s="329"/>
      <c r="AW94" s="329"/>
      <c r="AX94" s="329"/>
      <c r="AY94" s="329"/>
      <c r="AZ94" s="329"/>
      <c r="BA94" s="329"/>
      <c r="BB94" s="329"/>
      <c r="BC94" s="329"/>
      <c r="BD94" s="329"/>
      <c r="BE94" s="305"/>
      <c r="BF94" s="303"/>
    </row>
    <row r="95" spans="2:66" ht="140.25">
      <c r="B95" s="430"/>
      <c r="C95" s="438" t="s">
        <v>137</v>
      </c>
      <c r="D95" s="438" t="s">
        <v>1059</v>
      </c>
      <c r="E95" s="438" t="s">
        <v>1060</v>
      </c>
      <c r="F95" s="438"/>
      <c r="G95" s="438" t="s">
        <v>140</v>
      </c>
      <c r="H95" s="438" t="s">
        <v>844</v>
      </c>
      <c r="I95" s="438"/>
      <c r="J95" s="438" t="s">
        <v>71</v>
      </c>
      <c r="K95" s="439">
        <v>16</v>
      </c>
      <c r="L95" s="440" t="e" cm="1">
        <f t="array" ref="L95">INDEX('Client Rates and Roles'!$F$2:$F$433,MATCH(1,COUNTIFS('Opportunity Details'!$C$14,'Client Rates and Roles'!$D$2:$D$433,H95,'Client Rates and Roles'!$B$2:$B$433,J95,'Client Rates and Roles'!$C$2:$C$433,$C$6,'Client Rates and Roles'!$A$2:$A$433),0))</f>
        <v>#N/A</v>
      </c>
      <c r="M95" s="440" t="e">
        <f>K95*L95</f>
        <v>#N/A</v>
      </c>
      <c r="N95" s="439">
        <v>0</v>
      </c>
      <c r="O95" s="439"/>
      <c r="P95" s="439">
        <v>2</v>
      </c>
      <c r="Q95" s="329"/>
      <c r="R95" s="329"/>
      <c r="S95" s="329"/>
      <c r="T95" s="329"/>
      <c r="U95" s="329"/>
      <c r="V95" s="329"/>
      <c r="W95" s="329"/>
      <c r="X95" s="329"/>
      <c r="Y95" s="329"/>
      <c r="Z95" s="329"/>
      <c r="AA95" s="329"/>
      <c r="AB95" s="329"/>
      <c r="AC95" s="331">
        <f>SUM(Table1453[[#This Row],[Program Director 
(IT Workflow - US)]:[Engineer
(IT Workflow - US)]])</f>
        <v>0</v>
      </c>
      <c r="AD95" s="332"/>
      <c r="AE95" s="329"/>
      <c r="AF95" s="329"/>
      <c r="AG95" s="329"/>
      <c r="AH95" s="329"/>
      <c r="AI95" s="329"/>
      <c r="AJ95" s="329"/>
      <c r="AK95" s="329"/>
      <c r="AL95" s="329"/>
      <c r="AM95" s="329"/>
      <c r="AN95" s="329"/>
      <c r="AO95" s="329"/>
      <c r="AP95" s="329"/>
      <c r="AQ95" s="333">
        <f>SUM(Table1453[[#This Row],[Program Director 
(Customer and Employee Workflow - US)]:[Engineer
(Customer and Employee Workflow - US)]])</f>
        <v>0</v>
      </c>
      <c r="AR95" s="329"/>
      <c r="AS95" s="329"/>
      <c r="AT95" s="329"/>
      <c r="AU95" s="329"/>
      <c r="AV95" s="329"/>
      <c r="AW95" s="329"/>
      <c r="AX95" s="329"/>
      <c r="AY95" s="329"/>
      <c r="AZ95" s="329"/>
      <c r="BA95" s="329"/>
      <c r="BB95" s="329"/>
      <c r="BC95" s="329"/>
      <c r="BD95" s="329"/>
      <c r="BE95" s="305">
        <f>SUM(Table1453[[#This Row],[Program Director 
(IT Workflow - US)]:[Chief Architect
(IT Workflow - US)]])</f>
        <v>0</v>
      </c>
      <c r="BF95" s="303"/>
    </row>
    <row r="96" spans="2:66" ht="280.5">
      <c r="B96" s="430"/>
      <c r="C96" s="438" t="s">
        <v>137</v>
      </c>
      <c r="D96" s="438" t="s">
        <v>141</v>
      </c>
      <c r="E96" s="438" t="s">
        <v>1061</v>
      </c>
      <c r="F96" s="438"/>
      <c r="G96" s="438" t="s">
        <v>143</v>
      </c>
      <c r="H96" s="438" t="s">
        <v>844</v>
      </c>
      <c r="I96" s="438"/>
      <c r="J96" s="438" t="s">
        <v>71</v>
      </c>
      <c r="K96" s="439">
        <f>MROUND(SUMIFS(Table1453[Hours],Table1453[Project Role],"*Engineer*",Table1453[Practice],"&lt;&gt;ITOM",Table1453[Practice],"&lt;&gt;Agile",Table1453[Project Role],"&lt;&gt;Engineer - Agile",Table1453[Billable/ Non-Billable],"Billable - Onshore",Table1453[Phase],"Execute")*0.2,4)</f>
        <v>216</v>
      </c>
      <c r="L96" s="440" t="e" cm="1">
        <f t="array" ref="L96">INDEX('Client Rates and Roles'!$F$2:$F$433,MATCH(1,COUNTIFS('Opportunity Details'!$C$14,'Client Rates and Roles'!$D$2:$D$433,H96,'Client Rates and Roles'!$B$2:$B$433,J96,'Client Rates and Roles'!$C$2:$C$433,$C$6,'Client Rates and Roles'!$A$2:$A$433),0))</f>
        <v>#N/A</v>
      </c>
      <c r="M96" s="440" t="e">
        <f>K96*L96</f>
        <v>#N/A</v>
      </c>
      <c r="N96" s="439"/>
      <c r="O96" s="439">
        <v>40</v>
      </c>
      <c r="P96" s="439"/>
      <c r="Q96" s="329"/>
      <c r="R96" s="329"/>
      <c r="S96" s="329"/>
      <c r="T96" s="329"/>
      <c r="U96" s="329"/>
      <c r="V96" s="329"/>
      <c r="W96" s="329"/>
      <c r="X96" s="329"/>
      <c r="Y96" s="329"/>
      <c r="Z96" s="329"/>
      <c r="AA96" s="329"/>
      <c r="AB96" s="329"/>
      <c r="AC96" s="331">
        <f>SUM(Table1453[[#This Row],[Program Director 
(IT Workflow - US)]:[Engineer
(IT Workflow - US)]])</f>
        <v>0</v>
      </c>
      <c r="AD96" s="332"/>
      <c r="AE96" s="329"/>
      <c r="AF96" s="329"/>
      <c r="AG96" s="329"/>
      <c r="AH96" s="329"/>
      <c r="AI96" s="329"/>
      <c r="AJ96" s="329"/>
      <c r="AK96" s="329"/>
      <c r="AL96" s="329"/>
      <c r="AM96" s="329"/>
      <c r="AN96" s="329"/>
      <c r="AO96" s="329"/>
      <c r="AP96" s="329"/>
      <c r="AQ96" s="333">
        <f>SUM(Table1453[[#This Row],[Program Director 
(Customer and Employee Workflow - US)]:[Engineer
(Customer and Employee Workflow - US)]])</f>
        <v>0</v>
      </c>
      <c r="AR96" s="329"/>
      <c r="AS96" s="329"/>
      <c r="AT96" s="329"/>
      <c r="AU96" s="329"/>
      <c r="AV96" s="329"/>
      <c r="AW96" s="329"/>
      <c r="AX96" s="329"/>
      <c r="AY96" s="329"/>
      <c r="AZ96" s="329"/>
      <c r="BA96" s="329"/>
      <c r="BB96" s="329"/>
      <c r="BC96" s="329"/>
      <c r="BD96" s="329"/>
      <c r="BE96" s="305"/>
      <c r="BF96" s="303"/>
    </row>
    <row r="97" spans="2:58" ht="76.5">
      <c r="B97" s="430"/>
      <c r="C97" s="438" t="s">
        <v>137</v>
      </c>
      <c r="D97" s="438" t="s">
        <v>145</v>
      </c>
      <c r="E97" s="438" t="s">
        <v>142</v>
      </c>
      <c r="F97" s="438"/>
      <c r="G97" s="438" t="s">
        <v>143</v>
      </c>
      <c r="H97" s="438" t="s">
        <v>844</v>
      </c>
      <c r="I97" s="438"/>
      <c r="J97" s="438" t="s">
        <v>66</v>
      </c>
      <c r="K97" s="439">
        <f>MROUND(SUMIFS(Table1453[Hours],Table1453[Project Role],"*Engineer*",Table1453[Practice],"&lt;&gt;ITOM",Table1453[Practice],"&lt;&gt;Agile",Table1453[Project Role],"&lt;&gt;Engineer - Agile",Table1453[Billable/ Non-Billable],"Billable - Offshore",Table1453[Phase],"Execute")*0.2,4)</f>
        <v>0</v>
      </c>
      <c r="L97" s="440" t="e" cm="1">
        <f t="array" ref="L97">INDEX('Client Rates and Roles'!$F$2:$F$433,MATCH(1,COUNTIFS('Opportunity Details'!$C$14,'Client Rates and Roles'!$D$2:$D$433,H97,'Client Rates and Roles'!$B$2:$B$433,J97,'Client Rates and Roles'!$C$2:$C$433,$C$6,'Client Rates and Roles'!$A$2:$A$433),0))</f>
        <v>#N/A</v>
      </c>
      <c r="M97" s="440" t="e">
        <f>K97*L97</f>
        <v>#N/A</v>
      </c>
      <c r="N97" s="439">
        <v>2</v>
      </c>
      <c r="O97" s="439">
        <v>3</v>
      </c>
      <c r="P97" s="439">
        <v>2</v>
      </c>
      <c r="Q97" s="329"/>
      <c r="R97" s="329"/>
      <c r="S97" s="329"/>
      <c r="T97" s="329"/>
      <c r="U97" s="329"/>
      <c r="V97" s="329"/>
      <c r="W97" s="329"/>
      <c r="X97" s="329"/>
      <c r="Y97" s="329"/>
      <c r="Z97" s="329"/>
      <c r="AA97" s="329"/>
      <c r="AB97" s="329"/>
      <c r="AC97" s="331">
        <f>SUM(Table1453[[#This Row],[Program Director 
(IT Workflow - US)]:[Engineer
(IT Workflow - US)]])</f>
        <v>0</v>
      </c>
      <c r="AD97" s="332"/>
      <c r="AE97" s="329"/>
      <c r="AF97" s="329"/>
      <c r="AG97" s="329"/>
      <c r="AH97" s="329"/>
      <c r="AI97" s="329"/>
      <c r="AJ97" s="329"/>
      <c r="AK97" s="329"/>
      <c r="AL97" s="329"/>
      <c r="AM97" s="329"/>
      <c r="AN97" s="329"/>
      <c r="AO97" s="329"/>
      <c r="AP97" s="329"/>
      <c r="AQ97" s="333">
        <f>SUM(Table1453[[#This Row],[Program Director 
(Customer and Employee Workflow - US)]:[Engineer
(Customer and Employee Workflow - US)]])</f>
        <v>0</v>
      </c>
      <c r="AR97" s="329"/>
      <c r="AS97" s="329"/>
      <c r="AT97" s="329"/>
      <c r="AU97" s="329"/>
      <c r="AV97" s="329"/>
      <c r="AW97" s="329"/>
      <c r="AX97" s="329"/>
      <c r="AY97" s="329"/>
      <c r="AZ97" s="329"/>
      <c r="BA97" s="329"/>
      <c r="BB97" s="329"/>
      <c r="BC97" s="329"/>
      <c r="BD97" s="329"/>
      <c r="BE97" s="305">
        <f>SUM(Table1453[[#This Row],[Program Director 
(IT Workflow - US)]:[Chief Architect
(IT Workflow - US)]])</f>
        <v>0</v>
      </c>
      <c r="BF97" s="303"/>
    </row>
    <row r="98" spans="2:58" ht="280.5">
      <c r="B98" s="430"/>
      <c r="C98" s="438" t="s">
        <v>137</v>
      </c>
      <c r="D98" s="438" t="s">
        <v>1062</v>
      </c>
      <c r="E98" s="438" t="s">
        <v>1061</v>
      </c>
      <c r="F98" s="438"/>
      <c r="G98" s="438" t="s">
        <v>143</v>
      </c>
      <c r="H98" s="438" t="s">
        <v>844</v>
      </c>
      <c r="I98" s="438" t="s">
        <v>419</v>
      </c>
      <c r="J98" s="438" t="s">
        <v>71</v>
      </c>
      <c r="K98" s="439">
        <f>MROUND(SUMIFS(Table1453[Hours],Table1453[Project Role],"*Engineer*",Table1453[Practice],"ITOM",Table1453[Practice],"&lt;&gt;Agile",Table1453[Billable/ Non-Billable],"Billable - Onshore",Table1453[Phase],"Execute")*0.2,4)</f>
        <v>64</v>
      </c>
      <c r="L98" s="440" t="e" cm="1">
        <f t="array" ref="L98">INDEX('Client Rates and Roles'!$F$2:$F$433,MATCH(1,COUNTIFS('Opportunity Details'!$C$14,'Client Rates and Roles'!$D$2:$D$433,H98,'Client Rates and Roles'!$B$2:$B$433,J98,'Client Rates and Roles'!$C$2:$C$433,$C$6,'Client Rates and Roles'!$A$2:$A$433),0))</f>
        <v>#N/A</v>
      </c>
      <c r="M98" s="440" t="e">
        <f>K98*L98</f>
        <v>#N/A</v>
      </c>
      <c r="N98" s="439"/>
      <c r="O98" s="439"/>
      <c r="P98" s="439"/>
      <c r="Q98" s="329"/>
      <c r="R98" s="329"/>
      <c r="S98" s="329"/>
      <c r="T98" s="329"/>
      <c r="U98" s="329"/>
      <c r="V98" s="329"/>
      <c r="W98" s="329"/>
      <c r="X98" s="329"/>
      <c r="Y98" s="329"/>
      <c r="Z98" s="329"/>
      <c r="AA98" s="329"/>
      <c r="AB98" s="329"/>
      <c r="AC98" s="331">
        <f>SUM(Table1453[[#This Row],[Program Director 
(IT Workflow - US)]:[Engineer
(IT Workflow - US)]])</f>
        <v>0</v>
      </c>
      <c r="AD98" s="332"/>
      <c r="AE98" s="329"/>
      <c r="AF98" s="329"/>
      <c r="AG98" s="329"/>
      <c r="AH98" s="329"/>
      <c r="AI98" s="329"/>
      <c r="AJ98" s="329"/>
      <c r="AK98" s="329"/>
      <c r="AL98" s="329"/>
      <c r="AM98" s="329"/>
      <c r="AN98" s="329"/>
      <c r="AO98" s="329"/>
      <c r="AP98" s="329"/>
      <c r="AQ98" s="333">
        <f>SUM(Table1453[[#This Row],[Program Director 
(Customer and Employee Workflow - US)]:[Engineer
(Customer and Employee Workflow - US)]])</f>
        <v>0</v>
      </c>
      <c r="AR98" s="329"/>
      <c r="AS98" s="329"/>
      <c r="AT98" s="329"/>
      <c r="AU98" s="329"/>
      <c r="AV98" s="329"/>
      <c r="AW98" s="329"/>
      <c r="AX98" s="329"/>
      <c r="AY98" s="329"/>
      <c r="AZ98" s="329"/>
      <c r="BA98" s="329"/>
      <c r="BB98" s="329"/>
      <c r="BC98" s="329"/>
      <c r="BD98" s="329"/>
      <c r="BE98" s="305"/>
      <c r="BF98" s="303"/>
    </row>
    <row r="99" spans="2:58" ht="25.5">
      <c r="B99" s="430"/>
      <c r="C99" s="438" t="s">
        <v>137</v>
      </c>
      <c r="D99" s="438" t="s">
        <v>526</v>
      </c>
      <c r="E99" s="438" t="s">
        <v>527</v>
      </c>
      <c r="F99" s="438"/>
      <c r="G99" s="438"/>
      <c r="H99" s="438" t="s">
        <v>844</v>
      </c>
      <c r="I99" s="438" t="s">
        <v>383</v>
      </c>
      <c r="J99" s="438" t="s">
        <v>71</v>
      </c>
      <c r="K99" s="439">
        <v>2</v>
      </c>
      <c r="L99" s="440" t="e" cm="1">
        <f t="array" ref="L99">INDEX('Client Rates and Roles'!$F$2:$F$433,MATCH(1,COUNTIFS('Opportunity Details'!$C$14,'Client Rates and Roles'!$D$2:$D$433,H99,'Client Rates and Roles'!$B$2:$B$433,J99,'Client Rates and Roles'!$C$2:$C$433,$C$6,'Client Rates and Roles'!$A$2:$A$433),0))</f>
        <v>#N/A</v>
      </c>
      <c r="M99" s="440" t="e">
        <f t="shared" ref="M99:M103" si="2">K99*L99</f>
        <v>#N/A</v>
      </c>
      <c r="N99" s="439"/>
      <c r="O99" s="439"/>
      <c r="P99" s="439"/>
      <c r="Q99" s="329"/>
      <c r="R99" s="329"/>
      <c r="S99" s="329"/>
      <c r="T99" s="329"/>
      <c r="U99" s="329"/>
      <c r="V99" s="329"/>
      <c r="W99" s="329"/>
      <c r="X99" s="329"/>
      <c r="Y99" s="329"/>
      <c r="Z99" s="329"/>
      <c r="AA99" s="329"/>
      <c r="AB99" s="329"/>
      <c r="AC99" s="331">
        <f>SUM(Table1453[[#This Row],[Program Director 
(IT Workflow - US)]:[Engineer
(IT Workflow - US)]])</f>
        <v>0</v>
      </c>
      <c r="AD99" s="332"/>
      <c r="AE99" s="329"/>
      <c r="AF99" s="329"/>
      <c r="AG99" s="329"/>
      <c r="AH99" s="329"/>
      <c r="AI99" s="329"/>
      <c r="AJ99" s="329"/>
      <c r="AK99" s="329"/>
      <c r="AL99" s="329"/>
      <c r="AM99" s="329"/>
      <c r="AN99" s="329"/>
      <c r="AO99" s="329"/>
      <c r="AP99" s="329"/>
      <c r="AQ99" s="333">
        <f>SUM(Table1453[[#This Row],[Program Director 
(Customer and Employee Workflow - US)]:[Engineer
(Customer and Employee Workflow - US)]])</f>
        <v>0</v>
      </c>
      <c r="AR99" s="329"/>
      <c r="AS99" s="329"/>
      <c r="AT99" s="329"/>
      <c r="AU99" s="329"/>
      <c r="AV99" s="329"/>
      <c r="AW99" s="329"/>
      <c r="AX99" s="329"/>
      <c r="AY99" s="329"/>
      <c r="AZ99" s="329"/>
      <c r="BA99" s="329"/>
      <c r="BB99" s="329"/>
      <c r="BC99" s="329"/>
      <c r="BD99" s="329"/>
      <c r="BE99" s="305"/>
      <c r="BF99" s="303"/>
    </row>
    <row r="100" spans="2:58" ht="63.75">
      <c r="B100" s="430"/>
      <c r="C100" s="438" t="s">
        <v>137</v>
      </c>
      <c r="D100" s="438" t="s">
        <v>529</v>
      </c>
      <c r="E100" s="438" t="s">
        <v>1063</v>
      </c>
      <c r="F100" s="438"/>
      <c r="G100" s="438" t="s">
        <v>1064</v>
      </c>
      <c r="H100" s="438" t="s">
        <v>844</v>
      </c>
      <c r="I100" s="438" t="s">
        <v>383</v>
      </c>
      <c r="J100" s="438" t="s">
        <v>71</v>
      </c>
      <c r="K100" s="439">
        <v>40</v>
      </c>
      <c r="L100" s="440" t="e" cm="1">
        <f t="array" ref="L100">INDEX('Client Rates and Roles'!$F$2:$F$433,MATCH(1,COUNTIFS('Opportunity Details'!$C$14,'Client Rates and Roles'!$D$2:$D$433,H100,'Client Rates and Roles'!$B$2:$B$433,J100,'Client Rates and Roles'!$C$2:$C$433,$C$6,'Client Rates and Roles'!$A$2:$A$433),0))</f>
        <v>#N/A</v>
      </c>
      <c r="M100" s="440" t="e">
        <f t="shared" si="2"/>
        <v>#N/A</v>
      </c>
      <c r="N100" s="439"/>
      <c r="O100" s="439"/>
      <c r="P100" s="439"/>
      <c r="Q100" s="329"/>
      <c r="R100" s="329"/>
      <c r="S100" s="329"/>
      <c r="T100" s="329"/>
      <c r="U100" s="329"/>
      <c r="V100" s="329"/>
      <c r="W100" s="329"/>
      <c r="X100" s="329"/>
      <c r="Y100" s="329"/>
      <c r="Z100" s="329"/>
      <c r="AA100" s="329"/>
      <c r="AB100" s="329"/>
      <c r="AC100" s="331">
        <f>SUM(Table1453[[#This Row],[Program Director 
(IT Workflow - US)]:[Engineer
(IT Workflow - US)]])</f>
        <v>0</v>
      </c>
      <c r="AD100" s="332"/>
      <c r="AE100" s="329"/>
      <c r="AF100" s="329"/>
      <c r="AG100" s="329"/>
      <c r="AH100" s="329"/>
      <c r="AI100" s="329"/>
      <c r="AJ100" s="329"/>
      <c r="AK100" s="329"/>
      <c r="AL100" s="329"/>
      <c r="AM100" s="329"/>
      <c r="AN100" s="329"/>
      <c r="AO100" s="329"/>
      <c r="AP100" s="329"/>
      <c r="AQ100" s="333">
        <f>SUM(Table1453[[#This Row],[Program Director 
(Customer and Employee Workflow - US)]:[Engineer
(Customer and Employee Workflow - US)]])</f>
        <v>0</v>
      </c>
      <c r="AR100" s="329"/>
      <c r="AS100" s="329"/>
      <c r="AT100" s="329"/>
      <c r="AU100" s="329"/>
      <c r="AV100" s="329"/>
      <c r="AW100" s="329"/>
      <c r="AX100" s="329"/>
      <c r="AY100" s="329"/>
      <c r="AZ100" s="329"/>
      <c r="BA100" s="329"/>
      <c r="BB100" s="329"/>
      <c r="BC100" s="329"/>
      <c r="BD100" s="329"/>
      <c r="BE100" s="305"/>
      <c r="BF100" s="303"/>
    </row>
    <row r="101" spans="2:58" ht="51">
      <c r="B101" s="430"/>
      <c r="C101" s="438" t="s">
        <v>137</v>
      </c>
      <c r="D101" s="438" t="s">
        <v>1065</v>
      </c>
      <c r="E101" s="438" t="s">
        <v>1066</v>
      </c>
      <c r="F101" s="438"/>
      <c r="G101" s="438"/>
      <c r="H101" s="438" t="s">
        <v>844</v>
      </c>
      <c r="I101" s="438" t="s">
        <v>383</v>
      </c>
      <c r="J101" s="438" t="s">
        <v>71</v>
      </c>
      <c r="K101" s="439">
        <v>4</v>
      </c>
      <c r="L101" s="440" t="e" cm="1">
        <f t="array" ref="L101">INDEX('Client Rates and Roles'!$F$2:$F$433,MATCH(1,COUNTIFS('Opportunity Details'!$C$14,'Client Rates and Roles'!$D$2:$D$433,H101,'Client Rates and Roles'!$B$2:$B$433,J101,'Client Rates and Roles'!$C$2:$C$433,$C$6,'Client Rates and Roles'!$A$2:$A$433),0))</f>
        <v>#N/A</v>
      </c>
      <c r="M101" s="440" t="e">
        <f t="shared" si="2"/>
        <v>#N/A</v>
      </c>
      <c r="N101" s="439"/>
      <c r="O101" s="439"/>
      <c r="P101" s="439"/>
      <c r="Q101" s="329"/>
      <c r="R101" s="329"/>
      <c r="S101" s="329"/>
      <c r="T101" s="329"/>
      <c r="U101" s="329"/>
      <c r="V101" s="329"/>
      <c r="W101" s="329"/>
      <c r="X101" s="329"/>
      <c r="Y101" s="329"/>
      <c r="Z101" s="329"/>
      <c r="AA101" s="329"/>
      <c r="AB101" s="329"/>
      <c r="AC101" s="331">
        <f>SUM(Table1453[[#This Row],[Program Director 
(IT Workflow - US)]:[Engineer
(IT Workflow - US)]])</f>
        <v>0</v>
      </c>
      <c r="AD101" s="332"/>
      <c r="AE101" s="329"/>
      <c r="AF101" s="329"/>
      <c r="AG101" s="329"/>
      <c r="AH101" s="329"/>
      <c r="AI101" s="329"/>
      <c r="AJ101" s="329"/>
      <c r="AK101" s="329"/>
      <c r="AL101" s="329"/>
      <c r="AM101" s="329"/>
      <c r="AN101" s="329"/>
      <c r="AO101" s="329"/>
      <c r="AP101" s="329"/>
      <c r="AQ101" s="333">
        <f>SUM(Table1453[[#This Row],[Program Director 
(Customer and Employee Workflow - US)]:[Engineer
(Customer and Employee Workflow - US)]])</f>
        <v>0</v>
      </c>
      <c r="AR101" s="329"/>
      <c r="AS101" s="329"/>
      <c r="AT101" s="329"/>
      <c r="AU101" s="329"/>
      <c r="AV101" s="329"/>
      <c r="AW101" s="329"/>
      <c r="AX101" s="329"/>
      <c r="AY101" s="329"/>
      <c r="AZ101" s="329"/>
      <c r="BA101" s="329"/>
      <c r="BB101" s="329"/>
      <c r="BC101" s="329"/>
      <c r="BD101" s="329"/>
      <c r="BE101" s="305"/>
      <c r="BF101" s="303"/>
    </row>
    <row r="102" spans="2:58" ht="51">
      <c r="B102" s="430"/>
      <c r="C102" s="438" t="s">
        <v>137</v>
      </c>
      <c r="D102" s="438" t="s">
        <v>533</v>
      </c>
      <c r="E102" s="438" t="s">
        <v>1067</v>
      </c>
      <c r="F102" s="438"/>
      <c r="G102" s="438" t="s">
        <v>1068</v>
      </c>
      <c r="H102" s="438" t="s">
        <v>844</v>
      </c>
      <c r="I102" s="438" t="s">
        <v>383</v>
      </c>
      <c r="J102" s="438" t="s">
        <v>71</v>
      </c>
      <c r="K102" s="439">
        <v>16</v>
      </c>
      <c r="L102" s="440" t="e" cm="1">
        <f t="array" ref="L102">INDEX('Client Rates and Roles'!$F$2:$F$433,MATCH(1,COUNTIFS('Opportunity Details'!$C$14,'Client Rates and Roles'!$D$2:$D$433,H102,'Client Rates and Roles'!$B$2:$B$433,J102,'Client Rates and Roles'!$C$2:$C$433,$C$6,'Client Rates and Roles'!$A$2:$A$433),0))</f>
        <v>#N/A</v>
      </c>
      <c r="M102" s="440" t="e">
        <f t="shared" si="2"/>
        <v>#N/A</v>
      </c>
      <c r="N102" s="439"/>
      <c r="O102" s="439"/>
      <c r="P102" s="439"/>
      <c r="Q102" s="329"/>
      <c r="R102" s="329"/>
      <c r="S102" s="329"/>
      <c r="T102" s="329"/>
      <c r="U102" s="329"/>
      <c r="V102" s="329"/>
      <c r="W102" s="329"/>
      <c r="X102" s="329"/>
      <c r="Y102" s="329"/>
      <c r="Z102" s="329"/>
      <c r="AA102" s="329"/>
      <c r="AB102" s="329"/>
      <c r="AC102" s="331">
        <f>SUM(Table1453[[#This Row],[Program Director 
(IT Workflow - US)]:[Engineer
(IT Workflow - US)]])</f>
        <v>0</v>
      </c>
      <c r="AD102" s="332"/>
      <c r="AE102" s="329"/>
      <c r="AF102" s="329"/>
      <c r="AG102" s="329"/>
      <c r="AH102" s="329"/>
      <c r="AI102" s="329"/>
      <c r="AJ102" s="329"/>
      <c r="AK102" s="329"/>
      <c r="AL102" s="329"/>
      <c r="AM102" s="329"/>
      <c r="AN102" s="329"/>
      <c r="AO102" s="329"/>
      <c r="AP102" s="329"/>
      <c r="AQ102" s="333">
        <f>SUM(Table1453[[#This Row],[Program Director 
(Customer and Employee Workflow - US)]:[Engineer
(Customer and Employee Workflow - US)]])</f>
        <v>0</v>
      </c>
      <c r="AR102" s="329"/>
      <c r="AS102" s="329"/>
      <c r="AT102" s="329"/>
      <c r="AU102" s="329"/>
      <c r="AV102" s="329"/>
      <c r="AW102" s="329"/>
      <c r="AX102" s="329"/>
      <c r="AY102" s="329"/>
      <c r="AZ102" s="329"/>
      <c r="BA102" s="329"/>
      <c r="BB102" s="329"/>
      <c r="BC102" s="329"/>
      <c r="BD102" s="329"/>
      <c r="BE102" s="305"/>
      <c r="BF102" s="303"/>
    </row>
    <row r="103" spans="2:58" ht="25.5">
      <c r="B103" s="430"/>
      <c r="C103" s="438" t="s">
        <v>137</v>
      </c>
      <c r="D103" s="438" t="s">
        <v>1069</v>
      </c>
      <c r="E103" s="438" t="s">
        <v>1070</v>
      </c>
      <c r="F103" s="438"/>
      <c r="G103" s="438" t="s">
        <v>1071</v>
      </c>
      <c r="H103" s="438" t="s">
        <v>844</v>
      </c>
      <c r="I103" s="438" t="s">
        <v>383</v>
      </c>
      <c r="J103" s="438" t="s">
        <v>71</v>
      </c>
      <c r="K103" s="439">
        <v>16</v>
      </c>
      <c r="L103" s="440" t="e" cm="1">
        <f t="array" ref="L103">INDEX('Client Rates and Roles'!$F$2:$F$433,MATCH(1,COUNTIFS('Opportunity Details'!$C$14,'Client Rates and Roles'!$D$2:$D$433,H103,'Client Rates and Roles'!$B$2:$B$433,J103,'Client Rates and Roles'!$C$2:$C$433,$C$6,'Client Rates and Roles'!$A$2:$A$433),0))</f>
        <v>#N/A</v>
      </c>
      <c r="M103" s="440" t="e">
        <f t="shared" si="2"/>
        <v>#N/A</v>
      </c>
      <c r="N103" s="439"/>
      <c r="O103" s="439"/>
      <c r="P103" s="439"/>
      <c r="Q103" s="329"/>
      <c r="R103" s="329"/>
      <c r="S103" s="329"/>
      <c r="T103" s="329"/>
      <c r="U103" s="329"/>
      <c r="V103" s="329"/>
      <c r="W103" s="329"/>
      <c r="X103" s="329"/>
      <c r="Y103" s="329"/>
      <c r="Z103" s="329"/>
      <c r="AA103" s="329"/>
      <c r="AB103" s="329"/>
      <c r="AC103" s="331">
        <f>SUM(Table1453[[#This Row],[Program Director 
(IT Workflow - US)]:[Engineer
(IT Workflow - US)]])</f>
        <v>0</v>
      </c>
      <c r="AD103" s="332"/>
      <c r="AE103" s="329"/>
      <c r="AF103" s="329"/>
      <c r="AG103" s="329"/>
      <c r="AH103" s="329"/>
      <c r="AI103" s="329"/>
      <c r="AJ103" s="329"/>
      <c r="AK103" s="329"/>
      <c r="AL103" s="329"/>
      <c r="AM103" s="329"/>
      <c r="AN103" s="329"/>
      <c r="AO103" s="329"/>
      <c r="AP103" s="329"/>
      <c r="AQ103" s="333">
        <f>SUM(Table1453[[#This Row],[Program Director 
(Customer and Employee Workflow - US)]:[Engineer
(Customer and Employee Workflow - US)]])</f>
        <v>0</v>
      </c>
      <c r="AR103" s="329"/>
      <c r="AS103" s="329"/>
      <c r="AT103" s="329"/>
      <c r="AU103" s="329"/>
      <c r="AV103" s="329"/>
      <c r="AW103" s="329"/>
      <c r="AX103" s="329"/>
      <c r="AY103" s="329"/>
      <c r="AZ103" s="329"/>
      <c r="BA103" s="329"/>
      <c r="BB103" s="329"/>
      <c r="BC103" s="329"/>
      <c r="BD103" s="329"/>
      <c r="BE103" s="305"/>
      <c r="BF103" s="303"/>
    </row>
    <row r="104" spans="2:58" ht="25.5">
      <c r="B104" s="430"/>
      <c r="C104" s="438" t="s">
        <v>137</v>
      </c>
      <c r="D104" s="438" t="s">
        <v>577</v>
      </c>
      <c r="E104" s="438" t="s">
        <v>1072</v>
      </c>
      <c r="F104" s="438"/>
      <c r="G104" s="438"/>
      <c r="H104" s="438" t="s">
        <v>844</v>
      </c>
      <c r="I104" s="438"/>
      <c r="J104" s="438" t="s">
        <v>71</v>
      </c>
      <c r="K104" s="439">
        <v>4</v>
      </c>
      <c r="L104" s="440" t="e" cm="1">
        <f t="array" ref="L104">INDEX('Client Rates and Roles'!$F$2:$F$433,MATCH(1,COUNTIFS('Opportunity Details'!$C$14,'Client Rates and Roles'!$D$2:$D$433,H104,'Client Rates and Roles'!$B$2:$B$433,J104,'Client Rates and Roles'!$C$2:$C$433,$C$6,'Client Rates and Roles'!$A$2:$A$433),0))</f>
        <v>#N/A</v>
      </c>
      <c r="M104" s="440" t="e">
        <f>K104*L104</f>
        <v>#N/A</v>
      </c>
      <c r="N104" s="439"/>
      <c r="O104" s="439"/>
      <c r="P104" s="439"/>
      <c r="Q104" s="329"/>
      <c r="R104" s="329"/>
      <c r="S104" s="329"/>
      <c r="T104" s="329"/>
      <c r="U104" s="329"/>
      <c r="V104" s="329"/>
      <c r="W104" s="329"/>
      <c r="X104" s="329"/>
      <c r="Y104" s="329"/>
      <c r="Z104" s="329"/>
      <c r="AA104" s="329"/>
      <c r="AB104" s="329"/>
      <c r="AC104" s="331">
        <f>SUM(Table1453[[#This Row],[Program Director 
(IT Workflow - US)]:[Engineer
(IT Workflow - US)]])</f>
        <v>0</v>
      </c>
      <c r="AD104" s="332"/>
      <c r="AE104" s="329"/>
      <c r="AF104" s="329"/>
      <c r="AG104" s="329"/>
      <c r="AH104" s="329"/>
      <c r="AI104" s="329"/>
      <c r="AJ104" s="329"/>
      <c r="AK104" s="329"/>
      <c r="AL104" s="329"/>
      <c r="AM104" s="329"/>
      <c r="AN104" s="329"/>
      <c r="AO104" s="329"/>
      <c r="AP104" s="329"/>
      <c r="AQ104" s="333">
        <f>SUM(Table1453[[#This Row],[Program Director 
(Customer and Employee Workflow - US)]:[Engineer
(Customer and Employee Workflow - US)]])</f>
        <v>0</v>
      </c>
      <c r="AR104" s="329"/>
      <c r="AS104" s="329"/>
      <c r="AT104" s="329"/>
      <c r="AU104" s="329"/>
      <c r="AV104" s="329"/>
      <c r="AW104" s="329"/>
      <c r="AX104" s="329"/>
      <c r="AY104" s="329"/>
      <c r="AZ104" s="329"/>
      <c r="BA104" s="329"/>
      <c r="BB104" s="329"/>
      <c r="BC104" s="329"/>
      <c r="BD104" s="329"/>
      <c r="BE104" s="305">
        <f>SUM(Table1453[[#This Row],[Program Director 
(IT Workflow - US)]:[Chief Architect
(IT Workflow - US)]])</f>
        <v>0</v>
      </c>
      <c r="BF104" s="303"/>
    </row>
    <row r="105" spans="2:58" ht="25.5">
      <c r="B105" s="430"/>
      <c r="C105" s="438" t="s">
        <v>137</v>
      </c>
      <c r="D105" s="438" t="s">
        <v>146</v>
      </c>
      <c r="E105" s="438" t="s">
        <v>147</v>
      </c>
      <c r="F105" s="438"/>
      <c r="G105" s="438"/>
      <c r="H105" s="438" t="s">
        <v>844</v>
      </c>
      <c r="I105" s="438"/>
      <c r="J105" s="438" t="s">
        <v>71</v>
      </c>
      <c r="K105" s="439">
        <v>16</v>
      </c>
      <c r="L105" s="440" t="e" cm="1">
        <f t="array" ref="L105">INDEX('Client Rates and Roles'!$F$2:$F$433,MATCH(1,COUNTIFS('Opportunity Details'!$C$14,'Client Rates and Roles'!$D$2:$D$433,H105,'Client Rates and Roles'!$B$2:$B$433,J105,'Client Rates and Roles'!$C$2:$C$433,$C$6,'Client Rates and Roles'!$A$2:$A$433),0))</f>
        <v>#N/A</v>
      </c>
      <c r="M105" s="440" t="e">
        <f>K105*L105</f>
        <v>#N/A</v>
      </c>
      <c r="N105" s="439">
        <v>0</v>
      </c>
      <c r="O105" s="439"/>
      <c r="P105" s="439"/>
      <c r="Q105" s="329"/>
      <c r="R105" s="329"/>
      <c r="S105" s="329"/>
      <c r="T105" s="329"/>
      <c r="U105" s="329"/>
      <c r="V105" s="329"/>
      <c r="W105" s="329"/>
      <c r="X105" s="329"/>
      <c r="Y105" s="329"/>
      <c r="Z105" s="329"/>
      <c r="AA105" s="329"/>
      <c r="AB105" s="329"/>
      <c r="AC105" s="331">
        <f>SUM(Table1453[[#This Row],[Program Director 
(IT Workflow - US)]:[Engineer
(IT Workflow - US)]])</f>
        <v>0</v>
      </c>
      <c r="AD105" s="332"/>
      <c r="AE105" s="329"/>
      <c r="AF105" s="329"/>
      <c r="AG105" s="329"/>
      <c r="AH105" s="329"/>
      <c r="AI105" s="329"/>
      <c r="AJ105" s="329"/>
      <c r="AK105" s="329"/>
      <c r="AL105" s="329"/>
      <c r="AM105" s="329"/>
      <c r="AN105" s="329"/>
      <c r="AO105" s="329"/>
      <c r="AP105" s="329"/>
      <c r="AQ105" s="333">
        <f>SUM(Table1453[[#This Row],[Program Director 
(Customer and Employee Workflow - US)]:[Engineer
(Customer and Employee Workflow - US)]])</f>
        <v>0</v>
      </c>
      <c r="AR105" s="329"/>
      <c r="AS105" s="329"/>
      <c r="AT105" s="329"/>
      <c r="AU105" s="329"/>
      <c r="AV105" s="329"/>
      <c r="AW105" s="329"/>
      <c r="AX105" s="329"/>
      <c r="AY105" s="329"/>
      <c r="AZ105" s="329"/>
      <c r="BA105" s="329"/>
      <c r="BB105" s="329"/>
      <c r="BC105" s="329"/>
      <c r="BD105" s="329"/>
      <c r="BE105" s="305">
        <f>SUM(Table1453[[#This Row],[Program Director 
(IT Workflow - US)]:[Chief Architect
(IT Workflow - US)]])</f>
        <v>0</v>
      </c>
      <c r="BF105" s="303"/>
    </row>
    <row r="106" spans="2:58" ht="25.5">
      <c r="B106" s="430"/>
      <c r="C106" s="438" t="s">
        <v>137</v>
      </c>
      <c r="D106" s="438" t="s">
        <v>148</v>
      </c>
      <c r="E106" s="438" t="s">
        <v>149</v>
      </c>
      <c r="F106" s="438"/>
      <c r="G106" s="438"/>
      <c r="H106" s="438" t="s">
        <v>844</v>
      </c>
      <c r="I106" s="438"/>
      <c r="J106" s="438" t="s">
        <v>71</v>
      </c>
      <c r="K106" s="439">
        <v>16</v>
      </c>
      <c r="L106" s="440" t="e" cm="1">
        <f t="array" ref="L106">INDEX('Client Rates and Roles'!$F$2:$F$433,MATCH(1,COUNTIFS('Opportunity Details'!$C$14,'Client Rates and Roles'!$D$2:$D$433,H106,'Client Rates and Roles'!$B$2:$B$433,J106,'Client Rates and Roles'!$C$2:$C$433,$C$6,'Client Rates and Roles'!$A$2:$A$433),0))</f>
        <v>#N/A</v>
      </c>
      <c r="M106" s="440" t="e">
        <f>K106*L106</f>
        <v>#N/A</v>
      </c>
      <c r="N106" s="439">
        <v>0</v>
      </c>
      <c r="O106" s="439"/>
      <c r="P106" s="439">
        <v>2</v>
      </c>
      <c r="Q106" s="329"/>
      <c r="R106" s="329"/>
      <c r="S106" s="329"/>
      <c r="T106" s="329"/>
      <c r="U106" s="329"/>
      <c r="V106" s="329"/>
      <c r="W106" s="329"/>
      <c r="X106" s="329"/>
      <c r="Y106" s="329"/>
      <c r="Z106" s="329"/>
      <c r="AA106" s="329"/>
      <c r="AB106" s="329"/>
      <c r="AC106" s="331">
        <f>SUM(Table1453[[#This Row],[Program Director 
(IT Workflow - US)]:[Engineer
(IT Workflow - US)]])</f>
        <v>0</v>
      </c>
      <c r="AD106" s="332"/>
      <c r="AE106" s="329"/>
      <c r="AF106" s="329"/>
      <c r="AG106" s="329"/>
      <c r="AH106" s="329"/>
      <c r="AI106" s="329"/>
      <c r="AJ106" s="329"/>
      <c r="AK106" s="329"/>
      <c r="AL106" s="329"/>
      <c r="AM106" s="329"/>
      <c r="AN106" s="329"/>
      <c r="AO106" s="329"/>
      <c r="AP106" s="329"/>
      <c r="AQ106" s="333">
        <f>SUM(Table1453[[#This Row],[Program Director 
(Customer and Employee Workflow - US)]:[Engineer
(Customer and Employee Workflow - US)]])</f>
        <v>0</v>
      </c>
      <c r="AR106" s="329"/>
      <c r="AS106" s="329"/>
      <c r="AT106" s="329"/>
      <c r="AU106" s="329"/>
      <c r="AV106" s="329"/>
      <c r="AW106" s="329"/>
      <c r="AX106" s="329"/>
      <c r="AY106" s="329"/>
      <c r="AZ106" s="329"/>
      <c r="BA106" s="329"/>
      <c r="BB106" s="329"/>
      <c r="BC106" s="329"/>
      <c r="BD106" s="329"/>
      <c r="BE106" s="305">
        <f>SUM(Table1453[[#This Row],[Program Director 
(IT Workflow - US)]:[Chief Architect
(IT Workflow - US)]])</f>
        <v>0</v>
      </c>
      <c r="BF106" s="303"/>
    </row>
    <row r="107" spans="2:58">
      <c r="B107" s="430"/>
      <c r="C107" s="438" t="s">
        <v>137</v>
      </c>
      <c r="D107" s="438" t="s">
        <v>1073</v>
      </c>
      <c r="E107" s="438" t="s">
        <v>1074</v>
      </c>
      <c r="F107" s="438"/>
      <c r="G107" s="438"/>
      <c r="H107" s="438" t="s">
        <v>844</v>
      </c>
      <c r="I107" s="438" t="s">
        <v>419</v>
      </c>
      <c r="J107" s="438" t="s">
        <v>71</v>
      </c>
      <c r="K107" s="439">
        <v>40</v>
      </c>
      <c r="L107" s="440" t="e" cm="1">
        <f t="array" ref="L107">INDEX('Client Rates and Roles'!$F$2:$F$433,MATCH(1,COUNTIFS('Opportunity Details'!$C$14,'Client Rates and Roles'!$D$2:$D$433,H107,'Client Rates and Roles'!$B$2:$B$433,J107,'Client Rates and Roles'!$C$2:$C$433,$C$6,'Client Rates and Roles'!$A$2:$A$433),0))</f>
        <v>#N/A</v>
      </c>
      <c r="M107" s="440" t="e">
        <f t="shared" ref="M107:M110" si="3">K107*L107</f>
        <v>#N/A</v>
      </c>
      <c r="N107" s="439"/>
      <c r="O107" s="439"/>
      <c r="P107" s="439"/>
      <c r="Q107" s="329"/>
      <c r="R107" s="329"/>
      <c r="S107" s="329"/>
      <c r="T107" s="329"/>
      <c r="U107" s="329"/>
      <c r="V107" s="329"/>
      <c r="W107" s="329"/>
      <c r="X107" s="329"/>
      <c r="Y107" s="329"/>
      <c r="Z107" s="329"/>
      <c r="AA107" s="329"/>
      <c r="AB107" s="329"/>
      <c r="AC107" s="331">
        <f>SUM(Table1453[[#This Row],[Program Director 
(IT Workflow - US)]:[Engineer
(IT Workflow - US)]])</f>
        <v>0</v>
      </c>
      <c r="AD107" s="332"/>
      <c r="AE107" s="329"/>
      <c r="AF107" s="329"/>
      <c r="AG107" s="329"/>
      <c r="AH107" s="329"/>
      <c r="AI107" s="329"/>
      <c r="AJ107" s="329"/>
      <c r="AK107" s="329"/>
      <c r="AL107" s="329"/>
      <c r="AM107" s="329"/>
      <c r="AN107" s="329"/>
      <c r="AO107" s="329"/>
      <c r="AP107" s="329"/>
      <c r="AQ107" s="333">
        <f>SUM(Table1453[[#This Row],[Program Director 
(Customer and Employee Workflow - US)]:[Engineer
(Customer and Employee Workflow - US)]])</f>
        <v>0</v>
      </c>
      <c r="AR107" s="329"/>
      <c r="AS107" s="329"/>
      <c r="AT107" s="329"/>
      <c r="AU107" s="329"/>
      <c r="AV107" s="329"/>
      <c r="AW107" s="329"/>
      <c r="AX107" s="329"/>
      <c r="AY107" s="329"/>
      <c r="AZ107" s="329"/>
      <c r="BA107" s="329"/>
      <c r="BB107" s="329"/>
      <c r="BC107" s="329"/>
      <c r="BD107" s="329"/>
      <c r="BE107" s="305"/>
      <c r="BF107" s="303"/>
    </row>
    <row r="108" spans="2:58" ht="25.5">
      <c r="B108" s="430"/>
      <c r="C108" s="438" t="s">
        <v>137</v>
      </c>
      <c r="D108" s="438" t="s">
        <v>1075</v>
      </c>
      <c r="E108" s="438" t="s">
        <v>1076</v>
      </c>
      <c r="F108" s="438"/>
      <c r="G108" s="438"/>
      <c r="H108" s="438" t="s">
        <v>844</v>
      </c>
      <c r="I108" s="438" t="s">
        <v>419</v>
      </c>
      <c r="J108" s="438" t="s">
        <v>71</v>
      </c>
      <c r="K108" s="439">
        <v>40</v>
      </c>
      <c r="L108" s="440" t="e" cm="1">
        <f t="array" ref="L108">INDEX('Client Rates and Roles'!$F$2:$F$433,MATCH(1,COUNTIFS('Opportunity Details'!$C$14,'Client Rates and Roles'!$D$2:$D$433,H108,'Client Rates and Roles'!$B$2:$B$433,J108,'Client Rates and Roles'!$C$2:$C$433,$C$6,'Client Rates and Roles'!$A$2:$A$433),0))</f>
        <v>#N/A</v>
      </c>
      <c r="M108" s="440" t="e">
        <f t="shared" si="3"/>
        <v>#N/A</v>
      </c>
      <c r="N108" s="439"/>
      <c r="O108" s="439"/>
      <c r="P108" s="439"/>
      <c r="Q108" s="329"/>
      <c r="R108" s="329"/>
      <c r="S108" s="329"/>
      <c r="T108" s="329"/>
      <c r="U108" s="329"/>
      <c r="V108" s="329"/>
      <c r="W108" s="329"/>
      <c r="X108" s="329"/>
      <c r="Y108" s="329"/>
      <c r="Z108" s="329"/>
      <c r="AA108" s="329"/>
      <c r="AB108" s="329"/>
      <c r="AC108" s="331">
        <f>SUM(Table1453[[#This Row],[Program Director 
(IT Workflow - US)]:[Engineer
(IT Workflow - US)]])</f>
        <v>0</v>
      </c>
      <c r="AD108" s="332"/>
      <c r="AE108" s="329"/>
      <c r="AF108" s="329"/>
      <c r="AG108" s="329"/>
      <c r="AH108" s="329"/>
      <c r="AI108" s="329"/>
      <c r="AJ108" s="329"/>
      <c r="AK108" s="329"/>
      <c r="AL108" s="329"/>
      <c r="AM108" s="329"/>
      <c r="AN108" s="329"/>
      <c r="AO108" s="329"/>
      <c r="AP108" s="329"/>
      <c r="AQ108" s="333">
        <f>SUM(Table1453[[#This Row],[Program Director 
(Customer and Employee Workflow - US)]:[Engineer
(Customer and Employee Workflow - US)]])</f>
        <v>0</v>
      </c>
      <c r="AR108" s="329"/>
      <c r="AS108" s="329"/>
      <c r="AT108" s="329"/>
      <c r="AU108" s="329"/>
      <c r="AV108" s="329"/>
      <c r="AW108" s="329"/>
      <c r="AX108" s="329"/>
      <c r="AY108" s="329"/>
      <c r="AZ108" s="329"/>
      <c r="BA108" s="329"/>
      <c r="BB108" s="329"/>
      <c r="BC108" s="329"/>
      <c r="BD108" s="329"/>
      <c r="BE108" s="305"/>
      <c r="BF108" s="303"/>
    </row>
    <row r="109" spans="2:58" ht="25.5">
      <c r="B109" s="430"/>
      <c r="C109" s="438" t="s">
        <v>137</v>
      </c>
      <c r="D109" s="438" t="s">
        <v>1077</v>
      </c>
      <c r="E109" s="438" t="s">
        <v>1078</v>
      </c>
      <c r="F109" s="438"/>
      <c r="G109" s="438"/>
      <c r="H109" s="438" t="s">
        <v>844</v>
      </c>
      <c r="I109" s="438" t="s">
        <v>419</v>
      </c>
      <c r="J109" s="438" t="s">
        <v>71</v>
      </c>
      <c r="K109" s="439">
        <v>8</v>
      </c>
      <c r="L109" s="440" t="e" cm="1">
        <f t="array" ref="L109">INDEX('Client Rates and Roles'!$F$2:$F$433,MATCH(1,COUNTIFS('Opportunity Details'!$C$14,'Client Rates and Roles'!$D$2:$D$433,H109,'Client Rates and Roles'!$B$2:$B$433,J109,'Client Rates and Roles'!$C$2:$C$433,$C$6,'Client Rates and Roles'!$A$2:$A$433),0))</f>
        <v>#N/A</v>
      </c>
      <c r="M109" s="440" t="e">
        <f t="shared" si="3"/>
        <v>#N/A</v>
      </c>
      <c r="N109" s="439"/>
      <c r="O109" s="439"/>
      <c r="P109" s="439"/>
      <c r="Q109" s="329"/>
      <c r="R109" s="329"/>
      <c r="S109" s="329"/>
      <c r="T109" s="329"/>
      <c r="U109" s="329"/>
      <c r="V109" s="329"/>
      <c r="W109" s="329"/>
      <c r="X109" s="329"/>
      <c r="Y109" s="329"/>
      <c r="Z109" s="329"/>
      <c r="AA109" s="329"/>
      <c r="AB109" s="329"/>
      <c r="AC109" s="331">
        <f>SUM(Table1453[[#This Row],[Program Director 
(IT Workflow - US)]:[Engineer
(IT Workflow - US)]])</f>
        <v>0</v>
      </c>
      <c r="AD109" s="332"/>
      <c r="AE109" s="329"/>
      <c r="AF109" s="329"/>
      <c r="AG109" s="329"/>
      <c r="AH109" s="329"/>
      <c r="AI109" s="329"/>
      <c r="AJ109" s="329"/>
      <c r="AK109" s="329"/>
      <c r="AL109" s="329"/>
      <c r="AM109" s="329"/>
      <c r="AN109" s="329"/>
      <c r="AO109" s="329"/>
      <c r="AP109" s="329"/>
      <c r="AQ109" s="333">
        <f>SUM(Table1453[[#This Row],[Program Director 
(Customer and Employee Workflow - US)]:[Engineer
(Customer and Employee Workflow - US)]])</f>
        <v>0</v>
      </c>
      <c r="AR109" s="329"/>
      <c r="AS109" s="329"/>
      <c r="AT109" s="329"/>
      <c r="AU109" s="329"/>
      <c r="AV109" s="329"/>
      <c r="AW109" s="329"/>
      <c r="AX109" s="329"/>
      <c r="AY109" s="329"/>
      <c r="AZ109" s="329"/>
      <c r="BA109" s="329"/>
      <c r="BB109" s="329"/>
      <c r="BC109" s="329"/>
      <c r="BD109" s="329"/>
      <c r="BE109" s="305"/>
      <c r="BF109" s="303"/>
    </row>
    <row r="110" spans="2:58" ht="25.5">
      <c r="B110" s="430"/>
      <c r="C110" s="438" t="s">
        <v>137</v>
      </c>
      <c r="D110" s="438" t="s">
        <v>1079</v>
      </c>
      <c r="E110" s="438" t="s">
        <v>1080</v>
      </c>
      <c r="F110" s="438"/>
      <c r="G110" s="438"/>
      <c r="H110" s="438" t="s">
        <v>844</v>
      </c>
      <c r="I110" s="438" t="s">
        <v>419</v>
      </c>
      <c r="J110" s="438" t="s">
        <v>71</v>
      </c>
      <c r="K110" s="439">
        <v>32</v>
      </c>
      <c r="L110" s="440" t="e" cm="1">
        <f t="array" ref="L110">INDEX('Client Rates and Roles'!$F$2:$F$433,MATCH(1,COUNTIFS('Opportunity Details'!$C$14,'Client Rates and Roles'!$D$2:$D$433,H110,'Client Rates and Roles'!$B$2:$B$433,J110,'Client Rates and Roles'!$C$2:$C$433,$C$6,'Client Rates and Roles'!$A$2:$A$433),0))</f>
        <v>#N/A</v>
      </c>
      <c r="M110" s="440" t="e">
        <f t="shared" si="3"/>
        <v>#N/A</v>
      </c>
      <c r="N110" s="439"/>
      <c r="O110" s="439"/>
      <c r="P110" s="439"/>
      <c r="Q110" s="329"/>
      <c r="R110" s="329"/>
      <c r="S110" s="329"/>
      <c r="T110" s="329"/>
      <c r="U110" s="329"/>
      <c r="V110" s="329"/>
      <c r="W110" s="329"/>
      <c r="X110" s="329"/>
      <c r="Y110" s="329"/>
      <c r="Z110" s="329"/>
      <c r="AA110" s="329"/>
      <c r="AB110" s="329"/>
      <c r="AC110" s="331">
        <f>SUM(Table1453[[#This Row],[Program Director 
(IT Workflow - US)]:[Engineer
(IT Workflow - US)]])</f>
        <v>0</v>
      </c>
      <c r="AD110" s="332"/>
      <c r="AE110" s="329"/>
      <c r="AF110" s="329"/>
      <c r="AG110" s="329"/>
      <c r="AH110" s="329"/>
      <c r="AI110" s="329"/>
      <c r="AJ110" s="329"/>
      <c r="AK110" s="329"/>
      <c r="AL110" s="329"/>
      <c r="AM110" s="329"/>
      <c r="AN110" s="329"/>
      <c r="AO110" s="329"/>
      <c r="AP110" s="329"/>
      <c r="AQ110" s="333">
        <f>SUM(Table1453[[#This Row],[Program Director 
(Customer and Employee Workflow - US)]:[Engineer
(Customer and Employee Workflow - US)]])</f>
        <v>0</v>
      </c>
      <c r="AR110" s="329"/>
      <c r="AS110" s="329"/>
      <c r="AT110" s="329"/>
      <c r="AU110" s="329"/>
      <c r="AV110" s="329"/>
      <c r="AW110" s="329"/>
      <c r="AX110" s="329"/>
      <c r="AY110" s="329"/>
      <c r="AZ110" s="329"/>
      <c r="BA110" s="329"/>
      <c r="BB110" s="329"/>
      <c r="BC110" s="329"/>
      <c r="BD110" s="329"/>
      <c r="BE110" s="305"/>
      <c r="BF110" s="303"/>
    </row>
    <row r="111" spans="2:58" ht="38.25">
      <c r="B111" s="430"/>
      <c r="C111" s="438" t="s">
        <v>137</v>
      </c>
      <c r="D111" s="438" t="s">
        <v>1081</v>
      </c>
      <c r="E111" s="438" t="s">
        <v>149</v>
      </c>
      <c r="F111" s="438"/>
      <c r="G111" s="438"/>
      <c r="H111" s="438" t="s">
        <v>844</v>
      </c>
      <c r="I111" s="438" t="s">
        <v>419</v>
      </c>
      <c r="J111" s="438" t="s">
        <v>66</v>
      </c>
      <c r="K111" s="439">
        <v>16</v>
      </c>
      <c r="L111" s="440" t="e" cm="1">
        <f t="array" ref="L111">INDEX('Client Rates and Roles'!$F$2:$F$433,MATCH(1,COUNTIFS('Opportunity Details'!$C$14,'Client Rates and Roles'!$D$2:$D$433,H111,'Client Rates and Roles'!$B$2:$B$433,J111,'Client Rates and Roles'!$C$2:$C$433,$C$6,'Client Rates and Roles'!$A$2:$A$433),0))</f>
        <v>#N/A</v>
      </c>
      <c r="M111" s="440" t="e">
        <f>K111*L111</f>
        <v>#N/A</v>
      </c>
      <c r="N111" s="439">
        <v>0</v>
      </c>
      <c r="O111" s="439"/>
      <c r="P111" s="439">
        <v>2</v>
      </c>
      <c r="Q111" s="329"/>
      <c r="R111" s="329"/>
      <c r="S111" s="329"/>
      <c r="T111" s="329"/>
      <c r="U111" s="329"/>
      <c r="V111" s="329"/>
      <c r="W111" s="329"/>
      <c r="X111" s="329"/>
      <c r="Y111" s="329"/>
      <c r="Z111" s="329"/>
      <c r="AA111" s="329"/>
      <c r="AB111" s="329"/>
      <c r="AC111" s="331">
        <f>SUM(Table1453[[#This Row],[Program Director 
(IT Workflow - US)]:[Engineer
(IT Workflow - US)]])</f>
        <v>0</v>
      </c>
      <c r="AD111" s="332"/>
      <c r="AE111" s="329"/>
      <c r="AF111" s="329"/>
      <c r="AG111" s="329"/>
      <c r="AH111" s="329"/>
      <c r="AI111" s="329"/>
      <c r="AJ111" s="329"/>
      <c r="AK111" s="329"/>
      <c r="AL111" s="329"/>
      <c r="AM111" s="329"/>
      <c r="AN111" s="329"/>
      <c r="AO111" s="329"/>
      <c r="AP111" s="329"/>
      <c r="AQ111" s="333">
        <f>SUM(Table1453[[#This Row],[Program Director 
(Customer and Employee Workflow - US)]:[Engineer
(Customer and Employee Workflow - US)]])</f>
        <v>0</v>
      </c>
      <c r="AR111" s="329"/>
      <c r="AS111" s="329"/>
      <c r="AT111" s="329"/>
      <c r="AU111" s="329"/>
      <c r="AV111" s="329"/>
      <c r="AW111" s="329"/>
      <c r="AX111" s="329"/>
      <c r="AY111" s="329"/>
      <c r="AZ111" s="329"/>
      <c r="BA111" s="329"/>
      <c r="BB111" s="329"/>
      <c r="BC111" s="329"/>
      <c r="BD111" s="329"/>
      <c r="BE111" s="305">
        <f>SUM(Table1453[[#This Row],[Program Director 
(IT Workflow - US)]:[Chief Architect
(IT Workflow - US)]])</f>
        <v>0</v>
      </c>
      <c r="BF111" s="303"/>
    </row>
    <row r="112" spans="2:58">
      <c r="B112" s="431" t="s">
        <v>150</v>
      </c>
      <c r="C112" s="432"/>
      <c r="D112" s="432"/>
      <c r="E112" s="432"/>
      <c r="F112" s="432"/>
      <c r="G112" s="432"/>
      <c r="H112" s="432"/>
      <c r="I112" s="432"/>
      <c r="J112" s="432"/>
      <c r="K112" s="433"/>
      <c r="L112" s="434"/>
      <c r="M112" s="434"/>
      <c r="N112" s="433"/>
      <c r="O112" s="433"/>
      <c r="P112" s="433"/>
      <c r="Q112" s="329"/>
      <c r="R112" s="329"/>
      <c r="S112" s="329"/>
      <c r="T112" s="329"/>
      <c r="U112" s="329"/>
      <c r="V112" s="329"/>
      <c r="W112" s="329"/>
      <c r="X112" s="329"/>
      <c r="Y112" s="329"/>
      <c r="Z112" s="329"/>
      <c r="AA112" s="329"/>
      <c r="AB112" s="329"/>
      <c r="AC112" s="331">
        <f>SUM(Table1453[[#This Row],[Program Director 
(IT Workflow - US)]:[Engineer
(IT Workflow - US)]])</f>
        <v>0</v>
      </c>
      <c r="AD112" s="332"/>
      <c r="AE112" s="329"/>
      <c r="AF112" s="329"/>
      <c r="AG112" s="329"/>
      <c r="AH112" s="329"/>
      <c r="AI112" s="329"/>
      <c r="AJ112" s="329"/>
      <c r="AK112" s="329"/>
      <c r="AL112" s="329"/>
      <c r="AM112" s="329"/>
      <c r="AN112" s="329"/>
      <c r="AO112" s="329"/>
      <c r="AP112" s="329"/>
      <c r="AQ112" s="333">
        <f>SUM(Table1453[[#This Row],[Program Director 
(Customer and Employee Workflow - US)]:[Engineer
(Customer and Employee Workflow - US)]])</f>
        <v>0</v>
      </c>
      <c r="AR112" s="329"/>
      <c r="AS112" s="329"/>
      <c r="AT112" s="329"/>
      <c r="AU112" s="329"/>
      <c r="AV112" s="329"/>
      <c r="AW112" s="329"/>
      <c r="AX112" s="329"/>
      <c r="AY112" s="329"/>
      <c r="AZ112" s="329"/>
      <c r="BA112" s="329"/>
      <c r="BB112" s="329"/>
      <c r="BC112" s="329"/>
      <c r="BD112" s="329"/>
      <c r="BE112" s="305"/>
      <c r="BF112" s="303"/>
    </row>
    <row r="113" spans="2:58" ht="51">
      <c r="B113" s="435"/>
      <c r="C113" s="438" t="s">
        <v>151</v>
      </c>
      <c r="D113" s="438" t="s">
        <v>152</v>
      </c>
      <c r="E113" s="438" t="s">
        <v>153</v>
      </c>
      <c r="F113" s="438"/>
      <c r="G113" s="438"/>
      <c r="H113" s="438" t="s">
        <v>844</v>
      </c>
      <c r="I113" s="438"/>
      <c r="J113" s="438" t="s">
        <v>71</v>
      </c>
      <c r="K113" s="439">
        <v>4</v>
      </c>
      <c r="L113" s="440" t="e" cm="1">
        <f t="array" ref="L113">INDEX('Client Rates and Roles'!$F$2:$F$433,MATCH(1,COUNTIFS('Opportunity Details'!$C$14,'Client Rates and Roles'!$D$2:$D$433,H113,'Client Rates and Roles'!$B$2:$B$433,J113,'Client Rates and Roles'!$C$2:$C$433,$C$6,'Client Rates and Roles'!$A$2:$A$433),0))</f>
        <v>#N/A</v>
      </c>
      <c r="M113" s="440" t="e">
        <f t="shared" ref="M113" si="4">K113*L113</f>
        <v>#N/A</v>
      </c>
      <c r="N113" s="439"/>
      <c r="O113" s="439"/>
      <c r="P113" s="439">
        <v>2</v>
      </c>
      <c r="Q113" s="329"/>
      <c r="R113" s="329"/>
      <c r="S113" s="329"/>
      <c r="T113" s="329"/>
      <c r="U113" s="329"/>
      <c r="V113" s="329"/>
      <c r="W113" s="329"/>
      <c r="X113" s="329"/>
      <c r="Y113" s="329"/>
      <c r="Z113" s="329"/>
      <c r="AA113" s="329"/>
      <c r="AB113" s="329"/>
      <c r="AC113" s="331">
        <f>SUM(Table1453[[#This Row],[Program Director 
(IT Workflow - US)]:[Engineer
(IT Workflow - US)]])</f>
        <v>0</v>
      </c>
      <c r="AD113" s="332"/>
      <c r="AE113" s="329"/>
      <c r="AF113" s="329"/>
      <c r="AG113" s="329"/>
      <c r="AH113" s="329"/>
      <c r="AI113" s="329"/>
      <c r="AJ113" s="329"/>
      <c r="AK113" s="329"/>
      <c r="AL113" s="329"/>
      <c r="AM113" s="329"/>
      <c r="AN113" s="329"/>
      <c r="AO113" s="329"/>
      <c r="AP113" s="329"/>
      <c r="AQ113" s="333">
        <f>SUM(Table1453[[#This Row],[Program Director 
(Customer and Employee Workflow - US)]:[Engineer
(Customer and Employee Workflow - US)]])</f>
        <v>0</v>
      </c>
      <c r="AR113" s="329"/>
      <c r="AS113" s="329"/>
      <c r="AT113" s="329"/>
      <c r="AU113" s="329"/>
      <c r="AV113" s="329"/>
      <c r="AW113" s="329"/>
      <c r="AX113" s="329"/>
      <c r="AY113" s="329"/>
      <c r="AZ113" s="329"/>
      <c r="BA113" s="329"/>
      <c r="BB113" s="329"/>
      <c r="BC113" s="329"/>
      <c r="BD113" s="329"/>
      <c r="BE113" s="305">
        <f>SUM(Table1453[[#This Row],[Program Director 
(IT Workflow - US)]:[Chief Architect
(IT Workflow - US)]])</f>
        <v>0</v>
      </c>
      <c r="BF113" s="303"/>
    </row>
    <row r="114" spans="2:58" ht="25.5">
      <c r="B114" s="435"/>
      <c r="C114" s="438" t="s">
        <v>151</v>
      </c>
      <c r="D114" s="438" t="s">
        <v>154</v>
      </c>
      <c r="E114" s="438" t="s">
        <v>1082</v>
      </c>
      <c r="F114" s="438"/>
      <c r="G114" s="438"/>
      <c r="H114" s="438" t="s">
        <v>844</v>
      </c>
      <c r="I114" s="438"/>
      <c r="J114" s="438" t="s">
        <v>71</v>
      </c>
      <c r="K114" s="439">
        <v>80</v>
      </c>
      <c r="L114" s="440" t="e" cm="1">
        <f t="array" ref="L114">INDEX('Client Rates and Roles'!$F$2:$F$433,MATCH(1,COUNTIFS('Opportunity Details'!$C$14,'Client Rates and Roles'!$D$2:$D$433,H114,'Client Rates and Roles'!$B$2:$B$433,J114,'Client Rates and Roles'!$C$2:$C$433,$C$6,'Client Rates and Roles'!$A$2:$A$433),0))</f>
        <v>#N/A</v>
      </c>
      <c r="M114" s="440" t="e">
        <f>K114*L114</f>
        <v>#N/A</v>
      </c>
      <c r="N114" s="439"/>
      <c r="O114" s="439"/>
      <c r="P114" s="439">
        <v>2</v>
      </c>
      <c r="Q114" s="329"/>
      <c r="R114" s="329"/>
      <c r="S114" s="329"/>
      <c r="T114" s="329"/>
      <c r="U114" s="329"/>
      <c r="V114" s="329"/>
      <c r="W114" s="329"/>
      <c r="X114" s="329"/>
      <c r="Y114" s="329"/>
      <c r="Z114" s="329"/>
      <c r="AA114" s="329"/>
      <c r="AB114" s="329"/>
      <c r="AC114" s="331">
        <f>SUM(Table1453[[#This Row],[Program Director 
(IT Workflow - US)]:[Engineer
(IT Workflow - US)]])</f>
        <v>0</v>
      </c>
      <c r="AD114" s="332"/>
      <c r="AE114" s="329"/>
      <c r="AF114" s="329"/>
      <c r="AG114" s="329"/>
      <c r="AH114" s="329"/>
      <c r="AI114" s="329"/>
      <c r="AJ114" s="329"/>
      <c r="AK114" s="329"/>
      <c r="AL114" s="329"/>
      <c r="AM114" s="329"/>
      <c r="AN114" s="329"/>
      <c r="AO114" s="329"/>
      <c r="AP114" s="329"/>
      <c r="AQ114" s="333">
        <f>SUM(Table1453[[#This Row],[Program Director 
(Customer and Employee Workflow - US)]:[Engineer
(Customer and Employee Workflow - US)]])</f>
        <v>0</v>
      </c>
      <c r="AR114" s="329"/>
      <c r="AS114" s="329"/>
      <c r="AT114" s="329"/>
      <c r="AU114" s="329"/>
      <c r="AV114" s="329"/>
      <c r="AW114" s="329"/>
      <c r="AX114" s="329"/>
      <c r="AY114" s="329"/>
      <c r="AZ114" s="329"/>
      <c r="BA114" s="329"/>
      <c r="BB114" s="329"/>
      <c r="BC114" s="329"/>
      <c r="BD114" s="329"/>
      <c r="BE114" s="305">
        <f>SUM(Table1453[[#This Row],[Program Director 
(IT Workflow - US)]:[Chief Architect
(IT Workflow - US)]])</f>
        <v>0</v>
      </c>
      <c r="BF114" s="303"/>
    </row>
    <row r="115" spans="2:58" ht="51">
      <c r="B115" s="435"/>
      <c r="C115" s="438" t="s">
        <v>151</v>
      </c>
      <c r="D115" s="438" t="s">
        <v>1083</v>
      </c>
      <c r="E115" s="438" t="s">
        <v>153</v>
      </c>
      <c r="F115" s="438"/>
      <c r="G115" s="438"/>
      <c r="H115" s="438" t="s">
        <v>844</v>
      </c>
      <c r="I115" s="438" t="s">
        <v>419</v>
      </c>
      <c r="J115" s="438" t="s">
        <v>71</v>
      </c>
      <c r="K115" s="439">
        <v>4</v>
      </c>
      <c r="L115" s="440" t="e" cm="1">
        <f t="array" ref="L115">INDEX('Client Rates and Roles'!$F$2:$F$433,MATCH(1,COUNTIFS('Opportunity Details'!$C$14,'Client Rates and Roles'!$D$2:$D$433,H115,'Client Rates and Roles'!$B$2:$B$433,J115,'Client Rates and Roles'!$C$2:$C$433,$C$6,'Client Rates and Roles'!$A$2:$A$433),0))</f>
        <v>#N/A</v>
      </c>
      <c r="M115" s="440" t="e">
        <f t="shared" ref="M115:M123" si="5">K115*L115</f>
        <v>#N/A</v>
      </c>
      <c r="N115" s="439"/>
      <c r="O115" s="439"/>
      <c r="P115" s="439">
        <v>2</v>
      </c>
      <c r="Q115" s="329"/>
      <c r="R115" s="329"/>
      <c r="S115" s="329"/>
      <c r="T115" s="329"/>
      <c r="U115" s="329"/>
      <c r="V115" s="329"/>
      <c r="W115" s="329"/>
      <c r="X115" s="329"/>
      <c r="Y115" s="329"/>
      <c r="Z115" s="329"/>
      <c r="AA115" s="329"/>
      <c r="AB115" s="329"/>
      <c r="AC115" s="331">
        <f>SUM(Table1453[[#This Row],[Program Director 
(IT Workflow - US)]:[Engineer
(IT Workflow - US)]])</f>
        <v>0</v>
      </c>
      <c r="AD115" s="332"/>
      <c r="AE115" s="329"/>
      <c r="AF115" s="329"/>
      <c r="AG115" s="329"/>
      <c r="AH115" s="329"/>
      <c r="AI115" s="329"/>
      <c r="AJ115" s="329"/>
      <c r="AK115" s="329"/>
      <c r="AL115" s="329"/>
      <c r="AM115" s="329"/>
      <c r="AN115" s="329"/>
      <c r="AO115" s="329"/>
      <c r="AP115" s="329"/>
      <c r="AQ115" s="333">
        <f>SUM(Table1453[[#This Row],[Program Director 
(Customer and Employee Workflow - US)]:[Engineer
(Customer and Employee Workflow - US)]])</f>
        <v>0</v>
      </c>
      <c r="AR115" s="329"/>
      <c r="AS115" s="329"/>
      <c r="AT115" s="329"/>
      <c r="AU115" s="329"/>
      <c r="AV115" s="329"/>
      <c r="AW115" s="329"/>
      <c r="AX115" s="329"/>
      <c r="AY115" s="329"/>
      <c r="AZ115" s="329"/>
      <c r="BA115" s="329"/>
      <c r="BB115" s="329"/>
      <c r="BC115" s="329"/>
      <c r="BD115" s="329"/>
      <c r="BE115" s="305"/>
      <c r="BF115" s="303"/>
    </row>
    <row r="116" spans="2:58" ht="25.5">
      <c r="B116" s="435"/>
      <c r="C116" s="438" t="s">
        <v>151</v>
      </c>
      <c r="D116" s="438" t="s">
        <v>1084</v>
      </c>
      <c r="E116" s="438" t="s">
        <v>1082</v>
      </c>
      <c r="F116" s="438"/>
      <c r="G116" s="438"/>
      <c r="H116" s="438" t="s">
        <v>844</v>
      </c>
      <c r="I116" s="438" t="s">
        <v>419</v>
      </c>
      <c r="J116" s="438" t="s">
        <v>71</v>
      </c>
      <c r="K116" s="439">
        <v>80</v>
      </c>
      <c r="L116" s="440" t="e" cm="1">
        <f t="array" ref="L116">INDEX('Client Rates and Roles'!$F$2:$F$433,MATCH(1,COUNTIFS('Opportunity Details'!$C$14,'Client Rates and Roles'!$D$2:$D$433,H116,'Client Rates and Roles'!$B$2:$B$433,J116,'Client Rates and Roles'!$C$2:$C$433,$C$6,'Client Rates and Roles'!$A$2:$A$433),0))</f>
        <v>#N/A</v>
      </c>
      <c r="M116" s="440" t="e">
        <f t="shared" si="5"/>
        <v>#N/A</v>
      </c>
      <c r="N116" s="439"/>
      <c r="O116" s="439"/>
      <c r="P116" s="439"/>
      <c r="Q116" s="329"/>
      <c r="R116" s="329"/>
      <c r="S116" s="329"/>
      <c r="T116" s="329"/>
      <c r="U116" s="329"/>
      <c r="V116" s="329"/>
      <c r="W116" s="329"/>
      <c r="X116" s="329"/>
      <c r="Y116" s="329"/>
      <c r="Z116" s="329"/>
      <c r="AA116" s="329"/>
      <c r="AB116" s="329"/>
      <c r="AC116" s="331">
        <f>SUM(Table1453[[#This Row],[Program Director 
(IT Workflow - US)]:[Engineer
(IT Workflow - US)]])</f>
        <v>0</v>
      </c>
      <c r="AD116" s="332"/>
      <c r="AE116" s="329"/>
      <c r="AF116" s="329"/>
      <c r="AG116" s="329"/>
      <c r="AH116" s="329"/>
      <c r="AI116" s="329"/>
      <c r="AJ116" s="329"/>
      <c r="AK116" s="329"/>
      <c r="AL116" s="329"/>
      <c r="AM116" s="329"/>
      <c r="AN116" s="329"/>
      <c r="AO116" s="329"/>
      <c r="AP116" s="329"/>
      <c r="AQ116" s="333">
        <f>SUM(Table1453[[#This Row],[Program Director 
(Customer and Employee Workflow - US)]:[Engineer
(Customer and Employee Workflow - US)]])</f>
        <v>0</v>
      </c>
      <c r="AR116" s="329"/>
      <c r="AS116" s="329"/>
      <c r="AT116" s="329"/>
      <c r="AU116" s="329"/>
      <c r="AV116" s="329"/>
      <c r="AW116" s="329"/>
      <c r="AX116" s="329"/>
      <c r="AY116" s="329"/>
      <c r="AZ116" s="329"/>
      <c r="BA116" s="329"/>
      <c r="BB116" s="329"/>
      <c r="BC116" s="329"/>
      <c r="BD116" s="329"/>
      <c r="BE116" s="305"/>
      <c r="BF116" s="303"/>
    </row>
    <row r="117" spans="2:58">
      <c r="B117" s="435"/>
      <c r="C117" s="438" t="s">
        <v>151</v>
      </c>
      <c r="D117" s="438" t="s">
        <v>156</v>
      </c>
      <c r="E117" s="438" t="s">
        <v>157</v>
      </c>
      <c r="F117" s="438"/>
      <c r="G117" s="438"/>
      <c r="H117" s="438" t="s">
        <v>158</v>
      </c>
      <c r="I117" s="438"/>
      <c r="J117" s="438" t="s">
        <v>71</v>
      </c>
      <c r="K117" s="439">
        <v>4</v>
      </c>
      <c r="L117" s="440" t="e" cm="1">
        <f t="array" ref="L117">INDEX('Client Rates and Roles'!$F$2:$F$433,MATCH(1,COUNTIFS('Opportunity Details'!$C$14,'Client Rates and Roles'!$D$2:$D$433,H117,'Client Rates and Roles'!$B$2:$B$433,J117,'Client Rates and Roles'!$C$2:$C$433,$C$6,'Client Rates and Roles'!$A$2:$A$433),0))</f>
        <v>#N/A</v>
      </c>
      <c r="M117" s="440" t="e">
        <f t="shared" si="5"/>
        <v>#N/A</v>
      </c>
      <c r="N117" s="439"/>
      <c r="O117" s="439">
        <v>4</v>
      </c>
      <c r="P117" s="439">
        <v>4</v>
      </c>
      <c r="Q117" s="329"/>
      <c r="R117" s="329"/>
      <c r="S117" s="329"/>
      <c r="T117" s="329"/>
      <c r="U117" s="329"/>
      <c r="V117" s="329"/>
      <c r="W117" s="329"/>
      <c r="X117" s="329"/>
      <c r="Y117" s="329"/>
      <c r="Z117" s="329"/>
      <c r="AA117" s="329"/>
      <c r="AB117" s="329"/>
      <c r="AC117" s="331">
        <f>SUM(Table1453[[#This Row],[Program Director 
(IT Workflow - US)]:[Engineer
(IT Workflow - US)]])</f>
        <v>0</v>
      </c>
      <c r="AD117" s="332"/>
      <c r="AE117" s="329"/>
      <c r="AF117" s="329"/>
      <c r="AG117" s="329"/>
      <c r="AH117" s="329"/>
      <c r="AI117" s="329"/>
      <c r="AJ117" s="329"/>
      <c r="AK117" s="329"/>
      <c r="AL117" s="329"/>
      <c r="AM117" s="329"/>
      <c r="AN117" s="329"/>
      <c r="AO117" s="329"/>
      <c r="AP117" s="329"/>
      <c r="AQ117" s="333">
        <f>SUM(Table1453[[#This Row],[Program Director 
(Customer and Employee Workflow - US)]:[Engineer
(Customer and Employee Workflow - US)]])</f>
        <v>0</v>
      </c>
      <c r="AR117" s="329"/>
      <c r="AS117" s="329"/>
      <c r="AT117" s="329"/>
      <c r="AU117" s="329"/>
      <c r="AV117" s="329"/>
      <c r="AW117" s="329"/>
      <c r="AX117" s="329"/>
      <c r="AY117" s="329"/>
      <c r="AZ117" s="329"/>
      <c r="BA117" s="329"/>
      <c r="BB117" s="329"/>
      <c r="BC117" s="329"/>
      <c r="BD117" s="329"/>
      <c r="BE117" s="305">
        <f>SUM(Table1453[[#This Row],[Program Director 
(IT Workflow - US)]:[Chief Architect
(IT Workflow - US)]])</f>
        <v>0</v>
      </c>
      <c r="BF117" s="303"/>
    </row>
    <row r="118" spans="2:58">
      <c r="B118" s="435"/>
      <c r="C118" s="438" t="s">
        <v>151</v>
      </c>
      <c r="D118" s="438" t="s">
        <v>159</v>
      </c>
      <c r="E118" s="438" t="s">
        <v>160</v>
      </c>
      <c r="F118" s="438"/>
      <c r="G118" s="438"/>
      <c r="H118" s="438" t="s">
        <v>158</v>
      </c>
      <c r="I118" s="438"/>
      <c r="J118" s="438" t="s">
        <v>71</v>
      </c>
      <c r="K118" s="439">
        <v>4</v>
      </c>
      <c r="L118" s="440" t="e" cm="1">
        <f t="array" ref="L118">INDEX('Client Rates and Roles'!$F$2:$F$433,MATCH(1,COUNTIFS('Opportunity Details'!$C$14,'Client Rates and Roles'!$D$2:$D$433,H118,'Client Rates and Roles'!$B$2:$B$433,J118,'Client Rates and Roles'!$C$2:$C$433,$C$6,'Client Rates and Roles'!$A$2:$A$433),0))</f>
        <v>#N/A</v>
      </c>
      <c r="M118" s="440" t="e">
        <f t="shared" si="5"/>
        <v>#N/A</v>
      </c>
      <c r="N118" s="439"/>
      <c r="O118" s="439"/>
      <c r="P118" s="439"/>
      <c r="Q118" s="329"/>
      <c r="R118" s="329"/>
      <c r="S118" s="329"/>
      <c r="T118" s="329"/>
      <c r="U118" s="329"/>
      <c r="V118" s="329"/>
      <c r="W118" s="329"/>
      <c r="X118" s="329"/>
      <c r="Y118" s="329"/>
      <c r="Z118" s="329"/>
      <c r="AA118" s="329"/>
      <c r="AB118" s="329"/>
      <c r="AC118" s="331">
        <f>SUM(Table1453[[#This Row],[Program Director 
(IT Workflow - US)]:[Engineer
(IT Workflow - US)]])</f>
        <v>0</v>
      </c>
      <c r="AD118" s="332"/>
      <c r="AE118" s="329"/>
      <c r="AF118" s="329"/>
      <c r="AG118" s="329"/>
      <c r="AH118" s="329"/>
      <c r="AI118" s="329"/>
      <c r="AJ118" s="329"/>
      <c r="AK118" s="329"/>
      <c r="AL118" s="329"/>
      <c r="AM118" s="329"/>
      <c r="AN118" s="329"/>
      <c r="AO118" s="329"/>
      <c r="AP118" s="329"/>
      <c r="AQ118" s="333">
        <f>SUM(Table1453[[#This Row],[Program Director 
(Customer and Employee Workflow - US)]:[Engineer
(Customer and Employee Workflow - US)]])</f>
        <v>0</v>
      </c>
      <c r="AR118" s="329"/>
      <c r="AS118" s="329"/>
      <c r="AT118" s="329"/>
      <c r="AU118" s="329"/>
      <c r="AV118" s="329"/>
      <c r="AW118" s="329"/>
      <c r="AX118" s="329"/>
      <c r="AY118" s="329"/>
      <c r="AZ118" s="329"/>
      <c r="BA118" s="329"/>
      <c r="BB118" s="329"/>
      <c r="BC118" s="329"/>
      <c r="BD118" s="329"/>
      <c r="BE118" s="305">
        <f>SUM(Table1453[[#This Row],[Program Director 
(IT Workflow - US)]:[Chief Architect
(IT Workflow - US)]])</f>
        <v>0</v>
      </c>
      <c r="BF118" s="303"/>
    </row>
    <row r="119" spans="2:58" ht="38.25">
      <c r="B119" s="437"/>
      <c r="C119" s="443" t="s">
        <v>161</v>
      </c>
      <c r="D119" s="443" t="s">
        <v>1085</v>
      </c>
      <c r="E119" s="443" t="s">
        <v>1086</v>
      </c>
      <c r="F119" s="443"/>
      <c r="G119" s="443"/>
      <c r="H119" s="443" t="s">
        <v>824</v>
      </c>
      <c r="I119" s="443"/>
      <c r="J119" s="443" t="s">
        <v>71</v>
      </c>
      <c r="K119" s="444">
        <v>40</v>
      </c>
      <c r="L119" s="445" t="e" cm="1">
        <f t="array" ref="L119">INDEX('Client Rates and Roles'!$F$2:$F$433,MATCH(1,COUNTIFS('Opportunity Details'!$C$14,'Client Rates and Roles'!$D$2:$D$433,H119,'Client Rates and Roles'!$B$2:$B$433,J119,'Client Rates and Roles'!$C$2:$C$433,$C$6,'Client Rates and Roles'!$A$2:$A$433),0))</f>
        <v>#N/A</v>
      </c>
      <c r="M119" s="445" t="e">
        <f t="shared" si="5"/>
        <v>#N/A</v>
      </c>
      <c r="N119" s="436"/>
      <c r="O119" s="436"/>
      <c r="P119" s="436"/>
      <c r="Q119" s="329"/>
      <c r="R119" s="329"/>
      <c r="S119" s="329"/>
      <c r="T119" s="329"/>
      <c r="U119" s="329"/>
      <c r="V119" s="329"/>
      <c r="W119" s="329"/>
      <c r="X119" s="329"/>
      <c r="Y119" s="329"/>
      <c r="Z119" s="329"/>
      <c r="AA119" s="329"/>
      <c r="AB119" s="329"/>
      <c r="AC119" s="331">
        <f>SUM(Table1453[[#This Row],[Program Director 
(IT Workflow - US)]:[Engineer
(IT Workflow - US)]])</f>
        <v>0</v>
      </c>
      <c r="AD119" s="332"/>
      <c r="AE119" s="329"/>
      <c r="AF119" s="329"/>
      <c r="AG119" s="329"/>
      <c r="AH119" s="329"/>
      <c r="AI119" s="329"/>
      <c r="AJ119" s="329"/>
      <c r="AK119" s="329"/>
      <c r="AL119" s="329"/>
      <c r="AM119" s="329"/>
      <c r="AN119" s="329"/>
      <c r="AO119" s="329"/>
      <c r="AP119" s="329"/>
      <c r="AQ119" s="333">
        <f>SUM(Table1453[[#This Row],[Program Director 
(Customer and Employee Workflow - US)]:[Engineer
(Customer and Employee Workflow - US)]])</f>
        <v>0</v>
      </c>
      <c r="AR119" s="329"/>
      <c r="AS119" s="329"/>
      <c r="AT119" s="329"/>
      <c r="AU119" s="329"/>
      <c r="AV119" s="329"/>
      <c r="AW119" s="329"/>
      <c r="AX119" s="329"/>
      <c r="AY119" s="329"/>
      <c r="AZ119" s="329"/>
      <c r="BA119" s="329"/>
      <c r="BB119" s="329"/>
      <c r="BC119" s="329"/>
      <c r="BD119" s="329"/>
      <c r="BE119" s="305">
        <f>SUM(Table1453[[#This Row],[Program Director 
(IT Workflow - US)]:[Chief Architect
(IT Workflow - US)]])</f>
        <v>0</v>
      </c>
      <c r="BF119" s="303"/>
    </row>
    <row r="120" spans="2:58" ht="25.5">
      <c r="B120" s="437"/>
      <c r="C120" s="443" t="s">
        <v>161</v>
      </c>
      <c r="D120" s="443" t="s">
        <v>1087</v>
      </c>
      <c r="E120" s="443" t="s">
        <v>1088</v>
      </c>
      <c r="F120" s="443"/>
      <c r="G120" s="443"/>
      <c r="H120" s="443" t="s">
        <v>65</v>
      </c>
      <c r="I120" s="443"/>
      <c r="J120" s="443" t="s">
        <v>71</v>
      </c>
      <c r="K120" s="444">
        <v>40</v>
      </c>
      <c r="L120" s="445" t="e" cm="1">
        <f t="array" ref="L120">INDEX('Client Rates and Roles'!$F$2:$F$433,MATCH(1,COUNTIFS('Opportunity Details'!$C$14,'Client Rates and Roles'!$D$2:$D$433,H120,'Client Rates and Roles'!$B$2:$B$433,J120,'Client Rates and Roles'!$C$2:$C$433,$C$6,'Client Rates and Roles'!$A$2:$A$433),0))</f>
        <v>#N/A</v>
      </c>
      <c r="M120" s="445" t="e">
        <f t="shared" si="5"/>
        <v>#N/A</v>
      </c>
      <c r="N120" s="436"/>
      <c r="O120" s="436"/>
      <c r="P120" s="436"/>
      <c r="Q120" s="329"/>
      <c r="R120" s="329"/>
      <c r="S120" s="329"/>
      <c r="T120" s="329"/>
      <c r="U120" s="329"/>
      <c r="V120" s="329"/>
      <c r="W120" s="329"/>
      <c r="X120" s="329"/>
      <c r="Y120" s="329"/>
      <c r="Z120" s="329"/>
      <c r="AA120" s="329"/>
      <c r="AB120" s="329"/>
      <c r="AC120" s="331">
        <f>SUM(Table1453[[#This Row],[Program Director 
(IT Workflow - US)]:[Engineer
(IT Workflow - US)]])</f>
        <v>0</v>
      </c>
      <c r="AD120" s="332"/>
      <c r="AE120" s="329"/>
      <c r="AF120" s="329"/>
      <c r="AG120" s="329"/>
      <c r="AH120" s="329"/>
      <c r="AI120" s="329"/>
      <c r="AJ120" s="329"/>
      <c r="AK120" s="329"/>
      <c r="AL120" s="329"/>
      <c r="AM120" s="329"/>
      <c r="AN120" s="329"/>
      <c r="AO120" s="329"/>
      <c r="AP120" s="329"/>
      <c r="AQ120" s="333">
        <f>SUM(Table1453[[#This Row],[Program Director 
(Customer and Employee Workflow - US)]:[Engineer
(Customer and Employee Workflow - US)]])</f>
        <v>0</v>
      </c>
      <c r="AR120" s="329"/>
      <c r="AS120" s="329"/>
      <c r="AT120" s="329"/>
      <c r="AU120" s="329"/>
      <c r="AV120" s="329"/>
      <c r="AW120" s="329"/>
      <c r="AX120" s="329"/>
      <c r="AY120" s="329"/>
      <c r="AZ120" s="329"/>
      <c r="BA120" s="329"/>
      <c r="BB120" s="329"/>
      <c r="BC120" s="329"/>
      <c r="BD120" s="329"/>
      <c r="BE120" s="305"/>
      <c r="BF120" s="303"/>
    </row>
    <row r="121" spans="2:58" ht="25.5">
      <c r="B121" s="437"/>
      <c r="C121" s="443" t="s">
        <v>161</v>
      </c>
      <c r="D121" s="443" t="s">
        <v>164</v>
      </c>
      <c r="E121" s="443" t="s">
        <v>1089</v>
      </c>
      <c r="F121" s="443"/>
      <c r="G121" s="443"/>
      <c r="H121" s="443" t="s">
        <v>158</v>
      </c>
      <c r="I121" s="443"/>
      <c r="J121" s="443" t="s">
        <v>71</v>
      </c>
      <c r="K121" s="444" cm="1">
        <f t="array" ref="K121">ROUNDUP(SUM((SUMIFS(Table1453[Hours],Table1453[Phase],{"Plan","Execute","Deliver","Close"}))*$D$136,Table1453[Additional BA Oversight]*$D$136,Table1453[Additional SA Oversight]*$D$136,Table1453[Additional PM Oversight]),0)</f>
        <v>739</v>
      </c>
      <c r="L121" s="445" t="e" cm="1">
        <f t="array" ref="L121">INDEX('Client Rates and Roles'!$F$2:$F$433,MATCH(1,COUNTIFS('Opportunity Details'!$C$14,'Client Rates and Roles'!$D$2:$D$433,H121,'Client Rates and Roles'!$B$2:$B$433,J121,'Client Rates and Roles'!$C$2:$C$433,$C$6,'Client Rates and Roles'!$A$2:$A$433),0))</f>
        <v>#N/A</v>
      </c>
      <c r="M121" s="445" t="e">
        <f t="shared" si="5"/>
        <v>#N/A</v>
      </c>
      <c r="N121" s="436"/>
      <c r="O121" s="436"/>
      <c r="P121" s="436"/>
      <c r="Q121" s="336"/>
      <c r="R121" s="336"/>
      <c r="S121" s="336"/>
      <c r="T121" s="336"/>
      <c r="U121" s="336"/>
      <c r="V121" s="336"/>
      <c r="W121" s="336"/>
      <c r="X121" s="336"/>
      <c r="Y121" s="336"/>
      <c r="Z121" s="336"/>
      <c r="AA121" s="336"/>
      <c r="AB121" s="336"/>
      <c r="AC121" s="337">
        <f>SUM(Table1453[[#This Row],[Program Director 
(IT Workflow - US)]:[Engineer
(IT Workflow - US)]])</f>
        <v>0</v>
      </c>
      <c r="AD121" s="338"/>
      <c r="AE121" s="336"/>
      <c r="AF121" s="336"/>
      <c r="AG121" s="336"/>
      <c r="AH121" s="336"/>
      <c r="AI121" s="336"/>
      <c r="AJ121" s="336"/>
      <c r="AK121" s="336"/>
      <c r="AL121" s="336"/>
      <c r="AM121" s="336"/>
      <c r="AN121" s="336"/>
      <c r="AO121" s="336"/>
      <c r="AP121" s="336"/>
      <c r="AQ121" s="339">
        <f>SUM(Table1453[[#This Row],[Program Director 
(Customer and Employee Workflow - US)]:[Engineer
(Customer and Employee Workflow - US)]])</f>
        <v>0</v>
      </c>
      <c r="AR121" s="336"/>
      <c r="AS121" s="336"/>
      <c r="AT121" s="336"/>
      <c r="AU121" s="336"/>
      <c r="AV121" s="336"/>
      <c r="AW121" s="336"/>
      <c r="AX121" s="336"/>
      <c r="AY121" s="336"/>
      <c r="AZ121" s="336"/>
      <c r="BA121" s="336"/>
      <c r="BB121" s="336"/>
      <c r="BC121" s="336"/>
      <c r="BD121" s="336"/>
      <c r="BE121" s="305"/>
      <c r="BF121" s="303"/>
    </row>
    <row r="122" spans="2:58" ht="25.5">
      <c r="B122" s="437"/>
      <c r="C122" s="443" t="s">
        <v>161</v>
      </c>
      <c r="D122" s="443" t="s">
        <v>823</v>
      </c>
      <c r="E122" s="443" t="s">
        <v>1090</v>
      </c>
      <c r="F122" s="443"/>
      <c r="G122" s="443"/>
      <c r="H122" s="443" t="s">
        <v>823</v>
      </c>
      <c r="I122" s="443"/>
      <c r="J122" s="443" t="s">
        <v>71</v>
      </c>
      <c r="K122" s="444" cm="1">
        <f t="array" ref="K122">ROUNDUP(SUM((SUMIFS(Table1453[Hours],Table1453[Phase],{"Execute","Deliver","Close"}))*$D$137,Table1453[Additional BA Oversight]),0)</f>
        <v>331</v>
      </c>
      <c r="L122" s="445" t="e" cm="1">
        <f t="array" ref="L122">INDEX('Client Rates and Roles'!$F$2:$F$433,MATCH(1,COUNTIFS('Opportunity Details'!$C$14,'Client Rates and Roles'!$D$2:$D$433,H122,'Client Rates and Roles'!$B$2:$B$433,J122,'Client Rates and Roles'!$C$2:$C$433,$C$6,'Client Rates and Roles'!$A$2:$A$433),0))</f>
        <v>#N/A</v>
      </c>
      <c r="M122" s="445" t="e">
        <f t="shared" si="5"/>
        <v>#N/A</v>
      </c>
      <c r="N122" s="436"/>
      <c r="O122" s="436"/>
      <c r="P122" s="436"/>
      <c r="Q122" s="336"/>
      <c r="R122" s="336"/>
      <c r="S122" s="336"/>
      <c r="T122" s="336"/>
      <c r="U122" s="336"/>
      <c r="V122" s="336"/>
      <c r="W122" s="336"/>
      <c r="X122" s="336"/>
      <c r="Y122" s="336"/>
      <c r="Z122" s="336"/>
      <c r="AA122" s="336"/>
      <c r="AB122" s="336"/>
      <c r="AC122" s="337">
        <f>SUM(Table1453[[#This Row],[Program Director 
(IT Workflow - US)]:[Engineer
(IT Workflow - US)]])</f>
        <v>0</v>
      </c>
      <c r="AD122" s="338"/>
      <c r="AE122" s="336"/>
      <c r="AF122" s="336"/>
      <c r="AG122" s="336"/>
      <c r="AH122" s="336"/>
      <c r="AI122" s="336"/>
      <c r="AJ122" s="336"/>
      <c r="AK122" s="336"/>
      <c r="AL122" s="336"/>
      <c r="AM122" s="336"/>
      <c r="AN122" s="336"/>
      <c r="AO122" s="336"/>
      <c r="AP122" s="336"/>
      <c r="AQ122" s="339">
        <f>SUM(Table1453[[#This Row],[Program Director 
(Customer and Employee Workflow - US)]:[Engineer
(Customer and Employee Workflow - US)]])</f>
        <v>0</v>
      </c>
      <c r="AR122" s="336"/>
      <c r="AS122" s="336"/>
      <c r="AT122" s="336"/>
      <c r="AU122" s="336"/>
      <c r="AV122" s="336"/>
      <c r="AW122" s="336"/>
      <c r="AX122" s="336"/>
      <c r="AY122" s="336"/>
      <c r="AZ122" s="336"/>
      <c r="BA122" s="336"/>
      <c r="BB122" s="336"/>
      <c r="BC122" s="336"/>
      <c r="BD122" s="336"/>
      <c r="BE122" s="305"/>
      <c r="BF122" s="303"/>
    </row>
    <row r="123" spans="2:58" ht="25.5">
      <c r="B123" s="437"/>
      <c r="C123" s="443" t="s">
        <v>161</v>
      </c>
      <c r="D123" s="443" t="s">
        <v>359</v>
      </c>
      <c r="E123" s="443" t="s">
        <v>1091</v>
      </c>
      <c r="F123" s="443"/>
      <c r="G123" s="443"/>
      <c r="H123" s="443" t="s">
        <v>359</v>
      </c>
      <c r="I123" s="443"/>
      <c r="J123" s="443" t="s">
        <v>71</v>
      </c>
      <c r="K123" s="444" cm="1">
        <f t="array" ref="K123">ROUNDUP(SUM((SUMIFS(Table1453[Hours],Table1453[Phase],{"Execute","Deliver","Close"}))*$D$138,Table1453[Additional SA Oversight]),0)</f>
        <v>452</v>
      </c>
      <c r="L123" s="445" t="e" cm="1">
        <f t="array" ref="L123">INDEX('Client Rates and Roles'!$F$2:$F$433,MATCH(1,COUNTIFS('Opportunity Details'!$C$14,'Client Rates and Roles'!$D$2:$D$433,H123,'Client Rates and Roles'!$B$2:$B$433,J123,'Client Rates and Roles'!$C$2:$C$433,$C$6,'Client Rates and Roles'!$A$2:$A$433),0))</f>
        <v>#N/A</v>
      </c>
      <c r="M123" s="445" t="e">
        <f t="shared" si="5"/>
        <v>#N/A</v>
      </c>
      <c r="N123" s="436"/>
      <c r="O123" s="436"/>
      <c r="P123" s="436"/>
      <c r="Q123" s="336"/>
      <c r="R123" s="336"/>
      <c r="S123" s="336"/>
      <c r="T123" s="336"/>
      <c r="U123" s="336"/>
      <c r="V123" s="336"/>
      <c r="W123" s="336"/>
      <c r="X123" s="336"/>
      <c r="Y123" s="336"/>
      <c r="Z123" s="336"/>
      <c r="AA123" s="336"/>
      <c r="AB123" s="336"/>
      <c r="AC123" s="337">
        <f>SUM(Table1453[[#This Row],[Program Director 
(IT Workflow - US)]:[Engineer
(IT Workflow - US)]])</f>
        <v>0</v>
      </c>
      <c r="AD123" s="338"/>
      <c r="AE123" s="336"/>
      <c r="AF123" s="336"/>
      <c r="AG123" s="336"/>
      <c r="AH123" s="336"/>
      <c r="AI123" s="336"/>
      <c r="AJ123" s="336"/>
      <c r="AK123" s="336"/>
      <c r="AL123" s="336"/>
      <c r="AM123" s="336"/>
      <c r="AN123" s="336"/>
      <c r="AO123" s="336"/>
      <c r="AP123" s="336"/>
      <c r="AQ123" s="339">
        <f>SUM(Table1453[[#This Row],[Program Director 
(Customer and Employee Workflow - US)]:[Engineer
(Customer and Employee Workflow - US)]])</f>
        <v>0</v>
      </c>
      <c r="AR123" s="336"/>
      <c r="AS123" s="336"/>
      <c r="AT123" s="336"/>
      <c r="AU123" s="336"/>
      <c r="AV123" s="336"/>
      <c r="AW123" s="336"/>
      <c r="AX123" s="336"/>
      <c r="AY123" s="336"/>
      <c r="AZ123" s="336"/>
      <c r="BA123" s="336"/>
      <c r="BB123" s="336"/>
      <c r="BC123" s="336"/>
      <c r="BD123" s="336"/>
      <c r="BE123" s="305">
        <f>SUM(Table1453[[#This Row],[Program Director 
(IT Workflow - US)]:[Chief Architect
(IT Workflow - US)]])</f>
        <v>0</v>
      </c>
      <c r="BF123" s="303"/>
    </row>
    <row r="124" spans="2:58">
      <c r="B124" s="375"/>
      <c r="C124" s="376"/>
      <c r="D124" s="376"/>
      <c r="E124" s="376"/>
      <c r="F124" s="376"/>
      <c r="G124" s="376"/>
      <c r="H124" s="376"/>
      <c r="I124" s="376"/>
      <c r="J124" s="376"/>
      <c r="K124" s="376"/>
      <c r="L124" s="376"/>
      <c r="M124" s="376"/>
    </row>
    <row r="125" spans="2:58">
      <c r="B125" s="378"/>
      <c r="C125" s="381" t="s">
        <v>169</v>
      </c>
      <c r="D125" s="376"/>
      <c r="E125" s="376"/>
      <c r="F125" s="376"/>
      <c r="G125" s="376"/>
      <c r="H125" s="376"/>
      <c r="I125" s="376"/>
      <c r="J125" s="376"/>
      <c r="K125" s="377">
        <f>SUM(Table1453[[#All],[Hours]])</f>
        <v>4272</v>
      </c>
      <c r="L125" s="376"/>
      <c r="M125" s="376"/>
    </row>
    <row r="126" spans="2:58">
      <c r="B126" s="375"/>
      <c r="C126" s="381" t="s">
        <v>170</v>
      </c>
      <c r="D126" s="376"/>
      <c r="E126" s="376"/>
      <c r="F126" s="376"/>
      <c r="G126" s="376"/>
      <c r="H126" s="376"/>
      <c r="I126" s="376"/>
      <c r="J126" s="376"/>
      <c r="K126" s="376"/>
      <c r="L126" s="379"/>
      <c r="M126" s="380" t="e">
        <f>SUM(Table1453[[#All],[Estimated Cost]])</f>
        <v>#N/A</v>
      </c>
    </row>
    <row r="127" spans="2:58">
      <c r="B127" s="375"/>
      <c r="C127" s="455" t="s">
        <v>171</v>
      </c>
      <c r="D127" s="446"/>
      <c r="E127" s="446"/>
      <c r="F127" s="446"/>
      <c r="G127" s="446"/>
      <c r="H127" s="446"/>
      <c r="I127" s="446"/>
      <c r="J127" s="446"/>
      <c r="K127" s="446"/>
      <c r="L127" s="446"/>
      <c r="M127" s="456">
        <f>D140</f>
        <v>10000</v>
      </c>
    </row>
    <row r="128" spans="2:58">
      <c r="B128" s="375"/>
      <c r="C128" s="381" t="s">
        <v>172</v>
      </c>
      <c r="D128" s="376"/>
      <c r="E128" s="376"/>
      <c r="F128" s="376"/>
      <c r="G128" s="376"/>
      <c r="H128" s="376"/>
      <c r="I128" s="376"/>
      <c r="J128" s="376"/>
      <c r="K128" s="376"/>
      <c r="L128" s="376"/>
      <c r="M128" s="380" t="e">
        <f>SUM(M126-M127)</f>
        <v>#N/A</v>
      </c>
    </row>
    <row r="130" spans="3:56" ht="14.1" customHeight="1">
      <c r="C130" s="381" t="s">
        <v>1092</v>
      </c>
      <c r="D130" s="376"/>
      <c r="E130" s="376"/>
      <c r="F130" s="376"/>
      <c r="G130" s="376"/>
      <c r="H130" s="376"/>
      <c r="I130" s="376"/>
      <c r="J130" s="376"/>
      <c r="K130" s="376"/>
      <c r="L130" s="376"/>
      <c r="M130" s="380" t="e">
        <f>SUM(M128*D141)</f>
        <v>#N/A</v>
      </c>
    </row>
    <row r="135" spans="3:56">
      <c r="C135" s="334" t="s">
        <v>1093</v>
      </c>
      <c r="D135" s="248" t="s">
        <v>1094</v>
      </c>
    </row>
    <row r="136" spans="3:56">
      <c r="C136" s="248" t="s">
        <v>164</v>
      </c>
      <c r="D136" s="335">
        <v>0.25</v>
      </c>
    </row>
    <row r="137" spans="3:56">
      <c r="C137" s="248" t="s">
        <v>84</v>
      </c>
      <c r="D137" s="335">
        <v>0.1</v>
      </c>
    </row>
    <row r="138" spans="3:56">
      <c r="C138" s="248" t="s">
        <v>167</v>
      </c>
      <c r="D138" s="335">
        <v>0.1</v>
      </c>
    </row>
    <row r="139" spans="3:56">
      <c r="C139" s="252" t="s">
        <v>1095</v>
      </c>
      <c r="D139" s="401">
        <v>0.15</v>
      </c>
      <c r="K139" s="404"/>
    </row>
    <row r="140" spans="3:56">
      <c r="C140" s="252" t="s">
        <v>1096</v>
      </c>
      <c r="D140" s="403">
        <v>10000</v>
      </c>
    </row>
    <row r="141" spans="3:56">
      <c r="C141" s="252" t="s">
        <v>1097</v>
      </c>
      <c r="D141" s="401">
        <v>0.5</v>
      </c>
      <c r="O141" s="303"/>
      <c r="AA141" s="257"/>
      <c r="AB141" s="248"/>
      <c r="AC141" s="303"/>
      <c r="AO141" s="257"/>
      <c r="AP141" s="248"/>
      <c r="AQ141" s="303"/>
      <c r="BC141" s="257"/>
      <c r="BD141" s="248"/>
    </row>
    <row r="142" spans="3:56">
      <c r="O142" s="303"/>
      <c r="AA142" s="257"/>
      <c r="AB142" s="248"/>
      <c r="AC142" s="303"/>
      <c r="AO142" s="257"/>
      <c r="AP142" s="248"/>
      <c r="AQ142" s="303"/>
      <c r="BC142" s="257"/>
      <c r="BD142" s="248"/>
    </row>
    <row r="143" spans="3:56">
      <c r="O143" s="303"/>
      <c r="AA143" s="257"/>
      <c r="AB143" s="248"/>
      <c r="AC143" s="303"/>
      <c r="AO143" s="257"/>
      <c r="AP143" s="248"/>
      <c r="AQ143" s="303"/>
      <c r="BC143" s="257"/>
      <c r="BD143" s="248"/>
    </row>
    <row r="144" spans="3:56">
      <c r="O144" s="303"/>
      <c r="AA144" s="257"/>
      <c r="AB144" s="248"/>
      <c r="AC144" s="303"/>
      <c r="AO144" s="257"/>
      <c r="AP144" s="248"/>
      <c r="AQ144" s="303"/>
      <c r="BC144" s="257"/>
      <c r="BD144" s="248"/>
    </row>
    <row r="145" spans="3:56">
      <c r="O145" s="303"/>
      <c r="AA145" s="257"/>
      <c r="AB145" s="248"/>
      <c r="AC145" s="303"/>
      <c r="AO145" s="257"/>
      <c r="AP145" s="248"/>
      <c r="AQ145" s="303"/>
      <c r="BC145" s="257"/>
      <c r="BD145" s="248"/>
    </row>
    <row r="146" spans="3:56">
      <c r="O146" s="303"/>
      <c r="AA146" s="257"/>
      <c r="AB146" s="248"/>
      <c r="AC146" s="303"/>
      <c r="AO146" s="257"/>
      <c r="AP146" s="248"/>
      <c r="AQ146" s="303"/>
      <c r="BC146" s="257"/>
      <c r="BD146" s="248"/>
    </row>
    <row r="147" spans="3:56">
      <c r="O147" s="303"/>
      <c r="AA147" s="257"/>
      <c r="AB147" s="248"/>
      <c r="AC147" s="303"/>
      <c r="AO147" s="257"/>
      <c r="AP147" s="248"/>
      <c r="AQ147" s="303"/>
      <c r="BC147" s="257"/>
      <c r="BD147" s="248"/>
    </row>
    <row r="148" spans="3:56">
      <c r="C148" s="1248" t="s">
        <v>71</v>
      </c>
      <c r="D148" s="1248"/>
      <c r="E148" s="1248"/>
      <c r="F148" s="1248"/>
      <c r="H148" s="1248" t="s">
        <v>66</v>
      </c>
      <c r="I148" s="1248"/>
      <c r="J148" s="1248"/>
      <c r="K148" s="1248"/>
      <c r="O148" s="303"/>
      <c r="AA148" s="257"/>
      <c r="AB148" s="248"/>
      <c r="AC148" s="303"/>
      <c r="AO148" s="257"/>
      <c r="AP148" s="248"/>
      <c r="AQ148" s="303"/>
      <c r="BC148" s="257"/>
      <c r="BD148" s="248"/>
    </row>
    <row r="149" spans="3:56" ht="24">
      <c r="C149" s="447" t="s">
        <v>1098</v>
      </c>
      <c r="D149" s="448" t="s">
        <v>1099</v>
      </c>
      <c r="E149" s="449" t="s">
        <v>1100</v>
      </c>
      <c r="F149" s="450" t="s">
        <v>16</v>
      </c>
      <c r="H149" s="447" t="s">
        <v>1098</v>
      </c>
      <c r="I149" s="448" t="s">
        <v>1099</v>
      </c>
      <c r="J149" s="449" t="s">
        <v>1100</v>
      </c>
      <c r="K149" s="450" t="s">
        <v>16</v>
      </c>
      <c r="O149" s="303"/>
      <c r="AA149" s="257"/>
      <c r="AB149" s="248"/>
      <c r="AC149" s="303"/>
      <c r="AO149" s="257"/>
      <c r="AP149" s="248"/>
      <c r="AQ149" s="303"/>
      <c r="BC149" s="257"/>
      <c r="BD149" s="248"/>
    </row>
    <row r="150" spans="3:56">
      <c r="C150" s="387" t="str">
        <f>List!$J2</f>
        <v>Staff Engineer</v>
      </c>
      <c r="D150" s="389">
        <f>SUMIFS(Table1453[Hours],Table1453[Project Role],C150,Table1453[Billable/ Non-Billable],$C$148)</f>
        <v>2400</v>
      </c>
      <c r="E150" s="390" t="e" cm="1">
        <f t="array" ref="E150">INDEX('Client Rates and Roles'!$F$2:$F$433,MATCH(1,COUNTIFS('Opportunity Details'!$C$14,'Client Rates and Roles'!$D$2:$D$433,C150,'Client Rates and Roles'!$B$2:$B$433,$C$148,'Client Rates and Roles'!$C$2:$C$433,$C$6,'Client Rates and Roles'!$A$2:$A$433),0))</f>
        <v>#N/A</v>
      </c>
      <c r="F150" s="391" t="e">
        <f>Table108[[#This Row],[Estimated Hours]]*Table108[[#This Row],[Rate / Hour]]</f>
        <v>#N/A</v>
      </c>
      <c r="H150" s="387" t="str">
        <f>List!$J2</f>
        <v>Staff Engineer</v>
      </c>
      <c r="I150" s="389">
        <f>SUMIFS(Table1453[Hours],Table1453[Project Role],H150,Table1453[Billable/ Non-Billable],$H$148)</f>
        <v>16</v>
      </c>
      <c r="J150" s="390" t="e" cm="1">
        <f t="array" ref="J150">INDEX('Client Rates and Roles'!$F$2:$F$433,MATCH(1,COUNTIFS('Opportunity Details'!$C$14,'Client Rates and Roles'!$D$2:$D$433,H150,'Client Rates and Roles'!$B$2:$B$433,$H$148,'Client Rates and Roles'!$C$2:$C$433,$C$6,'Client Rates and Roles'!$A$2:$A$433),0))</f>
        <v>#N/A</v>
      </c>
      <c r="K150" s="391" t="e">
        <f>Table101213[[#This Row],[Estimated Hours]]*Table101213[[#This Row],[Rate / Hour]]</f>
        <v>#N/A</v>
      </c>
      <c r="O150" s="303"/>
      <c r="AA150" s="257"/>
      <c r="AB150" s="248"/>
      <c r="AC150" s="303"/>
      <c r="AO150" s="257"/>
      <c r="AP150" s="248"/>
      <c r="AQ150" s="303"/>
      <c r="BC150" s="257"/>
      <c r="BD150" s="248"/>
    </row>
    <row r="151" spans="3:56">
      <c r="C151" s="387" t="str">
        <f>List!$J3</f>
        <v>Lead Engineer</v>
      </c>
      <c r="D151" s="389">
        <f>SUMIFS(Table1453[Hours],Table1453[Project Role],C151,Table1453[Billable/ Non-Billable],$C$148)</f>
        <v>0</v>
      </c>
      <c r="E151" s="390" t="e" cm="1">
        <f t="array" ref="E151">INDEX('Client Rates and Roles'!$F$2:$F$433,MATCH(1,COUNTIFS('Opportunity Details'!$C$14,'Client Rates and Roles'!$D$2:$D$433,C151,'Client Rates and Roles'!$B$2:$B$433,$C$148,'Client Rates and Roles'!$C$2:$C$433,$C$6,'Client Rates and Roles'!$A$2:$A$433),0))</f>
        <v>#N/A</v>
      </c>
      <c r="F151" s="391" t="e">
        <f>Table108[[#This Row],[Estimated Hours]]*Table108[[#This Row],[Rate / Hour]]</f>
        <v>#N/A</v>
      </c>
      <c r="H151" s="387" t="str">
        <f>List!$J3</f>
        <v>Lead Engineer</v>
      </c>
      <c r="I151" s="389">
        <f>SUMIFS(Table1453[Hours],Table1453[Project Role],H151,Table1453[Billable/ Non-Billable],$H$148)</f>
        <v>0</v>
      </c>
      <c r="J151" s="390" t="e" cm="1">
        <f t="array" ref="J151">INDEX('Client Rates and Roles'!$F$2:$F$433,MATCH(1,COUNTIFS('Opportunity Details'!$C$14,'Client Rates and Roles'!$D$2:$D$433,H151,'Client Rates and Roles'!$B$2:$B$433,$H$148,'Client Rates and Roles'!$C$2:$C$433,$C$6,'Client Rates and Roles'!$A$2:$A$433),0))</f>
        <v>#N/A</v>
      </c>
      <c r="K151" s="391" t="e">
        <f>Table101213[[#This Row],[Estimated Hours]]*Table101213[[#This Row],[Rate / Hour]]</f>
        <v>#N/A</v>
      </c>
      <c r="O151" s="303"/>
      <c r="AA151" s="257"/>
      <c r="AB151" s="248"/>
      <c r="AC151" s="303"/>
      <c r="AO151" s="257"/>
      <c r="AP151" s="248"/>
      <c r="AQ151" s="303"/>
      <c r="BC151" s="257"/>
      <c r="BD151" s="248"/>
    </row>
    <row r="152" spans="3:56">
      <c r="C152" s="387" t="str">
        <f>List!$J4</f>
        <v>Chief Engineer</v>
      </c>
      <c r="D152" s="389">
        <f>SUMIFS(Table1453[Hours],Table1453[Project Role],C152,Table1453[Billable/ Non-Billable],$C$148)</f>
        <v>0</v>
      </c>
      <c r="E152" s="390" t="e" cm="1">
        <f t="array" ref="E152">INDEX('Client Rates and Roles'!$F$2:$F$433,MATCH(1,COUNTIFS('Opportunity Details'!$C$14,'Client Rates and Roles'!$D$2:$D$433,C152,'Client Rates and Roles'!$B$2:$B$433,$C$148,'Client Rates and Roles'!$C$2:$C$433,$C$6,'Client Rates and Roles'!$A$2:$A$433),0))</f>
        <v>#N/A</v>
      </c>
      <c r="F152" s="391" t="e">
        <f>Table108[[#This Row],[Estimated Hours]]*Table108[[#This Row],[Rate / Hour]]</f>
        <v>#N/A</v>
      </c>
      <c r="H152" s="387" t="str">
        <f>List!$J4</f>
        <v>Chief Engineer</v>
      </c>
      <c r="I152" s="389">
        <f>SUMIFS(Table1453[Hours],Table1453[Project Role],H152,Table1453[Billable/ Non-Billable],$H$148)</f>
        <v>0</v>
      </c>
      <c r="J152" s="390" t="e" cm="1">
        <f t="array" ref="J152">INDEX('Client Rates and Roles'!$F$2:$F$433,MATCH(1,COUNTIFS('Opportunity Details'!$C$14,'Client Rates and Roles'!$D$2:$D$433,H152,'Client Rates and Roles'!$B$2:$B$433,$H$148,'Client Rates and Roles'!$C$2:$C$433,$C$6,'Client Rates and Roles'!$A$2:$A$433),0))</f>
        <v>#N/A</v>
      </c>
      <c r="K152" s="391" t="e">
        <f>Table101213[[#This Row],[Estimated Hours]]*Table101213[[#This Row],[Rate / Hour]]</f>
        <v>#N/A</v>
      </c>
      <c r="O152" s="303"/>
      <c r="AA152" s="257"/>
      <c r="AB152" s="248"/>
      <c r="AC152" s="303"/>
      <c r="AO152" s="257"/>
      <c r="AP152" s="248"/>
      <c r="AQ152" s="303"/>
      <c r="BC152" s="257"/>
      <c r="BD152" s="248"/>
    </row>
    <row r="153" spans="3:56">
      <c r="C153" s="387" t="str">
        <f>List!$J5</f>
        <v>Lead Architect</v>
      </c>
      <c r="D153" s="389">
        <f>SUMIFS(Table1453[Hours],Table1453[Project Role],C153,Table1453[Billable/ Non-Billable],$C$148)</f>
        <v>496</v>
      </c>
      <c r="E153" s="390" t="e" cm="1">
        <f t="array" ref="E153">INDEX('Client Rates and Roles'!$F$2:$F$433,MATCH(1,COUNTIFS('Opportunity Details'!$C$14,'Client Rates and Roles'!$D$2:$D$433,C153,'Client Rates and Roles'!$B$2:$B$433,$C$148,'Client Rates and Roles'!$C$2:$C$433,$C$6,'Client Rates and Roles'!$A$2:$A$433),0))</f>
        <v>#N/A</v>
      </c>
      <c r="F153" s="391" t="e">
        <f>Table108[[#This Row],[Estimated Hours]]*Table108[[#This Row],[Rate / Hour]]</f>
        <v>#N/A</v>
      </c>
      <c r="H153" s="387" t="str">
        <f>List!$J5</f>
        <v>Lead Architect</v>
      </c>
      <c r="I153" s="389">
        <f>SUMIFS(Table1453[Hours],Table1453[Project Role],H153,Table1453[Billable/ Non-Billable],$H$148)</f>
        <v>0</v>
      </c>
      <c r="J153" s="390" t="e" cm="1">
        <f t="array" ref="J153">INDEX('Client Rates and Roles'!$F$2:$F$433,MATCH(1,COUNTIFS('Opportunity Details'!$C$14,'Client Rates and Roles'!$D$2:$D$433,H153,'Client Rates and Roles'!$B$2:$B$433,$H$148,'Client Rates and Roles'!$C$2:$C$433,$C$6,'Client Rates and Roles'!$A$2:$A$433),0))</f>
        <v>#N/A</v>
      </c>
      <c r="K153" s="391" t="e">
        <f>Table101213[[#This Row],[Estimated Hours]]*Table101213[[#This Row],[Rate / Hour]]</f>
        <v>#N/A</v>
      </c>
      <c r="O153" s="303"/>
      <c r="AA153" s="257"/>
      <c r="AB153" s="248"/>
      <c r="AC153" s="303"/>
      <c r="AO153" s="257"/>
      <c r="AP153" s="248"/>
      <c r="AQ153" s="303"/>
      <c r="BC153" s="257"/>
      <c r="BD153" s="248"/>
    </row>
    <row r="154" spans="3:56">
      <c r="C154" s="387" t="str">
        <f>List!$J6</f>
        <v>Chief Architect</v>
      </c>
      <c r="D154" s="389">
        <f>SUMIFS(Table1453[Hours],Table1453[Project Role],C154,Table1453[Billable/ Non-Billable],$C$148)</f>
        <v>40</v>
      </c>
      <c r="E154" s="390" t="e" cm="1">
        <f t="array" ref="E154">INDEX('Client Rates and Roles'!$F$2:$F$433,MATCH(1,COUNTIFS('Opportunity Details'!$C$14,'Client Rates and Roles'!$D$2:$D$433,C154,'Client Rates and Roles'!$B$2:$B$433,$C$148,'Client Rates and Roles'!$C$2:$C$433,$C$6,'Client Rates and Roles'!$A$2:$A$433),0))</f>
        <v>#N/A</v>
      </c>
      <c r="F154" s="391" t="e">
        <f>Table108[[#This Row],[Estimated Hours]]*Table108[[#This Row],[Rate / Hour]]</f>
        <v>#N/A</v>
      </c>
      <c r="H154" s="387" t="str">
        <f>List!$J6</f>
        <v>Chief Architect</v>
      </c>
      <c r="I154" s="389">
        <f>SUMIFS(Table1453[Hours],Table1453[Project Role],H154,Table1453[Billable/ Non-Billable],$H$148)</f>
        <v>0</v>
      </c>
      <c r="J154" s="390" t="e" cm="1">
        <f t="array" ref="J154">INDEX('Client Rates and Roles'!$F$2:$F$433,MATCH(1,COUNTIFS('Opportunity Details'!$C$14,'Client Rates and Roles'!$D$2:$D$433,H154,'Client Rates and Roles'!$B$2:$B$433,$H$148,'Client Rates and Roles'!$C$2:$C$433,$C$6,'Client Rates and Roles'!$A$2:$A$433),0))</f>
        <v>#N/A</v>
      </c>
      <c r="K154" s="391" t="e">
        <f>Table101213[[#This Row],[Estimated Hours]]*Table101213[[#This Row],[Rate / Hour]]</f>
        <v>#N/A</v>
      </c>
      <c r="O154" s="303"/>
      <c r="AA154" s="257"/>
      <c r="AB154" s="248"/>
      <c r="AC154" s="303"/>
      <c r="AO154" s="257"/>
      <c r="AP154" s="248"/>
      <c r="AQ154" s="303"/>
      <c r="BC154" s="257"/>
      <c r="BD154" s="248"/>
    </row>
    <row r="155" spans="3:56">
      <c r="C155" s="387" t="str">
        <f>List!$J7</f>
        <v>Lead Business Process Architect</v>
      </c>
      <c r="D155" s="389">
        <f>SUMIFS(Table1453[Hours],Table1453[Project Role],C155,Table1453[Billable/ Non-Billable],$C$148)</f>
        <v>507</v>
      </c>
      <c r="E155" s="390" t="e" cm="1">
        <f t="array" ref="E155">INDEX('Client Rates and Roles'!$F$2:$F$433,MATCH(1,COUNTIFS('Opportunity Details'!$C$14,'Client Rates and Roles'!$D$2:$D$433,C155,'Client Rates and Roles'!$B$2:$B$433,$C$148,'Client Rates and Roles'!$C$2:$C$433,$C$6,'Client Rates and Roles'!$A$2:$A$433),0))</f>
        <v>#N/A</v>
      </c>
      <c r="F155" s="391" t="e">
        <f>Table108[[#This Row],[Estimated Hours]]*Table108[[#This Row],[Rate / Hour]]</f>
        <v>#N/A</v>
      </c>
      <c r="H155" s="387" t="str">
        <f>List!$J7</f>
        <v>Lead Business Process Architect</v>
      </c>
      <c r="I155" s="389">
        <f>SUMIFS(Table1453[Hours],Table1453[Project Role],H155,Table1453[Billable/ Non-Billable],$H$148)</f>
        <v>0</v>
      </c>
      <c r="J155" s="390" t="e" cm="1">
        <f t="array" ref="J155">INDEX('Client Rates and Roles'!$F$2:$F$433,MATCH(1,COUNTIFS('Opportunity Details'!$C$14,'Client Rates and Roles'!$D$2:$D$433,H155,'Client Rates and Roles'!$B$2:$B$433,$H$148,'Client Rates and Roles'!$C$2:$C$433,$C$6,'Client Rates and Roles'!$A$2:$A$433),0))</f>
        <v>#N/A</v>
      </c>
      <c r="K155" s="391" t="e">
        <f>Table101213[[#This Row],[Estimated Hours]]*Table101213[[#This Row],[Rate / Hour]]</f>
        <v>#N/A</v>
      </c>
      <c r="O155" s="303"/>
      <c r="AA155" s="257"/>
      <c r="AB155" s="248"/>
      <c r="AC155" s="303"/>
      <c r="AO155" s="257"/>
      <c r="AP155" s="248"/>
      <c r="AQ155" s="303"/>
      <c r="BC155" s="257"/>
      <c r="BD155" s="248"/>
    </row>
    <row r="156" spans="3:56">
      <c r="C156" s="387" t="str">
        <f>List!$J7</f>
        <v>Lead Business Process Architect</v>
      </c>
      <c r="D156" s="389">
        <f>SUMIFS(Table1453[Hours],Table1453[Project Role],C156,Table1453[Billable/ Non-Billable],$C$148)</f>
        <v>507</v>
      </c>
      <c r="E156" s="390" t="e" cm="1">
        <f t="array" ref="E156">INDEX('Client Rates and Roles'!$F$2:$F$433,MATCH(1,COUNTIFS('Opportunity Details'!$C$14,'Client Rates and Roles'!$D$2:$D$433,C156,'Client Rates and Roles'!$B$2:$B$433,$C$148,'Client Rates and Roles'!$C$2:$C$433,$C$6,'Client Rates and Roles'!$A$2:$A$433),0))</f>
        <v>#N/A</v>
      </c>
      <c r="F156" s="391" t="e">
        <f>Table108[[#This Row],[Estimated Hours]]*Table108[[#This Row],[Rate / Hour]]</f>
        <v>#N/A</v>
      </c>
      <c r="H156" s="387" t="str">
        <f>List!$J7</f>
        <v>Lead Business Process Architect</v>
      </c>
      <c r="I156" s="389">
        <f>SUMIFS(Table1453[Hours],Table1453[Project Role],H156,Table1453[Billable/ Non-Billable],$H$148)</f>
        <v>0</v>
      </c>
      <c r="J156" s="390" t="e" cm="1">
        <f t="array" ref="J156">INDEX('Client Rates and Roles'!$F$2:$F$433,MATCH(1,COUNTIFS('Opportunity Details'!$C$14,'Client Rates and Roles'!$D$2:$D$433,H156,'Client Rates and Roles'!$B$2:$B$433,$H$148,'Client Rates and Roles'!$C$2:$C$433,$C$6,'Client Rates and Roles'!$A$2:$A$433),0))</f>
        <v>#N/A</v>
      </c>
      <c r="K156" s="391" t="e">
        <f>Table101213[[#This Row],[Estimated Hours]]*Table101213[[#This Row],[Rate / Hour]]</f>
        <v>#N/A</v>
      </c>
      <c r="O156" s="303"/>
      <c r="AA156" s="257"/>
      <c r="AB156" s="248"/>
      <c r="AC156" s="303"/>
      <c r="AO156" s="257"/>
      <c r="AP156" s="248"/>
      <c r="AQ156" s="303"/>
      <c r="BC156" s="257"/>
      <c r="BD156" s="248"/>
    </row>
    <row r="157" spans="3:56">
      <c r="C157" s="387" t="str">
        <f>List!$J8</f>
        <v>Principal Business Process Architect</v>
      </c>
      <c r="D157" s="389">
        <f>SUMIFS(Table1453[Hours],Table1453[Project Role],C157,Table1453[Billable/ Non-Billable],$C$148)</f>
        <v>40</v>
      </c>
      <c r="E157" s="390" t="e" cm="1">
        <f t="array" ref="E157">INDEX('Client Rates and Roles'!$F$2:$F$433,MATCH(1,COUNTIFS('Opportunity Details'!$C$14,'Client Rates and Roles'!$D$2:$D$433,C157,'Client Rates and Roles'!$B$2:$B$433,$C$148,'Client Rates and Roles'!$C$2:$C$433,$C$6,'Client Rates and Roles'!$A$2:$A$433),0))</f>
        <v>#N/A</v>
      </c>
      <c r="F157" s="391" t="e">
        <f>Table108[[#This Row],[Estimated Hours]]*Table108[[#This Row],[Rate / Hour]]</f>
        <v>#N/A</v>
      </c>
      <c r="H157" s="387" t="str">
        <f>List!$J8</f>
        <v>Principal Business Process Architect</v>
      </c>
      <c r="I157" s="389">
        <f>SUMIFS(Table1453[Hours],Table1453[Project Role],H157,Table1453[Billable/ Non-Billable],$H$148)</f>
        <v>0</v>
      </c>
      <c r="J157" s="390" t="e" cm="1">
        <f t="array" ref="J157">INDEX('Client Rates and Roles'!$F$2:$F$433,MATCH(1,COUNTIFS('Opportunity Details'!$C$14,'Client Rates and Roles'!$D$2:$D$433,H157,'Client Rates and Roles'!$B$2:$B$433,$H$148,'Client Rates and Roles'!$C$2:$C$433,$C$6,'Client Rates and Roles'!$A$2:$A$433),0))</f>
        <v>#N/A</v>
      </c>
      <c r="K157" s="391" t="e">
        <f>Table101213[[#This Row],[Estimated Hours]]*Table101213[[#This Row],[Rate / Hour]]</f>
        <v>#N/A</v>
      </c>
      <c r="O157" s="303"/>
      <c r="AA157" s="257"/>
      <c r="AB157" s="248"/>
      <c r="AC157" s="303"/>
      <c r="AO157" s="257"/>
      <c r="AP157" s="248"/>
      <c r="AQ157" s="303"/>
      <c r="BC157" s="257"/>
      <c r="BD157" s="248"/>
    </row>
    <row r="158" spans="3:56">
      <c r="C158" s="387" t="str">
        <f>List!$J9</f>
        <v>Chief Business Process Architect</v>
      </c>
      <c r="D158" s="389">
        <f>SUMIFS(Table1453[Hours],Table1453[Project Role],C158,Table1453[Billable/ Non-Billable],$C$148)</f>
        <v>0</v>
      </c>
      <c r="E158" s="390" t="e" cm="1">
        <f t="array" ref="E158">INDEX('Client Rates and Roles'!$F$2:$F$433,MATCH(1,COUNTIFS('Opportunity Details'!$C$14,'Client Rates and Roles'!$D$2:$D$433,C158,'Client Rates and Roles'!$B$2:$B$433,$C$148,'Client Rates and Roles'!$C$2:$C$433,$C$6,'Client Rates and Roles'!$A$2:$A$433),0))</f>
        <v>#N/A</v>
      </c>
      <c r="F158" s="391" t="e">
        <f>Table108[[#This Row],[Estimated Hours]]*Table108[[#This Row],[Rate / Hour]]</f>
        <v>#N/A</v>
      </c>
      <c r="H158" s="387" t="str">
        <f>List!$J9</f>
        <v>Chief Business Process Architect</v>
      </c>
      <c r="I158" s="389">
        <f>SUMIFS(Table1453[Hours],Table1453[Project Role],H158,Table1453[Billable/ Non-Billable],$H$148)</f>
        <v>0</v>
      </c>
      <c r="J158" s="390" t="e" cm="1">
        <f t="array" ref="J158">INDEX('Client Rates and Roles'!$F$2:$F$433,MATCH(1,COUNTIFS('Opportunity Details'!$C$14,'Client Rates and Roles'!$D$2:$D$433,H158,'Client Rates and Roles'!$B$2:$B$433,$H$148,'Client Rates and Roles'!$C$2:$C$433,$C$6,'Client Rates and Roles'!$A$2:$A$433),0))</f>
        <v>#N/A</v>
      </c>
      <c r="K158" s="391" t="e">
        <f>Table101213[[#This Row],[Estimated Hours]]*Table101213[[#This Row],[Rate / Hour]]</f>
        <v>#N/A</v>
      </c>
    </row>
    <row r="159" spans="3:56">
      <c r="C159" s="387" t="str">
        <f>List!$J10</f>
        <v>Project Manager</v>
      </c>
      <c r="D159" s="389">
        <f>SUMIFS(Table1453[Hours],Table1453[Project Role],C159,Table1453[Billable/ Non-Billable],$C$148)</f>
        <v>773</v>
      </c>
      <c r="E159" s="390" t="e" cm="1">
        <f t="array" ref="E159">INDEX('Client Rates and Roles'!$F$2:$F$433,MATCH(1,COUNTIFS('Opportunity Details'!$C$14,'Client Rates and Roles'!$D$2:$D$433,C159,'Client Rates and Roles'!$B$2:$B$433,$C$148,'Client Rates and Roles'!$C$2:$C$433,$C$6,'Client Rates and Roles'!$A$2:$A$433),0))</f>
        <v>#N/A</v>
      </c>
      <c r="F159" s="391" t="e">
        <f>Table108[[#This Row],[Estimated Hours]]*Table108[[#This Row],[Rate / Hour]]</f>
        <v>#N/A</v>
      </c>
      <c r="H159" s="387" t="str">
        <f>List!$J10</f>
        <v>Project Manager</v>
      </c>
      <c r="I159" s="389">
        <f>SUMIFS(Table1453[Hours],Table1453[Project Role],H159,Table1453[Billable/ Non-Billable],$H$148)</f>
        <v>0</v>
      </c>
      <c r="J159" s="390" t="e" cm="1">
        <f t="array" ref="J159">INDEX('Client Rates and Roles'!$F$2:$F$433,MATCH(1,COUNTIFS('Opportunity Details'!$C$14,'Client Rates and Roles'!$D$2:$D$433,H159,'Client Rates and Roles'!$B$2:$B$433,$H$148,'Client Rates and Roles'!$C$2:$C$433,$C$6,'Client Rates and Roles'!$A$2:$A$433),0))</f>
        <v>#N/A</v>
      </c>
      <c r="K159" s="391" t="e">
        <f>Table101213[[#This Row],[Estimated Hours]]*Table101213[[#This Row],[Rate / Hour]]</f>
        <v>#N/A</v>
      </c>
    </row>
    <row r="160" spans="3:56">
      <c r="C160" s="387" t="str">
        <f>List!$J11</f>
        <v>Program Manager</v>
      </c>
      <c r="D160" s="389">
        <f>SUMIFS(Table1453[Hours],Table1453[Project Role],C160,Table1453[Billable/ Non-Billable],$C$148)</f>
        <v>0</v>
      </c>
      <c r="E160" s="390" t="e" cm="1">
        <f t="array" ref="E160">INDEX('Client Rates and Roles'!$F$2:$F$433,MATCH(1,COUNTIFS('Opportunity Details'!$C$14,'Client Rates and Roles'!$D$2:$D$433,C160,'Client Rates and Roles'!$B$2:$B$433,$C$148,'Client Rates and Roles'!$C$2:$C$433,$C$6,'Client Rates and Roles'!$A$2:$A$433),0))</f>
        <v>#N/A</v>
      </c>
      <c r="F160" s="391" t="e">
        <f>Table108[[#This Row],[Estimated Hours]]*Table108[[#This Row],[Rate / Hour]]</f>
        <v>#N/A</v>
      </c>
      <c r="H160" s="387" t="str">
        <f>List!$J11</f>
        <v>Program Manager</v>
      </c>
      <c r="I160" s="389">
        <f>SUMIFS(Table1453[Hours],Table1453[Project Role],H160,Table1453[Billable/ Non-Billable],$H$148)</f>
        <v>0</v>
      </c>
      <c r="J160" s="390" t="e" cm="1">
        <f t="array" ref="J160">INDEX('Client Rates and Roles'!$F$2:$F$433,MATCH(1,COUNTIFS('Opportunity Details'!$C$14,'Client Rates and Roles'!$D$2:$D$433,H160,'Client Rates and Roles'!$B$2:$B$433,$H$148,'Client Rates and Roles'!$C$2:$C$433,$C$6,'Client Rates and Roles'!$A$2:$A$433),0))</f>
        <v>#N/A</v>
      </c>
      <c r="K160" s="391" t="e">
        <f>Table101213[[#This Row],[Estimated Hours]]*Table101213[[#This Row],[Rate / Hour]]</f>
        <v>#N/A</v>
      </c>
    </row>
    <row r="161" spans="3:11">
      <c r="C161" s="387" t="str">
        <f>List!$J12</f>
        <v>Project Coordinator</v>
      </c>
      <c r="D161" s="389">
        <f>SUMIFS(Table1453[Hours],Table1453[Project Role],C161,Table1453[Billable/ Non-Billable],$C$148)</f>
        <v>0</v>
      </c>
      <c r="E161" s="390" t="e" cm="1">
        <f t="array" ref="E161">INDEX('Client Rates and Roles'!$F$2:$F$433,MATCH(1,COUNTIFS('Opportunity Details'!$C$14,'Client Rates and Roles'!$D$2:$D$433,C161,'Client Rates and Roles'!$B$2:$B$433,$C$148,'Client Rates and Roles'!$C$2:$C$433,$C$6,'Client Rates and Roles'!$A$2:$A$433),0))</f>
        <v>#N/A</v>
      </c>
      <c r="F161" s="391" t="e">
        <f>Table108[[#This Row],[Estimated Hours]]*Table108[[#This Row],[Rate / Hour]]</f>
        <v>#N/A</v>
      </c>
      <c r="H161" s="387" t="str">
        <f>List!$J12</f>
        <v>Project Coordinator</v>
      </c>
      <c r="I161" s="389">
        <f>SUMIFS(Table1453[Hours],Table1453[Project Role],H161,Table1453[Billable/ Non-Billable],$H$148)</f>
        <v>0</v>
      </c>
      <c r="J161" s="390" t="e" cm="1">
        <f t="array" ref="J161">INDEX('Client Rates and Roles'!$F$2:$F$433,MATCH(1,COUNTIFS('Opportunity Details'!$C$14,'Client Rates and Roles'!$D$2:$D$433,H161,'Client Rates and Roles'!$B$2:$B$433,$H$148,'Client Rates and Roles'!$C$2:$C$433,$C$6,'Client Rates and Roles'!$A$2:$A$433),0))</f>
        <v>#N/A</v>
      </c>
      <c r="K161" s="391" t="e">
        <f>Table101213[[#This Row],[Estimated Hours]]*Table101213[[#This Row],[Rate / Hour]]</f>
        <v>#N/A</v>
      </c>
    </row>
    <row r="162" spans="3:11">
      <c r="C162" s="387"/>
      <c r="D162" s="389"/>
      <c r="H162" s="387"/>
      <c r="I162" s="389"/>
    </row>
    <row r="163" spans="3:11">
      <c r="C163" s="387"/>
      <c r="D163" s="389"/>
      <c r="I163" s="389"/>
    </row>
    <row r="164" spans="3:11">
      <c r="C164" s="387"/>
      <c r="D164" s="389"/>
      <c r="I164" s="389"/>
    </row>
    <row r="165" spans="3:11">
      <c r="C165" s="388" t="s">
        <v>172</v>
      </c>
      <c r="D165" s="392">
        <f>SUM(D150:D164)</f>
        <v>4763</v>
      </c>
      <c r="E165" s="392"/>
      <c r="F165" s="393" t="e">
        <f>SUM(F150:F164)</f>
        <v>#N/A</v>
      </c>
      <c r="G165"/>
      <c r="H165" s="388" t="s">
        <v>172</v>
      </c>
      <c r="I165" s="392">
        <f>SUM(I150:I164)</f>
        <v>16</v>
      </c>
      <c r="J165" s="392"/>
      <c r="K165" s="393" t="e">
        <f>SUM(K150:K164)</f>
        <v>#N/A</v>
      </c>
    </row>
    <row r="166" spans="3:11">
      <c r="C166"/>
      <c r="D166"/>
      <c r="E166"/>
      <c r="F166"/>
      <c r="G166"/>
      <c r="H166"/>
      <c r="I166"/>
      <c r="J166"/>
      <c r="K166"/>
    </row>
    <row r="167" spans="3:11">
      <c r="C167"/>
      <c r="D167"/>
      <c r="E167"/>
      <c r="F167"/>
      <c r="G167"/>
      <c r="H167"/>
      <c r="I167"/>
      <c r="J167"/>
      <c r="K167"/>
    </row>
    <row r="168" spans="3:11">
      <c r="C168"/>
      <c r="D168"/>
      <c r="E168"/>
      <c r="F168"/>
      <c r="G168"/>
      <c r="H168"/>
      <c r="I168"/>
      <c r="J168"/>
      <c r="K168"/>
    </row>
    <row r="169" spans="3:11">
      <c r="C169"/>
      <c r="D169"/>
      <c r="E169"/>
      <c r="F169"/>
      <c r="G169"/>
      <c r="H169"/>
      <c r="I169"/>
      <c r="J169"/>
      <c r="K169"/>
    </row>
    <row r="170" spans="3:11">
      <c r="C170"/>
      <c r="D170"/>
      <c r="E170"/>
      <c r="F170"/>
      <c r="G170"/>
      <c r="H170"/>
      <c r="I170"/>
      <c r="J170"/>
      <c r="K170"/>
    </row>
    <row r="171" spans="3:11">
      <c r="C171"/>
      <c r="D171"/>
      <c r="E171"/>
      <c r="F171"/>
      <c r="G171"/>
      <c r="H171"/>
      <c r="I171"/>
      <c r="J171"/>
      <c r="K171"/>
    </row>
    <row r="172" spans="3:11">
      <c r="C172"/>
      <c r="D172"/>
      <c r="E172"/>
      <c r="F172"/>
      <c r="G172"/>
      <c r="H172"/>
      <c r="I172"/>
      <c r="J172"/>
      <c r="K172"/>
    </row>
    <row r="173" spans="3:11">
      <c r="C173"/>
      <c r="D173"/>
      <c r="E173"/>
      <c r="F173"/>
      <c r="G173"/>
      <c r="H173"/>
      <c r="I173"/>
      <c r="J173"/>
      <c r="K173"/>
    </row>
    <row r="174" spans="3:11">
      <c r="C174"/>
      <c r="D174"/>
      <c r="E174"/>
      <c r="F174"/>
      <c r="G174"/>
      <c r="H174"/>
      <c r="I174"/>
      <c r="J174"/>
      <c r="K174"/>
    </row>
    <row r="175" spans="3:11">
      <c r="C175"/>
      <c r="D175"/>
      <c r="E175"/>
      <c r="F175"/>
      <c r="G175"/>
      <c r="H175"/>
      <c r="I175"/>
      <c r="J175"/>
      <c r="K175"/>
    </row>
    <row r="176" spans="3:11">
      <c r="C176"/>
      <c r="D176"/>
      <c r="E176"/>
      <c r="F176"/>
      <c r="G176"/>
      <c r="H176"/>
      <c r="I176"/>
      <c r="J176"/>
      <c r="K176"/>
    </row>
    <row r="177" spans="3:5">
      <c r="C177"/>
      <c r="D177"/>
      <c r="E177"/>
    </row>
    <row r="178" spans="3:5">
      <c r="C178"/>
      <c r="D178"/>
      <c r="E178"/>
    </row>
    <row r="179" spans="3:5">
      <c r="C179"/>
      <c r="D179"/>
      <c r="E179"/>
    </row>
    <row r="180" spans="3:5">
      <c r="C180"/>
      <c r="D180"/>
      <c r="E180"/>
    </row>
    <row r="181" spans="3:5">
      <c r="C181"/>
      <c r="D181"/>
      <c r="E181"/>
    </row>
    <row r="182" spans="3:5">
      <c r="C182"/>
      <c r="D182"/>
      <c r="E182"/>
    </row>
    <row r="183" spans="3:5">
      <c r="C183"/>
    </row>
  </sheetData>
  <mergeCells count="22">
    <mergeCell ref="C6:E6"/>
    <mergeCell ref="B1:P1"/>
    <mergeCell ref="C2:E2"/>
    <mergeCell ref="C3:E3"/>
    <mergeCell ref="C4:E4"/>
    <mergeCell ref="C5:E5"/>
    <mergeCell ref="BD13:BE13"/>
    <mergeCell ref="C148:F148"/>
    <mergeCell ref="H148:K148"/>
    <mergeCell ref="C7:E7"/>
    <mergeCell ref="Q7:AC7"/>
    <mergeCell ref="AD7:AQ7"/>
    <mergeCell ref="C10:E10"/>
    <mergeCell ref="C11:E11"/>
    <mergeCell ref="AB13:AC13"/>
    <mergeCell ref="AP13:AQ13"/>
    <mergeCell ref="AR7:BE7"/>
    <mergeCell ref="C8:E8"/>
    <mergeCell ref="C9:E9"/>
    <mergeCell ref="Q9:AC9"/>
    <mergeCell ref="AD9:AQ9"/>
    <mergeCell ref="AR9:BE9"/>
  </mergeCells>
  <conditionalFormatting sqref="B14">
    <cfRule type="cellIs" dxfId="320" priority="5" operator="equal">
      <formula>"Initiate"</formula>
    </cfRule>
  </conditionalFormatting>
  <conditionalFormatting sqref="C2">
    <cfRule type="cellIs" dxfId="319" priority="9" operator="equal">
      <formula>"Populate Sales Force ID on Opportunity Details Sheet"</formula>
    </cfRule>
  </conditionalFormatting>
  <conditionalFormatting sqref="C3">
    <cfRule type="cellIs" dxfId="318" priority="8" operator="equal">
      <formula>"Populate Engagement Title on Opportunity Details Sheet"</formula>
    </cfRule>
  </conditionalFormatting>
  <conditionalFormatting sqref="C4:C6">
    <cfRule type="cellIs" dxfId="317" priority="6" operator="equal">
      <formula>"Populate Client on Opportunity Details Sheet"</formula>
    </cfRule>
  </conditionalFormatting>
  <conditionalFormatting sqref="C7:C11">
    <cfRule type="cellIs" dxfId="316" priority="1" operator="equal">
      <formula>"Populate Engagement Title on Opportunity Details Sheet"</formula>
    </cfRule>
  </conditionalFormatting>
  <dataValidations count="1">
    <dataValidation type="list" allowBlank="1" showInputMessage="1" showErrorMessage="1" sqref="H15:H123" xr:uid="{6E892CED-95EC-4246-85FB-7C8FEDB801B9}">
      <formula1>ROLES</formula1>
    </dataValidation>
  </dataValidations>
  <pageMargins left="0.7" right="0.7" top="0.75" bottom="0.75" header="0.3" footer="0.3"/>
  <pageSetup orientation="portrait" r:id="rId1"/>
  <drawing r:id="rId2"/>
  <legacyDrawing r:id="rId3"/>
  <tableParts count="4">
    <tablePart r:id="rId4"/>
    <tablePart r:id="rId5"/>
    <tablePart r:id="rId6"/>
    <tablePart r:id="rId7"/>
  </tableParts>
  <extLst>
    <ext xmlns:x14="http://schemas.microsoft.com/office/spreadsheetml/2009/9/main" uri="{CCE6A557-97BC-4b89-ADB6-D9C93CAAB3DF}">
      <x14:dataValidations xmlns:xm="http://schemas.microsoft.com/office/excel/2006/main" count="4">
        <x14:dataValidation type="list" allowBlank="1" showInputMessage="1" showErrorMessage="1" xr:uid="{79D3881A-A054-412B-88C7-FD71333F23B4}">
          <x14:formula1>
            <xm:f>List!$L$2:$L$6</xm:f>
          </x14:formula1>
          <xm:sqref>I15:I93 I95:I123</xm:sqref>
        </x14:dataValidation>
        <x14:dataValidation type="list" allowBlank="1" showInputMessage="1" showErrorMessage="1" xr:uid="{3CB4B3AC-A7CB-4F5D-AEB8-71941E8549FA}">
          <x14:formula1>
            <xm:f>List!$F$2:$F$5</xm:f>
          </x14:formula1>
          <xm:sqref>J15:J93 J95:J123</xm:sqref>
        </x14:dataValidation>
        <x14:dataValidation type="list" allowBlank="1" showInputMessage="1" showErrorMessage="1" xr:uid="{77F32A13-74D0-4E17-ACB0-3E2466A1977B}">
          <x14:formula1>
            <xm:f>List!$E$2:$E$7</xm:f>
          </x14:formula1>
          <xm:sqref>C15:C123</xm:sqref>
        </x14:dataValidation>
        <x14:dataValidation type="list" allowBlank="1" showInputMessage="1" showErrorMessage="1" xr:uid="{9B633150-8765-4F30-B06C-1844B733108C}">
          <x14:formula1>
            <xm:f>List!$H$2:$H$5</xm:f>
          </x14:formula1>
          <xm:sqref>C6</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CC7B0-6E65-4A9C-B85A-7EF91018B996}">
  <sheetPr>
    <tabColor rgb="FF95C63F"/>
  </sheetPr>
  <dimension ref="B2:D38"/>
  <sheetViews>
    <sheetView workbookViewId="0">
      <selection activeCell="G335" sqref="G335"/>
    </sheetView>
  </sheetViews>
  <sheetFormatPr defaultRowHeight="12.75"/>
  <cols>
    <col min="1" max="1" width="2.140625" customWidth="1"/>
    <col min="2" max="2" width="86.42578125" style="464" customWidth="1"/>
    <col min="4" max="4" width="51.42578125" customWidth="1"/>
  </cols>
  <sheetData>
    <row r="2" spans="2:4" ht="37.700000000000003" customHeight="1">
      <c r="B2" s="465" t="s">
        <v>1101</v>
      </c>
      <c r="D2" s="465" t="s">
        <v>1102</v>
      </c>
    </row>
    <row r="3" spans="2:4" ht="25.5">
      <c r="B3" s="464" t="s">
        <v>1103</v>
      </c>
      <c r="D3" s="464" t="s">
        <v>1104</v>
      </c>
    </row>
    <row r="4" spans="2:4" ht="25.5">
      <c r="B4" s="464" t="s">
        <v>1105</v>
      </c>
      <c r="D4" s="464" t="s">
        <v>1106</v>
      </c>
    </row>
    <row r="5" spans="2:4" ht="38.25">
      <c r="B5" s="464" t="s">
        <v>1107</v>
      </c>
      <c r="D5" s="464" t="s">
        <v>1108</v>
      </c>
    </row>
    <row r="6" spans="2:4" ht="25.5">
      <c r="B6" s="464" t="s">
        <v>1109</v>
      </c>
      <c r="D6" s="464" t="s">
        <v>1110</v>
      </c>
    </row>
    <row r="7" spans="2:4" ht="25.5">
      <c r="B7" s="464" t="s">
        <v>1111</v>
      </c>
      <c r="D7" s="464" t="s">
        <v>1112</v>
      </c>
    </row>
    <row r="8" spans="2:4" ht="63.75">
      <c r="B8" s="464" t="s">
        <v>1113</v>
      </c>
      <c r="D8" s="464" t="s">
        <v>1114</v>
      </c>
    </row>
    <row r="9" spans="2:4" ht="25.5">
      <c r="B9" s="464" t="s">
        <v>1115</v>
      </c>
      <c r="D9" s="464" t="s">
        <v>1116</v>
      </c>
    </row>
    <row r="10" spans="2:4" ht="38.25">
      <c r="B10" s="464" t="s">
        <v>1117</v>
      </c>
      <c r="D10" s="464" t="s">
        <v>1118</v>
      </c>
    </row>
    <row r="11" spans="2:4" ht="38.25">
      <c r="B11" s="464" t="s">
        <v>1119</v>
      </c>
      <c r="D11" s="464" t="s">
        <v>1120</v>
      </c>
    </row>
    <row r="12" spans="2:4" ht="38.25">
      <c r="B12" s="464" t="s">
        <v>1121</v>
      </c>
      <c r="D12" s="464" t="s">
        <v>1122</v>
      </c>
    </row>
    <row r="13" spans="2:4" ht="38.25">
      <c r="B13" s="464" t="s">
        <v>1123</v>
      </c>
      <c r="D13" s="464" t="s">
        <v>1124</v>
      </c>
    </row>
    <row r="14" spans="2:4" ht="38.25">
      <c r="B14" s="464" t="s">
        <v>1125</v>
      </c>
      <c r="D14" s="464" t="s">
        <v>1126</v>
      </c>
    </row>
    <row r="15" spans="2:4" ht="25.5">
      <c r="B15" s="464" t="s">
        <v>1127</v>
      </c>
      <c r="D15" s="464" t="s">
        <v>1128</v>
      </c>
    </row>
    <row r="16" spans="2:4" ht="25.5">
      <c r="D16" s="464" t="s">
        <v>1129</v>
      </c>
    </row>
    <row r="17" spans="2:4" ht="38.25">
      <c r="B17" s="464" t="s">
        <v>1130</v>
      </c>
      <c r="D17" s="464" t="s">
        <v>1131</v>
      </c>
    </row>
    <row r="18" spans="2:4" ht="51">
      <c r="B18" s="464" t="s">
        <v>1132</v>
      </c>
      <c r="D18" s="464" t="s">
        <v>1133</v>
      </c>
    </row>
    <row r="19" spans="2:4" ht="25.5">
      <c r="B19" s="464" t="s">
        <v>1134</v>
      </c>
      <c r="D19" s="464" t="s">
        <v>1135</v>
      </c>
    </row>
    <row r="20" spans="2:4" ht="38.25">
      <c r="B20" s="464" t="s">
        <v>1136</v>
      </c>
      <c r="D20" s="464" t="s">
        <v>1137</v>
      </c>
    </row>
    <row r="21" spans="2:4" ht="25.5">
      <c r="B21" s="464" t="s">
        <v>1138</v>
      </c>
      <c r="D21" s="464"/>
    </row>
    <row r="22" spans="2:4">
      <c r="B22" s="464" t="s">
        <v>1139</v>
      </c>
      <c r="D22" s="464"/>
    </row>
    <row r="23" spans="2:4" ht="38.25">
      <c r="B23" s="464" t="s">
        <v>1140</v>
      </c>
      <c r="D23" s="464"/>
    </row>
    <row r="24" spans="2:4">
      <c r="B24" s="464" t="s">
        <v>1141</v>
      </c>
      <c r="D24" s="464"/>
    </row>
    <row r="25" spans="2:4" ht="25.5">
      <c r="B25" s="464" t="s">
        <v>1142</v>
      </c>
      <c r="D25" s="464"/>
    </row>
    <row r="26" spans="2:4" ht="25.5">
      <c r="B26" s="464" t="s">
        <v>1143</v>
      </c>
    </row>
    <row r="27" spans="2:4" ht="38.25">
      <c r="B27" s="464" t="s">
        <v>1144</v>
      </c>
    </row>
    <row r="28" spans="2:4" ht="38.25">
      <c r="B28" s="464" t="s">
        <v>1145</v>
      </c>
    </row>
    <row r="29" spans="2:4" ht="38.25">
      <c r="B29" s="464" t="s">
        <v>1146</v>
      </c>
    </row>
    <row r="30" spans="2:4" ht="25.5">
      <c r="B30" s="464" t="s">
        <v>1147</v>
      </c>
    </row>
    <row r="31" spans="2:4">
      <c r="B31" s="464" t="s">
        <v>1148</v>
      </c>
    </row>
    <row r="32" spans="2:4">
      <c r="B32" s="464" t="s">
        <v>1149</v>
      </c>
    </row>
    <row r="33" spans="2:2" ht="76.5">
      <c r="B33" s="464" t="s">
        <v>1150</v>
      </c>
    </row>
    <row r="34" spans="2:2" ht="51">
      <c r="B34" s="464" t="s">
        <v>1151</v>
      </c>
    </row>
    <row r="35" spans="2:2">
      <c r="B35" s="464" t="s">
        <v>1152</v>
      </c>
    </row>
    <row r="36" spans="2:2" ht="38.25">
      <c r="B36" s="464" t="s">
        <v>1153</v>
      </c>
    </row>
    <row r="37" spans="2:2" ht="25.5">
      <c r="B37" s="464" t="s">
        <v>1154</v>
      </c>
    </row>
    <row r="38" spans="2:2" ht="38.25">
      <c r="B38" s="464" t="s">
        <v>1155</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8A12F-DE83-48A1-B610-E29FD3213CEE}">
  <sheetPr>
    <tabColor rgb="FF95C63F"/>
  </sheetPr>
  <dimension ref="B3:E13"/>
  <sheetViews>
    <sheetView workbookViewId="0">
      <selection activeCell="G335" sqref="G335"/>
    </sheetView>
  </sheetViews>
  <sheetFormatPr defaultRowHeight="12.75"/>
  <cols>
    <col min="3" max="3" width="47.85546875" customWidth="1"/>
    <col min="4" max="4" width="27.5703125" customWidth="1"/>
    <col min="5" max="5" width="48.5703125" customWidth="1"/>
  </cols>
  <sheetData>
    <row r="3" spans="2:5" ht="13.5" thickBot="1"/>
    <row r="4" spans="2:5" ht="15.75" thickBot="1">
      <c r="B4" s="466" t="s">
        <v>1156</v>
      </c>
      <c r="C4" s="467" t="s">
        <v>1157</v>
      </c>
      <c r="D4" s="467" t="s">
        <v>1094</v>
      </c>
      <c r="E4" s="467" t="s">
        <v>1158</v>
      </c>
    </row>
    <row r="5" spans="2:5" ht="15.75" thickBot="1">
      <c r="B5" s="472">
        <v>1</v>
      </c>
      <c r="C5" s="473" t="s">
        <v>1159</v>
      </c>
      <c r="D5" s="469">
        <v>0.2</v>
      </c>
      <c r="E5" s="468" t="e">
        <f>D5*#REF!</f>
        <v>#REF!</v>
      </c>
    </row>
    <row r="6" spans="2:5" ht="45.75" thickBot="1">
      <c r="B6" s="472">
        <v>2</v>
      </c>
      <c r="C6" s="473" t="s">
        <v>1160</v>
      </c>
      <c r="D6" s="469">
        <v>0.3</v>
      </c>
      <c r="E6" s="468" t="e">
        <f>D6*#REF!</f>
        <v>#REF!</v>
      </c>
    </row>
    <row r="7" spans="2:5" ht="30.75" thickBot="1">
      <c r="B7" s="472">
        <v>3</v>
      </c>
      <c r="C7" s="473" t="s">
        <v>1161</v>
      </c>
      <c r="D7" s="469">
        <v>0.3</v>
      </c>
      <c r="E7" s="468" t="e">
        <f>D7*#REF!</f>
        <v>#REF!</v>
      </c>
    </row>
    <row r="8" spans="2:5" ht="30.75" thickBot="1">
      <c r="B8" s="472">
        <v>4</v>
      </c>
      <c r="C8" s="473" t="s">
        <v>1162</v>
      </c>
      <c r="D8" s="469">
        <v>0.15</v>
      </c>
      <c r="E8" s="468" t="e">
        <f>D8*#REF!</f>
        <v>#REF!</v>
      </c>
    </row>
    <row r="9" spans="2:5" ht="30.75" thickBot="1">
      <c r="B9" s="472">
        <v>5</v>
      </c>
      <c r="C9" s="473" t="s">
        <v>1163</v>
      </c>
      <c r="D9" s="469">
        <v>0.05</v>
      </c>
      <c r="E9" s="468" t="e">
        <f>D9*#REF!</f>
        <v>#REF!</v>
      </c>
    </row>
    <row r="10" spans="2:5" ht="28.7" customHeight="1" thickBot="1">
      <c r="B10" s="1252" t="s">
        <v>1164</v>
      </c>
      <c r="C10" s="1253"/>
      <c r="D10" s="469">
        <v>1</v>
      </c>
      <c r="E10" s="470" t="e">
        <f>SUM(E5:E9)</f>
        <v>#REF!</v>
      </c>
    </row>
    <row r="11" spans="2:5" ht="15.75" thickBot="1">
      <c r="B11" s="1252" t="s">
        <v>1165</v>
      </c>
      <c r="C11" s="1254"/>
      <c r="D11" s="1253"/>
      <c r="E11" s="470">
        <v>0</v>
      </c>
    </row>
    <row r="12" spans="2:5" ht="15.75" thickBot="1">
      <c r="B12" s="1252" t="s">
        <v>1166</v>
      </c>
      <c r="C12" s="1254"/>
      <c r="D12" s="1253"/>
      <c r="E12" s="470" t="e">
        <f>E10</f>
        <v>#REF!</v>
      </c>
    </row>
    <row r="13" spans="2:5">
      <c r="E13" s="471" t="e">
        <f>E12-#REF!</f>
        <v>#REF!</v>
      </c>
    </row>
  </sheetData>
  <mergeCells count="3">
    <mergeCell ref="B10:C10"/>
    <mergeCell ref="B11:D11"/>
    <mergeCell ref="B12:D12"/>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397A9-986D-4D40-B1AC-2BD54672F75C}">
  <dimension ref="A1:K433"/>
  <sheetViews>
    <sheetView topLeftCell="A2" workbookViewId="0">
      <selection activeCell="G335" sqref="G335"/>
    </sheetView>
  </sheetViews>
  <sheetFormatPr defaultRowHeight="12.75"/>
  <cols>
    <col min="1" max="1" width="33.42578125" bestFit="1" customWidth="1"/>
    <col min="2" max="2" width="33.140625" bestFit="1" customWidth="1"/>
    <col min="3" max="3" width="17.42578125" bestFit="1" customWidth="1"/>
    <col min="4" max="4" width="13.42578125" bestFit="1" customWidth="1"/>
    <col min="5" max="5" width="19" bestFit="1" customWidth="1"/>
    <col min="6" max="6" width="15.5703125" bestFit="1" customWidth="1"/>
  </cols>
  <sheetData>
    <row r="1" spans="1:11" ht="30">
      <c r="A1" s="308" t="s">
        <v>858</v>
      </c>
      <c r="B1" s="308" t="s">
        <v>288</v>
      </c>
      <c r="C1" s="308" t="s">
        <v>1167</v>
      </c>
      <c r="D1" s="308" t="s">
        <v>337</v>
      </c>
      <c r="E1" s="308" t="s">
        <v>1168</v>
      </c>
      <c r="F1" s="308" t="s">
        <v>1169</v>
      </c>
      <c r="K1" s="260"/>
    </row>
    <row r="2" spans="1:11" ht="15">
      <c r="A2" s="308" t="s">
        <v>3</v>
      </c>
      <c r="B2" s="309" t="s">
        <v>65</v>
      </c>
      <c r="C2" s="309" t="s">
        <v>71</v>
      </c>
      <c r="D2" s="309" t="s">
        <v>771</v>
      </c>
      <c r="E2" s="309">
        <v>329</v>
      </c>
      <c r="F2" s="309">
        <v>329</v>
      </c>
      <c r="K2" s="248"/>
    </row>
    <row r="3" spans="1:11" ht="15">
      <c r="A3" s="308" t="s">
        <v>3</v>
      </c>
      <c r="B3" s="309" t="s">
        <v>65</v>
      </c>
      <c r="C3" s="309" t="s">
        <v>66</v>
      </c>
      <c r="D3" s="309" t="s">
        <v>771</v>
      </c>
      <c r="E3" s="309">
        <v>299</v>
      </c>
      <c r="F3" s="309">
        <v>299</v>
      </c>
      <c r="K3" s="248"/>
    </row>
    <row r="4" spans="1:11" ht="15">
      <c r="A4" s="308" t="s">
        <v>3</v>
      </c>
      <c r="B4" s="309" t="s">
        <v>825</v>
      </c>
      <c r="C4" s="309" t="s">
        <v>71</v>
      </c>
      <c r="D4" s="309" t="s">
        <v>771</v>
      </c>
      <c r="E4" s="309">
        <v>329</v>
      </c>
      <c r="F4" s="309">
        <v>329</v>
      </c>
      <c r="K4" s="248"/>
    </row>
    <row r="5" spans="1:11" ht="15">
      <c r="A5" s="308" t="s">
        <v>3</v>
      </c>
      <c r="B5" s="309" t="s">
        <v>825</v>
      </c>
      <c r="C5" s="309" t="s">
        <v>66</v>
      </c>
      <c r="D5" s="309" t="s">
        <v>771</v>
      </c>
      <c r="E5" s="309">
        <v>299</v>
      </c>
      <c r="F5" s="309">
        <v>299</v>
      </c>
      <c r="K5" s="248"/>
    </row>
    <row r="6" spans="1:11" ht="15">
      <c r="A6" s="308" t="s">
        <v>3</v>
      </c>
      <c r="B6" s="309" t="s">
        <v>847</v>
      </c>
      <c r="C6" s="309" t="s">
        <v>71</v>
      </c>
      <c r="D6" s="309" t="s">
        <v>771</v>
      </c>
      <c r="E6" s="309">
        <v>329</v>
      </c>
      <c r="F6" s="309">
        <v>329</v>
      </c>
      <c r="K6" s="248"/>
    </row>
    <row r="7" spans="1:11" ht="15">
      <c r="A7" s="308" t="s">
        <v>3</v>
      </c>
      <c r="B7" s="309" t="s">
        <v>847</v>
      </c>
      <c r="C7" s="309" t="s">
        <v>66</v>
      </c>
      <c r="D7" s="309" t="s">
        <v>771</v>
      </c>
      <c r="E7" s="309">
        <v>299</v>
      </c>
      <c r="F7" s="309">
        <v>299</v>
      </c>
      <c r="K7" s="248"/>
    </row>
    <row r="8" spans="1:11" ht="15">
      <c r="A8" s="308" t="s">
        <v>3</v>
      </c>
      <c r="B8" s="309" t="s">
        <v>1170</v>
      </c>
      <c r="C8" s="309" t="s">
        <v>71</v>
      </c>
      <c r="D8" s="309" t="s">
        <v>771</v>
      </c>
      <c r="E8" s="309">
        <v>199</v>
      </c>
      <c r="F8" s="309">
        <v>199</v>
      </c>
      <c r="K8" s="248"/>
    </row>
    <row r="9" spans="1:11" ht="15">
      <c r="A9" s="308" t="s">
        <v>3</v>
      </c>
      <c r="B9" s="309" t="s">
        <v>1170</v>
      </c>
      <c r="C9" s="309" t="s">
        <v>66</v>
      </c>
      <c r="D9" s="309" t="s">
        <v>771</v>
      </c>
      <c r="E9" s="309">
        <v>79</v>
      </c>
      <c r="F9" s="309">
        <v>79</v>
      </c>
      <c r="K9" s="248"/>
    </row>
    <row r="10" spans="1:11" ht="15">
      <c r="A10" s="308" t="s">
        <v>3</v>
      </c>
      <c r="B10" s="309" t="s">
        <v>359</v>
      </c>
      <c r="C10" s="309" t="s">
        <v>71</v>
      </c>
      <c r="D10" s="309" t="s">
        <v>771</v>
      </c>
      <c r="E10" s="309">
        <v>259</v>
      </c>
      <c r="F10" s="309">
        <v>259</v>
      </c>
      <c r="K10" s="248"/>
    </row>
    <row r="11" spans="1:11" ht="15">
      <c r="A11" s="308" t="s">
        <v>3</v>
      </c>
      <c r="B11" s="309" t="s">
        <v>359</v>
      </c>
      <c r="C11" s="309" t="s">
        <v>66</v>
      </c>
      <c r="D11" s="309" t="s">
        <v>771</v>
      </c>
      <c r="E11" s="309">
        <v>99</v>
      </c>
      <c r="F11" s="309">
        <v>99</v>
      </c>
      <c r="K11" s="248"/>
    </row>
    <row r="12" spans="1:11" ht="15">
      <c r="A12" s="308" t="s">
        <v>3</v>
      </c>
      <c r="B12" s="309" t="s">
        <v>823</v>
      </c>
      <c r="C12" s="309" t="s">
        <v>71</v>
      </c>
      <c r="D12" s="309" t="s">
        <v>771</v>
      </c>
      <c r="E12" s="309">
        <v>259</v>
      </c>
      <c r="F12" s="309">
        <v>259</v>
      </c>
    </row>
    <row r="13" spans="1:11" ht="15">
      <c r="A13" s="308" t="s">
        <v>3</v>
      </c>
      <c r="B13" s="309" t="s">
        <v>823</v>
      </c>
      <c r="C13" s="309" t="s">
        <v>66</v>
      </c>
      <c r="D13" s="309" t="s">
        <v>771</v>
      </c>
      <c r="E13" s="309">
        <v>99</v>
      </c>
      <c r="F13" s="309">
        <v>99</v>
      </c>
    </row>
    <row r="14" spans="1:11" ht="15">
      <c r="A14" s="308" t="s">
        <v>3</v>
      </c>
      <c r="B14" s="309" t="s">
        <v>845</v>
      </c>
      <c r="C14" s="309" t="s">
        <v>71</v>
      </c>
      <c r="D14" s="309" t="s">
        <v>771</v>
      </c>
      <c r="E14" s="309">
        <v>259</v>
      </c>
      <c r="F14" s="309">
        <v>259</v>
      </c>
    </row>
    <row r="15" spans="1:11" ht="15">
      <c r="A15" s="308" t="s">
        <v>3</v>
      </c>
      <c r="B15" s="309" t="s">
        <v>845</v>
      </c>
      <c r="C15" s="309" t="s">
        <v>66</v>
      </c>
      <c r="D15" s="309" t="s">
        <v>771</v>
      </c>
      <c r="E15" s="309">
        <v>99</v>
      </c>
      <c r="F15" s="309">
        <v>99</v>
      </c>
    </row>
    <row r="16" spans="1:11" ht="15">
      <c r="A16" s="308" t="s">
        <v>3</v>
      </c>
      <c r="B16" s="309" t="s">
        <v>824</v>
      </c>
      <c r="C16" s="309" t="s">
        <v>71</v>
      </c>
      <c r="D16" s="309" t="s">
        <v>771</v>
      </c>
      <c r="E16" s="309">
        <v>269</v>
      </c>
      <c r="F16" s="309">
        <v>269</v>
      </c>
    </row>
    <row r="17" spans="1:6" ht="15">
      <c r="A17" s="308" t="s">
        <v>3</v>
      </c>
      <c r="B17" s="309" t="s">
        <v>824</v>
      </c>
      <c r="C17" s="309" t="s">
        <v>66</v>
      </c>
      <c r="D17" s="309" t="s">
        <v>771</v>
      </c>
      <c r="E17" s="309">
        <v>109</v>
      </c>
      <c r="F17" s="309">
        <v>109</v>
      </c>
    </row>
    <row r="18" spans="1:6" ht="15">
      <c r="A18" s="308" t="s">
        <v>3</v>
      </c>
      <c r="B18" s="309" t="s">
        <v>1171</v>
      </c>
      <c r="C18" s="309" t="s">
        <v>71</v>
      </c>
      <c r="D18" s="309" t="s">
        <v>771</v>
      </c>
      <c r="E18" s="309">
        <v>259</v>
      </c>
      <c r="F18" s="309">
        <v>259</v>
      </c>
    </row>
    <row r="19" spans="1:6" ht="15">
      <c r="A19" s="308" t="s">
        <v>3</v>
      </c>
      <c r="B19" s="309" t="s">
        <v>1171</v>
      </c>
      <c r="C19" s="309" t="s">
        <v>66</v>
      </c>
      <c r="D19" s="309" t="s">
        <v>771</v>
      </c>
      <c r="E19" s="309">
        <v>99</v>
      </c>
      <c r="F19" s="309">
        <v>99</v>
      </c>
    </row>
    <row r="20" spans="1:6" ht="15">
      <c r="A20" s="308" t="s">
        <v>3</v>
      </c>
      <c r="B20" s="309" t="s">
        <v>375</v>
      </c>
      <c r="C20" s="309" t="s">
        <v>71</v>
      </c>
      <c r="D20" s="309" t="s">
        <v>771</v>
      </c>
      <c r="E20" s="309">
        <v>199</v>
      </c>
      <c r="F20" s="309">
        <v>199</v>
      </c>
    </row>
    <row r="21" spans="1:6" ht="15">
      <c r="A21" s="308" t="s">
        <v>3</v>
      </c>
      <c r="B21" s="309" t="s">
        <v>375</v>
      </c>
      <c r="C21" s="309" t="s">
        <v>66</v>
      </c>
      <c r="D21" s="309" t="s">
        <v>771</v>
      </c>
      <c r="E21" s="309">
        <v>79</v>
      </c>
      <c r="F21" s="309">
        <v>79</v>
      </c>
    </row>
    <row r="22" spans="1:6" ht="15">
      <c r="A22" s="308" t="s">
        <v>3</v>
      </c>
      <c r="B22" s="309" t="s">
        <v>158</v>
      </c>
      <c r="C22" s="309" t="s">
        <v>71</v>
      </c>
      <c r="D22" s="309" t="s">
        <v>771</v>
      </c>
      <c r="E22" s="309">
        <v>219</v>
      </c>
      <c r="F22" s="309">
        <v>219</v>
      </c>
    </row>
    <row r="23" spans="1:6" ht="15">
      <c r="A23" s="308" t="s">
        <v>3</v>
      </c>
      <c r="B23" s="309" t="s">
        <v>158</v>
      </c>
      <c r="C23" s="309" t="s">
        <v>66</v>
      </c>
      <c r="D23" s="309" t="s">
        <v>771</v>
      </c>
      <c r="E23" s="309">
        <v>89</v>
      </c>
      <c r="F23" s="309">
        <v>89</v>
      </c>
    </row>
    <row r="24" spans="1:6" ht="15">
      <c r="A24" s="308" t="s">
        <v>3</v>
      </c>
      <c r="B24" s="309" t="s">
        <v>821</v>
      </c>
      <c r="C24" s="309" t="s">
        <v>71</v>
      </c>
      <c r="D24" s="309" t="s">
        <v>771</v>
      </c>
      <c r="E24" s="309">
        <v>199</v>
      </c>
      <c r="F24" s="309">
        <v>199</v>
      </c>
    </row>
    <row r="25" spans="1:6" ht="15">
      <c r="A25" s="308" t="s">
        <v>3</v>
      </c>
      <c r="B25" s="309" t="s">
        <v>821</v>
      </c>
      <c r="C25" s="309" t="s">
        <v>66</v>
      </c>
      <c r="D25" s="309" t="s">
        <v>771</v>
      </c>
      <c r="E25" s="309">
        <v>79</v>
      </c>
      <c r="F25" s="309">
        <v>79</v>
      </c>
    </row>
    <row r="26" spans="1:6" ht="15">
      <c r="A26" s="308" t="s">
        <v>3</v>
      </c>
      <c r="B26" s="309" t="s">
        <v>844</v>
      </c>
      <c r="C26" s="309" t="s">
        <v>71</v>
      </c>
      <c r="D26" s="309" t="s">
        <v>771</v>
      </c>
      <c r="E26" s="309">
        <v>199</v>
      </c>
      <c r="F26" s="309">
        <v>199</v>
      </c>
    </row>
    <row r="27" spans="1:6" ht="15">
      <c r="A27" s="308" t="s">
        <v>3</v>
      </c>
      <c r="B27" s="309" t="s">
        <v>844</v>
      </c>
      <c r="C27" s="309" t="s">
        <v>66</v>
      </c>
      <c r="D27" s="309" t="s">
        <v>771</v>
      </c>
      <c r="E27" s="309">
        <v>79</v>
      </c>
      <c r="F27" s="309">
        <v>79</v>
      </c>
    </row>
    <row r="28" spans="1:6" ht="15">
      <c r="A28" s="308" t="s">
        <v>3</v>
      </c>
      <c r="B28" s="309" t="s">
        <v>826</v>
      </c>
      <c r="C28" s="309" t="s">
        <v>71</v>
      </c>
      <c r="D28" s="309" t="s">
        <v>771</v>
      </c>
      <c r="E28" s="309">
        <v>259</v>
      </c>
      <c r="F28" s="309">
        <v>259</v>
      </c>
    </row>
    <row r="29" spans="1:6" ht="15">
      <c r="A29" s="308" t="s">
        <v>3</v>
      </c>
      <c r="B29" s="309" t="s">
        <v>383</v>
      </c>
      <c r="C29" s="309" t="s">
        <v>71</v>
      </c>
      <c r="D29" s="309" t="s">
        <v>771</v>
      </c>
      <c r="E29" s="309">
        <v>259</v>
      </c>
      <c r="F29" s="309">
        <v>259</v>
      </c>
    </row>
    <row r="30" spans="1:6" ht="15">
      <c r="A30" s="308" t="s">
        <v>3</v>
      </c>
      <c r="B30" s="309" t="s">
        <v>1172</v>
      </c>
      <c r="C30" s="309" t="s">
        <v>71</v>
      </c>
      <c r="D30" s="309" t="s">
        <v>771</v>
      </c>
      <c r="E30" s="309">
        <v>389</v>
      </c>
      <c r="F30" s="309">
        <v>389</v>
      </c>
    </row>
    <row r="31" spans="1:6" ht="15">
      <c r="A31" s="308" t="s">
        <v>3</v>
      </c>
      <c r="B31" s="309" t="s">
        <v>1172</v>
      </c>
      <c r="C31" s="309" t="s">
        <v>66</v>
      </c>
      <c r="D31" s="309" t="s">
        <v>771</v>
      </c>
      <c r="E31" s="309">
        <v>329</v>
      </c>
      <c r="F31" s="309">
        <v>329</v>
      </c>
    </row>
    <row r="32" spans="1:6" ht="15">
      <c r="A32" s="308" t="s">
        <v>3</v>
      </c>
      <c r="B32" s="309" t="s">
        <v>1173</v>
      </c>
      <c r="C32" s="309" t="s">
        <v>71</v>
      </c>
      <c r="D32" s="309" t="s">
        <v>771</v>
      </c>
      <c r="E32" s="309">
        <v>349</v>
      </c>
      <c r="F32" s="309">
        <v>349</v>
      </c>
    </row>
    <row r="33" spans="1:11" ht="15">
      <c r="A33" s="308" t="s">
        <v>3</v>
      </c>
      <c r="B33" s="309" t="s">
        <v>1173</v>
      </c>
      <c r="C33" s="309" t="s">
        <v>66</v>
      </c>
      <c r="D33" s="309" t="s">
        <v>771</v>
      </c>
      <c r="E33" s="309">
        <v>139</v>
      </c>
      <c r="F33" s="309">
        <v>139</v>
      </c>
    </row>
    <row r="34" spans="1:11" ht="15">
      <c r="A34" s="308" t="s">
        <v>3</v>
      </c>
      <c r="B34" s="309" t="s">
        <v>1174</v>
      </c>
      <c r="C34" s="309" t="s">
        <v>71</v>
      </c>
      <c r="D34" s="309" t="s">
        <v>771</v>
      </c>
      <c r="E34" s="309">
        <v>339</v>
      </c>
      <c r="F34" s="309">
        <v>339</v>
      </c>
    </row>
    <row r="35" spans="1:11" ht="15">
      <c r="A35" s="308" t="s">
        <v>3</v>
      </c>
      <c r="B35" s="309" t="s">
        <v>1174</v>
      </c>
      <c r="C35" s="309" t="s">
        <v>66</v>
      </c>
      <c r="D35" s="309" t="s">
        <v>771</v>
      </c>
      <c r="E35" s="309">
        <v>129</v>
      </c>
      <c r="F35" s="309">
        <v>129</v>
      </c>
    </row>
    <row r="36" spans="1:11" ht="15">
      <c r="A36" s="308" t="s">
        <v>3</v>
      </c>
      <c r="B36" s="309" t="s">
        <v>1175</v>
      </c>
      <c r="C36" s="309" t="s">
        <v>71</v>
      </c>
      <c r="D36" s="309" t="s">
        <v>771</v>
      </c>
      <c r="E36" s="309">
        <v>229</v>
      </c>
      <c r="F36" s="309">
        <v>229</v>
      </c>
    </row>
    <row r="37" spans="1:11" ht="15">
      <c r="A37" s="308" t="s">
        <v>3</v>
      </c>
      <c r="B37" s="309" t="s">
        <v>1175</v>
      </c>
      <c r="C37" s="309" t="s">
        <v>66</v>
      </c>
      <c r="D37" s="309" t="s">
        <v>771</v>
      </c>
      <c r="E37" s="309">
        <v>95</v>
      </c>
      <c r="F37" s="309">
        <v>95</v>
      </c>
    </row>
    <row r="38" spans="1:11" ht="15">
      <c r="A38" s="308" t="s">
        <v>3</v>
      </c>
      <c r="B38" s="309" t="s">
        <v>65</v>
      </c>
      <c r="C38" s="309" t="s">
        <v>71</v>
      </c>
      <c r="D38" s="309" t="s">
        <v>752</v>
      </c>
      <c r="E38" s="309">
        <v>349</v>
      </c>
      <c r="F38" s="309">
        <v>349</v>
      </c>
      <c r="K38" s="248"/>
    </row>
    <row r="39" spans="1:11" ht="15">
      <c r="A39" s="308" t="s">
        <v>3</v>
      </c>
      <c r="B39" s="309" t="s">
        <v>65</v>
      </c>
      <c r="C39" s="309" t="s">
        <v>66</v>
      </c>
      <c r="D39" s="309" t="s">
        <v>752</v>
      </c>
      <c r="E39" s="309">
        <v>379</v>
      </c>
      <c r="F39" s="309">
        <v>379</v>
      </c>
      <c r="K39" s="248"/>
    </row>
    <row r="40" spans="1:11" ht="15">
      <c r="A40" s="308" t="s">
        <v>3</v>
      </c>
      <c r="B40" s="309" t="s">
        <v>825</v>
      </c>
      <c r="C40" s="309" t="s">
        <v>71</v>
      </c>
      <c r="D40" s="309" t="s">
        <v>752</v>
      </c>
      <c r="E40" s="309">
        <v>349</v>
      </c>
      <c r="F40" s="309">
        <v>349</v>
      </c>
      <c r="K40" s="248"/>
    </row>
    <row r="41" spans="1:11" ht="15">
      <c r="A41" s="308" t="s">
        <v>3</v>
      </c>
      <c r="B41" s="309" t="s">
        <v>825</v>
      </c>
      <c r="C41" s="309" t="s">
        <v>66</v>
      </c>
      <c r="D41" s="309" t="s">
        <v>752</v>
      </c>
      <c r="E41" s="309">
        <v>379</v>
      </c>
      <c r="F41" s="309">
        <v>379</v>
      </c>
      <c r="K41" s="248"/>
    </row>
    <row r="42" spans="1:11" ht="15">
      <c r="A42" s="308" t="s">
        <v>3</v>
      </c>
      <c r="B42" s="309" t="s">
        <v>847</v>
      </c>
      <c r="C42" s="309" t="s">
        <v>71</v>
      </c>
      <c r="D42" s="309" t="s">
        <v>752</v>
      </c>
      <c r="E42" s="309">
        <v>349</v>
      </c>
      <c r="F42" s="309">
        <v>349</v>
      </c>
      <c r="K42" s="248"/>
    </row>
    <row r="43" spans="1:11" ht="15">
      <c r="A43" s="308" t="s">
        <v>3</v>
      </c>
      <c r="B43" s="309" t="s">
        <v>847</v>
      </c>
      <c r="C43" s="309" t="s">
        <v>66</v>
      </c>
      <c r="D43" s="309" t="s">
        <v>752</v>
      </c>
      <c r="E43" s="309">
        <v>379</v>
      </c>
      <c r="F43" s="309">
        <v>379</v>
      </c>
      <c r="K43" s="248"/>
    </row>
    <row r="44" spans="1:11" ht="15">
      <c r="A44" s="308" t="s">
        <v>3</v>
      </c>
      <c r="B44" s="309" t="s">
        <v>1170</v>
      </c>
      <c r="C44" s="309" t="s">
        <v>71</v>
      </c>
      <c r="D44" s="309" t="s">
        <v>752</v>
      </c>
      <c r="E44" s="309">
        <v>219</v>
      </c>
      <c r="F44" s="309">
        <v>219</v>
      </c>
      <c r="K44" s="248"/>
    </row>
    <row r="45" spans="1:11" ht="15">
      <c r="A45" s="308" t="s">
        <v>3</v>
      </c>
      <c r="B45" s="309" t="s">
        <v>1170</v>
      </c>
      <c r="C45" s="309" t="s">
        <v>66</v>
      </c>
      <c r="D45" s="309" t="s">
        <v>752</v>
      </c>
      <c r="E45" s="309">
        <v>99</v>
      </c>
      <c r="F45" s="309">
        <v>99</v>
      </c>
      <c r="K45" s="248"/>
    </row>
    <row r="46" spans="1:11" ht="15">
      <c r="A46" s="308" t="s">
        <v>3</v>
      </c>
      <c r="B46" s="309" t="s">
        <v>359</v>
      </c>
      <c r="C46" s="309" t="s">
        <v>71</v>
      </c>
      <c r="D46" s="309" t="s">
        <v>752</v>
      </c>
      <c r="E46" s="309">
        <v>269</v>
      </c>
      <c r="F46" s="309">
        <v>269</v>
      </c>
      <c r="K46" s="248"/>
    </row>
    <row r="47" spans="1:11" ht="15">
      <c r="A47" s="308" t="s">
        <v>3</v>
      </c>
      <c r="B47" s="309" t="s">
        <v>359</v>
      </c>
      <c r="C47" s="309" t="s">
        <v>66</v>
      </c>
      <c r="D47" s="309" t="s">
        <v>752</v>
      </c>
      <c r="E47" s="309">
        <v>125</v>
      </c>
      <c r="F47" s="309">
        <v>125</v>
      </c>
      <c r="K47" s="248"/>
    </row>
    <row r="48" spans="1:11" ht="15">
      <c r="A48" s="308" t="s">
        <v>3</v>
      </c>
      <c r="B48" s="309" t="s">
        <v>823</v>
      </c>
      <c r="C48" s="309" t="s">
        <v>71</v>
      </c>
      <c r="D48" s="309" t="s">
        <v>752</v>
      </c>
      <c r="E48" s="309">
        <v>269</v>
      </c>
      <c r="F48" s="309">
        <v>269</v>
      </c>
    </row>
    <row r="49" spans="1:6" ht="15">
      <c r="A49" s="308" t="s">
        <v>3</v>
      </c>
      <c r="B49" s="309" t="s">
        <v>823</v>
      </c>
      <c r="C49" s="309" t="s">
        <v>66</v>
      </c>
      <c r="D49" s="309" t="s">
        <v>752</v>
      </c>
      <c r="E49" s="309">
        <v>125</v>
      </c>
      <c r="F49" s="309">
        <v>125</v>
      </c>
    </row>
    <row r="50" spans="1:6" ht="15">
      <c r="A50" s="308" t="s">
        <v>3</v>
      </c>
      <c r="B50" s="309" t="s">
        <v>845</v>
      </c>
      <c r="C50" s="309" t="s">
        <v>71</v>
      </c>
      <c r="D50" s="309" t="s">
        <v>752</v>
      </c>
      <c r="E50" s="309">
        <v>269</v>
      </c>
      <c r="F50" s="309">
        <v>269</v>
      </c>
    </row>
    <row r="51" spans="1:6" ht="15">
      <c r="A51" s="308" t="s">
        <v>3</v>
      </c>
      <c r="B51" s="309" t="s">
        <v>845</v>
      </c>
      <c r="C51" s="309" t="s">
        <v>66</v>
      </c>
      <c r="D51" s="309" t="s">
        <v>752</v>
      </c>
      <c r="E51" s="309">
        <v>125</v>
      </c>
      <c r="F51" s="309">
        <v>125</v>
      </c>
    </row>
    <row r="52" spans="1:6" ht="15">
      <c r="A52" s="308" t="s">
        <v>3</v>
      </c>
      <c r="B52" s="309" t="s">
        <v>824</v>
      </c>
      <c r="C52" s="309" t="s">
        <v>71</v>
      </c>
      <c r="D52" s="309" t="s">
        <v>752</v>
      </c>
      <c r="E52" s="309">
        <v>279</v>
      </c>
      <c r="F52" s="309">
        <v>279</v>
      </c>
    </row>
    <row r="53" spans="1:6" ht="15">
      <c r="A53" s="308" t="s">
        <v>3</v>
      </c>
      <c r="B53" s="309" t="s">
        <v>824</v>
      </c>
      <c r="C53" s="309" t="s">
        <v>66</v>
      </c>
      <c r="D53" s="309" t="s">
        <v>752</v>
      </c>
      <c r="E53" s="309">
        <v>139</v>
      </c>
      <c r="F53" s="309">
        <v>139</v>
      </c>
    </row>
    <row r="54" spans="1:6" ht="15">
      <c r="A54" s="308" t="s">
        <v>3</v>
      </c>
      <c r="B54" s="309" t="s">
        <v>1171</v>
      </c>
      <c r="C54" s="309" t="s">
        <v>71</v>
      </c>
      <c r="D54" s="309" t="s">
        <v>752</v>
      </c>
      <c r="E54" s="309">
        <v>269</v>
      </c>
      <c r="F54" s="309">
        <v>269</v>
      </c>
    </row>
    <row r="55" spans="1:6" ht="15">
      <c r="A55" s="308" t="s">
        <v>3</v>
      </c>
      <c r="B55" s="309" t="s">
        <v>1171</v>
      </c>
      <c r="C55" s="309" t="s">
        <v>66</v>
      </c>
      <c r="D55" s="309" t="s">
        <v>752</v>
      </c>
      <c r="E55" s="309">
        <v>125</v>
      </c>
      <c r="F55" s="309">
        <v>125</v>
      </c>
    </row>
    <row r="56" spans="1:6" ht="15">
      <c r="A56" s="308" t="s">
        <v>3</v>
      </c>
      <c r="B56" s="309" t="s">
        <v>375</v>
      </c>
      <c r="C56" s="309" t="s">
        <v>71</v>
      </c>
      <c r="D56" s="309" t="s">
        <v>752</v>
      </c>
      <c r="E56" s="309">
        <v>219</v>
      </c>
      <c r="F56" s="309">
        <v>219</v>
      </c>
    </row>
    <row r="57" spans="1:6" ht="15">
      <c r="A57" s="308" t="s">
        <v>3</v>
      </c>
      <c r="B57" s="309" t="s">
        <v>375</v>
      </c>
      <c r="C57" s="309" t="s">
        <v>66</v>
      </c>
      <c r="D57" s="309" t="s">
        <v>752</v>
      </c>
      <c r="E57" s="309">
        <v>99</v>
      </c>
      <c r="F57" s="309">
        <v>99</v>
      </c>
    </row>
    <row r="58" spans="1:6" ht="15">
      <c r="A58" s="308" t="s">
        <v>3</v>
      </c>
      <c r="B58" s="309" t="s">
        <v>158</v>
      </c>
      <c r="C58" s="309" t="s">
        <v>71</v>
      </c>
      <c r="D58" s="309" t="s">
        <v>752</v>
      </c>
      <c r="E58" s="309">
        <v>239</v>
      </c>
      <c r="F58" s="309">
        <v>239</v>
      </c>
    </row>
    <row r="59" spans="1:6" ht="15">
      <c r="A59" s="308" t="s">
        <v>3</v>
      </c>
      <c r="B59" s="309" t="s">
        <v>158</v>
      </c>
      <c r="C59" s="309" t="s">
        <v>66</v>
      </c>
      <c r="D59" s="309" t="s">
        <v>752</v>
      </c>
      <c r="E59" s="309">
        <v>115</v>
      </c>
      <c r="F59" s="309">
        <v>115</v>
      </c>
    </row>
    <row r="60" spans="1:6" ht="15">
      <c r="A60" s="308" t="s">
        <v>3</v>
      </c>
      <c r="B60" s="309" t="s">
        <v>821</v>
      </c>
      <c r="C60" s="309" t="s">
        <v>71</v>
      </c>
      <c r="D60" s="309" t="s">
        <v>752</v>
      </c>
      <c r="E60" s="309">
        <v>219</v>
      </c>
      <c r="F60" s="309">
        <v>219</v>
      </c>
    </row>
    <row r="61" spans="1:6" ht="15">
      <c r="A61" s="308" t="s">
        <v>3</v>
      </c>
      <c r="B61" s="309" t="s">
        <v>821</v>
      </c>
      <c r="C61" s="309" t="s">
        <v>66</v>
      </c>
      <c r="D61" s="309" t="s">
        <v>752</v>
      </c>
      <c r="E61" s="309">
        <v>99</v>
      </c>
      <c r="F61" s="309">
        <v>99</v>
      </c>
    </row>
    <row r="62" spans="1:6" ht="15">
      <c r="A62" s="308" t="s">
        <v>3</v>
      </c>
      <c r="B62" s="309" t="s">
        <v>844</v>
      </c>
      <c r="C62" s="309" t="s">
        <v>71</v>
      </c>
      <c r="D62" s="309" t="s">
        <v>752</v>
      </c>
      <c r="E62" s="309">
        <v>219</v>
      </c>
      <c r="F62" s="309">
        <v>219</v>
      </c>
    </row>
    <row r="63" spans="1:6" ht="15">
      <c r="A63" s="308" t="s">
        <v>3</v>
      </c>
      <c r="B63" s="309" t="s">
        <v>844</v>
      </c>
      <c r="C63" s="309" t="s">
        <v>66</v>
      </c>
      <c r="D63" s="309" t="s">
        <v>752</v>
      </c>
      <c r="E63" s="309">
        <v>99</v>
      </c>
      <c r="F63" s="309">
        <v>99</v>
      </c>
    </row>
    <row r="64" spans="1:6" ht="15">
      <c r="A64" s="308" t="s">
        <v>3</v>
      </c>
      <c r="B64" s="309" t="s">
        <v>826</v>
      </c>
      <c r="C64" s="309" t="s">
        <v>71</v>
      </c>
      <c r="D64" s="309" t="s">
        <v>752</v>
      </c>
      <c r="E64" s="309">
        <v>269</v>
      </c>
      <c r="F64" s="309">
        <v>269</v>
      </c>
    </row>
    <row r="65" spans="1:11" ht="15">
      <c r="A65" s="308" t="s">
        <v>3</v>
      </c>
      <c r="B65" s="309" t="s">
        <v>383</v>
      </c>
      <c r="C65" s="309" t="s">
        <v>71</v>
      </c>
      <c r="D65" s="309" t="s">
        <v>752</v>
      </c>
      <c r="E65" s="309">
        <v>269</v>
      </c>
      <c r="F65" s="309">
        <v>269</v>
      </c>
    </row>
    <row r="66" spans="1:11" ht="15">
      <c r="A66" s="308" t="s">
        <v>3</v>
      </c>
      <c r="B66" s="309" t="s">
        <v>1172</v>
      </c>
      <c r="C66" s="309" t="s">
        <v>71</v>
      </c>
      <c r="D66" s="309" t="s">
        <v>752</v>
      </c>
      <c r="E66" s="309">
        <v>419</v>
      </c>
      <c r="F66" s="309">
        <v>419</v>
      </c>
    </row>
    <row r="67" spans="1:11" ht="15">
      <c r="A67" s="308" t="s">
        <v>3</v>
      </c>
      <c r="B67" s="309" t="s">
        <v>1172</v>
      </c>
      <c r="C67" s="309" t="s">
        <v>66</v>
      </c>
      <c r="D67" s="309" t="s">
        <v>752</v>
      </c>
      <c r="E67" s="309">
        <v>419</v>
      </c>
      <c r="F67" s="309">
        <v>419</v>
      </c>
    </row>
    <row r="68" spans="1:11" ht="15">
      <c r="A68" s="308" t="s">
        <v>3</v>
      </c>
      <c r="B68" s="309" t="s">
        <v>1173</v>
      </c>
      <c r="C68" s="309" t="s">
        <v>71</v>
      </c>
      <c r="D68" s="309" t="s">
        <v>752</v>
      </c>
      <c r="E68" s="309">
        <v>369</v>
      </c>
      <c r="F68" s="309">
        <v>369</v>
      </c>
    </row>
    <row r="69" spans="1:11" ht="15">
      <c r="A69" s="308" t="s">
        <v>3</v>
      </c>
      <c r="B69" s="309" t="s">
        <v>1173</v>
      </c>
      <c r="C69" s="309" t="s">
        <v>66</v>
      </c>
      <c r="D69" s="309" t="s">
        <v>752</v>
      </c>
      <c r="E69" s="309">
        <v>179</v>
      </c>
      <c r="F69" s="309">
        <v>179</v>
      </c>
    </row>
    <row r="70" spans="1:11" ht="15">
      <c r="A70" s="308" t="s">
        <v>3</v>
      </c>
      <c r="B70" s="309" t="s">
        <v>1174</v>
      </c>
      <c r="C70" s="309" t="s">
        <v>71</v>
      </c>
      <c r="D70" s="309" t="s">
        <v>752</v>
      </c>
      <c r="E70" s="309">
        <v>359</v>
      </c>
      <c r="F70" s="309">
        <v>359</v>
      </c>
    </row>
    <row r="71" spans="1:11" ht="15">
      <c r="A71" s="308" t="s">
        <v>3</v>
      </c>
      <c r="B71" s="309" t="s">
        <v>1174</v>
      </c>
      <c r="C71" s="309" t="s">
        <v>66</v>
      </c>
      <c r="D71" s="309" t="s">
        <v>752</v>
      </c>
      <c r="E71" s="309">
        <v>165</v>
      </c>
      <c r="F71" s="309">
        <v>165</v>
      </c>
    </row>
    <row r="72" spans="1:11" ht="15">
      <c r="A72" s="308" t="s">
        <v>3</v>
      </c>
      <c r="B72" s="309" t="s">
        <v>1175</v>
      </c>
      <c r="C72" s="309" t="s">
        <v>71</v>
      </c>
      <c r="D72" s="309" t="s">
        <v>752</v>
      </c>
      <c r="E72" s="309">
        <v>249</v>
      </c>
      <c r="F72" s="309">
        <v>249</v>
      </c>
    </row>
    <row r="73" spans="1:11" ht="15">
      <c r="A73" s="308" t="s">
        <v>3</v>
      </c>
      <c r="B73" s="309" t="s">
        <v>1175</v>
      </c>
      <c r="C73" s="309" t="s">
        <v>66</v>
      </c>
      <c r="D73" s="309" t="s">
        <v>752</v>
      </c>
      <c r="E73" s="309">
        <v>119</v>
      </c>
      <c r="F73" s="309">
        <v>119</v>
      </c>
    </row>
    <row r="74" spans="1:11" ht="15">
      <c r="A74" s="308" t="s">
        <v>3</v>
      </c>
      <c r="B74" s="309" t="s">
        <v>65</v>
      </c>
      <c r="C74" s="309" t="s">
        <v>71</v>
      </c>
      <c r="D74" s="309" t="s">
        <v>768</v>
      </c>
      <c r="E74" s="309">
        <v>219</v>
      </c>
      <c r="F74" s="309">
        <v>219</v>
      </c>
      <c r="K74" s="248"/>
    </row>
    <row r="75" spans="1:11" ht="15">
      <c r="A75" s="308" t="s">
        <v>3</v>
      </c>
      <c r="B75" s="309" t="s">
        <v>65</v>
      </c>
      <c r="C75" s="309" t="s">
        <v>66</v>
      </c>
      <c r="D75" s="309" t="s">
        <v>768</v>
      </c>
      <c r="E75" s="309">
        <v>219</v>
      </c>
      <c r="F75" s="309">
        <v>219</v>
      </c>
      <c r="K75" s="248"/>
    </row>
    <row r="76" spans="1:11" ht="15">
      <c r="A76" s="308" t="s">
        <v>3</v>
      </c>
      <c r="B76" s="309" t="s">
        <v>825</v>
      </c>
      <c r="C76" s="309" t="s">
        <v>71</v>
      </c>
      <c r="D76" s="309" t="s">
        <v>768</v>
      </c>
      <c r="E76" s="309">
        <v>219</v>
      </c>
      <c r="F76" s="309">
        <v>219</v>
      </c>
      <c r="K76" s="248"/>
    </row>
    <row r="77" spans="1:11" ht="15">
      <c r="A77" s="308" t="s">
        <v>3</v>
      </c>
      <c r="B77" s="309" t="s">
        <v>825</v>
      </c>
      <c r="C77" s="309" t="s">
        <v>66</v>
      </c>
      <c r="D77" s="309" t="s">
        <v>768</v>
      </c>
      <c r="E77" s="309">
        <v>219</v>
      </c>
      <c r="F77" s="309">
        <v>219</v>
      </c>
      <c r="K77" s="248"/>
    </row>
    <row r="78" spans="1:11" ht="15">
      <c r="A78" s="308" t="s">
        <v>3</v>
      </c>
      <c r="B78" s="309" t="s">
        <v>847</v>
      </c>
      <c r="C78" s="309" t="s">
        <v>71</v>
      </c>
      <c r="D78" s="309" t="s">
        <v>768</v>
      </c>
      <c r="E78" s="309">
        <v>219</v>
      </c>
      <c r="F78" s="309">
        <v>219</v>
      </c>
      <c r="K78" s="248"/>
    </row>
    <row r="79" spans="1:11" ht="15">
      <c r="A79" s="308" t="s">
        <v>3</v>
      </c>
      <c r="B79" s="309" t="s">
        <v>847</v>
      </c>
      <c r="C79" s="309" t="s">
        <v>66</v>
      </c>
      <c r="D79" s="309" t="s">
        <v>768</v>
      </c>
      <c r="E79" s="309">
        <v>219</v>
      </c>
      <c r="F79" s="309">
        <v>219</v>
      </c>
      <c r="K79" s="248"/>
    </row>
    <row r="80" spans="1:11" ht="15">
      <c r="A80" s="308" t="s">
        <v>3</v>
      </c>
      <c r="B80" s="309" t="s">
        <v>1170</v>
      </c>
      <c r="C80" s="309" t="s">
        <v>71</v>
      </c>
      <c r="D80" s="309" t="s">
        <v>768</v>
      </c>
      <c r="E80" s="309">
        <v>129</v>
      </c>
      <c r="F80" s="309">
        <v>129</v>
      </c>
      <c r="K80" s="248"/>
    </row>
    <row r="81" spans="1:11" ht="15">
      <c r="A81" s="308" t="s">
        <v>3</v>
      </c>
      <c r="B81" s="309" t="s">
        <v>1170</v>
      </c>
      <c r="C81" s="309" t="s">
        <v>66</v>
      </c>
      <c r="D81" s="309" t="s">
        <v>768</v>
      </c>
      <c r="E81" s="309">
        <v>59</v>
      </c>
      <c r="F81" s="309">
        <v>59</v>
      </c>
      <c r="K81" s="248"/>
    </row>
    <row r="82" spans="1:11" ht="15">
      <c r="A82" s="308" t="s">
        <v>3</v>
      </c>
      <c r="B82" s="309" t="s">
        <v>359</v>
      </c>
      <c r="C82" s="309" t="s">
        <v>71</v>
      </c>
      <c r="D82" s="309" t="s">
        <v>768</v>
      </c>
      <c r="E82" s="309">
        <v>169</v>
      </c>
      <c r="F82" s="309">
        <v>169</v>
      </c>
      <c r="K82" s="248"/>
    </row>
    <row r="83" spans="1:11" ht="15">
      <c r="A83" s="308" t="s">
        <v>3</v>
      </c>
      <c r="B83" s="309" t="s">
        <v>359</v>
      </c>
      <c r="C83" s="309" t="s">
        <v>66</v>
      </c>
      <c r="D83" s="309" t="s">
        <v>768</v>
      </c>
      <c r="E83" s="309">
        <v>75</v>
      </c>
      <c r="F83" s="309">
        <v>75</v>
      </c>
      <c r="K83" s="248"/>
    </row>
    <row r="84" spans="1:11" ht="15">
      <c r="A84" s="308" t="s">
        <v>3</v>
      </c>
      <c r="B84" s="309" t="s">
        <v>823</v>
      </c>
      <c r="C84" s="309" t="s">
        <v>71</v>
      </c>
      <c r="D84" s="309" t="s">
        <v>768</v>
      </c>
      <c r="E84" s="309">
        <v>169</v>
      </c>
      <c r="F84" s="309">
        <v>169</v>
      </c>
    </row>
    <row r="85" spans="1:11" ht="15">
      <c r="A85" s="308" t="s">
        <v>3</v>
      </c>
      <c r="B85" s="309" t="s">
        <v>823</v>
      </c>
      <c r="C85" s="309" t="s">
        <v>66</v>
      </c>
      <c r="D85" s="309" t="s">
        <v>768</v>
      </c>
      <c r="E85" s="309">
        <v>75</v>
      </c>
      <c r="F85" s="309">
        <v>75</v>
      </c>
    </row>
    <row r="86" spans="1:11" ht="15">
      <c r="A86" s="308" t="s">
        <v>3</v>
      </c>
      <c r="B86" s="309" t="s">
        <v>845</v>
      </c>
      <c r="C86" s="309" t="s">
        <v>71</v>
      </c>
      <c r="D86" s="309" t="s">
        <v>768</v>
      </c>
      <c r="E86" s="309">
        <v>169</v>
      </c>
      <c r="F86" s="309">
        <v>169</v>
      </c>
    </row>
    <row r="87" spans="1:11" ht="15">
      <c r="A87" s="308" t="s">
        <v>3</v>
      </c>
      <c r="B87" s="309" t="s">
        <v>845</v>
      </c>
      <c r="C87" s="309" t="s">
        <v>66</v>
      </c>
      <c r="D87" s="309" t="s">
        <v>768</v>
      </c>
      <c r="E87" s="309">
        <v>75</v>
      </c>
      <c r="F87" s="309">
        <v>75</v>
      </c>
    </row>
    <row r="88" spans="1:11" ht="15">
      <c r="A88" s="308" t="s">
        <v>3</v>
      </c>
      <c r="B88" s="309" t="s">
        <v>824</v>
      </c>
      <c r="C88" s="309" t="s">
        <v>71</v>
      </c>
      <c r="D88" s="309" t="s">
        <v>768</v>
      </c>
      <c r="E88" s="309">
        <v>175</v>
      </c>
      <c r="F88" s="309">
        <v>175</v>
      </c>
    </row>
    <row r="89" spans="1:11" ht="15">
      <c r="A89" s="308" t="s">
        <v>3</v>
      </c>
      <c r="B89" s="309" t="s">
        <v>824</v>
      </c>
      <c r="C89" s="309" t="s">
        <v>66</v>
      </c>
      <c r="D89" s="309" t="s">
        <v>768</v>
      </c>
      <c r="E89" s="309">
        <v>79</v>
      </c>
      <c r="F89" s="309">
        <v>79</v>
      </c>
    </row>
    <row r="90" spans="1:11" ht="15">
      <c r="A90" s="308" t="s">
        <v>3</v>
      </c>
      <c r="B90" s="309" t="s">
        <v>1171</v>
      </c>
      <c r="C90" s="309" t="s">
        <v>71</v>
      </c>
      <c r="D90" s="309" t="s">
        <v>768</v>
      </c>
      <c r="E90" s="309">
        <v>169</v>
      </c>
      <c r="F90" s="309">
        <v>169</v>
      </c>
    </row>
    <row r="91" spans="1:11" ht="15">
      <c r="A91" s="308" t="s">
        <v>3</v>
      </c>
      <c r="B91" s="309" t="s">
        <v>1171</v>
      </c>
      <c r="C91" s="309" t="s">
        <v>66</v>
      </c>
      <c r="D91" s="309" t="s">
        <v>768</v>
      </c>
      <c r="E91" s="309">
        <v>75</v>
      </c>
      <c r="F91" s="309">
        <v>75</v>
      </c>
    </row>
    <row r="92" spans="1:11" ht="15">
      <c r="A92" s="308" t="s">
        <v>3</v>
      </c>
      <c r="B92" s="309" t="s">
        <v>375</v>
      </c>
      <c r="C92" s="309" t="s">
        <v>71</v>
      </c>
      <c r="D92" s="309" t="s">
        <v>768</v>
      </c>
      <c r="E92" s="309">
        <v>129</v>
      </c>
      <c r="F92" s="309">
        <v>129</v>
      </c>
    </row>
    <row r="93" spans="1:11" ht="15">
      <c r="A93" s="308" t="s">
        <v>3</v>
      </c>
      <c r="B93" s="309" t="s">
        <v>375</v>
      </c>
      <c r="C93" s="309" t="s">
        <v>66</v>
      </c>
      <c r="D93" s="309" t="s">
        <v>768</v>
      </c>
      <c r="E93" s="309">
        <v>59</v>
      </c>
      <c r="F93" s="309">
        <v>59</v>
      </c>
    </row>
    <row r="94" spans="1:11" ht="15">
      <c r="A94" s="308" t="s">
        <v>3</v>
      </c>
      <c r="B94" s="309" t="s">
        <v>158</v>
      </c>
      <c r="C94" s="309" t="s">
        <v>71</v>
      </c>
      <c r="D94" s="309" t="s">
        <v>768</v>
      </c>
      <c r="E94" s="309">
        <v>139</v>
      </c>
      <c r="F94" s="309">
        <v>139</v>
      </c>
    </row>
    <row r="95" spans="1:11" ht="15">
      <c r="A95" s="308" t="s">
        <v>3</v>
      </c>
      <c r="B95" s="309" t="s">
        <v>158</v>
      </c>
      <c r="C95" s="309" t="s">
        <v>66</v>
      </c>
      <c r="D95" s="309" t="s">
        <v>768</v>
      </c>
      <c r="E95" s="309">
        <v>65</v>
      </c>
      <c r="F95" s="309">
        <v>65</v>
      </c>
    </row>
    <row r="96" spans="1:11" ht="15">
      <c r="A96" s="308" t="s">
        <v>3</v>
      </c>
      <c r="B96" s="309" t="s">
        <v>821</v>
      </c>
      <c r="C96" s="309" t="s">
        <v>71</v>
      </c>
      <c r="D96" s="309" t="s">
        <v>768</v>
      </c>
      <c r="E96" s="309">
        <v>129</v>
      </c>
      <c r="F96" s="309">
        <v>129</v>
      </c>
    </row>
    <row r="97" spans="1:6" ht="15">
      <c r="A97" s="308" t="s">
        <v>3</v>
      </c>
      <c r="B97" s="309" t="s">
        <v>821</v>
      </c>
      <c r="C97" s="309" t="s">
        <v>66</v>
      </c>
      <c r="D97" s="309" t="s">
        <v>768</v>
      </c>
      <c r="E97" s="309">
        <v>59</v>
      </c>
      <c r="F97" s="309">
        <v>59</v>
      </c>
    </row>
    <row r="98" spans="1:6" ht="15">
      <c r="A98" s="308" t="s">
        <v>3</v>
      </c>
      <c r="B98" s="309" t="s">
        <v>844</v>
      </c>
      <c r="C98" s="309" t="s">
        <v>71</v>
      </c>
      <c r="D98" s="309" t="s">
        <v>768</v>
      </c>
      <c r="E98" s="309">
        <v>129</v>
      </c>
      <c r="F98" s="309">
        <v>129</v>
      </c>
    </row>
    <row r="99" spans="1:6" ht="15">
      <c r="A99" s="308" t="s">
        <v>3</v>
      </c>
      <c r="B99" s="309" t="s">
        <v>844</v>
      </c>
      <c r="C99" s="309" t="s">
        <v>66</v>
      </c>
      <c r="D99" s="309" t="s">
        <v>768</v>
      </c>
      <c r="E99" s="309">
        <v>59</v>
      </c>
      <c r="F99" s="309">
        <v>59</v>
      </c>
    </row>
    <row r="100" spans="1:6" ht="15">
      <c r="A100" s="308" t="s">
        <v>3</v>
      </c>
      <c r="B100" s="309" t="s">
        <v>826</v>
      </c>
      <c r="C100" s="309" t="s">
        <v>71</v>
      </c>
      <c r="D100" s="309" t="s">
        <v>768</v>
      </c>
      <c r="E100" s="309">
        <v>169</v>
      </c>
      <c r="F100" s="309">
        <v>169</v>
      </c>
    </row>
    <row r="101" spans="1:6" ht="15">
      <c r="A101" s="308" t="s">
        <v>3</v>
      </c>
      <c r="B101" s="309" t="s">
        <v>383</v>
      </c>
      <c r="C101" s="309" t="s">
        <v>71</v>
      </c>
      <c r="D101" s="309" t="s">
        <v>768</v>
      </c>
      <c r="E101" s="309">
        <v>169</v>
      </c>
      <c r="F101" s="309">
        <v>169</v>
      </c>
    </row>
    <row r="102" spans="1:6" ht="15">
      <c r="A102" s="308" t="s">
        <v>3</v>
      </c>
      <c r="B102" s="309" t="s">
        <v>1172</v>
      </c>
      <c r="C102" s="309" t="s">
        <v>71</v>
      </c>
      <c r="D102" s="309" t="s">
        <v>768</v>
      </c>
      <c r="E102" s="309">
        <v>255</v>
      </c>
      <c r="F102" s="309">
        <v>255</v>
      </c>
    </row>
    <row r="103" spans="1:6" ht="15">
      <c r="A103" s="308" t="s">
        <v>3</v>
      </c>
      <c r="B103" s="309" t="s">
        <v>1172</v>
      </c>
      <c r="C103" s="309" t="s">
        <v>66</v>
      </c>
      <c r="D103" s="309" t="s">
        <v>768</v>
      </c>
      <c r="E103" s="309">
        <v>245</v>
      </c>
      <c r="F103" s="309">
        <v>245</v>
      </c>
    </row>
    <row r="104" spans="1:6" ht="15">
      <c r="A104" s="308" t="s">
        <v>3</v>
      </c>
      <c r="B104" s="309" t="s">
        <v>1173</v>
      </c>
      <c r="C104" s="309" t="s">
        <v>71</v>
      </c>
      <c r="D104" s="309" t="s">
        <v>768</v>
      </c>
      <c r="E104" s="309">
        <v>225</v>
      </c>
      <c r="F104" s="309">
        <v>225</v>
      </c>
    </row>
    <row r="105" spans="1:6" ht="15">
      <c r="A105" s="308" t="s">
        <v>3</v>
      </c>
      <c r="B105" s="309" t="s">
        <v>1173</v>
      </c>
      <c r="C105" s="309" t="s">
        <v>66</v>
      </c>
      <c r="D105" s="309" t="s">
        <v>768</v>
      </c>
      <c r="E105" s="309">
        <v>105</v>
      </c>
      <c r="F105" s="309">
        <v>105</v>
      </c>
    </row>
    <row r="106" spans="1:6" ht="15">
      <c r="A106" s="308" t="s">
        <v>3</v>
      </c>
      <c r="B106" s="309" t="s">
        <v>1174</v>
      </c>
      <c r="C106" s="309" t="s">
        <v>71</v>
      </c>
      <c r="D106" s="309" t="s">
        <v>768</v>
      </c>
      <c r="E106" s="309">
        <v>219</v>
      </c>
      <c r="F106" s="309">
        <v>219</v>
      </c>
    </row>
    <row r="107" spans="1:6" ht="15">
      <c r="A107" s="308" t="s">
        <v>3</v>
      </c>
      <c r="B107" s="309" t="s">
        <v>1174</v>
      </c>
      <c r="C107" s="309" t="s">
        <v>66</v>
      </c>
      <c r="D107" s="309" t="s">
        <v>768</v>
      </c>
      <c r="E107" s="309">
        <v>95</v>
      </c>
      <c r="F107" s="309">
        <v>95</v>
      </c>
    </row>
    <row r="108" spans="1:6" ht="15">
      <c r="A108" s="308" t="s">
        <v>3</v>
      </c>
      <c r="B108" s="309" t="s">
        <v>1175</v>
      </c>
      <c r="C108" s="309" t="s">
        <v>71</v>
      </c>
      <c r="D108" s="309" t="s">
        <v>768</v>
      </c>
      <c r="E108" s="309">
        <v>145</v>
      </c>
      <c r="F108" s="309">
        <v>145</v>
      </c>
    </row>
    <row r="109" spans="1:6" ht="15">
      <c r="A109" s="308" t="s">
        <v>3</v>
      </c>
      <c r="B109" s="309" t="s">
        <v>1175</v>
      </c>
      <c r="C109" s="309" t="s">
        <v>66</v>
      </c>
      <c r="D109" s="309" t="s">
        <v>768</v>
      </c>
      <c r="E109" s="309">
        <v>69</v>
      </c>
      <c r="F109" s="309">
        <v>69</v>
      </c>
    </row>
    <row r="110" spans="1:6" ht="15">
      <c r="A110" s="308" t="s">
        <v>4</v>
      </c>
      <c r="B110" s="309" t="s">
        <v>65</v>
      </c>
      <c r="C110" s="309" t="s">
        <v>71</v>
      </c>
      <c r="D110" s="309" t="s">
        <v>771</v>
      </c>
      <c r="E110" s="309">
        <v>329</v>
      </c>
      <c r="F110" s="309">
        <v>329</v>
      </c>
    </row>
    <row r="111" spans="1:6" ht="15">
      <c r="A111" s="308" t="s">
        <v>4</v>
      </c>
      <c r="B111" s="309" t="s">
        <v>65</v>
      </c>
      <c r="C111" s="309" t="s">
        <v>66</v>
      </c>
      <c r="D111" s="309" t="s">
        <v>771</v>
      </c>
      <c r="E111" s="309">
        <v>299</v>
      </c>
      <c r="F111" s="309">
        <v>299</v>
      </c>
    </row>
    <row r="112" spans="1:6" ht="15">
      <c r="A112" s="308" t="s">
        <v>4</v>
      </c>
      <c r="B112" s="309" t="s">
        <v>825</v>
      </c>
      <c r="C112" s="309" t="s">
        <v>71</v>
      </c>
      <c r="D112" s="309" t="s">
        <v>771</v>
      </c>
      <c r="E112" s="309">
        <v>329</v>
      </c>
      <c r="F112" s="309">
        <v>329</v>
      </c>
    </row>
    <row r="113" spans="1:6" ht="15">
      <c r="A113" s="308" t="s">
        <v>4</v>
      </c>
      <c r="B113" s="309" t="s">
        <v>825</v>
      </c>
      <c r="C113" s="309" t="s">
        <v>66</v>
      </c>
      <c r="D113" s="309" t="s">
        <v>771</v>
      </c>
      <c r="E113" s="309">
        <v>299</v>
      </c>
      <c r="F113" s="309">
        <v>299</v>
      </c>
    </row>
    <row r="114" spans="1:6" ht="15">
      <c r="A114" s="308" t="s">
        <v>4</v>
      </c>
      <c r="B114" s="309" t="s">
        <v>847</v>
      </c>
      <c r="C114" s="309" t="s">
        <v>71</v>
      </c>
      <c r="D114" s="309" t="s">
        <v>771</v>
      </c>
      <c r="E114" s="309">
        <v>329</v>
      </c>
      <c r="F114" s="309">
        <v>329</v>
      </c>
    </row>
    <row r="115" spans="1:6" ht="15">
      <c r="A115" s="308" t="s">
        <v>4</v>
      </c>
      <c r="B115" s="309" t="s">
        <v>847</v>
      </c>
      <c r="C115" s="309" t="s">
        <v>66</v>
      </c>
      <c r="D115" s="309" t="s">
        <v>771</v>
      </c>
      <c r="E115" s="309">
        <v>299</v>
      </c>
      <c r="F115" s="309">
        <v>299</v>
      </c>
    </row>
    <row r="116" spans="1:6" ht="15">
      <c r="A116" s="308" t="s">
        <v>4</v>
      </c>
      <c r="B116" s="309" t="s">
        <v>1170</v>
      </c>
      <c r="C116" s="309" t="s">
        <v>71</v>
      </c>
      <c r="D116" s="309" t="s">
        <v>771</v>
      </c>
      <c r="E116" s="309">
        <v>209</v>
      </c>
      <c r="F116" s="309">
        <v>209</v>
      </c>
    </row>
    <row r="117" spans="1:6" ht="15">
      <c r="A117" s="308" t="s">
        <v>4</v>
      </c>
      <c r="B117" s="309" t="s">
        <v>1170</v>
      </c>
      <c r="C117" s="309" t="s">
        <v>66</v>
      </c>
      <c r="D117" s="309" t="s">
        <v>771</v>
      </c>
      <c r="E117" s="309">
        <v>85</v>
      </c>
      <c r="F117" s="309">
        <v>85</v>
      </c>
    </row>
    <row r="118" spans="1:6" ht="15">
      <c r="A118" s="308" t="s">
        <v>4</v>
      </c>
      <c r="B118" s="309" t="s">
        <v>359</v>
      </c>
      <c r="C118" s="309" t="s">
        <v>71</v>
      </c>
      <c r="D118" s="309" t="s">
        <v>771</v>
      </c>
      <c r="E118" s="309">
        <v>289</v>
      </c>
      <c r="F118" s="309">
        <v>289</v>
      </c>
    </row>
    <row r="119" spans="1:6" ht="15">
      <c r="A119" s="308" t="s">
        <v>4</v>
      </c>
      <c r="B119" s="309" t="s">
        <v>359</v>
      </c>
      <c r="C119" s="309" t="s">
        <v>66</v>
      </c>
      <c r="D119" s="309" t="s">
        <v>771</v>
      </c>
      <c r="E119" s="309">
        <v>109</v>
      </c>
      <c r="F119" s="309">
        <v>109</v>
      </c>
    </row>
    <row r="120" spans="1:6" ht="15">
      <c r="A120" s="308" t="s">
        <v>4</v>
      </c>
      <c r="B120" s="309" t="s">
        <v>823</v>
      </c>
      <c r="C120" s="309" t="s">
        <v>71</v>
      </c>
      <c r="D120" s="309" t="s">
        <v>771</v>
      </c>
      <c r="E120" s="309">
        <v>289</v>
      </c>
      <c r="F120" s="309">
        <v>289</v>
      </c>
    </row>
    <row r="121" spans="1:6" ht="15">
      <c r="A121" s="308" t="s">
        <v>4</v>
      </c>
      <c r="B121" s="309" t="s">
        <v>823</v>
      </c>
      <c r="C121" s="309" t="s">
        <v>66</v>
      </c>
      <c r="D121" s="309" t="s">
        <v>771</v>
      </c>
      <c r="E121" s="309">
        <v>109</v>
      </c>
      <c r="F121" s="309">
        <v>109</v>
      </c>
    </row>
    <row r="122" spans="1:6" ht="15">
      <c r="A122" s="308" t="s">
        <v>4</v>
      </c>
      <c r="B122" s="309" t="s">
        <v>845</v>
      </c>
      <c r="C122" s="309" t="s">
        <v>71</v>
      </c>
      <c r="D122" s="309" t="s">
        <v>771</v>
      </c>
      <c r="E122" s="309">
        <v>289</v>
      </c>
      <c r="F122" s="309">
        <v>289</v>
      </c>
    </row>
    <row r="123" spans="1:6" ht="15">
      <c r="A123" s="308" t="s">
        <v>4</v>
      </c>
      <c r="B123" s="309" t="s">
        <v>845</v>
      </c>
      <c r="C123" s="309" t="s">
        <v>66</v>
      </c>
      <c r="D123" s="309" t="s">
        <v>771</v>
      </c>
      <c r="E123" s="309">
        <v>109</v>
      </c>
      <c r="F123" s="309">
        <v>109</v>
      </c>
    </row>
    <row r="124" spans="1:6" ht="15">
      <c r="A124" s="308" t="s">
        <v>4</v>
      </c>
      <c r="B124" s="309" t="s">
        <v>824</v>
      </c>
      <c r="C124" s="309" t="s">
        <v>71</v>
      </c>
      <c r="D124" s="309" t="s">
        <v>771</v>
      </c>
      <c r="E124" s="309">
        <v>299</v>
      </c>
      <c r="F124" s="309">
        <v>299</v>
      </c>
    </row>
    <row r="125" spans="1:6" ht="15">
      <c r="A125" s="308" t="s">
        <v>4</v>
      </c>
      <c r="B125" s="309" t="s">
        <v>824</v>
      </c>
      <c r="C125" s="309" t="s">
        <v>66</v>
      </c>
      <c r="D125" s="309" t="s">
        <v>771</v>
      </c>
      <c r="E125" s="309">
        <v>119</v>
      </c>
      <c r="F125" s="309">
        <v>119</v>
      </c>
    </row>
    <row r="126" spans="1:6" ht="15">
      <c r="A126" s="308" t="s">
        <v>4</v>
      </c>
      <c r="B126" s="309" t="s">
        <v>1171</v>
      </c>
      <c r="C126" s="309" t="s">
        <v>71</v>
      </c>
      <c r="D126" s="309" t="s">
        <v>771</v>
      </c>
      <c r="E126" s="309">
        <v>259</v>
      </c>
      <c r="F126" s="309">
        <v>259</v>
      </c>
    </row>
    <row r="127" spans="1:6" ht="15">
      <c r="A127" s="308" t="s">
        <v>4</v>
      </c>
      <c r="B127" s="309" t="s">
        <v>1171</v>
      </c>
      <c r="C127" s="309" t="s">
        <v>66</v>
      </c>
      <c r="D127" s="309" t="s">
        <v>771</v>
      </c>
      <c r="E127" s="309">
        <v>99</v>
      </c>
      <c r="F127" s="309">
        <v>99</v>
      </c>
    </row>
    <row r="128" spans="1:6" ht="15">
      <c r="A128" s="308" t="s">
        <v>4</v>
      </c>
      <c r="B128" s="309" t="s">
        <v>375</v>
      </c>
      <c r="C128" s="309" t="s">
        <v>71</v>
      </c>
      <c r="D128" s="309" t="s">
        <v>771</v>
      </c>
      <c r="E128" s="309">
        <v>199</v>
      </c>
      <c r="F128" s="309">
        <v>199</v>
      </c>
    </row>
    <row r="129" spans="1:6" ht="15">
      <c r="A129" s="308" t="s">
        <v>4</v>
      </c>
      <c r="B129" s="309" t="s">
        <v>375</v>
      </c>
      <c r="C129" s="309" t="s">
        <v>66</v>
      </c>
      <c r="D129" s="309" t="s">
        <v>771</v>
      </c>
      <c r="E129" s="309">
        <v>79</v>
      </c>
      <c r="F129" s="309">
        <v>79</v>
      </c>
    </row>
    <row r="130" spans="1:6" ht="15">
      <c r="A130" s="308" t="s">
        <v>4</v>
      </c>
      <c r="B130" s="309" t="s">
        <v>158</v>
      </c>
      <c r="C130" s="309" t="s">
        <v>71</v>
      </c>
      <c r="D130" s="309" t="s">
        <v>771</v>
      </c>
      <c r="E130" s="309">
        <v>219</v>
      </c>
      <c r="F130" s="309">
        <v>219</v>
      </c>
    </row>
    <row r="131" spans="1:6" ht="15">
      <c r="A131" s="308" t="s">
        <v>4</v>
      </c>
      <c r="B131" s="309" t="s">
        <v>158</v>
      </c>
      <c r="C131" s="309" t="s">
        <v>66</v>
      </c>
      <c r="D131" s="309" t="s">
        <v>771</v>
      </c>
      <c r="E131" s="309">
        <v>89</v>
      </c>
      <c r="F131" s="309">
        <v>89</v>
      </c>
    </row>
    <row r="132" spans="1:6" ht="15">
      <c r="A132" s="308" t="s">
        <v>4</v>
      </c>
      <c r="B132" s="309" t="s">
        <v>821</v>
      </c>
      <c r="C132" s="309" t="s">
        <v>71</v>
      </c>
      <c r="D132" s="309" t="s">
        <v>771</v>
      </c>
      <c r="E132" s="309">
        <v>209</v>
      </c>
      <c r="F132" s="309">
        <v>209</v>
      </c>
    </row>
    <row r="133" spans="1:6" ht="15">
      <c r="A133" s="308" t="s">
        <v>4</v>
      </c>
      <c r="B133" s="309" t="s">
        <v>821</v>
      </c>
      <c r="C133" s="309" t="s">
        <v>66</v>
      </c>
      <c r="D133" s="309" t="s">
        <v>771</v>
      </c>
      <c r="E133" s="309">
        <v>85</v>
      </c>
      <c r="F133" s="309">
        <v>85</v>
      </c>
    </row>
    <row r="134" spans="1:6" ht="15">
      <c r="A134" s="308" t="s">
        <v>4</v>
      </c>
      <c r="B134" s="309" t="s">
        <v>844</v>
      </c>
      <c r="C134" s="309" t="s">
        <v>71</v>
      </c>
      <c r="D134" s="309" t="s">
        <v>771</v>
      </c>
      <c r="E134" s="309">
        <v>209</v>
      </c>
      <c r="F134" s="309">
        <v>209</v>
      </c>
    </row>
    <row r="135" spans="1:6" ht="15">
      <c r="A135" s="308" t="s">
        <v>4</v>
      </c>
      <c r="B135" s="309" t="s">
        <v>844</v>
      </c>
      <c r="C135" s="309" t="s">
        <v>66</v>
      </c>
      <c r="D135" s="309" t="s">
        <v>771</v>
      </c>
      <c r="E135" s="309">
        <v>85</v>
      </c>
      <c r="F135" s="309">
        <v>85</v>
      </c>
    </row>
    <row r="136" spans="1:6" ht="15">
      <c r="A136" s="308" t="s">
        <v>4</v>
      </c>
      <c r="B136" s="309" t="s">
        <v>826</v>
      </c>
      <c r="C136" s="309" t="s">
        <v>71</v>
      </c>
      <c r="D136" s="309" t="s">
        <v>771</v>
      </c>
      <c r="E136" s="309">
        <v>289</v>
      </c>
      <c r="F136" s="309">
        <v>289</v>
      </c>
    </row>
    <row r="137" spans="1:6" ht="15">
      <c r="A137" s="308" t="s">
        <v>4</v>
      </c>
      <c r="B137" s="309" t="s">
        <v>383</v>
      </c>
      <c r="C137" s="309" t="s">
        <v>71</v>
      </c>
      <c r="D137" s="309" t="s">
        <v>771</v>
      </c>
      <c r="E137" s="309">
        <v>289</v>
      </c>
      <c r="F137" s="309">
        <v>289</v>
      </c>
    </row>
    <row r="138" spans="1:6" ht="15">
      <c r="A138" s="308" t="s">
        <v>4</v>
      </c>
      <c r="B138" s="309" t="s">
        <v>1172</v>
      </c>
      <c r="C138" s="309" t="s">
        <v>71</v>
      </c>
      <c r="D138" s="309" t="s">
        <v>771</v>
      </c>
      <c r="E138" s="309">
        <v>389</v>
      </c>
      <c r="F138" s="309">
        <v>389</v>
      </c>
    </row>
    <row r="139" spans="1:6" ht="15">
      <c r="A139" s="308" t="s">
        <v>4</v>
      </c>
      <c r="B139" s="309" t="s">
        <v>1172</v>
      </c>
      <c r="C139" s="309" t="s">
        <v>66</v>
      </c>
      <c r="D139" s="309" t="s">
        <v>771</v>
      </c>
      <c r="E139" s="309">
        <v>329</v>
      </c>
      <c r="F139" s="309">
        <v>329</v>
      </c>
    </row>
    <row r="140" spans="1:6" ht="15">
      <c r="A140" s="308" t="s">
        <v>4</v>
      </c>
      <c r="B140" s="309" t="s">
        <v>1173</v>
      </c>
      <c r="C140" s="309" t="s">
        <v>71</v>
      </c>
      <c r="D140" s="309" t="s">
        <v>771</v>
      </c>
      <c r="E140" s="309">
        <v>349</v>
      </c>
      <c r="F140" s="309">
        <v>349</v>
      </c>
    </row>
    <row r="141" spans="1:6" ht="15">
      <c r="A141" s="308" t="s">
        <v>4</v>
      </c>
      <c r="B141" s="309" t="s">
        <v>1173</v>
      </c>
      <c r="C141" s="309" t="s">
        <v>66</v>
      </c>
      <c r="D141" s="309" t="s">
        <v>771</v>
      </c>
      <c r="E141" s="309">
        <v>139</v>
      </c>
      <c r="F141" s="309">
        <v>139</v>
      </c>
    </row>
    <row r="142" spans="1:6" ht="15">
      <c r="A142" s="308" t="s">
        <v>4</v>
      </c>
      <c r="B142" s="309" t="s">
        <v>1174</v>
      </c>
      <c r="C142" s="309" t="s">
        <v>71</v>
      </c>
      <c r="D142" s="309" t="s">
        <v>771</v>
      </c>
      <c r="E142" s="309">
        <v>339</v>
      </c>
      <c r="F142" s="309">
        <v>339</v>
      </c>
    </row>
    <row r="143" spans="1:6" ht="15">
      <c r="A143" s="308" t="s">
        <v>4</v>
      </c>
      <c r="B143" s="309" t="s">
        <v>1174</v>
      </c>
      <c r="C143" s="309" t="s">
        <v>66</v>
      </c>
      <c r="D143" s="309" t="s">
        <v>771</v>
      </c>
      <c r="E143" s="309">
        <v>129</v>
      </c>
      <c r="F143" s="309">
        <v>129</v>
      </c>
    </row>
    <row r="144" spans="1:6" ht="15">
      <c r="A144" s="308" t="s">
        <v>4</v>
      </c>
      <c r="B144" s="309" t="s">
        <v>1175</v>
      </c>
      <c r="C144" s="309" t="s">
        <v>71</v>
      </c>
      <c r="D144" s="309" t="s">
        <v>771</v>
      </c>
      <c r="E144" s="309">
        <v>229</v>
      </c>
      <c r="F144" s="309">
        <v>229</v>
      </c>
    </row>
    <row r="145" spans="1:6" ht="15">
      <c r="A145" s="308" t="s">
        <v>4</v>
      </c>
      <c r="B145" s="309" t="s">
        <v>1175</v>
      </c>
      <c r="C145" s="309" t="s">
        <v>66</v>
      </c>
      <c r="D145" s="309" t="s">
        <v>771</v>
      </c>
      <c r="E145" s="309">
        <v>95</v>
      </c>
      <c r="F145" s="309">
        <v>95</v>
      </c>
    </row>
    <row r="146" spans="1:6" ht="15">
      <c r="A146" s="308" t="s">
        <v>4</v>
      </c>
      <c r="B146" s="309" t="s">
        <v>65</v>
      </c>
      <c r="C146" s="309" t="s">
        <v>71</v>
      </c>
      <c r="D146" s="309" t="s">
        <v>752</v>
      </c>
      <c r="E146" s="309">
        <v>349</v>
      </c>
      <c r="F146" s="309">
        <v>349</v>
      </c>
    </row>
    <row r="147" spans="1:6" ht="15">
      <c r="A147" s="308" t="s">
        <v>4</v>
      </c>
      <c r="B147" s="309" t="s">
        <v>65</v>
      </c>
      <c r="C147" s="309" t="s">
        <v>66</v>
      </c>
      <c r="D147" s="309" t="s">
        <v>752</v>
      </c>
      <c r="E147" s="309">
        <v>379</v>
      </c>
      <c r="F147" s="309">
        <v>379</v>
      </c>
    </row>
    <row r="148" spans="1:6" ht="15">
      <c r="A148" s="308" t="s">
        <v>4</v>
      </c>
      <c r="B148" s="309" t="s">
        <v>825</v>
      </c>
      <c r="C148" s="309" t="s">
        <v>71</v>
      </c>
      <c r="D148" s="309" t="s">
        <v>752</v>
      </c>
      <c r="E148" s="309">
        <v>349</v>
      </c>
      <c r="F148" s="309">
        <v>349</v>
      </c>
    </row>
    <row r="149" spans="1:6" ht="15">
      <c r="A149" s="308" t="s">
        <v>4</v>
      </c>
      <c r="B149" s="309" t="s">
        <v>825</v>
      </c>
      <c r="C149" s="309" t="s">
        <v>66</v>
      </c>
      <c r="D149" s="309" t="s">
        <v>752</v>
      </c>
      <c r="E149" s="309">
        <v>379</v>
      </c>
      <c r="F149" s="309">
        <v>379</v>
      </c>
    </row>
    <row r="150" spans="1:6" ht="15">
      <c r="A150" s="308" t="s">
        <v>4</v>
      </c>
      <c r="B150" s="309" t="s">
        <v>847</v>
      </c>
      <c r="C150" s="309" t="s">
        <v>71</v>
      </c>
      <c r="D150" s="309" t="s">
        <v>752</v>
      </c>
      <c r="E150" s="309">
        <v>349</v>
      </c>
      <c r="F150" s="309">
        <v>349</v>
      </c>
    </row>
    <row r="151" spans="1:6" ht="15">
      <c r="A151" s="308" t="s">
        <v>4</v>
      </c>
      <c r="B151" s="309" t="s">
        <v>847</v>
      </c>
      <c r="C151" s="309" t="s">
        <v>66</v>
      </c>
      <c r="D151" s="309" t="s">
        <v>752</v>
      </c>
      <c r="E151" s="309">
        <v>379</v>
      </c>
      <c r="F151" s="309">
        <v>379</v>
      </c>
    </row>
    <row r="152" spans="1:6" ht="15">
      <c r="A152" s="308" t="s">
        <v>4</v>
      </c>
      <c r="B152" s="309" t="s">
        <v>1170</v>
      </c>
      <c r="C152" s="309" t="s">
        <v>71</v>
      </c>
      <c r="D152" s="309" t="s">
        <v>752</v>
      </c>
      <c r="E152" s="309">
        <v>229</v>
      </c>
      <c r="F152" s="309">
        <v>229</v>
      </c>
    </row>
    <row r="153" spans="1:6" ht="15">
      <c r="A153" s="308" t="s">
        <v>4</v>
      </c>
      <c r="B153" s="309" t="s">
        <v>1170</v>
      </c>
      <c r="C153" s="309" t="s">
        <v>66</v>
      </c>
      <c r="D153" s="309" t="s">
        <v>752</v>
      </c>
      <c r="E153" s="309">
        <v>109</v>
      </c>
      <c r="F153" s="309">
        <v>109</v>
      </c>
    </row>
    <row r="154" spans="1:6" ht="15">
      <c r="A154" s="308" t="s">
        <v>4</v>
      </c>
      <c r="B154" s="309" t="s">
        <v>359</v>
      </c>
      <c r="C154" s="309" t="s">
        <v>71</v>
      </c>
      <c r="D154" s="309" t="s">
        <v>752</v>
      </c>
      <c r="E154" s="309">
        <v>299</v>
      </c>
      <c r="F154" s="309">
        <v>299</v>
      </c>
    </row>
    <row r="155" spans="1:6" ht="15">
      <c r="A155" s="308" t="s">
        <v>4</v>
      </c>
      <c r="B155" s="309" t="s">
        <v>359</v>
      </c>
      <c r="C155" s="309" t="s">
        <v>66</v>
      </c>
      <c r="D155" s="309" t="s">
        <v>752</v>
      </c>
      <c r="E155" s="309">
        <v>139</v>
      </c>
      <c r="F155" s="309">
        <v>139</v>
      </c>
    </row>
    <row r="156" spans="1:6" ht="15">
      <c r="A156" s="308" t="s">
        <v>4</v>
      </c>
      <c r="B156" s="309" t="s">
        <v>823</v>
      </c>
      <c r="C156" s="309" t="s">
        <v>71</v>
      </c>
      <c r="D156" s="309" t="s">
        <v>752</v>
      </c>
      <c r="E156" s="309">
        <v>299</v>
      </c>
      <c r="F156" s="309">
        <v>299</v>
      </c>
    </row>
    <row r="157" spans="1:6" ht="15">
      <c r="A157" s="308" t="s">
        <v>4</v>
      </c>
      <c r="B157" s="309" t="s">
        <v>823</v>
      </c>
      <c r="C157" s="309" t="s">
        <v>66</v>
      </c>
      <c r="D157" s="309" t="s">
        <v>752</v>
      </c>
      <c r="E157" s="309">
        <v>139</v>
      </c>
      <c r="F157" s="309">
        <v>139</v>
      </c>
    </row>
    <row r="158" spans="1:6" ht="15">
      <c r="A158" s="308" t="s">
        <v>4</v>
      </c>
      <c r="B158" s="309" t="s">
        <v>845</v>
      </c>
      <c r="C158" s="309" t="s">
        <v>71</v>
      </c>
      <c r="D158" s="309" t="s">
        <v>752</v>
      </c>
      <c r="E158" s="309">
        <v>299</v>
      </c>
      <c r="F158" s="309">
        <v>299</v>
      </c>
    </row>
    <row r="159" spans="1:6" ht="15">
      <c r="A159" s="308" t="s">
        <v>4</v>
      </c>
      <c r="B159" s="309" t="s">
        <v>845</v>
      </c>
      <c r="C159" s="309" t="s">
        <v>66</v>
      </c>
      <c r="D159" s="309" t="s">
        <v>752</v>
      </c>
      <c r="E159" s="309">
        <v>139</v>
      </c>
      <c r="F159" s="309">
        <v>139</v>
      </c>
    </row>
    <row r="160" spans="1:6" ht="15">
      <c r="A160" s="308" t="s">
        <v>4</v>
      </c>
      <c r="B160" s="309" t="s">
        <v>824</v>
      </c>
      <c r="C160" s="309" t="s">
        <v>71</v>
      </c>
      <c r="D160" s="309" t="s">
        <v>752</v>
      </c>
      <c r="E160" s="309">
        <v>309</v>
      </c>
      <c r="F160" s="309">
        <v>309</v>
      </c>
    </row>
    <row r="161" spans="1:6" ht="15">
      <c r="A161" s="308" t="s">
        <v>4</v>
      </c>
      <c r="B161" s="309" t="s">
        <v>824</v>
      </c>
      <c r="C161" s="309" t="s">
        <v>66</v>
      </c>
      <c r="D161" s="309" t="s">
        <v>752</v>
      </c>
      <c r="E161" s="309">
        <v>155</v>
      </c>
      <c r="F161" s="309">
        <v>155</v>
      </c>
    </row>
    <row r="162" spans="1:6" ht="15">
      <c r="A162" s="308" t="s">
        <v>4</v>
      </c>
      <c r="B162" s="309" t="s">
        <v>1171</v>
      </c>
      <c r="C162" s="309" t="s">
        <v>71</v>
      </c>
      <c r="D162" s="309" t="s">
        <v>752</v>
      </c>
      <c r="E162" s="309">
        <v>269</v>
      </c>
      <c r="F162" s="309">
        <v>269</v>
      </c>
    </row>
    <row r="163" spans="1:6" ht="15">
      <c r="A163" s="308" t="s">
        <v>4</v>
      </c>
      <c r="B163" s="309" t="s">
        <v>1171</v>
      </c>
      <c r="C163" s="309" t="s">
        <v>66</v>
      </c>
      <c r="D163" s="309" t="s">
        <v>752</v>
      </c>
      <c r="E163" s="309">
        <v>125</v>
      </c>
      <c r="F163" s="309">
        <v>125</v>
      </c>
    </row>
    <row r="164" spans="1:6" ht="15">
      <c r="A164" s="308" t="s">
        <v>4</v>
      </c>
      <c r="B164" s="309" t="s">
        <v>375</v>
      </c>
      <c r="C164" s="309" t="s">
        <v>71</v>
      </c>
      <c r="D164" s="309" t="s">
        <v>752</v>
      </c>
      <c r="E164" s="309">
        <v>219</v>
      </c>
      <c r="F164" s="309">
        <v>219</v>
      </c>
    </row>
    <row r="165" spans="1:6" ht="15">
      <c r="A165" s="308" t="s">
        <v>4</v>
      </c>
      <c r="B165" s="309" t="s">
        <v>375</v>
      </c>
      <c r="C165" s="309" t="s">
        <v>66</v>
      </c>
      <c r="D165" s="309" t="s">
        <v>752</v>
      </c>
      <c r="E165" s="309">
        <v>99</v>
      </c>
      <c r="F165" s="309">
        <v>99</v>
      </c>
    </row>
    <row r="166" spans="1:6" ht="15">
      <c r="A166" s="308" t="s">
        <v>4</v>
      </c>
      <c r="B166" s="309" t="s">
        <v>158</v>
      </c>
      <c r="C166" s="309" t="s">
        <v>71</v>
      </c>
      <c r="D166" s="309" t="s">
        <v>752</v>
      </c>
      <c r="E166" s="309">
        <v>239</v>
      </c>
      <c r="F166" s="309">
        <v>239</v>
      </c>
    </row>
    <row r="167" spans="1:6" ht="15">
      <c r="A167" s="308" t="s">
        <v>4</v>
      </c>
      <c r="B167" s="309" t="s">
        <v>158</v>
      </c>
      <c r="C167" s="309" t="s">
        <v>66</v>
      </c>
      <c r="D167" s="309" t="s">
        <v>752</v>
      </c>
      <c r="E167" s="309">
        <v>115</v>
      </c>
      <c r="F167" s="309">
        <v>115</v>
      </c>
    </row>
    <row r="168" spans="1:6" ht="15">
      <c r="A168" s="308" t="s">
        <v>4</v>
      </c>
      <c r="B168" s="309" t="s">
        <v>821</v>
      </c>
      <c r="C168" s="309" t="s">
        <v>71</v>
      </c>
      <c r="D168" s="309" t="s">
        <v>752</v>
      </c>
      <c r="E168" s="309">
        <v>229</v>
      </c>
      <c r="F168" s="309">
        <v>229</v>
      </c>
    </row>
    <row r="169" spans="1:6" ht="15">
      <c r="A169" s="308" t="s">
        <v>4</v>
      </c>
      <c r="B169" s="309" t="s">
        <v>821</v>
      </c>
      <c r="C169" s="309" t="s">
        <v>66</v>
      </c>
      <c r="D169" s="309" t="s">
        <v>752</v>
      </c>
      <c r="E169" s="309">
        <v>109</v>
      </c>
      <c r="F169" s="309">
        <v>109</v>
      </c>
    </row>
    <row r="170" spans="1:6" ht="15">
      <c r="A170" s="308" t="s">
        <v>4</v>
      </c>
      <c r="B170" s="309" t="s">
        <v>844</v>
      </c>
      <c r="C170" s="309" t="s">
        <v>71</v>
      </c>
      <c r="D170" s="309" t="s">
        <v>752</v>
      </c>
      <c r="E170" s="309">
        <v>229</v>
      </c>
      <c r="F170" s="309">
        <v>229</v>
      </c>
    </row>
    <row r="171" spans="1:6" ht="15">
      <c r="A171" s="308" t="s">
        <v>4</v>
      </c>
      <c r="B171" s="309" t="s">
        <v>844</v>
      </c>
      <c r="C171" s="309" t="s">
        <v>66</v>
      </c>
      <c r="D171" s="309" t="s">
        <v>752</v>
      </c>
      <c r="E171" s="309">
        <v>109</v>
      </c>
      <c r="F171" s="309">
        <v>109</v>
      </c>
    </row>
    <row r="172" spans="1:6" ht="15">
      <c r="A172" s="308" t="s">
        <v>4</v>
      </c>
      <c r="B172" s="309" t="s">
        <v>826</v>
      </c>
      <c r="C172" s="309" t="s">
        <v>71</v>
      </c>
      <c r="D172" s="309" t="s">
        <v>752</v>
      </c>
      <c r="E172" s="309">
        <v>299</v>
      </c>
      <c r="F172" s="309">
        <v>299</v>
      </c>
    </row>
    <row r="173" spans="1:6" ht="15">
      <c r="A173" s="308" t="s">
        <v>4</v>
      </c>
      <c r="B173" s="309" t="s">
        <v>383</v>
      </c>
      <c r="C173" s="309" t="s">
        <v>71</v>
      </c>
      <c r="D173" s="309" t="s">
        <v>752</v>
      </c>
      <c r="E173" s="309">
        <v>299</v>
      </c>
      <c r="F173" s="309">
        <v>299</v>
      </c>
    </row>
    <row r="174" spans="1:6" ht="15">
      <c r="A174" s="308" t="s">
        <v>4</v>
      </c>
      <c r="B174" s="309" t="s">
        <v>1172</v>
      </c>
      <c r="C174" s="309" t="s">
        <v>71</v>
      </c>
      <c r="D174" s="309" t="s">
        <v>752</v>
      </c>
      <c r="E174" s="309">
        <v>419</v>
      </c>
      <c r="F174" s="309">
        <v>419</v>
      </c>
    </row>
    <row r="175" spans="1:6" ht="15">
      <c r="A175" s="308" t="s">
        <v>4</v>
      </c>
      <c r="B175" s="309" t="s">
        <v>1172</v>
      </c>
      <c r="C175" s="309" t="s">
        <v>66</v>
      </c>
      <c r="D175" s="309" t="s">
        <v>752</v>
      </c>
      <c r="E175" s="309">
        <v>419</v>
      </c>
      <c r="F175" s="309">
        <v>419</v>
      </c>
    </row>
    <row r="176" spans="1:6" ht="15">
      <c r="A176" s="308" t="s">
        <v>4</v>
      </c>
      <c r="B176" s="309" t="s">
        <v>1173</v>
      </c>
      <c r="C176" s="309" t="s">
        <v>71</v>
      </c>
      <c r="D176" s="309" t="s">
        <v>752</v>
      </c>
      <c r="E176" s="309">
        <v>369</v>
      </c>
      <c r="F176" s="309">
        <v>369</v>
      </c>
    </row>
    <row r="177" spans="1:6" ht="15">
      <c r="A177" s="308" t="s">
        <v>4</v>
      </c>
      <c r="B177" s="309" t="s">
        <v>1173</v>
      </c>
      <c r="C177" s="309" t="s">
        <v>66</v>
      </c>
      <c r="D177" s="309" t="s">
        <v>752</v>
      </c>
      <c r="E177" s="309">
        <v>179</v>
      </c>
      <c r="F177" s="309">
        <v>179</v>
      </c>
    </row>
    <row r="178" spans="1:6" ht="15">
      <c r="A178" s="308" t="s">
        <v>4</v>
      </c>
      <c r="B178" s="309" t="s">
        <v>1174</v>
      </c>
      <c r="C178" s="309" t="s">
        <v>71</v>
      </c>
      <c r="D178" s="309" t="s">
        <v>752</v>
      </c>
      <c r="E178" s="309">
        <v>359</v>
      </c>
      <c r="F178" s="309">
        <v>359</v>
      </c>
    </row>
    <row r="179" spans="1:6" ht="15">
      <c r="A179" s="308" t="s">
        <v>4</v>
      </c>
      <c r="B179" s="309" t="s">
        <v>1174</v>
      </c>
      <c r="C179" s="309" t="s">
        <v>66</v>
      </c>
      <c r="D179" s="309" t="s">
        <v>752</v>
      </c>
      <c r="E179" s="309">
        <v>165</v>
      </c>
      <c r="F179" s="309">
        <v>165</v>
      </c>
    </row>
    <row r="180" spans="1:6" ht="15">
      <c r="A180" s="308" t="s">
        <v>4</v>
      </c>
      <c r="B180" s="309" t="s">
        <v>1175</v>
      </c>
      <c r="C180" s="309" t="s">
        <v>71</v>
      </c>
      <c r="D180" s="309" t="s">
        <v>752</v>
      </c>
      <c r="E180" s="309">
        <v>249</v>
      </c>
      <c r="F180" s="309">
        <v>249</v>
      </c>
    </row>
    <row r="181" spans="1:6" ht="15">
      <c r="A181" s="308" t="s">
        <v>4</v>
      </c>
      <c r="B181" s="309" t="s">
        <v>1175</v>
      </c>
      <c r="C181" s="309" t="s">
        <v>66</v>
      </c>
      <c r="D181" s="309" t="s">
        <v>752</v>
      </c>
      <c r="E181" s="309">
        <v>119</v>
      </c>
      <c r="F181" s="309">
        <v>119</v>
      </c>
    </row>
    <row r="182" spans="1:6" ht="15">
      <c r="A182" s="308" t="s">
        <v>4</v>
      </c>
      <c r="B182" s="309" t="s">
        <v>65</v>
      </c>
      <c r="C182" s="309" t="s">
        <v>71</v>
      </c>
      <c r="D182" s="309" t="s">
        <v>768</v>
      </c>
      <c r="E182" s="309">
        <v>219</v>
      </c>
      <c r="F182" s="309">
        <v>219</v>
      </c>
    </row>
    <row r="183" spans="1:6" ht="15">
      <c r="A183" s="308" t="s">
        <v>4</v>
      </c>
      <c r="B183" s="309" t="s">
        <v>65</v>
      </c>
      <c r="C183" s="309" t="s">
        <v>66</v>
      </c>
      <c r="D183" s="309" t="s">
        <v>768</v>
      </c>
      <c r="E183" s="309">
        <v>219</v>
      </c>
      <c r="F183" s="309">
        <v>219</v>
      </c>
    </row>
    <row r="184" spans="1:6" ht="15">
      <c r="A184" s="308" t="s">
        <v>4</v>
      </c>
      <c r="B184" s="309" t="s">
        <v>825</v>
      </c>
      <c r="C184" s="309" t="s">
        <v>71</v>
      </c>
      <c r="D184" s="309" t="s">
        <v>768</v>
      </c>
      <c r="E184" s="309">
        <v>219</v>
      </c>
      <c r="F184" s="309">
        <v>219</v>
      </c>
    </row>
    <row r="185" spans="1:6" ht="15">
      <c r="A185" s="308" t="s">
        <v>4</v>
      </c>
      <c r="B185" s="309" t="s">
        <v>825</v>
      </c>
      <c r="C185" s="309" t="s">
        <v>66</v>
      </c>
      <c r="D185" s="309" t="s">
        <v>768</v>
      </c>
      <c r="E185" s="309">
        <v>219</v>
      </c>
      <c r="F185" s="309">
        <v>219</v>
      </c>
    </row>
    <row r="186" spans="1:6" ht="15">
      <c r="A186" s="308" t="s">
        <v>4</v>
      </c>
      <c r="B186" s="309" t="s">
        <v>847</v>
      </c>
      <c r="C186" s="309" t="s">
        <v>71</v>
      </c>
      <c r="D186" s="309" t="s">
        <v>768</v>
      </c>
      <c r="E186" s="309">
        <v>219</v>
      </c>
      <c r="F186" s="309">
        <v>219</v>
      </c>
    </row>
    <row r="187" spans="1:6" ht="15">
      <c r="A187" s="308" t="s">
        <v>4</v>
      </c>
      <c r="B187" s="309" t="s">
        <v>847</v>
      </c>
      <c r="C187" s="309" t="s">
        <v>66</v>
      </c>
      <c r="D187" s="309" t="s">
        <v>768</v>
      </c>
      <c r="E187" s="309">
        <v>219</v>
      </c>
      <c r="F187" s="309">
        <v>219</v>
      </c>
    </row>
    <row r="188" spans="1:6" ht="15">
      <c r="A188" s="308" t="s">
        <v>4</v>
      </c>
      <c r="B188" s="309" t="s">
        <v>1170</v>
      </c>
      <c r="C188" s="309" t="s">
        <v>71</v>
      </c>
      <c r="D188" s="309" t="s">
        <v>768</v>
      </c>
      <c r="E188" s="309">
        <v>135</v>
      </c>
      <c r="F188" s="309">
        <v>135</v>
      </c>
    </row>
    <row r="189" spans="1:6" ht="15">
      <c r="A189" s="308" t="s">
        <v>4</v>
      </c>
      <c r="B189" s="309" t="s">
        <v>1170</v>
      </c>
      <c r="C189" s="309" t="s">
        <v>66</v>
      </c>
      <c r="D189" s="309" t="s">
        <v>768</v>
      </c>
      <c r="E189" s="309">
        <v>65</v>
      </c>
      <c r="F189" s="309">
        <v>65</v>
      </c>
    </row>
    <row r="190" spans="1:6" ht="15">
      <c r="A190" s="308" t="s">
        <v>4</v>
      </c>
      <c r="B190" s="309" t="s">
        <v>359</v>
      </c>
      <c r="C190" s="309" t="s">
        <v>71</v>
      </c>
      <c r="D190" s="309" t="s">
        <v>768</v>
      </c>
      <c r="E190" s="309">
        <v>185</v>
      </c>
      <c r="F190" s="309">
        <v>185</v>
      </c>
    </row>
    <row r="191" spans="1:6" ht="15">
      <c r="A191" s="308" t="s">
        <v>4</v>
      </c>
      <c r="B191" s="309" t="s">
        <v>359</v>
      </c>
      <c r="C191" s="309" t="s">
        <v>66</v>
      </c>
      <c r="D191" s="309" t="s">
        <v>768</v>
      </c>
      <c r="E191" s="309">
        <v>79</v>
      </c>
      <c r="F191" s="309">
        <v>79</v>
      </c>
    </row>
    <row r="192" spans="1:6" ht="15">
      <c r="A192" s="308" t="s">
        <v>4</v>
      </c>
      <c r="B192" s="309" t="s">
        <v>823</v>
      </c>
      <c r="C192" s="309" t="s">
        <v>71</v>
      </c>
      <c r="D192" s="309" t="s">
        <v>768</v>
      </c>
      <c r="E192" s="309">
        <v>185</v>
      </c>
      <c r="F192" s="309">
        <v>185</v>
      </c>
    </row>
    <row r="193" spans="1:6" ht="15">
      <c r="A193" s="308" t="s">
        <v>4</v>
      </c>
      <c r="B193" s="309" t="s">
        <v>823</v>
      </c>
      <c r="C193" s="309" t="s">
        <v>66</v>
      </c>
      <c r="D193" s="309" t="s">
        <v>768</v>
      </c>
      <c r="E193" s="309">
        <v>79</v>
      </c>
      <c r="F193" s="309">
        <v>79</v>
      </c>
    </row>
    <row r="194" spans="1:6" ht="15">
      <c r="A194" s="308" t="s">
        <v>4</v>
      </c>
      <c r="B194" s="309" t="s">
        <v>845</v>
      </c>
      <c r="C194" s="309" t="s">
        <v>71</v>
      </c>
      <c r="D194" s="309" t="s">
        <v>768</v>
      </c>
      <c r="E194" s="309">
        <v>185</v>
      </c>
      <c r="F194" s="309">
        <v>185</v>
      </c>
    </row>
    <row r="195" spans="1:6" ht="15">
      <c r="A195" s="308" t="s">
        <v>4</v>
      </c>
      <c r="B195" s="309" t="s">
        <v>845</v>
      </c>
      <c r="C195" s="309" t="s">
        <v>66</v>
      </c>
      <c r="D195" s="309" t="s">
        <v>768</v>
      </c>
      <c r="E195" s="309">
        <v>79</v>
      </c>
      <c r="F195" s="309">
        <v>79</v>
      </c>
    </row>
    <row r="196" spans="1:6" ht="15">
      <c r="A196" s="308" t="s">
        <v>4</v>
      </c>
      <c r="B196" s="309" t="s">
        <v>824</v>
      </c>
      <c r="C196" s="309" t="s">
        <v>71</v>
      </c>
      <c r="D196" s="309" t="s">
        <v>768</v>
      </c>
      <c r="E196" s="309">
        <v>189</v>
      </c>
      <c r="F196" s="309">
        <v>189</v>
      </c>
    </row>
    <row r="197" spans="1:6" ht="15">
      <c r="A197" s="308" t="s">
        <v>4</v>
      </c>
      <c r="B197" s="309" t="s">
        <v>824</v>
      </c>
      <c r="C197" s="309" t="s">
        <v>66</v>
      </c>
      <c r="D197" s="309" t="s">
        <v>768</v>
      </c>
      <c r="E197" s="309">
        <v>89</v>
      </c>
      <c r="F197" s="309">
        <v>89</v>
      </c>
    </row>
    <row r="198" spans="1:6" ht="15">
      <c r="A198" s="308" t="s">
        <v>4</v>
      </c>
      <c r="B198" s="309" t="s">
        <v>1171</v>
      </c>
      <c r="C198" s="309" t="s">
        <v>71</v>
      </c>
      <c r="D198" s="309" t="s">
        <v>768</v>
      </c>
      <c r="E198" s="309">
        <v>169</v>
      </c>
      <c r="F198" s="309">
        <v>169</v>
      </c>
    </row>
    <row r="199" spans="1:6" ht="15">
      <c r="A199" s="308" t="s">
        <v>4</v>
      </c>
      <c r="B199" s="309" t="s">
        <v>1171</v>
      </c>
      <c r="C199" s="309" t="s">
        <v>66</v>
      </c>
      <c r="D199" s="309" t="s">
        <v>768</v>
      </c>
      <c r="E199" s="309">
        <v>75</v>
      </c>
      <c r="F199" s="309">
        <v>75</v>
      </c>
    </row>
    <row r="200" spans="1:6" ht="15">
      <c r="A200" s="308" t="s">
        <v>4</v>
      </c>
      <c r="B200" s="309" t="s">
        <v>375</v>
      </c>
      <c r="C200" s="309" t="s">
        <v>71</v>
      </c>
      <c r="D200" s="309" t="s">
        <v>768</v>
      </c>
      <c r="E200" s="309">
        <v>129</v>
      </c>
      <c r="F200" s="309">
        <v>129</v>
      </c>
    </row>
    <row r="201" spans="1:6" ht="15">
      <c r="A201" s="308" t="s">
        <v>4</v>
      </c>
      <c r="B201" s="309" t="s">
        <v>375</v>
      </c>
      <c r="C201" s="309" t="s">
        <v>66</v>
      </c>
      <c r="D201" s="309" t="s">
        <v>768</v>
      </c>
      <c r="E201" s="309">
        <v>59</v>
      </c>
      <c r="F201" s="309">
        <v>59</v>
      </c>
    </row>
    <row r="202" spans="1:6" ht="15">
      <c r="A202" s="308" t="s">
        <v>4</v>
      </c>
      <c r="B202" s="309" t="s">
        <v>158</v>
      </c>
      <c r="C202" s="309" t="s">
        <v>71</v>
      </c>
      <c r="D202" s="309" t="s">
        <v>768</v>
      </c>
      <c r="E202" s="309">
        <v>139</v>
      </c>
      <c r="F202" s="309">
        <v>139</v>
      </c>
    </row>
    <row r="203" spans="1:6" ht="15">
      <c r="A203" s="308" t="s">
        <v>4</v>
      </c>
      <c r="B203" s="309" t="s">
        <v>158</v>
      </c>
      <c r="C203" s="309" t="s">
        <v>66</v>
      </c>
      <c r="D203" s="309" t="s">
        <v>768</v>
      </c>
      <c r="E203" s="309">
        <v>65</v>
      </c>
      <c r="F203" s="309">
        <v>65</v>
      </c>
    </row>
    <row r="204" spans="1:6" ht="15">
      <c r="A204" s="308" t="s">
        <v>4</v>
      </c>
      <c r="B204" s="309" t="s">
        <v>821</v>
      </c>
      <c r="C204" s="309" t="s">
        <v>71</v>
      </c>
      <c r="D204" s="309" t="s">
        <v>768</v>
      </c>
      <c r="E204" s="309">
        <v>135</v>
      </c>
      <c r="F204" s="309">
        <v>135</v>
      </c>
    </row>
    <row r="205" spans="1:6" ht="15">
      <c r="A205" s="308" t="s">
        <v>4</v>
      </c>
      <c r="B205" s="309" t="s">
        <v>821</v>
      </c>
      <c r="C205" s="309" t="s">
        <v>66</v>
      </c>
      <c r="D205" s="309" t="s">
        <v>768</v>
      </c>
      <c r="E205" s="309">
        <v>65</v>
      </c>
      <c r="F205" s="309">
        <v>65</v>
      </c>
    </row>
    <row r="206" spans="1:6" ht="15">
      <c r="A206" s="308" t="s">
        <v>4</v>
      </c>
      <c r="B206" s="309" t="s">
        <v>844</v>
      </c>
      <c r="C206" s="309" t="s">
        <v>71</v>
      </c>
      <c r="D206" s="309" t="s">
        <v>768</v>
      </c>
      <c r="E206" s="309">
        <v>135</v>
      </c>
      <c r="F206" s="309">
        <v>135</v>
      </c>
    </row>
    <row r="207" spans="1:6" ht="15">
      <c r="A207" s="308" t="s">
        <v>4</v>
      </c>
      <c r="B207" s="309" t="s">
        <v>844</v>
      </c>
      <c r="C207" s="309" t="s">
        <v>66</v>
      </c>
      <c r="D207" s="309" t="s">
        <v>768</v>
      </c>
      <c r="E207" s="309">
        <v>65</v>
      </c>
      <c r="F207" s="309">
        <v>65</v>
      </c>
    </row>
    <row r="208" spans="1:6" ht="15">
      <c r="A208" s="308" t="s">
        <v>4</v>
      </c>
      <c r="B208" s="309" t="s">
        <v>826</v>
      </c>
      <c r="C208" s="309" t="s">
        <v>71</v>
      </c>
      <c r="D208" s="309" t="s">
        <v>768</v>
      </c>
      <c r="E208" s="309">
        <v>185</v>
      </c>
      <c r="F208" s="309">
        <v>185</v>
      </c>
    </row>
    <row r="209" spans="1:6" ht="15">
      <c r="A209" s="308" t="s">
        <v>4</v>
      </c>
      <c r="B209" s="309" t="s">
        <v>383</v>
      </c>
      <c r="C209" s="309" t="s">
        <v>71</v>
      </c>
      <c r="D209" s="309" t="s">
        <v>768</v>
      </c>
      <c r="E209" s="309">
        <v>185</v>
      </c>
      <c r="F209" s="309">
        <v>185</v>
      </c>
    </row>
    <row r="210" spans="1:6" ht="15">
      <c r="A210" s="308" t="s">
        <v>4</v>
      </c>
      <c r="B210" s="309" t="s">
        <v>1172</v>
      </c>
      <c r="C210" s="309" t="s">
        <v>71</v>
      </c>
      <c r="D210" s="309" t="s">
        <v>768</v>
      </c>
      <c r="E210" s="309">
        <v>255</v>
      </c>
      <c r="F210" s="309">
        <v>255</v>
      </c>
    </row>
    <row r="211" spans="1:6" ht="15">
      <c r="A211" s="308" t="s">
        <v>4</v>
      </c>
      <c r="B211" s="309" t="s">
        <v>1172</v>
      </c>
      <c r="C211" s="309" t="s">
        <v>66</v>
      </c>
      <c r="D211" s="309" t="s">
        <v>768</v>
      </c>
      <c r="E211" s="309">
        <v>245</v>
      </c>
      <c r="F211" s="309">
        <v>245</v>
      </c>
    </row>
    <row r="212" spans="1:6" ht="15">
      <c r="A212" s="308" t="s">
        <v>4</v>
      </c>
      <c r="B212" s="309" t="s">
        <v>1173</v>
      </c>
      <c r="C212" s="309" t="s">
        <v>71</v>
      </c>
      <c r="D212" s="309" t="s">
        <v>768</v>
      </c>
      <c r="E212" s="309">
        <v>225</v>
      </c>
      <c r="F212" s="309">
        <v>225</v>
      </c>
    </row>
    <row r="213" spans="1:6" ht="15">
      <c r="A213" s="308" t="s">
        <v>4</v>
      </c>
      <c r="B213" s="309" t="s">
        <v>1173</v>
      </c>
      <c r="C213" s="309" t="s">
        <v>66</v>
      </c>
      <c r="D213" s="309" t="s">
        <v>768</v>
      </c>
      <c r="E213" s="309">
        <v>105</v>
      </c>
      <c r="F213" s="309">
        <v>105</v>
      </c>
    </row>
    <row r="214" spans="1:6" ht="15">
      <c r="A214" s="308" t="s">
        <v>4</v>
      </c>
      <c r="B214" s="309" t="s">
        <v>1174</v>
      </c>
      <c r="C214" s="309" t="s">
        <v>71</v>
      </c>
      <c r="D214" s="309" t="s">
        <v>768</v>
      </c>
      <c r="E214" s="309">
        <v>219</v>
      </c>
      <c r="F214" s="309">
        <v>219</v>
      </c>
    </row>
    <row r="215" spans="1:6" ht="15">
      <c r="A215" s="308" t="s">
        <v>4</v>
      </c>
      <c r="B215" s="309" t="s">
        <v>1174</v>
      </c>
      <c r="C215" s="309" t="s">
        <v>66</v>
      </c>
      <c r="D215" s="309" t="s">
        <v>768</v>
      </c>
      <c r="E215" s="309">
        <v>95</v>
      </c>
      <c r="F215" s="309">
        <v>95</v>
      </c>
    </row>
    <row r="216" spans="1:6" ht="15">
      <c r="A216" s="308" t="s">
        <v>4</v>
      </c>
      <c r="B216" s="309" t="s">
        <v>1175</v>
      </c>
      <c r="C216" s="309" t="s">
        <v>71</v>
      </c>
      <c r="D216" s="309" t="s">
        <v>768</v>
      </c>
      <c r="E216" s="309">
        <v>145</v>
      </c>
      <c r="F216" s="309">
        <v>145</v>
      </c>
    </row>
    <row r="217" spans="1:6" ht="15">
      <c r="A217" s="308" t="s">
        <v>4</v>
      </c>
      <c r="B217" s="309" t="s">
        <v>1175</v>
      </c>
      <c r="C217" s="309" t="s">
        <v>66</v>
      </c>
      <c r="D217" s="309" t="s">
        <v>768</v>
      </c>
      <c r="E217" s="309">
        <v>69</v>
      </c>
      <c r="F217" s="309">
        <v>69</v>
      </c>
    </row>
    <row r="218" spans="1:6" ht="15">
      <c r="A218" s="308" t="s">
        <v>1176</v>
      </c>
      <c r="B218" s="309" t="s">
        <v>65</v>
      </c>
      <c r="C218" s="309" t="s">
        <v>71</v>
      </c>
      <c r="D218" s="309" t="s">
        <v>771</v>
      </c>
      <c r="E218" s="309">
        <v>359</v>
      </c>
      <c r="F218" s="309">
        <v>359</v>
      </c>
    </row>
    <row r="219" spans="1:6" ht="15">
      <c r="A219" s="308" t="s">
        <v>1176</v>
      </c>
      <c r="B219" s="309" t="s">
        <v>65</v>
      </c>
      <c r="C219" s="309" t="s">
        <v>66</v>
      </c>
      <c r="D219" s="309" t="s">
        <v>771</v>
      </c>
      <c r="E219" s="309">
        <v>319</v>
      </c>
      <c r="F219" s="309">
        <v>319</v>
      </c>
    </row>
    <row r="220" spans="1:6" ht="15">
      <c r="A220" s="308" t="s">
        <v>1176</v>
      </c>
      <c r="B220" s="309" t="s">
        <v>825</v>
      </c>
      <c r="C220" s="309" t="s">
        <v>71</v>
      </c>
      <c r="D220" s="309" t="s">
        <v>771</v>
      </c>
      <c r="E220" s="309">
        <v>359</v>
      </c>
      <c r="F220" s="309">
        <v>359</v>
      </c>
    </row>
    <row r="221" spans="1:6" ht="15">
      <c r="A221" s="308" t="s">
        <v>1176</v>
      </c>
      <c r="B221" s="309" t="s">
        <v>825</v>
      </c>
      <c r="C221" s="309" t="s">
        <v>66</v>
      </c>
      <c r="D221" s="309" t="s">
        <v>771</v>
      </c>
      <c r="E221" s="309">
        <v>319</v>
      </c>
      <c r="F221" s="309">
        <v>319</v>
      </c>
    </row>
    <row r="222" spans="1:6" ht="15">
      <c r="A222" s="308" t="s">
        <v>1176</v>
      </c>
      <c r="B222" s="309" t="s">
        <v>847</v>
      </c>
      <c r="C222" s="309" t="s">
        <v>71</v>
      </c>
      <c r="D222" s="309" t="s">
        <v>771</v>
      </c>
      <c r="E222" s="309">
        <v>359</v>
      </c>
      <c r="F222" s="309">
        <v>359</v>
      </c>
    </row>
    <row r="223" spans="1:6" ht="15">
      <c r="A223" s="308" t="s">
        <v>1176</v>
      </c>
      <c r="B223" s="309" t="s">
        <v>847</v>
      </c>
      <c r="C223" s="309" t="s">
        <v>66</v>
      </c>
      <c r="D223" s="309" t="s">
        <v>771</v>
      </c>
      <c r="E223" s="309">
        <v>319</v>
      </c>
      <c r="F223" s="309">
        <v>319</v>
      </c>
    </row>
    <row r="224" spans="1:6" ht="15">
      <c r="A224" s="308" t="s">
        <v>1176</v>
      </c>
      <c r="B224" s="309" t="s">
        <v>1170</v>
      </c>
      <c r="C224" s="309" t="s">
        <v>71</v>
      </c>
      <c r="D224" s="309" t="s">
        <v>771</v>
      </c>
      <c r="E224" s="309">
        <v>219</v>
      </c>
      <c r="F224" s="309">
        <v>219</v>
      </c>
    </row>
    <row r="225" spans="1:6" ht="15">
      <c r="A225" s="308" t="s">
        <v>1176</v>
      </c>
      <c r="B225" s="309" t="s">
        <v>1170</v>
      </c>
      <c r="C225" s="309" t="s">
        <v>66</v>
      </c>
      <c r="D225" s="309" t="s">
        <v>771</v>
      </c>
      <c r="E225" s="309">
        <v>89</v>
      </c>
      <c r="F225" s="309">
        <v>89</v>
      </c>
    </row>
    <row r="226" spans="1:6" ht="15">
      <c r="A226" s="308" t="s">
        <v>1176</v>
      </c>
      <c r="B226" s="309" t="s">
        <v>359</v>
      </c>
      <c r="C226" s="309" t="s">
        <v>71</v>
      </c>
      <c r="D226" s="309" t="s">
        <v>771</v>
      </c>
      <c r="E226" s="309">
        <v>309</v>
      </c>
      <c r="F226" s="309">
        <v>309</v>
      </c>
    </row>
    <row r="227" spans="1:6" ht="15">
      <c r="A227" s="308" t="s">
        <v>1176</v>
      </c>
      <c r="B227" s="309" t="s">
        <v>359</v>
      </c>
      <c r="C227" s="309" t="s">
        <v>66</v>
      </c>
      <c r="D227" s="309" t="s">
        <v>771</v>
      </c>
      <c r="E227" s="309">
        <v>119</v>
      </c>
      <c r="F227" s="309">
        <v>119</v>
      </c>
    </row>
    <row r="228" spans="1:6" ht="15">
      <c r="A228" s="308" t="s">
        <v>1176</v>
      </c>
      <c r="B228" s="309" t="s">
        <v>823</v>
      </c>
      <c r="C228" s="309" t="s">
        <v>71</v>
      </c>
      <c r="D228" s="309" t="s">
        <v>771</v>
      </c>
      <c r="E228" s="309">
        <v>309</v>
      </c>
      <c r="F228" s="309">
        <v>309</v>
      </c>
    </row>
    <row r="229" spans="1:6" ht="15">
      <c r="A229" s="308" t="s">
        <v>1176</v>
      </c>
      <c r="B229" s="309" t="s">
        <v>823</v>
      </c>
      <c r="C229" s="309" t="s">
        <v>66</v>
      </c>
      <c r="D229" s="309" t="s">
        <v>771</v>
      </c>
      <c r="E229" s="309">
        <v>119</v>
      </c>
      <c r="F229" s="309">
        <v>119</v>
      </c>
    </row>
    <row r="230" spans="1:6" ht="15">
      <c r="A230" s="308" t="s">
        <v>1176</v>
      </c>
      <c r="B230" s="309" t="s">
        <v>845</v>
      </c>
      <c r="C230" s="309" t="s">
        <v>71</v>
      </c>
      <c r="D230" s="309" t="s">
        <v>771</v>
      </c>
      <c r="E230" s="309">
        <v>309</v>
      </c>
      <c r="F230" s="309">
        <v>309</v>
      </c>
    </row>
    <row r="231" spans="1:6" ht="15">
      <c r="A231" s="308" t="s">
        <v>1176</v>
      </c>
      <c r="B231" s="309" t="s">
        <v>845</v>
      </c>
      <c r="C231" s="309" t="s">
        <v>66</v>
      </c>
      <c r="D231" s="309" t="s">
        <v>771</v>
      </c>
      <c r="E231" s="309">
        <v>119</v>
      </c>
      <c r="F231" s="309">
        <v>119</v>
      </c>
    </row>
    <row r="232" spans="1:6" ht="15">
      <c r="A232" s="308" t="s">
        <v>1176</v>
      </c>
      <c r="B232" s="309" t="s">
        <v>824</v>
      </c>
      <c r="C232" s="309" t="s">
        <v>71</v>
      </c>
      <c r="D232" s="309" t="s">
        <v>771</v>
      </c>
      <c r="E232" s="309">
        <v>319</v>
      </c>
      <c r="F232" s="309">
        <v>319</v>
      </c>
    </row>
    <row r="233" spans="1:6" ht="15">
      <c r="A233" s="308" t="s">
        <v>1176</v>
      </c>
      <c r="B233" s="309" t="s">
        <v>824</v>
      </c>
      <c r="C233" s="309" t="s">
        <v>66</v>
      </c>
      <c r="D233" s="309" t="s">
        <v>771</v>
      </c>
      <c r="E233" s="309">
        <v>129</v>
      </c>
      <c r="F233" s="309">
        <v>129</v>
      </c>
    </row>
    <row r="234" spans="1:6" ht="15">
      <c r="A234" s="308" t="s">
        <v>1176</v>
      </c>
      <c r="B234" s="309" t="s">
        <v>1171</v>
      </c>
      <c r="C234" s="309" t="s">
        <v>71</v>
      </c>
      <c r="D234" s="309" t="s">
        <v>771</v>
      </c>
      <c r="E234" s="309">
        <v>259</v>
      </c>
      <c r="F234" s="309">
        <v>259</v>
      </c>
    </row>
    <row r="235" spans="1:6" ht="15">
      <c r="A235" s="308" t="s">
        <v>1176</v>
      </c>
      <c r="B235" s="309" t="s">
        <v>1171</v>
      </c>
      <c r="C235" s="309" t="s">
        <v>66</v>
      </c>
      <c r="D235" s="309" t="s">
        <v>771</v>
      </c>
      <c r="E235" s="309">
        <v>99</v>
      </c>
      <c r="F235" s="309">
        <v>99</v>
      </c>
    </row>
    <row r="236" spans="1:6" ht="15">
      <c r="A236" s="308" t="s">
        <v>1176</v>
      </c>
      <c r="B236" s="309" t="s">
        <v>375</v>
      </c>
      <c r="C236" s="309" t="s">
        <v>71</v>
      </c>
      <c r="D236" s="309" t="s">
        <v>771</v>
      </c>
      <c r="E236" s="309">
        <v>199</v>
      </c>
      <c r="F236" s="309">
        <v>199</v>
      </c>
    </row>
    <row r="237" spans="1:6" ht="15">
      <c r="A237" s="308" t="s">
        <v>1176</v>
      </c>
      <c r="B237" s="309" t="s">
        <v>375</v>
      </c>
      <c r="C237" s="309" t="s">
        <v>66</v>
      </c>
      <c r="D237" s="309" t="s">
        <v>771</v>
      </c>
      <c r="E237" s="309">
        <v>79</v>
      </c>
      <c r="F237" s="309">
        <v>79</v>
      </c>
    </row>
    <row r="238" spans="1:6" ht="15">
      <c r="A238" s="308" t="s">
        <v>1176</v>
      </c>
      <c r="B238" s="309" t="s">
        <v>158</v>
      </c>
      <c r="C238" s="309" t="s">
        <v>71</v>
      </c>
      <c r="D238" s="309" t="s">
        <v>771</v>
      </c>
      <c r="E238" s="309">
        <v>219</v>
      </c>
      <c r="F238" s="309">
        <v>219</v>
      </c>
    </row>
    <row r="239" spans="1:6" ht="15">
      <c r="A239" s="308" t="s">
        <v>1176</v>
      </c>
      <c r="B239" s="309" t="s">
        <v>158</v>
      </c>
      <c r="C239" s="309" t="s">
        <v>66</v>
      </c>
      <c r="D239" s="309" t="s">
        <v>771</v>
      </c>
      <c r="E239" s="309">
        <v>89</v>
      </c>
      <c r="F239" s="309">
        <v>89</v>
      </c>
    </row>
    <row r="240" spans="1:6" ht="15">
      <c r="A240" s="308" t="s">
        <v>1176</v>
      </c>
      <c r="B240" s="309" t="s">
        <v>821</v>
      </c>
      <c r="C240" s="309" t="s">
        <v>71</v>
      </c>
      <c r="D240" s="309" t="s">
        <v>771</v>
      </c>
      <c r="E240" s="309">
        <v>219</v>
      </c>
      <c r="F240" s="309">
        <v>219</v>
      </c>
    </row>
    <row r="241" spans="1:6" ht="15">
      <c r="A241" s="308" t="s">
        <v>1176</v>
      </c>
      <c r="B241" s="309" t="s">
        <v>821</v>
      </c>
      <c r="C241" s="309" t="s">
        <v>66</v>
      </c>
      <c r="D241" s="309" t="s">
        <v>771</v>
      </c>
      <c r="E241" s="309">
        <v>89</v>
      </c>
      <c r="F241" s="309">
        <v>89</v>
      </c>
    </row>
    <row r="242" spans="1:6" ht="15">
      <c r="A242" s="308" t="s">
        <v>1176</v>
      </c>
      <c r="B242" s="309" t="s">
        <v>844</v>
      </c>
      <c r="C242" s="309" t="s">
        <v>71</v>
      </c>
      <c r="D242" s="309" t="s">
        <v>771</v>
      </c>
      <c r="E242" s="309">
        <v>219</v>
      </c>
      <c r="F242" s="309">
        <v>219</v>
      </c>
    </row>
    <row r="243" spans="1:6" ht="15">
      <c r="A243" s="308" t="s">
        <v>1176</v>
      </c>
      <c r="B243" s="309" t="s">
        <v>844</v>
      </c>
      <c r="C243" s="309" t="s">
        <v>66</v>
      </c>
      <c r="D243" s="309" t="s">
        <v>771</v>
      </c>
      <c r="E243" s="309">
        <v>89</v>
      </c>
      <c r="F243" s="309">
        <v>89</v>
      </c>
    </row>
    <row r="244" spans="1:6" ht="15">
      <c r="A244" s="308" t="s">
        <v>1176</v>
      </c>
      <c r="B244" s="309" t="s">
        <v>826</v>
      </c>
      <c r="C244" s="309" t="s">
        <v>71</v>
      </c>
      <c r="D244" s="309" t="s">
        <v>771</v>
      </c>
      <c r="E244" s="309">
        <v>309</v>
      </c>
      <c r="F244" s="309">
        <v>309</v>
      </c>
    </row>
    <row r="245" spans="1:6" ht="15">
      <c r="A245" s="308" t="s">
        <v>1176</v>
      </c>
      <c r="B245" s="309" t="s">
        <v>383</v>
      </c>
      <c r="C245" s="309" t="s">
        <v>71</v>
      </c>
      <c r="D245" s="309" t="s">
        <v>771</v>
      </c>
      <c r="E245" s="309">
        <v>309</v>
      </c>
      <c r="F245" s="309">
        <v>309</v>
      </c>
    </row>
    <row r="246" spans="1:6" ht="15">
      <c r="A246" s="308" t="s">
        <v>1176</v>
      </c>
      <c r="B246" s="309" t="s">
        <v>1172</v>
      </c>
      <c r="C246" s="309" t="s">
        <v>71</v>
      </c>
      <c r="D246" s="309" t="s">
        <v>771</v>
      </c>
      <c r="E246" s="309">
        <v>389</v>
      </c>
      <c r="F246" s="309">
        <v>389</v>
      </c>
    </row>
    <row r="247" spans="1:6" ht="15">
      <c r="A247" s="308" t="s">
        <v>1176</v>
      </c>
      <c r="B247" s="309" t="s">
        <v>1172</v>
      </c>
      <c r="C247" s="309" t="s">
        <v>66</v>
      </c>
      <c r="D247" s="309" t="s">
        <v>771</v>
      </c>
      <c r="E247" s="309">
        <v>329</v>
      </c>
      <c r="F247" s="309">
        <v>329</v>
      </c>
    </row>
    <row r="248" spans="1:6" ht="15">
      <c r="A248" s="308" t="s">
        <v>1176</v>
      </c>
      <c r="B248" s="309" t="s">
        <v>1173</v>
      </c>
      <c r="C248" s="309" t="s">
        <v>71</v>
      </c>
      <c r="D248" s="309" t="s">
        <v>771</v>
      </c>
      <c r="E248" s="309">
        <v>349</v>
      </c>
      <c r="F248" s="309">
        <v>349</v>
      </c>
    </row>
    <row r="249" spans="1:6" ht="15">
      <c r="A249" s="308" t="s">
        <v>1176</v>
      </c>
      <c r="B249" s="309" t="s">
        <v>1173</v>
      </c>
      <c r="C249" s="309" t="s">
        <v>66</v>
      </c>
      <c r="D249" s="309" t="s">
        <v>771</v>
      </c>
      <c r="E249" s="309">
        <v>139</v>
      </c>
      <c r="F249" s="309">
        <v>139</v>
      </c>
    </row>
    <row r="250" spans="1:6" ht="15">
      <c r="A250" s="308" t="s">
        <v>1176</v>
      </c>
      <c r="B250" s="309" t="s">
        <v>1174</v>
      </c>
      <c r="C250" s="309" t="s">
        <v>71</v>
      </c>
      <c r="D250" s="309" t="s">
        <v>771</v>
      </c>
      <c r="E250" s="309">
        <v>339</v>
      </c>
      <c r="F250" s="309">
        <v>339</v>
      </c>
    </row>
    <row r="251" spans="1:6" ht="15">
      <c r="A251" s="308" t="s">
        <v>1176</v>
      </c>
      <c r="B251" s="309" t="s">
        <v>1174</v>
      </c>
      <c r="C251" s="309" t="s">
        <v>66</v>
      </c>
      <c r="D251" s="309" t="s">
        <v>771</v>
      </c>
      <c r="E251" s="309">
        <v>129</v>
      </c>
      <c r="F251" s="309">
        <v>129</v>
      </c>
    </row>
    <row r="252" spans="1:6" ht="15">
      <c r="A252" s="308" t="s">
        <v>1176</v>
      </c>
      <c r="B252" s="309" t="s">
        <v>1175</v>
      </c>
      <c r="C252" s="309" t="s">
        <v>71</v>
      </c>
      <c r="D252" s="309" t="s">
        <v>771</v>
      </c>
      <c r="E252" s="309">
        <v>229</v>
      </c>
      <c r="F252" s="309">
        <v>229</v>
      </c>
    </row>
    <row r="253" spans="1:6" ht="15">
      <c r="A253" s="308" t="s">
        <v>1176</v>
      </c>
      <c r="B253" s="309" t="s">
        <v>1175</v>
      </c>
      <c r="C253" s="309" t="s">
        <v>66</v>
      </c>
      <c r="D253" s="309" t="s">
        <v>771</v>
      </c>
      <c r="E253" s="309">
        <v>95</v>
      </c>
      <c r="F253" s="309">
        <v>95</v>
      </c>
    </row>
    <row r="254" spans="1:6" ht="15">
      <c r="A254" s="308" t="s">
        <v>1176</v>
      </c>
      <c r="B254" s="309" t="s">
        <v>65</v>
      </c>
      <c r="C254" s="309" t="s">
        <v>71</v>
      </c>
      <c r="D254" s="309" t="s">
        <v>752</v>
      </c>
      <c r="E254" s="309">
        <v>389</v>
      </c>
      <c r="F254" s="309">
        <v>389</v>
      </c>
    </row>
    <row r="255" spans="1:6" ht="15">
      <c r="A255" s="308" t="s">
        <v>1176</v>
      </c>
      <c r="B255" s="309" t="s">
        <v>65</v>
      </c>
      <c r="C255" s="309" t="s">
        <v>66</v>
      </c>
      <c r="D255" s="309" t="s">
        <v>752</v>
      </c>
      <c r="E255" s="309">
        <v>409</v>
      </c>
      <c r="F255" s="309">
        <v>409</v>
      </c>
    </row>
    <row r="256" spans="1:6" ht="15">
      <c r="A256" s="308" t="s">
        <v>1176</v>
      </c>
      <c r="B256" s="309" t="s">
        <v>825</v>
      </c>
      <c r="C256" s="309" t="s">
        <v>71</v>
      </c>
      <c r="D256" s="309" t="s">
        <v>752</v>
      </c>
      <c r="E256" s="309">
        <v>389</v>
      </c>
      <c r="F256" s="309">
        <v>389</v>
      </c>
    </row>
    <row r="257" spans="1:6" ht="15">
      <c r="A257" s="308" t="s">
        <v>1176</v>
      </c>
      <c r="B257" s="309" t="s">
        <v>825</v>
      </c>
      <c r="C257" s="309" t="s">
        <v>66</v>
      </c>
      <c r="D257" s="309" t="s">
        <v>752</v>
      </c>
      <c r="E257" s="309">
        <v>409</v>
      </c>
      <c r="F257" s="309">
        <v>409</v>
      </c>
    </row>
    <row r="258" spans="1:6" ht="15">
      <c r="A258" s="308" t="s">
        <v>1176</v>
      </c>
      <c r="B258" s="309" t="s">
        <v>847</v>
      </c>
      <c r="C258" s="309" t="s">
        <v>71</v>
      </c>
      <c r="D258" s="309" t="s">
        <v>752</v>
      </c>
      <c r="E258" s="309">
        <v>389</v>
      </c>
      <c r="F258" s="309">
        <v>389</v>
      </c>
    </row>
    <row r="259" spans="1:6" ht="15">
      <c r="A259" s="308" t="s">
        <v>1176</v>
      </c>
      <c r="B259" s="309" t="s">
        <v>847</v>
      </c>
      <c r="C259" s="309" t="s">
        <v>66</v>
      </c>
      <c r="D259" s="309" t="s">
        <v>752</v>
      </c>
      <c r="E259" s="309">
        <v>409</v>
      </c>
      <c r="F259" s="309">
        <v>409</v>
      </c>
    </row>
    <row r="260" spans="1:6" ht="15">
      <c r="A260" s="308" t="s">
        <v>1176</v>
      </c>
      <c r="B260" s="309" t="s">
        <v>1170</v>
      </c>
      <c r="C260" s="309" t="s">
        <v>71</v>
      </c>
      <c r="D260" s="309" t="s">
        <v>752</v>
      </c>
      <c r="E260" s="309">
        <v>239</v>
      </c>
      <c r="F260" s="309">
        <v>239</v>
      </c>
    </row>
    <row r="261" spans="1:6" ht="15">
      <c r="A261" s="308" t="s">
        <v>1176</v>
      </c>
      <c r="B261" s="309" t="s">
        <v>1170</v>
      </c>
      <c r="C261" s="309" t="s">
        <v>66</v>
      </c>
      <c r="D261" s="309" t="s">
        <v>752</v>
      </c>
      <c r="E261" s="309">
        <v>115</v>
      </c>
      <c r="F261" s="309">
        <v>115</v>
      </c>
    </row>
    <row r="262" spans="1:6" ht="15">
      <c r="A262" s="308" t="s">
        <v>1176</v>
      </c>
      <c r="B262" s="309" t="s">
        <v>359</v>
      </c>
      <c r="C262" s="309" t="s">
        <v>71</v>
      </c>
      <c r="D262" s="309" t="s">
        <v>752</v>
      </c>
      <c r="E262" s="309">
        <v>329</v>
      </c>
      <c r="F262" s="309">
        <v>329</v>
      </c>
    </row>
    <row r="263" spans="1:6" ht="15">
      <c r="A263" s="308" t="s">
        <v>1176</v>
      </c>
      <c r="B263" s="309" t="s">
        <v>359</v>
      </c>
      <c r="C263" s="309" t="s">
        <v>66</v>
      </c>
      <c r="D263" s="309" t="s">
        <v>752</v>
      </c>
      <c r="E263" s="309">
        <v>155</v>
      </c>
      <c r="F263" s="309">
        <v>155</v>
      </c>
    </row>
    <row r="264" spans="1:6" ht="15">
      <c r="A264" s="308" t="s">
        <v>1176</v>
      </c>
      <c r="B264" s="309" t="s">
        <v>823</v>
      </c>
      <c r="C264" s="309" t="s">
        <v>71</v>
      </c>
      <c r="D264" s="309" t="s">
        <v>752</v>
      </c>
      <c r="E264" s="309">
        <v>329</v>
      </c>
      <c r="F264" s="309">
        <v>329</v>
      </c>
    </row>
    <row r="265" spans="1:6" ht="15">
      <c r="A265" s="308" t="s">
        <v>1176</v>
      </c>
      <c r="B265" s="309" t="s">
        <v>823</v>
      </c>
      <c r="C265" s="309" t="s">
        <v>66</v>
      </c>
      <c r="D265" s="309" t="s">
        <v>752</v>
      </c>
      <c r="E265" s="309">
        <v>155</v>
      </c>
      <c r="F265" s="309">
        <v>155</v>
      </c>
    </row>
    <row r="266" spans="1:6" ht="15">
      <c r="A266" s="308" t="s">
        <v>1176</v>
      </c>
      <c r="B266" s="309" t="s">
        <v>845</v>
      </c>
      <c r="C266" s="309" t="s">
        <v>71</v>
      </c>
      <c r="D266" s="309" t="s">
        <v>752</v>
      </c>
      <c r="E266" s="309">
        <v>329</v>
      </c>
      <c r="F266" s="309">
        <v>329</v>
      </c>
    </row>
    <row r="267" spans="1:6" ht="15">
      <c r="A267" s="308" t="s">
        <v>1176</v>
      </c>
      <c r="B267" s="309" t="s">
        <v>845</v>
      </c>
      <c r="C267" s="309" t="s">
        <v>66</v>
      </c>
      <c r="D267" s="309" t="s">
        <v>752</v>
      </c>
      <c r="E267" s="309">
        <v>155</v>
      </c>
      <c r="F267" s="309">
        <v>155</v>
      </c>
    </row>
    <row r="268" spans="1:6" ht="15">
      <c r="A268" s="308" t="s">
        <v>1176</v>
      </c>
      <c r="B268" s="309" t="s">
        <v>824</v>
      </c>
      <c r="C268" s="309" t="s">
        <v>71</v>
      </c>
      <c r="D268" s="309" t="s">
        <v>752</v>
      </c>
      <c r="E268" s="309">
        <v>339</v>
      </c>
      <c r="F268" s="309">
        <v>339</v>
      </c>
    </row>
    <row r="269" spans="1:6" ht="15">
      <c r="A269" s="308" t="s">
        <v>1176</v>
      </c>
      <c r="B269" s="309" t="s">
        <v>824</v>
      </c>
      <c r="C269" s="309" t="s">
        <v>66</v>
      </c>
      <c r="D269" s="309" t="s">
        <v>752</v>
      </c>
      <c r="E269" s="309">
        <v>165</v>
      </c>
      <c r="F269" s="309">
        <v>165</v>
      </c>
    </row>
    <row r="270" spans="1:6" ht="15">
      <c r="A270" s="308" t="s">
        <v>1176</v>
      </c>
      <c r="B270" s="309" t="s">
        <v>1171</v>
      </c>
      <c r="C270" s="309" t="s">
        <v>71</v>
      </c>
      <c r="D270" s="309" t="s">
        <v>752</v>
      </c>
      <c r="E270" s="309">
        <v>269</v>
      </c>
      <c r="F270" s="309">
        <v>269</v>
      </c>
    </row>
    <row r="271" spans="1:6" ht="15">
      <c r="A271" s="308" t="s">
        <v>1176</v>
      </c>
      <c r="B271" s="309" t="s">
        <v>1171</v>
      </c>
      <c r="C271" s="309" t="s">
        <v>66</v>
      </c>
      <c r="D271" s="309" t="s">
        <v>752</v>
      </c>
      <c r="E271" s="309">
        <v>125</v>
      </c>
      <c r="F271" s="309">
        <v>125</v>
      </c>
    </row>
    <row r="272" spans="1:6" ht="15">
      <c r="A272" s="308" t="s">
        <v>1176</v>
      </c>
      <c r="B272" s="309" t="s">
        <v>375</v>
      </c>
      <c r="C272" s="309" t="s">
        <v>71</v>
      </c>
      <c r="D272" s="309" t="s">
        <v>752</v>
      </c>
      <c r="E272" s="309">
        <v>219</v>
      </c>
      <c r="F272" s="309">
        <v>219</v>
      </c>
    </row>
    <row r="273" spans="1:6" ht="15">
      <c r="A273" s="308" t="s">
        <v>1176</v>
      </c>
      <c r="B273" s="309" t="s">
        <v>375</v>
      </c>
      <c r="C273" s="309" t="s">
        <v>66</v>
      </c>
      <c r="D273" s="309" t="s">
        <v>752</v>
      </c>
      <c r="E273" s="309">
        <v>99</v>
      </c>
      <c r="F273" s="309">
        <v>99</v>
      </c>
    </row>
    <row r="274" spans="1:6" ht="15">
      <c r="A274" s="308" t="s">
        <v>1176</v>
      </c>
      <c r="B274" s="309" t="s">
        <v>158</v>
      </c>
      <c r="C274" s="309" t="s">
        <v>71</v>
      </c>
      <c r="D274" s="309" t="s">
        <v>752</v>
      </c>
      <c r="E274" s="309">
        <v>239</v>
      </c>
      <c r="F274" s="309">
        <v>239</v>
      </c>
    </row>
    <row r="275" spans="1:6" ht="15">
      <c r="A275" s="308" t="s">
        <v>1176</v>
      </c>
      <c r="B275" s="309" t="s">
        <v>158</v>
      </c>
      <c r="C275" s="309" t="s">
        <v>66</v>
      </c>
      <c r="D275" s="309" t="s">
        <v>752</v>
      </c>
      <c r="E275" s="309">
        <v>115</v>
      </c>
      <c r="F275" s="309">
        <v>115</v>
      </c>
    </row>
    <row r="276" spans="1:6" ht="15">
      <c r="A276" s="308" t="s">
        <v>1176</v>
      </c>
      <c r="B276" s="309" t="s">
        <v>821</v>
      </c>
      <c r="C276" s="309" t="s">
        <v>71</v>
      </c>
      <c r="D276" s="309" t="s">
        <v>752</v>
      </c>
      <c r="E276" s="309">
        <v>239</v>
      </c>
      <c r="F276" s="309">
        <v>239</v>
      </c>
    </row>
    <row r="277" spans="1:6" ht="15">
      <c r="A277" s="308" t="s">
        <v>1176</v>
      </c>
      <c r="B277" s="309" t="s">
        <v>821</v>
      </c>
      <c r="C277" s="309" t="s">
        <v>66</v>
      </c>
      <c r="D277" s="309" t="s">
        <v>752</v>
      </c>
      <c r="E277" s="309">
        <v>115</v>
      </c>
      <c r="F277" s="309">
        <v>115</v>
      </c>
    </row>
    <row r="278" spans="1:6" ht="15">
      <c r="A278" s="308" t="s">
        <v>1176</v>
      </c>
      <c r="B278" s="309" t="s">
        <v>844</v>
      </c>
      <c r="C278" s="309" t="s">
        <v>71</v>
      </c>
      <c r="D278" s="309" t="s">
        <v>752</v>
      </c>
      <c r="E278" s="309">
        <v>239</v>
      </c>
      <c r="F278" s="309">
        <v>239</v>
      </c>
    </row>
    <row r="279" spans="1:6" ht="15">
      <c r="A279" s="308" t="s">
        <v>1176</v>
      </c>
      <c r="B279" s="309" t="s">
        <v>844</v>
      </c>
      <c r="C279" s="309" t="s">
        <v>66</v>
      </c>
      <c r="D279" s="309" t="s">
        <v>752</v>
      </c>
      <c r="E279" s="309">
        <v>115</v>
      </c>
      <c r="F279" s="309">
        <v>115</v>
      </c>
    </row>
    <row r="280" spans="1:6" ht="15">
      <c r="A280" s="308" t="s">
        <v>1176</v>
      </c>
      <c r="B280" s="309" t="s">
        <v>826</v>
      </c>
      <c r="C280" s="309" t="s">
        <v>71</v>
      </c>
      <c r="D280" s="309" t="s">
        <v>752</v>
      </c>
      <c r="E280" s="309">
        <v>329</v>
      </c>
      <c r="F280" s="309">
        <v>329</v>
      </c>
    </row>
    <row r="281" spans="1:6" ht="15">
      <c r="A281" s="308" t="s">
        <v>1176</v>
      </c>
      <c r="B281" s="309" t="s">
        <v>383</v>
      </c>
      <c r="C281" s="309" t="s">
        <v>71</v>
      </c>
      <c r="D281" s="309" t="s">
        <v>752</v>
      </c>
      <c r="E281" s="309">
        <v>329</v>
      </c>
      <c r="F281" s="309">
        <v>329</v>
      </c>
    </row>
    <row r="282" spans="1:6" ht="15">
      <c r="A282" s="308" t="s">
        <v>1176</v>
      </c>
      <c r="B282" s="309" t="s">
        <v>1172</v>
      </c>
      <c r="C282" s="309" t="s">
        <v>71</v>
      </c>
      <c r="D282" s="309" t="s">
        <v>752</v>
      </c>
      <c r="E282" s="309">
        <v>419</v>
      </c>
      <c r="F282" s="309">
        <v>419</v>
      </c>
    </row>
    <row r="283" spans="1:6" ht="15">
      <c r="A283" s="308" t="s">
        <v>1176</v>
      </c>
      <c r="B283" s="309" t="s">
        <v>1172</v>
      </c>
      <c r="C283" s="309" t="s">
        <v>66</v>
      </c>
      <c r="D283" s="309" t="s">
        <v>752</v>
      </c>
      <c r="E283" s="309">
        <v>419</v>
      </c>
      <c r="F283" s="309">
        <v>419</v>
      </c>
    </row>
    <row r="284" spans="1:6" ht="15">
      <c r="A284" s="308" t="s">
        <v>1176</v>
      </c>
      <c r="B284" s="309" t="s">
        <v>1173</v>
      </c>
      <c r="C284" s="309" t="s">
        <v>71</v>
      </c>
      <c r="D284" s="309" t="s">
        <v>752</v>
      </c>
      <c r="E284" s="309">
        <v>369</v>
      </c>
      <c r="F284" s="309">
        <v>369</v>
      </c>
    </row>
    <row r="285" spans="1:6" ht="15">
      <c r="A285" s="308" t="s">
        <v>1176</v>
      </c>
      <c r="B285" s="309" t="s">
        <v>1173</v>
      </c>
      <c r="C285" s="309" t="s">
        <v>66</v>
      </c>
      <c r="D285" s="309" t="s">
        <v>752</v>
      </c>
      <c r="E285" s="309">
        <v>179</v>
      </c>
      <c r="F285" s="309">
        <v>179</v>
      </c>
    </row>
    <row r="286" spans="1:6" ht="15">
      <c r="A286" s="308" t="s">
        <v>1176</v>
      </c>
      <c r="B286" s="309" t="s">
        <v>1174</v>
      </c>
      <c r="C286" s="309" t="s">
        <v>71</v>
      </c>
      <c r="D286" s="309" t="s">
        <v>752</v>
      </c>
      <c r="E286" s="309">
        <v>359</v>
      </c>
      <c r="F286" s="309">
        <v>359</v>
      </c>
    </row>
    <row r="287" spans="1:6" ht="15">
      <c r="A287" s="308" t="s">
        <v>1176</v>
      </c>
      <c r="B287" s="309" t="s">
        <v>1174</v>
      </c>
      <c r="C287" s="309" t="s">
        <v>66</v>
      </c>
      <c r="D287" s="309" t="s">
        <v>752</v>
      </c>
      <c r="E287" s="309">
        <v>165</v>
      </c>
      <c r="F287" s="309">
        <v>165</v>
      </c>
    </row>
    <row r="288" spans="1:6" ht="15">
      <c r="A288" s="308" t="s">
        <v>1176</v>
      </c>
      <c r="B288" s="309" t="s">
        <v>1175</v>
      </c>
      <c r="C288" s="309" t="s">
        <v>71</v>
      </c>
      <c r="D288" s="309" t="s">
        <v>752</v>
      </c>
      <c r="E288" s="309">
        <v>249</v>
      </c>
      <c r="F288" s="309">
        <v>249</v>
      </c>
    </row>
    <row r="289" spans="1:6" ht="15">
      <c r="A289" s="308" t="s">
        <v>1176</v>
      </c>
      <c r="B289" s="309" t="s">
        <v>1175</v>
      </c>
      <c r="C289" s="309" t="s">
        <v>66</v>
      </c>
      <c r="D289" s="309" t="s">
        <v>752</v>
      </c>
      <c r="E289" s="309">
        <v>119</v>
      </c>
      <c r="F289" s="309">
        <v>119</v>
      </c>
    </row>
    <row r="290" spans="1:6" ht="15">
      <c r="A290" s="308" t="s">
        <v>1176</v>
      </c>
      <c r="B290" s="309" t="s">
        <v>65</v>
      </c>
      <c r="C290" s="309" t="s">
        <v>71</v>
      </c>
      <c r="D290" s="309" t="s">
        <v>768</v>
      </c>
      <c r="E290" s="309">
        <v>235</v>
      </c>
      <c r="F290" s="309">
        <v>235</v>
      </c>
    </row>
    <row r="291" spans="1:6" ht="15">
      <c r="A291" s="308" t="s">
        <v>1176</v>
      </c>
      <c r="B291" s="309" t="s">
        <v>65</v>
      </c>
      <c r="C291" s="309" t="s">
        <v>66</v>
      </c>
      <c r="D291" s="309" t="s">
        <v>768</v>
      </c>
      <c r="E291" s="309">
        <v>235</v>
      </c>
      <c r="F291" s="309">
        <v>235</v>
      </c>
    </row>
    <row r="292" spans="1:6" ht="15">
      <c r="A292" s="308" t="s">
        <v>1176</v>
      </c>
      <c r="B292" s="309" t="s">
        <v>825</v>
      </c>
      <c r="C292" s="309" t="s">
        <v>71</v>
      </c>
      <c r="D292" s="309" t="s">
        <v>768</v>
      </c>
      <c r="E292" s="309">
        <v>235</v>
      </c>
      <c r="F292" s="309">
        <v>235</v>
      </c>
    </row>
    <row r="293" spans="1:6" ht="15">
      <c r="A293" s="308" t="s">
        <v>1176</v>
      </c>
      <c r="B293" s="309" t="s">
        <v>825</v>
      </c>
      <c r="C293" s="309" t="s">
        <v>66</v>
      </c>
      <c r="D293" s="309" t="s">
        <v>768</v>
      </c>
      <c r="E293" s="309">
        <v>235</v>
      </c>
      <c r="F293" s="309">
        <v>235</v>
      </c>
    </row>
    <row r="294" spans="1:6" ht="15">
      <c r="A294" s="308" t="s">
        <v>1176</v>
      </c>
      <c r="B294" s="309" t="s">
        <v>847</v>
      </c>
      <c r="C294" s="309" t="s">
        <v>71</v>
      </c>
      <c r="D294" s="309" t="s">
        <v>768</v>
      </c>
      <c r="E294" s="309">
        <v>235</v>
      </c>
      <c r="F294" s="309">
        <v>235</v>
      </c>
    </row>
    <row r="295" spans="1:6" ht="15">
      <c r="A295" s="308" t="s">
        <v>1176</v>
      </c>
      <c r="B295" s="309" t="s">
        <v>847</v>
      </c>
      <c r="C295" s="309" t="s">
        <v>66</v>
      </c>
      <c r="D295" s="309" t="s">
        <v>768</v>
      </c>
      <c r="E295" s="309">
        <v>235</v>
      </c>
      <c r="F295" s="309">
        <v>235</v>
      </c>
    </row>
    <row r="296" spans="1:6" ht="15">
      <c r="A296" s="308" t="s">
        <v>1176</v>
      </c>
      <c r="B296" s="309" t="s">
        <v>1170</v>
      </c>
      <c r="C296" s="309" t="s">
        <v>71</v>
      </c>
      <c r="D296" s="309" t="s">
        <v>768</v>
      </c>
      <c r="E296" s="309">
        <v>139</v>
      </c>
      <c r="F296" s="309">
        <v>139</v>
      </c>
    </row>
    <row r="297" spans="1:6" ht="15">
      <c r="A297" s="308" t="s">
        <v>1176</v>
      </c>
      <c r="B297" s="309" t="s">
        <v>1170</v>
      </c>
      <c r="C297" s="309" t="s">
        <v>66</v>
      </c>
      <c r="D297" s="309" t="s">
        <v>768</v>
      </c>
      <c r="E297" s="309">
        <v>65</v>
      </c>
      <c r="F297" s="309">
        <v>65</v>
      </c>
    </row>
    <row r="298" spans="1:6" ht="15">
      <c r="A298" s="308" t="s">
        <v>1176</v>
      </c>
      <c r="B298" s="309" t="s">
        <v>359</v>
      </c>
      <c r="C298" s="309" t="s">
        <v>71</v>
      </c>
      <c r="D298" s="309" t="s">
        <v>768</v>
      </c>
      <c r="E298" s="309">
        <v>199</v>
      </c>
      <c r="F298" s="309">
        <v>199</v>
      </c>
    </row>
    <row r="299" spans="1:6" ht="15">
      <c r="A299" s="308" t="s">
        <v>1176</v>
      </c>
      <c r="B299" s="309" t="s">
        <v>359</v>
      </c>
      <c r="C299" s="309" t="s">
        <v>66</v>
      </c>
      <c r="D299" s="309" t="s">
        <v>768</v>
      </c>
      <c r="E299" s="309">
        <v>89</v>
      </c>
      <c r="F299" s="309">
        <v>89</v>
      </c>
    </row>
    <row r="300" spans="1:6" ht="15">
      <c r="A300" s="308" t="s">
        <v>1176</v>
      </c>
      <c r="B300" s="309" t="s">
        <v>823</v>
      </c>
      <c r="C300" s="309" t="s">
        <v>71</v>
      </c>
      <c r="D300" s="309" t="s">
        <v>768</v>
      </c>
      <c r="E300" s="309">
        <v>199</v>
      </c>
      <c r="F300" s="309">
        <v>199</v>
      </c>
    </row>
    <row r="301" spans="1:6" ht="15">
      <c r="A301" s="308" t="s">
        <v>1176</v>
      </c>
      <c r="B301" s="309" t="s">
        <v>823</v>
      </c>
      <c r="C301" s="309" t="s">
        <v>66</v>
      </c>
      <c r="D301" s="309" t="s">
        <v>768</v>
      </c>
      <c r="E301" s="309">
        <v>89</v>
      </c>
      <c r="F301" s="309">
        <v>89</v>
      </c>
    </row>
    <row r="302" spans="1:6" ht="15">
      <c r="A302" s="308" t="s">
        <v>1176</v>
      </c>
      <c r="B302" s="309" t="s">
        <v>845</v>
      </c>
      <c r="C302" s="309" t="s">
        <v>71</v>
      </c>
      <c r="D302" s="309" t="s">
        <v>768</v>
      </c>
      <c r="E302" s="309">
        <v>199</v>
      </c>
      <c r="F302" s="309">
        <v>199</v>
      </c>
    </row>
    <row r="303" spans="1:6" ht="15">
      <c r="A303" s="308" t="s">
        <v>1176</v>
      </c>
      <c r="B303" s="309" t="s">
        <v>845</v>
      </c>
      <c r="C303" s="309" t="s">
        <v>66</v>
      </c>
      <c r="D303" s="309" t="s">
        <v>768</v>
      </c>
      <c r="E303" s="309">
        <v>89</v>
      </c>
      <c r="F303" s="309">
        <v>89</v>
      </c>
    </row>
    <row r="304" spans="1:6" ht="15">
      <c r="A304" s="308" t="s">
        <v>1176</v>
      </c>
      <c r="B304" s="309" t="s">
        <v>824</v>
      </c>
      <c r="C304" s="309" t="s">
        <v>71</v>
      </c>
      <c r="D304" s="309" t="s">
        <v>768</v>
      </c>
      <c r="E304" s="309">
        <v>209</v>
      </c>
      <c r="F304" s="309">
        <v>209</v>
      </c>
    </row>
    <row r="305" spans="1:6" ht="15">
      <c r="A305" s="308" t="s">
        <v>1176</v>
      </c>
      <c r="B305" s="309" t="s">
        <v>824</v>
      </c>
      <c r="C305" s="309" t="s">
        <v>66</v>
      </c>
      <c r="D305" s="309" t="s">
        <v>768</v>
      </c>
      <c r="E305" s="309">
        <v>95</v>
      </c>
      <c r="F305" s="309">
        <v>95</v>
      </c>
    </row>
    <row r="306" spans="1:6" ht="15">
      <c r="A306" s="308" t="s">
        <v>1176</v>
      </c>
      <c r="B306" s="309" t="s">
        <v>1171</v>
      </c>
      <c r="C306" s="309" t="s">
        <v>71</v>
      </c>
      <c r="D306" s="309" t="s">
        <v>768</v>
      </c>
      <c r="E306" s="309">
        <v>169</v>
      </c>
      <c r="F306" s="309">
        <v>169</v>
      </c>
    </row>
    <row r="307" spans="1:6" ht="15">
      <c r="A307" s="308" t="s">
        <v>1176</v>
      </c>
      <c r="B307" s="309" t="s">
        <v>1171</v>
      </c>
      <c r="C307" s="309" t="s">
        <v>66</v>
      </c>
      <c r="D307" s="309" t="s">
        <v>768</v>
      </c>
      <c r="E307" s="309">
        <v>75</v>
      </c>
      <c r="F307" s="309">
        <v>75</v>
      </c>
    </row>
    <row r="308" spans="1:6" ht="15">
      <c r="A308" s="308" t="s">
        <v>1176</v>
      </c>
      <c r="B308" s="309" t="s">
        <v>375</v>
      </c>
      <c r="C308" s="309" t="s">
        <v>71</v>
      </c>
      <c r="D308" s="309" t="s">
        <v>768</v>
      </c>
      <c r="E308" s="309">
        <v>129</v>
      </c>
      <c r="F308" s="309">
        <v>129</v>
      </c>
    </row>
    <row r="309" spans="1:6" ht="15">
      <c r="A309" s="308" t="s">
        <v>1176</v>
      </c>
      <c r="B309" s="309" t="s">
        <v>375</v>
      </c>
      <c r="C309" s="309" t="s">
        <v>66</v>
      </c>
      <c r="D309" s="309" t="s">
        <v>768</v>
      </c>
      <c r="E309" s="309">
        <v>59</v>
      </c>
      <c r="F309" s="309">
        <v>59</v>
      </c>
    </row>
    <row r="310" spans="1:6" ht="15">
      <c r="A310" s="308" t="s">
        <v>1176</v>
      </c>
      <c r="B310" s="309" t="s">
        <v>158</v>
      </c>
      <c r="C310" s="309" t="s">
        <v>71</v>
      </c>
      <c r="D310" s="309" t="s">
        <v>768</v>
      </c>
      <c r="E310" s="309">
        <v>139</v>
      </c>
      <c r="F310" s="309">
        <v>139</v>
      </c>
    </row>
    <row r="311" spans="1:6" ht="15">
      <c r="A311" s="308" t="s">
        <v>1176</v>
      </c>
      <c r="B311" s="309" t="s">
        <v>158</v>
      </c>
      <c r="C311" s="309" t="s">
        <v>66</v>
      </c>
      <c r="D311" s="309" t="s">
        <v>768</v>
      </c>
      <c r="E311" s="309">
        <v>65</v>
      </c>
      <c r="F311" s="309">
        <v>65</v>
      </c>
    </row>
    <row r="312" spans="1:6" ht="15">
      <c r="A312" s="308" t="s">
        <v>1176</v>
      </c>
      <c r="B312" s="309" t="s">
        <v>821</v>
      </c>
      <c r="C312" s="309" t="s">
        <v>71</v>
      </c>
      <c r="D312" s="309" t="s">
        <v>768</v>
      </c>
      <c r="E312" s="309">
        <v>139</v>
      </c>
      <c r="F312" s="309">
        <v>139</v>
      </c>
    </row>
    <row r="313" spans="1:6" ht="15">
      <c r="A313" s="308" t="s">
        <v>1176</v>
      </c>
      <c r="B313" s="309" t="s">
        <v>821</v>
      </c>
      <c r="C313" s="309" t="s">
        <v>66</v>
      </c>
      <c r="D313" s="309" t="s">
        <v>768</v>
      </c>
      <c r="E313" s="309">
        <v>65</v>
      </c>
      <c r="F313" s="309">
        <v>65</v>
      </c>
    </row>
    <row r="314" spans="1:6" ht="15">
      <c r="A314" s="308" t="s">
        <v>1176</v>
      </c>
      <c r="B314" s="309" t="s">
        <v>844</v>
      </c>
      <c r="C314" s="309" t="s">
        <v>71</v>
      </c>
      <c r="D314" s="309" t="s">
        <v>768</v>
      </c>
      <c r="E314" s="309">
        <v>139</v>
      </c>
      <c r="F314" s="309">
        <v>139</v>
      </c>
    </row>
    <row r="315" spans="1:6" ht="15">
      <c r="A315" s="308" t="s">
        <v>1176</v>
      </c>
      <c r="B315" s="309" t="s">
        <v>844</v>
      </c>
      <c r="C315" s="309" t="s">
        <v>66</v>
      </c>
      <c r="D315" s="309" t="s">
        <v>768</v>
      </c>
      <c r="E315" s="309">
        <v>65</v>
      </c>
      <c r="F315" s="309">
        <v>65</v>
      </c>
    </row>
    <row r="316" spans="1:6" ht="15">
      <c r="A316" s="308" t="s">
        <v>1176</v>
      </c>
      <c r="B316" s="309" t="s">
        <v>826</v>
      </c>
      <c r="C316" s="309" t="s">
        <v>71</v>
      </c>
      <c r="D316" s="309" t="s">
        <v>768</v>
      </c>
      <c r="E316" s="309">
        <v>199</v>
      </c>
      <c r="F316" s="309">
        <v>199</v>
      </c>
    </row>
    <row r="317" spans="1:6" ht="15">
      <c r="A317" s="308" t="s">
        <v>1176</v>
      </c>
      <c r="B317" s="309" t="s">
        <v>383</v>
      </c>
      <c r="C317" s="309" t="s">
        <v>71</v>
      </c>
      <c r="D317" s="309" t="s">
        <v>768</v>
      </c>
      <c r="E317" s="309">
        <v>199</v>
      </c>
      <c r="F317" s="309">
        <v>199</v>
      </c>
    </row>
    <row r="318" spans="1:6" ht="15">
      <c r="A318" s="308" t="s">
        <v>1176</v>
      </c>
      <c r="B318" s="309" t="s">
        <v>1172</v>
      </c>
      <c r="C318" s="309" t="s">
        <v>71</v>
      </c>
      <c r="D318" s="309" t="s">
        <v>768</v>
      </c>
      <c r="E318" s="309">
        <v>255</v>
      </c>
      <c r="F318" s="309">
        <v>255</v>
      </c>
    </row>
    <row r="319" spans="1:6" ht="15">
      <c r="A319" s="308" t="s">
        <v>1176</v>
      </c>
      <c r="B319" s="309" t="s">
        <v>1172</v>
      </c>
      <c r="C319" s="309" t="s">
        <v>66</v>
      </c>
      <c r="D319" s="309" t="s">
        <v>768</v>
      </c>
      <c r="E319" s="309">
        <v>245</v>
      </c>
      <c r="F319" s="309">
        <v>245</v>
      </c>
    </row>
    <row r="320" spans="1:6" ht="15">
      <c r="A320" s="308" t="s">
        <v>1176</v>
      </c>
      <c r="B320" s="309" t="s">
        <v>1173</v>
      </c>
      <c r="C320" s="309" t="s">
        <v>71</v>
      </c>
      <c r="D320" s="309" t="s">
        <v>768</v>
      </c>
      <c r="E320" s="309">
        <v>225</v>
      </c>
      <c r="F320" s="309">
        <v>225</v>
      </c>
    </row>
    <row r="321" spans="1:6" ht="15">
      <c r="A321" s="308" t="s">
        <v>1176</v>
      </c>
      <c r="B321" s="309" t="s">
        <v>1173</v>
      </c>
      <c r="C321" s="309" t="s">
        <v>66</v>
      </c>
      <c r="D321" s="309" t="s">
        <v>768</v>
      </c>
      <c r="E321" s="309">
        <v>105</v>
      </c>
      <c r="F321" s="309">
        <v>105</v>
      </c>
    </row>
    <row r="322" spans="1:6" ht="15">
      <c r="A322" s="308" t="s">
        <v>1176</v>
      </c>
      <c r="B322" s="309" t="s">
        <v>1174</v>
      </c>
      <c r="C322" s="309" t="s">
        <v>71</v>
      </c>
      <c r="D322" s="309" t="s">
        <v>768</v>
      </c>
      <c r="E322" s="309">
        <v>219</v>
      </c>
      <c r="F322" s="309">
        <v>219</v>
      </c>
    </row>
    <row r="323" spans="1:6" ht="15">
      <c r="A323" s="308" t="s">
        <v>1176</v>
      </c>
      <c r="B323" s="309" t="s">
        <v>1174</v>
      </c>
      <c r="C323" s="309" t="s">
        <v>66</v>
      </c>
      <c r="D323" s="309" t="s">
        <v>768</v>
      </c>
      <c r="E323" s="309">
        <v>95</v>
      </c>
      <c r="F323" s="309">
        <v>95</v>
      </c>
    </row>
    <row r="324" spans="1:6" ht="15">
      <c r="A324" s="308" t="s">
        <v>1176</v>
      </c>
      <c r="B324" s="309" t="s">
        <v>1175</v>
      </c>
      <c r="C324" s="309" t="s">
        <v>71</v>
      </c>
      <c r="D324" s="309" t="s">
        <v>768</v>
      </c>
      <c r="E324" s="309">
        <v>145</v>
      </c>
      <c r="F324" s="309">
        <v>145</v>
      </c>
    </row>
    <row r="325" spans="1:6" ht="15">
      <c r="A325" s="308" t="s">
        <v>1176</v>
      </c>
      <c r="B325" s="309" t="s">
        <v>1175</v>
      </c>
      <c r="C325" s="309" t="s">
        <v>66</v>
      </c>
      <c r="D325" s="309" t="s">
        <v>768</v>
      </c>
      <c r="E325" s="309">
        <v>69</v>
      </c>
      <c r="F325" s="309">
        <v>69</v>
      </c>
    </row>
    <row r="326" spans="1:6" ht="15">
      <c r="A326" s="308" t="s">
        <v>425</v>
      </c>
      <c r="B326" s="309" t="s">
        <v>825</v>
      </c>
      <c r="C326" s="309" t="s">
        <v>71</v>
      </c>
      <c r="D326" s="309" t="s">
        <v>771</v>
      </c>
      <c r="E326" s="309">
        <v>389</v>
      </c>
      <c r="F326" s="309">
        <v>389</v>
      </c>
    </row>
    <row r="327" spans="1:6" ht="15">
      <c r="A327" s="308" t="s">
        <v>425</v>
      </c>
      <c r="B327" s="309" t="s">
        <v>825</v>
      </c>
      <c r="C327" s="309" t="s">
        <v>66</v>
      </c>
      <c r="D327" s="309" t="s">
        <v>771</v>
      </c>
      <c r="E327" s="309">
        <v>329</v>
      </c>
      <c r="F327" s="309">
        <v>329</v>
      </c>
    </row>
    <row r="328" spans="1:6" ht="15">
      <c r="A328" s="308" t="s">
        <v>425</v>
      </c>
      <c r="B328" s="309" t="s">
        <v>1172</v>
      </c>
      <c r="C328" s="309" t="s">
        <v>71</v>
      </c>
      <c r="D328" s="309" t="s">
        <v>771</v>
      </c>
      <c r="E328" s="309">
        <v>389</v>
      </c>
      <c r="F328" s="309">
        <v>389</v>
      </c>
    </row>
    <row r="329" spans="1:6" ht="15">
      <c r="A329" s="308" t="s">
        <v>425</v>
      </c>
      <c r="B329" s="309" t="s">
        <v>1172</v>
      </c>
      <c r="C329" s="309" t="s">
        <v>66</v>
      </c>
      <c r="D329" s="309" t="s">
        <v>771</v>
      </c>
      <c r="E329" s="309">
        <v>329</v>
      </c>
      <c r="F329" s="309">
        <v>329</v>
      </c>
    </row>
    <row r="330" spans="1:6" ht="15">
      <c r="A330" s="308" t="s">
        <v>425</v>
      </c>
      <c r="B330" s="309" t="s">
        <v>1170</v>
      </c>
      <c r="C330" s="309" t="s">
        <v>71</v>
      </c>
      <c r="D330" s="309" t="s">
        <v>771</v>
      </c>
      <c r="E330" s="309">
        <v>229</v>
      </c>
      <c r="F330" s="309">
        <v>229</v>
      </c>
    </row>
    <row r="331" spans="1:6" ht="15">
      <c r="A331" s="308" t="s">
        <v>425</v>
      </c>
      <c r="B331" s="309" t="s">
        <v>1170</v>
      </c>
      <c r="C331" s="309" t="s">
        <v>66</v>
      </c>
      <c r="D331" s="309" t="s">
        <v>771</v>
      </c>
      <c r="E331" s="309">
        <v>95</v>
      </c>
      <c r="F331" s="309">
        <v>95</v>
      </c>
    </row>
    <row r="332" spans="1:6" ht="15">
      <c r="A332" s="308" t="s">
        <v>425</v>
      </c>
      <c r="B332" s="309" t="s">
        <v>823</v>
      </c>
      <c r="C332" s="309" t="s">
        <v>71</v>
      </c>
      <c r="D332" s="309" t="s">
        <v>771</v>
      </c>
      <c r="E332" s="309">
        <v>339</v>
      </c>
      <c r="F332" s="309">
        <v>339</v>
      </c>
    </row>
    <row r="333" spans="1:6" ht="15">
      <c r="A333" s="308" t="s">
        <v>425</v>
      </c>
      <c r="B333" s="309" t="s">
        <v>823</v>
      </c>
      <c r="C333" s="309" t="s">
        <v>66</v>
      </c>
      <c r="D333" s="309" t="s">
        <v>771</v>
      </c>
      <c r="E333" s="309">
        <v>129</v>
      </c>
      <c r="F333" s="309">
        <v>129</v>
      </c>
    </row>
    <row r="334" spans="1:6" ht="15">
      <c r="A334" s="308" t="s">
        <v>425</v>
      </c>
      <c r="B334" s="309" t="s">
        <v>1174</v>
      </c>
      <c r="C334" s="309" t="s">
        <v>71</v>
      </c>
      <c r="D334" s="309" t="s">
        <v>771</v>
      </c>
      <c r="E334" s="309">
        <v>339</v>
      </c>
      <c r="F334" s="309">
        <v>339</v>
      </c>
    </row>
    <row r="335" spans="1:6" ht="15">
      <c r="A335" s="308" t="s">
        <v>425</v>
      </c>
      <c r="B335" s="309" t="s">
        <v>1174</v>
      </c>
      <c r="C335" s="309" t="s">
        <v>66</v>
      </c>
      <c r="D335" s="309" t="s">
        <v>771</v>
      </c>
      <c r="E335" s="309">
        <v>129</v>
      </c>
      <c r="F335" s="309">
        <v>129</v>
      </c>
    </row>
    <row r="336" spans="1:6" ht="15">
      <c r="A336" s="308" t="s">
        <v>425</v>
      </c>
      <c r="B336" s="309" t="s">
        <v>824</v>
      </c>
      <c r="C336" s="309" t="s">
        <v>71</v>
      </c>
      <c r="D336" s="309" t="s">
        <v>771</v>
      </c>
      <c r="E336" s="309">
        <v>349</v>
      </c>
      <c r="F336" s="309">
        <v>349</v>
      </c>
    </row>
    <row r="337" spans="1:6" ht="15">
      <c r="A337" s="308" t="s">
        <v>425</v>
      </c>
      <c r="B337" s="309" t="s">
        <v>824</v>
      </c>
      <c r="C337" s="309" t="s">
        <v>66</v>
      </c>
      <c r="D337" s="309" t="s">
        <v>771</v>
      </c>
      <c r="E337" s="309">
        <v>139</v>
      </c>
      <c r="F337" s="309">
        <v>139</v>
      </c>
    </row>
    <row r="338" spans="1:6" ht="15">
      <c r="A338" s="308" t="s">
        <v>425</v>
      </c>
      <c r="B338" s="309" t="s">
        <v>1173</v>
      </c>
      <c r="C338" s="309" t="s">
        <v>71</v>
      </c>
      <c r="D338" s="309" t="s">
        <v>771</v>
      </c>
      <c r="E338" s="309">
        <v>349</v>
      </c>
      <c r="F338" s="309">
        <v>349</v>
      </c>
    </row>
    <row r="339" spans="1:6" ht="15">
      <c r="A339" s="308" t="s">
        <v>425</v>
      </c>
      <c r="B339" s="309" t="s">
        <v>1173</v>
      </c>
      <c r="C339" s="309" t="s">
        <v>66</v>
      </c>
      <c r="D339" s="309" t="s">
        <v>771</v>
      </c>
      <c r="E339" s="309">
        <v>139</v>
      </c>
      <c r="F339" s="309">
        <v>139</v>
      </c>
    </row>
    <row r="340" spans="1:6" ht="15">
      <c r="A340" s="308" t="s">
        <v>425</v>
      </c>
      <c r="B340" s="309" t="s">
        <v>1171</v>
      </c>
      <c r="C340" s="309" t="s">
        <v>71</v>
      </c>
      <c r="D340" s="309" t="s">
        <v>771</v>
      </c>
      <c r="E340" s="309">
        <v>259</v>
      </c>
      <c r="F340" s="309">
        <v>259</v>
      </c>
    </row>
    <row r="341" spans="1:6" ht="15">
      <c r="A341" s="308" t="s">
        <v>425</v>
      </c>
      <c r="B341" s="309" t="s">
        <v>1171</v>
      </c>
      <c r="C341" s="309" t="s">
        <v>66</v>
      </c>
      <c r="D341" s="309" t="s">
        <v>771</v>
      </c>
      <c r="E341" s="309">
        <v>99</v>
      </c>
      <c r="F341" s="309">
        <v>99</v>
      </c>
    </row>
    <row r="342" spans="1:6" ht="15">
      <c r="A342" s="308" t="s">
        <v>425</v>
      </c>
      <c r="B342" s="309" t="s">
        <v>375</v>
      </c>
      <c r="C342" s="309" t="s">
        <v>71</v>
      </c>
      <c r="D342" s="309" t="s">
        <v>771</v>
      </c>
      <c r="E342" s="309">
        <v>199</v>
      </c>
      <c r="F342" s="309">
        <v>199</v>
      </c>
    </row>
    <row r="343" spans="1:6" ht="15">
      <c r="A343" s="308" t="s">
        <v>425</v>
      </c>
      <c r="B343" s="309" t="s">
        <v>375</v>
      </c>
      <c r="C343" s="309" t="s">
        <v>66</v>
      </c>
      <c r="D343" s="309" t="s">
        <v>771</v>
      </c>
      <c r="E343" s="309">
        <v>79</v>
      </c>
      <c r="F343" s="309">
        <v>79</v>
      </c>
    </row>
    <row r="344" spans="1:6" ht="15">
      <c r="A344" s="308" t="s">
        <v>425</v>
      </c>
      <c r="B344" s="309" t="s">
        <v>158</v>
      </c>
      <c r="C344" s="309" t="s">
        <v>71</v>
      </c>
      <c r="D344" s="309" t="s">
        <v>771</v>
      </c>
      <c r="E344" s="309">
        <v>219</v>
      </c>
      <c r="F344" s="309">
        <v>219</v>
      </c>
    </row>
    <row r="345" spans="1:6" ht="15">
      <c r="A345" s="308" t="s">
        <v>425</v>
      </c>
      <c r="B345" s="309" t="s">
        <v>158</v>
      </c>
      <c r="C345" s="309" t="s">
        <v>66</v>
      </c>
      <c r="D345" s="309" t="s">
        <v>771</v>
      </c>
      <c r="E345" s="309">
        <v>89</v>
      </c>
      <c r="F345" s="309">
        <v>89</v>
      </c>
    </row>
    <row r="346" spans="1:6" ht="15">
      <c r="A346" s="308" t="s">
        <v>425</v>
      </c>
      <c r="B346" s="309" t="s">
        <v>821</v>
      </c>
      <c r="C346" s="309" t="s">
        <v>71</v>
      </c>
      <c r="D346" s="309" t="s">
        <v>771</v>
      </c>
      <c r="E346" s="309">
        <v>229</v>
      </c>
      <c r="F346" s="309">
        <v>229</v>
      </c>
    </row>
    <row r="347" spans="1:6" ht="15">
      <c r="A347" s="308" t="s">
        <v>425</v>
      </c>
      <c r="B347" s="309" t="s">
        <v>821</v>
      </c>
      <c r="C347" s="309" t="s">
        <v>66</v>
      </c>
      <c r="D347" s="309" t="s">
        <v>771</v>
      </c>
      <c r="E347" s="309">
        <v>95</v>
      </c>
      <c r="F347" s="309">
        <v>95</v>
      </c>
    </row>
    <row r="348" spans="1:6" ht="15">
      <c r="A348" s="308" t="s">
        <v>425</v>
      </c>
      <c r="B348" s="309" t="s">
        <v>1175</v>
      </c>
      <c r="C348" s="309" t="s">
        <v>71</v>
      </c>
      <c r="D348" s="309" t="s">
        <v>771</v>
      </c>
      <c r="E348" s="309">
        <v>229</v>
      </c>
      <c r="F348" s="309">
        <v>229</v>
      </c>
    </row>
    <row r="349" spans="1:6" ht="15">
      <c r="A349" s="308" t="s">
        <v>425</v>
      </c>
      <c r="B349" s="309" t="s">
        <v>1175</v>
      </c>
      <c r="C349" s="309" t="s">
        <v>66</v>
      </c>
      <c r="D349" s="309" t="s">
        <v>771</v>
      </c>
      <c r="E349" s="309">
        <v>95</v>
      </c>
      <c r="F349" s="309">
        <v>95</v>
      </c>
    </row>
    <row r="350" spans="1:6" ht="15">
      <c r="A350" s="308" t="s">
        <v>425</v>
      </c>
      <c r="B350" s="309" t="s">
        <v>844</v>
      </c>
      <c r="C350" s="309" t="s">
        <v>71</v>
      </c>
      <c r="D350" s="309" t="s">
        <v>771</v>
      </c>
      <c r="E350" s="309">
        <v>229</v>
      </c>
      <c r="F350" s="309">
        <v>229</v>
      </c>
    </row>
    <row r="351" spans="1:6" ht="15">
      <c r="A351" s="308" t="s">
        <v>425</v>
      </c>
      <c r="B351" s="309" t="s">
        <v>844</v>
      </c>
      <c r="C351" s="309" t="s">
        <v>66</v>
      </c>
      <c r="D351" s="309" t="s">
        <v>771</v>
      </c>
      <c r="E351" s="309">
        <v>95</v>
      </c>
      <c r="F351" s="309">
        <v>95</v>
      </c>
    </row>
    <row r="352" spans="1:6" ht="15">
      <c r="A352" s="308" t="s">
        <v>425</v>
      </c>
      <c r="B352" s="309" t="s">
        <v>845</v>
      </c>
      <c r="C352" s="309" t="s">
        <v>71</v>
      </c>
      <c r="D352" s="309" t="s">
        <v>771</v>
      </c>
      <c r="E352" s="309">
        <v>339</v>
      </c>
      <c r="F352" s="309">
        <v>339</v>
      </c>
    </row>
    <row r="353" spans="1:6" ht="15">
      <c r="A353" s="308" t="s">
        <v>425</v>
      </c>
      <c r="B353" s="309" t="s">
        <v>845</v>
      </c>
      <c r="C353" s="309" t="s">
        <v>66</v>
      </c>
      <c r="D353" s="309" t="s">
        <v>771</v>
      </c>
      <c r="E353" s="309">
        <v>129</v>
      </c>
      <c r="F353" s="309">
        <v>129</v>
      </c>
    </row>
    <row r="354" spans="1:6" ht="15">
      <c r="A354" s="308" t="s">
        <v>425</v>
      </c>
      <c r="B354" s="309" t="s">
        <v>847</v>
      </c>
      <c r="C354" s="309" t="s">
        <v>71</v>
      </c>
      <c r="D354" s="309" t="s">
        <v>771</v>
      </c>
      <c r="E354" s="309">
        <v>389</v>
      </c>
      <c r="F354" s="309">
        <v>389</v>
      </c>
    </row>
    <row r="355" spans="1:6" ht="15">
      <c r="A355" s="308" t="s">
        <v>425</v>
      </c>
      <c r="B355" s="309" t="s">
        <v>847</v>
      </c>
      <c r="C355" s="309" t="s">
        <v>66</v>
      </c>
      <c r="D355" s="309" t="s">
        <v>771</v>
      </c>
      <c r="E355" s="309">
        <v>329</v>
      </c>
      <c r="F355" s="309">
        <v>329</v>
      </c>
    </row>
    <row r="356" spans="1:6" ht="15">
      <c r="A356" s="308" t="s">
        <v>425</v>
      </c>
      <c r="B356" s="309" t="s">
        <v>359</v>
      </c>
      <c r="C356" s="309" t="s">
        <v>71</v>
      </c>
      <c r="D356" s="309" t="s">
        <v>771</v>
      </c>
      <c r="E356" s="309">
        <v>339</v>
      </c>
      <c r="F356" s="309">
        <v>339</v>
      </c>
    </row>
    <row r="357" spans="1:6" ht="15">
      <c r="A357" s="308" t="s">
        <v>425</v>
      </c>
      <c r="B357" s="309" t="s">
        <v>359</v>
      </c>
      <c r="C357" s="309" t="s">
        <v>66</v>
      </c>
      <c r="D357" s="309" t="s">
        <v>771</v>
      </c>
      <c r="E357" s="309">
        <v>129</v>
      </c>
      <c r="F357" s="309">
        <v>129</v>
      </c>
    </row>
    <row r="358" spans="1:6" ht="15">
      <c r="A358" s="308" t="s">
        <v>425</v>
      </c>
      <c r="B358" s="309" t="s">
        <v>65</v>
      </c>
      <c r="C358" s="309" t="s">
        <v>71</v>
      </c>
      <c r="D358" s="309" t="s">
        <v>771</v>
      </c>
      <c r="E358" s="309">
        <v>389</v>
      </c>
      <c r="F358" s="309">
        <v>389</v>
      </c>
    </row>
    <row r="359" spans="1:6" ht="15">
      <c r="A359" s="308" t="s">
        <v>425</v>
      </c>
      <c r="B359" s="309" t="s">
        <v>65</v>
      </c>
      <c r="C359" s="309" t="s">
        <v>66</v>
      </c>
      <c r="D359" s="309" t="s">
        <v>771</v>
      </c>
      <c r="E359" s="309">
        <v>329</v>
      </c>
      <c r="F359" s="309">
        <v>329</v>
      </c>
    </row>
    <row r="360" spans="1:6" ht="15">
      <c r="A360" s="308" t="s">
        <v>425</v>
      </c>
      <c r="B360" s="309" t="s">
        <v>826</v>
      </c>
      <c r="C360" s="309" t="s">
        <v>71</v>
      </c>
      <c r="D360" s="309" t="s">
        <v>771</v>
      </c>
      <c r="E360" s="309">
        <v>339</v>
      </c>
      <c r="F360" s="309">
        <v>339</v>
      </c>
    </row>
    <row r="361" spans="1:6" ht="15">
      <c r="A361" s="308" t="s">
        <v>425</v>
      </c>
      <c r="B361" s="309" t="s">
        <v>383</v>
      </c>
      <c r="C361" s="309" t="s">
        <v>71</v>
      </c>
      <c r="D361" s="309" t="s">
        <v>771</v>
      </c>
      <c r="E361" s="309">
        <v>339</v>
      </c>
      <c r="F361" s="309">
        <v>339</v>
      </c>
    </row>
    <row r="362" spans="1:6" ht="15">
      <c r="A362" s="308" t="s">
        <v>425</v>
      </c>
      <c r="B362" s="309" t="s">
        <v>825</v>
      </c>
      <c r="C362" s="309" t="s">
        <v>71</v>
      </c>
      <c r="D362" s="309" t="s">
        <v>752</v>
      </c>
      <c r="E362" s="309">
        <v>419</v>
      </c>
      <c r="F362" s="309">
        <v>419</v>
      </c>
    </row>
    <row r="363" spans="1:6" ht="15">
      <c r="A363" s="308" t="s">
        <v>425</v>
      </c>
      <c r="B363" s="309" t="s">
        <v>825</v>
      </c>
      <c r="C363" s="309" t="s">
        <v>66</v>
      </c>
      <c r="D363" s="309" t="s">
        <v>752</v>
      </c>
      <c r="E363" s="309">
        <v>419</v>
      </c>
      <c r="F363" s="309">
        <v>419</v>
      </c>
    </row>
    <row r="364" spans="1:6" ht="15">
      <c r="A364" s="308" t="s">
        <v>425</v>
      </c>
      <c r="B364" s="309" t="s">
        <v>1172</v>
      </c>
      <c r="C364" s="309" t="s">
        <v>71</v>
      </c>
      <c r="D364" s="309" t="s">
        <v>752</v>
      </c>
      <c r="E364" s="309">
        <v>419</v>
      </c>
      <c r="F364" s="309">
        <v>419</v>
      </c>
    </row>
    <row r="365" spans="1:6" ht="15">
      <c r="A365" s="308" t="s">
        <v>425</v>
      </c>
      <c r="B365" s="309" t="s">
        <v>1172</v>
      </c>
      <c r="C365" s="309" t="s">
        <v>66</v>
      </c>
      <c r="D365" s="309" t="s">
        <v>752</v>
      </c>
      <c r="E365" s="309">
        <v>419</v>
      </c>
      <c r="F365" s="309">
        <v>419</v>
      </c>
    </row>
    <row r="366" spans="1:6" ht="15">
      <c r="A366" s="308" t="s">
        <v>425</v>
      </c>
      <c r="B366" s="309" t="s">
        <v>1170</v>
      </c>
      <c r="C366" s="309" t="s">
        <v>71</v>
      </c>
      <c r="D366" s="309" t="s">
        <v>752</v>
      </c>
      <c r="E366" s="309">
        <v>249</v>
      </c>
      <c r="F366" s="309">
        <v>249</v>
      </c>
    </row>
    <row r="367" spans="1:6" ht="15">
      <c r="A367" s="308" t="s">
        <v>425</v>
      </c>
      <c r="B367" s="309" t="s">
        <v>1170</v>
      </c>
      <c r="C367" s="309" t="s">
        <v>66</v>
      </c>
      <c r="D367" s="309" t="s">
        <v>752</v>
      </c>
      <c r="E367" s="309">
        <v>119</v>
      </c>
      <c r="F367" s="309">
        <v>119</v>
      </c>
    </row>
    <row r="368" spans="1:6" ht="15">
      <c r="A368" s="308" t="s">
        <v>425</v>
      </c>
      <c r="B368" s="309" t="s">
        <v>823</v>
      </c>
      <c r="C368" s="309" t="s">
        <v>71</v>
      </c>
      <c r="D368" s="309" t="s">
        <v>752</v>
      </c>
      <c r="E368" s="309">
        <v>359</v>
      </c>
      <c r="F368" s="309">
        <v>359</v>
      </c>
    </row>
    <row r="369" spans="1:6" ht="15">
      <c r="A369" s="308" t="s">
        <v>425</v>
      </c>
      <c r="B369" s="309" t="s">
        <v>823</v>
      </c>
      <c r="C369" s="309" t="s">
        <v>66</v>
      </c>
      <c r="D369" s="309" t="s">
        <v>752</v>
      </c>
      <c r="E369" s="309">
        <v>165</v>
      </c>
      <c r="F369" s="309">
        <v>165</v>
      </c>
    </row>
    <row r="370" spans="1:6" ht="15">
      <c r="A370" s="308" t="s">
        <v>425</v>
      </c>
      <c r="B370" s="309" t="s">
        <v>1174</v>
      </c>
      <c r="C370" s="309" t="s">
        <v>71</v>
      </c>
      <c r="D370" s="309" t="s">
        <v>752</v>
      </c>
      <c r="E370" s="309">
        <v>359</v>
      </c>
      <c r="F370" s="309">
        <v>359</v>
      </c>
    </row>
    <row r="371" spans="1:6" ht="15">
      <c r="A371" s="308" t="s">
        <v>425</v>
      </c>
      <c r="B371" s="309" t="s">
        <v>1174</v>
      </c>
      <c r="C371" s="309" t="s">
        <v>66</v>
      </c>
      <c r="D371" s="309" t="s">
        <v>752</v>
      </c>
      <c r="E371" s="309">
        <v>165</v>
      </c>
      <c r="F371" s="309">
        <v>165</v>
      </c>
    </row>
    <row r="372" spans="1:6" ht="15">
      <c r="A372" s="308" t="s">
        <v>425</v>
      </c>
      <c r="B372" s="309" t="s">
        <v>824</v>
      </c>
      <c r="C372" s="309" t="s">
        <v>71</v>
      </c>
      <c r="D372" s="309" t="s">
        <v>752</v>
      </c>
      <c r="E372" s="309">
        <v>369</v>
      </c>
      <c r="F372" s="309">
        <v>369</v>
      </c>
    </row>
    <row r="373" spans="1:6" ht="15">
      <c r="A373" s="308" t="s">
        <v>425</v>
      </c>
      <c r="B373" s="309" t="s">
        <v>824</v>
      </c>
      <c r="C373" s="309" t="s">
        <v>66</v>
      </c>
      <c r="D373" s="309" t="s">
        <v>752</v>
      </c>
      <c r="E373" s="309">
        <v>179</v>
      </c>
      <c r="F373" s="309">
        <v>179</v>
      </c>
    </row>
    <row r="374" spans="1:6" ht="15">
      <c r="A374" s="308" t="s">
        <v>425</v>
      </c>
      <c r="B374" s="309" t="s">
        <v>1173</v>
      </c>
      <c r="C374" s="309" t="s">
        <v>71</v>
      </c>
      <c r="D374" s="309" t="s">
        <v>752</v>
      </c>
      <c r="E374" s="309">
        <v>369</v>
      </c>
      <c r="F374" s="309">
        <v>369</v>
      </c>
    </row>
    <row r="375" spans="1:6" ht="15">
      <c r="A375" s="308" t="s">
        <v>425</v>
      </c>
      <c r="B375" s="309" t="s">
        <v>1173</v>
      </c>
      <c r="C375" s="309" t="s">
        <v>66</v>
      </c>
      <c r="D375" s="309" t="s">
        <v>752</v>
      </c>
      <c r="E375" s="309">
        <v>179</v>
      </c>
      <c r="F375" s="309">
        <v>179</v>
      </c>
    </row>
    <row r="376" spans="1:6" ht="15">
      <c r="A376" s="308" t="s">
        <v>425</v>
      </c>
      <c r="B376" s="309" t="s">
        <v>1171</v>
      </c>
      <c r="C376" s="309" t="s">
        <v>71</v>
      </c>
      <c r="D376" s="309" t="s">
        <v>752</v>
      </c>
      <c r="E376" s="309">
        <v>269</v>
      </c>
      <c r="F376" s="309">
        <v>269</v>
      </c>
    </row>
    <row r="377" spans="1:6" ht="15">
      <c r="A377" s="308" t="s">
        <v>425</v>
      </c>
      <c r="B377" s="309" t="s">
        <v>1171</v>
      </c>
      <c r="C377" s="309" t="s">
        <v>66</v>
      </c>
      <c r="D377" s="309" t="s">
        <v>752</v>
      </c>
      <c r="E377" s="309">
        <v>125</v>
      </c>
      <c r="F377" s="309">
        <v>125</v>
      </c>
    </row>
    <row r="378" spans="1:6" ht="15">
      <c r="A378" s="308" t="s">
        <v>425</v>
      </c>
      <c r="B378" s="309" t="s">
        <v>375</v>
      </c>
      <c r="C378" s="309" t="s">
        <v>71</v>
      </c>
      <c r="D378" s="309" t="s">
        <v>752</v>
      </c>
      <c r="E378" s="309">
        <v>219</v>
      </c>
      <c r="F378" s="309">
        <v>219</v>
      </c>
    </row>
    <row r="379" spans="1:6" ht="15">
      <c r="A379" s="308" t="s">
        <v>425</v>
      </c>
      <c r="B379" s="309" t="s">
        <v>375</v>
      </c>
      <c r="C379" s="309" t="s">
        <v>66</v>
      </c>
      <c r="D379" s="309" t="s">
        <v>752</v>
      </c>
      <c r="E379" s="309">
        <v>99</v>
      </c>
      <c r="F379" s="309">
        <v>99</v>
      </c>
    </row>
    <row r="380" spans="1:6" ht="15">
      <c r="A380" s="308" t="s">
        <v>425</v>
      </c>
      <c r="B380" s="309" t="s">
        <v>158</v>
      </c>
      <c r="C380" s="309" t="s">
        <v>71</v>
      </c>
      <c r="D380" s="309" t="s">
        <v>752</v>
      </c>
      <c r="E380" s="309">
        <v>239</v>
      </c>
      <c r="F380" s="309">
        <v>239</v>
      </c>
    </row>
    <row r="381" spans="1:6" ht="15">
      <c r="A381" s="308" t="s">
        <v>425</v>
      </c>
      <c r="B381" s="309" t="s">
        <v>158</v>
      </c>
      <c r="C381" s="309" t="s">
        <v>66</v>
      </c>
      <c r="D381" s="309" t="s">
        <v>752</v>
      </c>
      <c r="E381" s="309">
        <v>115</v>
      </c>
      <c r="F381" s="309">
        <v>115</v>
      </c>
    </row>
    <row r="382" spans="1:6" ht="15">
      <c r="A382" s="308" t="s">
        <v>425</v>
      </c>
      <c r="B382" s="309" t="s">
        <v>821</v>
      </c>
      <c r="C382" s="309" t="s">
        <v>71</v>
      </c>
      <c r="D382" s="309" t="s">
        <v>752</v>
      </c>
      <c r="E382" s="309">
        <v>249</v>
      </c>
      <c r="F382" s="309">
        <v>249</v>
      </c>
    </row>
    <row r="383" spans="1:6" ht="15">
      <c r="A383" s="308" t="s">
        <v>425</v>
      </c>
      <c r="B383" s="309" t="s">
        <v>821</v>
      </c>
      <c r="C383" s="309" t="s">
        <v>66</v>
      </c>
      <c r="D383" s="309" t="s">
        <v>752</v>
      </c>
      <c r="E383" s="309">
        <v>119</v>
      </c>
      <c r="F383" s="309">
        <v>119</v>
      </c>
    </row>
    <row r="384" spans="1:6" ht="15">
      <c r="A384" s="308" t="s">
        <v>425</v>
      </c>
      <c r="B384" s="309" t="s">
        <v>1175</v>
      </c>
      <c r="C384" s="309" t="s">
        <v>71</v>
      </c>
      <c r="D384" s="309" t="s">
        <v>752</v>
      </c>
      <c r="E384" s="309">
        <v>249</v>
      </c>
      <c r="F384" s="309">
        <v>249</v>
      </c>
    </row>
    <row r="385" spans="1:6" ht="15">
      <c r="A385" s="308" t="s">
        <v>425</v>
      </c>
      <c r="B385" s="309" t="s">
        <v>1175</v>
      </c>
      <c r="C385" s="309" t="s">
        <v>66</v>
      </c>
      <c r="D385" s="309" t="s">
        <v>752</v>
      </c>
      <c r="E385" s="309">
        <v>119</v>
      </c>
      <c r="F385" s="309">
        <v>119</v>
      </c>
    </row>
    <row r="386" spans="1:6" ht="15">
      <c r="A386" s="308" t="s">
        <v>425</v>
      </c>
      <c r="B386" s="309" t="s">
        <v>844</v>
      </c>
      <c r="C386" s="309" t="s">
        <v>71</v>
      </c>
      <c r="D386" s="309" t="s">
        <v>752</v>
      </c>
      <c r="E386" s="309">
        <v>249</v>
      </c>
      <c r="F386" s="309">
        <v>249</v>
      </c>
    </row>
    <row r="387" spans="1:6" ht="15">
      <c r="A387" s="308" t="s">
        <v>425</v>
      </c>
      <c r="B387" s="309" t="s">
        <v>844</v>
      </c>
      <c r="C387" s="309" t="s">
        <v>66</v>
      </c>
      <c r="D387" s="309" t="s">
        <v>752</v>
      </c>
      <c r="E387" s="309">
        <v>119</v>
      </c>
      <c r="F387" s="309">
        <v>119</v>
      </c>
    </row>
    <row r="388" spans="1:6" ht="15">
      <c r="A388" s="308" t="s">
        <v>425</v>
      </c>
      <c r="B388" s="309" t="s">
        <v>845</v>
      </c>
      <c r="C388" s="309" t="s">
        <v>71</v>
      </c>
      <c r="D388" s="309" t="s">
        <v>752</v>
      </c>
      <c r="E388" s="309">
        <v>359</v>
      </c>
      <c r="F388" s="309">
        <v>359</v>
      </c>
    </row>
    <row r="389" spans="1:6" ht="15">
      <c r="A389" s="308" t="s">
        <v>425</v>
      </c>
      <c r="B389" s="309" t="s">
        <v>845</v>
      </c>
      <c r="C389" s="309" t="s">
        <v>66</v>
      </c>
      <c r="D389" s="309" t="s">
        <v>752</v>
      </c>
      <c r="E389" s="309">
        <v>165</v>
      </c>
      <c r="F389" s="309">
        <v>165</v>
      </c>
    </row>
    <row r="390" spans="1:6" ht="15">
      <c r="A390" s="308" t="s">
        <v>425</v>
      </c>
      <c r="B390" s="309" t="s">
        <v>847</v>
      </c>
      <c r="C390" s="309" t="s">
        <v>71</v>
      </c>
      <c r="D390" s="309" t="s">
        <v>752</v>
      </c>
      <c r="E390" s="309">
        <v>419</v>
      </c>
      <c r="F390" s="309">
        <v>419</v>
      </c>
    </row>
    <row r="391" spans="1:6" ht="15">
      <c r="A391" s="308" t="s">
        <v>425</v>
      </c>
      <c r="B391" s="309" t="s">
        <v>847</v>
      </c>
      <c r="C391" s="309" t="s">
        <v>66</v>
      </c>
      <c r="D391" s="309" t="s">
        <v>752</v>
      </c>
      <c r="E391" s="309">
        <v>419</v>
      </c>
      <c r="F391" s="309">
        <v>419</v>
      </c>
    </row>
    <row r="392" spans="1:6" ht="15">
      <c r="A392" s="308" t="s">
        <v>425</v>
      </c>
      <c r="B392" s="309" t="s">
        <v>359</v>
      </c>
      <c r="C392" s="309" t="s">
        <v>71</v>
      </c>
      <c r="D392" s="309" t="s">
        <v>752</v>
      </c>
      <c r="E392" s="309">
        <v>359</v>
      </c>
      <c r="F392" s="309">
        <v>359</v>
      </c>
    </row>
    <row r="393" spans="1:6" ht="15">
      <c r="A393" s="308" t="s">
        <v>425</v>
      </c>
      <c r="B393" s="309" t="s">
        <v>359</v>
      </c>
      <c r="C393" s="309" t="s">
        <v>66</v>
      </c>
      <c r="D393" s="309" t="s">
        <v>752</v>
      </c>
      <c r="E393" s="309">
        <v>165</v>
      </c>
      <c r="F393" s="309">
        <v>165</v>
      </c>
    </row>
    <row r="394" spans="1:6" ht="15">
      <c r="A394" s="308" t="s">
        <v>425</v>
      </c>
      <c r="B394" s="309" t="s">
        <v>65</v>
      </c>
      <c r="C394" s="309" t="s">
        <v>71</v>
      </c>
      <c r="D394" s="309" t="s">
        <v>752</v>
      </c>
      <c r="E394" s="309">
        <v>419</v>
      </c>
      <c r="F394" s="309">
        <v>419</v>
      </c>
    </row>
    <row r="395" spans="1:6" ht="15">
      <c r="A395" s="308" t="s">
        <v>425</v>
      </c>
      <c r="B395" s="309" t="s">
        <v>65</v>
      </c>
      <c r="C395" s="309" t="s">
        <v>66</v>
      </c>
      <c r="D395" s="309" t="s">
        <v>752</v>
      </c>
      <c r="E395" s="309">
        <v>419</v>
      </c>
      <c r="F395" s="309">
        <v>419</v>
      </c>
    </row>
    <row r="396" spans="1:6" ht="15">
      <c r="A396" s="308" t="s">
        <v>425</v>
      </c>
      <c r="B396" s="309" t="s">
        <v>826</v>
      </c>
      <c r="C396" s="309" t="s">
        <v>71</v>
      </c>
      <c r="D396" s="309" t="s">
        <v>752</v>
      </c>
      <c r="E396" s="309">
        <v>359</v>
      </c>
      <c r="F396" s="309">
        <v>359</v>
      </c>
    </row>
    <row r="397" spans="1:6" ht="15">
      <c r="A397" s="308" t="s">
        <v>425</v>
      </c>
      <c r="B397" s="309" t="s">
        <v>383</v>
      </c>
      <c r="C397" s="309" t="s">
        <v>71</v>
      </c>
      <c r="D397" s="309" t="s">
        <v>752</v>
      </c>
      <c r="E397" s="309">
        <v>359</v>
      </c>
      <c r="F397" s="309">
        <v>359</v>
      </c>
    </row>
    <row r="398" spans="1:6" ht="15">
      <c r="A398" s="308" t="s">
        <v>425</v>
      </c>
      <c r="B398" s="309" t="s">
        <v>825</v>
      </c>
      <c r="C398" s="309" t="s">
        <v>71</v>
      </c>
      <c r="D398" s="309" t="s">
        <v>768</v>
      </c>
      <c r="E398" s="309">
        <v>255</v>
      </c>
      <c r="F398" s="309">
        <v>255</v>
      </c>
    </row>
    <row r="399" spans="1:6" ht="15">
      <c r="A399" s="308" t="s">
        <v>425</v>
      </c>
      <c r="B399" s="309" t="s">
        <v>825</v>
      </c>
      <c r="C399" s="309" t="s">
        <v>66</v>
      </c>
      <c r="D399" s="309" t="s">
        <v>768</v>
      </c>
      <c r="E399" s="309">
        <v>245</v>
      </c>
      <c r="F399" s="309">
        <v>245</v>
      </c>
    </row>
    <row r="400" spans="1:6" ht="15">
      <c r="A400" s="308" t="s">
        <v>425</v>
      </c>
      <c r="B400" s="309" t="s">
        <v>1172</v>
      </c>
      <c r="C400" s="309" t="s">
        <v>71</v>
      </c>
      <c r="D400" s="309" t="s">
        <v>768</v>
      </c>
      <c r="E400" s="309">
        <v>255</v>
      </c>
      <c r="F400" s="309">
        <v>255</v>
      </c>
    </row>
    <row r="401" spans="1:6" ht="15">
      <c r="A401" s="308" t="s">
        <v>425</v>
      </c>
      <c r="B401" s="309" t="s">
        <v>1172</v>
      </c>
      <c r="C401" s="309" t="s">
        <v>66</v>
      </c>
      <c r="D401" s="309" t="s">
        <v>768</v>
      </c>
      <c r="E401" s="309">
        <v>245</v>
      </c>
      <c r="F401" s="309">
        <v>245</v>
      </c>
    </row>
    <row r="402" spans="1:6" ht="15">
      <c r="A402" s="308" t="s">
        <v>425</v>
      </c>
      <c r="B402" s="309" t="s">
        <v>1170</v>
      </c>
      <c r="C402" s="309" t="s">
        <v>71</v>
      </c>
      <c r="D402" s="309" t="s">
        <v>768</v>
      </c>
      <c r="E402" s="309">
        <v>145</v>
      </c>
      <c r="F402" s="309">
        <v>145</v>
      </c>
    </row>
    <row r="403" spans="1:6" ht="15">
      <c r="A403" s="308" t="s">
        <v>425</v>
      </c>
      <c r="B403" s="309" t="s">
        <v>1170</v>
      </c>
      <c r="C403" s="309" t="s">
        <v>66</v>
      </c>
      <c r="D403" s="309" t="s">
        <v>768</v>
      </c>
      <c r="E403" s="309">
        <v>69</v>
      </c>
      <c r="F403" s="309">
        <v>69</v>
      </c>
    </row>
    <row r="404" spans="1:6" ht="15">
      <c r="A404" s="308" t="s">
        <v>425</v>
      </c>
      <c r="B404" s="309" t="s">
        <v>823</v>
      </c>
      <c r="C404" s="309" t="s">
        <v>71</v>
      </c>
      <c r="D404" s="309" t="s">
        <v>768</v>
      </c>
      <c r="E404" s="309">
        <v>219</v>
      </c>
      <c r="F404" s="309">
        <v>219</v>
      </c>
    </row>
    <row r="405" spans="1:6" ht="15">
      <c r="A405" s="308" t="s">
        <v>425</v>
      </c>
      <c r="B405" s="309" t="s">
        <v>823</v>
      </c>
      <c r="C405" s="309" t="s">
        <v>66</v>
      </c>
      <c r="D405" s="309" t="s">
        <v>768</v>
      </c>
      <c r="E405" s="309">
        <v>95</v>
      </c>
      <c r="F405" s="309">
        <v>95</v>
      </c>
    </row>
    <row r="406" spans="1:6" ht="15">
      <c r="A406" s="308" t="s">
        <v>425</v>
      </c>
      <c r="B406" s="309" t="s">
        <v>1174</v>
      </c>
      <c r="C406" s="309" t="s">
        <v>71</v>
      </c>
      <c r="D406" s="309" t="s">
        <v>768</v>
      </c>
      <c r="E406" s="309">
        <v>219</v>
      </c>
      <c r="F406" s="309">
        <v>219</v>
      </c>
    </row>
    <row r="407" spans="1:6" ht="15">
      <c r="A407" s="308" t="s">
        <v>425</v>
      </c>
      <c r="B407" s="309" t="s">
        <v>1174</v>
      </c>
      <c r="C407" s="309" t="s">
        <v>66</v>
      </c>
      <c r="D407" s="309" t="s">
        <v>768</v>
      </c>
      <c r="E407" s="309">
        <v>95</v>
      </c>
      <c r="F407" s="309">
        <v>95</v>
      </c>
    </row>
    <row r="408" spans="1:6" ht="15">
      <c r="A408" s="308" t="s">
        <v>425</v>
      </c>
      <c r="B408" s="309" t="s">
        <v>824</v>
      </c>
      <c r="C408" s="309" t="s">
        <v>71</v>
      </c>
      <c r="D408" s="309" t="s">
        <v>768</v>
      </c>
      <c r="E408" s="309">
        <v>225</v>
      </c>
      <c r="F408" s="309">
        <v>225</v>
      </c>
    </row>
    <row r="409" spans="1:6" ht="15">
      <c r="A409" s="308" t="s">
        <v>425</v>
      </c>
      <c r="B409" s="309" t="s">
        <v>824</v>
      </c>
      <c r="C409" s="309" t="s">
        <v>66</v>
      </c>
      <c r="D409" s="309" t="s">
        <v>768</v>
      </c>
      <c r="E409" s="309">
        <v>105</v>
      </c>
      <c r="F409" s="309">
        <v>105</v>
      </c>
    </row>
    <row r="410" spans="1:6" ht="15">
      <c r="A410" s="308" t="s">
        <v>425</v>
      </c>
      <c r="B410" s="309" t="s">
        <v>1173</v>
      </c>
      <c r="C410" s="309" t="s">
        <v>71</v>
      </c>
      <c r="D410" s="309" t="s">
        <v>768</v>
      </c>
      <c r="E410" s="309">
        <v>225</v>
      </c>
      <c r="F410" s="309">
        <v>225</v>
      </c>
    </row>
    <row r="411" spans="1:6" ht="15">
      <c r="A411" s="308" t="s">
        <v>425</v>
      </c>
      <c r="B411" s="309" t="s">
        <v>1173</v>
      </c>
      <c r="C411" s="309" t="s">
        <v>66</v>
      </c>
      <c r="D411" s="309" t="s">
        <v>768</v>
      </c>
      <c r="E411" s="309">
        <v>105</v>
      </c>
      <c r="F411" s="309">
        <v>105</v>
      </c>
    </row>
    <row r="412" spans="1:6" ht="15">
      <c r="A412" s="308" t="s">
        <v>425</v>
      </c>
      <c r="B412" s="309" t="s">
        <v>1171</v>
      </c>
      <c r="C412" s="309" t="s">
        <v>71</v>
      </c>
      <c r="D412" s="309" t="s">
        <v>768</v>
      </c>
      <c r="E412" s="309">
        <v>169</v>
      </c>
      <c r="F412" s="309">
        <v>169</v>
      </c>
    </row>
    <row r="413" spans="1:6" ht="15">
      <c r="A413" s="308" t="s">
        <v>425</v>
      </c>
      <c r="B413" s="309" t="s">
        <v>1171</v>
      </c>
      <c r="C413" s="309" t="s">
        <v>66</v>
      </c>
      <c r="D413" s="309" t="s">
        <v>768</v>
      </c>
      <c r="E413" s="309">
        <v>75</v>
      </c>
      <c r="F413" s="309">
        <v>75</v>
      </c>
    </row>
    <row r="414" spans="1:6" ht="15">
      <c r="A414" s="308" t="s">
        <v>425</v>
      </c>
      <c r="B414" s="309" t="s">
        <v>375</v>
      </c>
      <c r="C414" s="309" t="s">
        <v>71</v>
      </c>
      <c r="D414" s="309" t="s">
        <v>768</v>
      </c>
      <c r="E414" s="309">
        <v>129</v>
      </c>
      <c r="F414" s="309">
        <v>129</v>
      </c>
    </row>
    <row r="415" spans="1:6" ht="15">
      <c r="A415" s="308" t="s">
        <v>425</v>
      </c>
      <c r="B415" s="309" t="s">
        <v>375</v>
      </c>
      <c r="C415" s="309" t="s">
        <v>66</v>
      </c>
      <c r="D415" s="309" t="s">
        <v>768</v>
      </c>
      <c r="E415" s="309">
        <v>59</v>
      </c>
      <c r="F415" s="309">
        <v>59</v>
      </c>
    </row>
    <row r="416" spans="1:6" ht="15">
      <c r="A416" s="308" t="s">
        <v>425</v>
      </c>
      <c r="B416" s="309" t="s">
        <v>158</v>
      </c>
      <c r="C416" s="309" t="s">
        <v>71</v>
      </c>
      <c r="D416" s="309" t="s">
        <v>768</v>
      </c>
      <c r="E416" s="309">
        <v>139</v>
      </c>
      <c r="F416" s="309">
        <v>139</v>
      </c>
    </row>
    <row r="417" spans="1:6" ht="15">
      <c r="A417" s="308" t="s">
        <v>425</v>
      </c>
      <c r="B417" s="309" t="s">
        <v>158</v>
      </c>
      <c r="C417" s="309" t="s">
        <v>66</v>
      </c>
      <c r="D417" s="309" t="s">
        <v>768</v>
      </c>
      <c r="E417" s="309">
        <v>65</v>
      </c>
      <c r="F417" s="309">
        <v>65</v>
      </c>
    </row>
    <row r="418" spans="1:6" ht="15">
      <c r="A418" s="308" t="s">
        <v>425</v>
      </c>
      <c r="B418" s="309" t="s">
        <v>821</v>
      </c>
      <c r="C418" s="309" t="s">
        <v>71</v>
      </c>
      <c r="D418" s="309" t="s">
        <v>768</v>
      </c>
      <c r="E418" s="309">
        <v>145</v>
      </c>
      <c r="F418" s="309">
        <v>145</v>
      </c>
    </row>
    <row r="419" spans="1:6" ht="15">
      <c r="A419" s="308" t="s">
        <v>425</v>
      </c>
      <c r="B419" s="309" t="s">
        <v>821</v>
      </c>
      <c r="C419" s="309" t="s">
        <v>66</v>
      </c>
      <c r="D419" s="309" t="s">
        <v>768</v>
      </c>
      <c r="E419" s="309">
        <v>69</v>
      </c>
      <c r="F419" s="309">
        <v>69</v>
      </c>
    </row>
    <row r="420" spans="1:6" ht="15">
      <c r="A420" s="308" t="s">
        <v>425</v>
      </c>
      <c r="B420" s="309" t="s">
        <v>1175</v>
      </c>
      <c r="C420" s="309" t="s">
        <v>71</v>
      </c>
      <c r="D420" s="309" t="s">
        <v>768</v>
      </c>
      <c r="E420" s="309">
        <v>145</v>
      </c>
      <c r="F420" s="309">
        <v>145</v>
      </c>
    </row>
    <row r="421" spans="1:6" ht="15">
      <c r="A421" s="308" t="s">
        <v>425</v>
      </c>
      <c r="B421" s="309" t="s">
        <v>1175</v>
      </c>
      <c r="C421" s="309" t="s">
        <v>66</v>
      </c>
      <c r="D421" s="309" t="s">
        <v>768</v>
      </c>
      <c r="E421" s="309">
        <v>69</v>
      </c>
      <c r="F421" s="309">
        <v>69</v>
      </c>
    </row>
    <row r="422" spans="1:6" ht="15">
      <c r="A422" s="308" t="s">
        <v>425</v>
      </c>
      <c r="B422" s="309" t="s">
        <v>844</v>
      </c>
      <c r="C422" s="309" t="s">
        <v>71</v>
      </c>
      <c r="D422" s="309" t="s">
        <v>768</v>
      </c>
      <c r="E422" s="309">
        <v>145</v>
      </c>
      <c r="F422" s="309">
        <v>145</v>
      </c>
    </row>
    <row r="423" spans="1:6" ht="15">
      <c r="A423" s="308" t="s">
        <v>425</v>
      </c>
      <c r="B423" s="309" t="s">
        <v>844</v>
      </c>
      <c r="C423" s="309" t="s">
        <v>66</v>
      </c>
      <c r="D423" s="309" t="s">
        <v>768</v>
      </c>
      <c r="E423" s="309">
        <v>69</v>
      </c>
      <c r="F423" s="309">
        <v>69</v>
      </c>
    </row>
    <row r="424" spans="1:6" ht="15">
      <c r="A424" s="308" t="s">
        <v>425</v>
      </c>
      <c r="B424" s="309" t="s">
        <v>845</v>
      </c>
      <c r="C424" s="309" t="s">
        <v>71</v>
      </c>
      <c r="D424" s="309" t="s">
        <v>768</v>
      </c>
      <c r="E424" s="309">
        <v>219</v>
      </c>
      <c r="F424" s="309">
        <v>219</v>
      </c>
    </row>
    <row r="425" spans="1:6" ht="15">
      <c r="A425" s="308" t="s">
        <v>425</v>
      </c>
      <c r="B425" s="309" t="s">
        <v>845</v>
      </c>
      <c r="C425" s="309" t="s">
        <v>66</v>
      </c>
      <c r="D425" s="309" t="s">
        <v>768</v>
      </c>
      <c r="E425" s="309">
        <v>95</v>
      </c>
      <c r="F425" s="309">
        <v>95</v>
      </c>
    </row>
    <row r="426" spans="1:6" ht="15">
      <c r="A426" s="308" t="s">
        <v>425</v>
      </c>
      <c r="B426" s="309" t="s">
        <v>847</v>
      </c>
      <c r="C426" s="309" t="s">
        <v>71</v>
      </c>
      <c r="D426" s="309" t="s">
        <v>768</v>
      </c>
      <c r="E426" s="309">
        <v>255</v>
      </c>
      <c r="F426" s="309">
        <v>255</v>
      </c>
    </row>
    <row r="427" spans="1:6" ht="15">
      <c r="A427" s="308" t="s">
        <v>425</v>
      </c>
      <c r="B427" s="309" t="s">
        <v>847</v>
      </c>
      <c r="C427" s="309" t="s">
        <v>66</v>
      </c>
      <c r="D427" s="309" t="s">
        <v>768</v>
      </c>
      <c r="E427" s="309">
        <v>245</v>
      </c>
      <c r="F427" s="309">
        <v>245</v>
      </c>
    </row>
    <row r="428" spans="1:6" ht="15">
      <c r="A428" s="308" t="s">
        <v>425</v>
      </c>
      <c r="B428" s="309" t="s">
        <v>359</v>
      </c>
      <c r="C428" s="309" t="s">
        <v>71</v>
      </c>
      <c r="D428" s="309" t="s">
        <v>768</v>
      </c>
      <c r="E428" s="309">
        <v>219</v>
      </c>
      <c r="F428" s="309">
        <v>219</v>
      </c>
    </row>
    <row r="429" spans="1:6" ht="15">
      <c r="A429" s="308" t="s">
        <v>425</v>
      </c>
      <c r="B429" s="309" t="s">
        <v>359</v>
      </c>
      <c r="C429" s="309" t="s">
        <v>66</v>
      </c>
      <c r="D429" s="309" t="s">
        <v>768</v>
      </c>
      <c r="E429" s="309">
        <v>95</v>
      </c>
      <c r="F429" s="309">
        <v>95</v>
      </c>
    </row>
    <row r="430" spans="1:6" ht="15">
      <c r="A430" s="308" t="s">
        <v>425</v>
      </c>
      <c r="B430" s="309" t="s">
        <v>65</v>
      </c>
      <c r="C430" s="309" t="s">
        <v>71</v>
      </c>
      <c r="D430" s="309" t="s">
        <v>768</v>
      </c>
      <c r="E430" s="309">
        <v>255</v>
      </c>
      <c r="F430" s="309">
        <v>255</v>
      </c>
    </row>
    <row r="431" spans="1:6" ht="15">
      <c r="A431" s="308" t="s">
        <v>425</v>
      </c>
      <c r="B431" s="309" t="s">
        <v>65</v>
      </c>
      <c r="C431" s="309" t="s">
        <v>66</v>
      </c>
      <c r="D431" s="309" t="s">
        <v>768</v>
      </c>
      <c r="E431" s="309">
        <v>245</v>
      </c>
      <c r="F431" s="309">
        <v>245</v>
      </c>
    </row>
    <row r="432" spans="1:6" ht="15">
      <c r="A432" s="308" t="s">
        <v>425</v>
      </c>
      <c r="B432" s="309" t="s">
        <v>826</v>
      </c>
      <c r="C432" s="309" t="s">
        <v>71</v>
      </c>
      <c r="D432" s="309" t="s">
        <v>768</v>
      </c>
      <c r="E432" s="309">
        <v>219</v>
      </c>
      <c r="F432" s="309">
        <v>219</v>
      </c>
    </row>
    <row r="433" spans="1:6" ht="15">
      <c r="A433" s="308" t="s">
        <v>425</v>
      </c>
      <c r="B433" s="309" t="s">
        <v>383</v>
      </c>
      <c r="C433" s="309" t="s">
        <v>71</v>
      </c>
      <c r="D433" s="309" t="s">
        <v>768</v>
      </c>
      <c r="E433" s="309">
        <v>219</v>
      </c>
      <c r="F433" s="309">
        <v>219</v>
      </c>
    </row>
  </sheetData>
  <sheetProtection algorithmName="SHA-512" hashValue="vFQ7ojQUlKYb+cA44eBAtDc1UkGHIMU+bB1hsRsaPfUCmgCOW99cq3yYLa9pG/6xo/SHHFzEIbxbrOIeLYZDuw==" saltValue="NzM/dFsaAzBb++B3DOgkVQ==" spinCount="100000" sheet="1" objects="1" scenarios="1"/>
  <autoFilter ref="A1:F433" xr:uid="{007397A9-986D-4D40-B1AC-2BD54672F75C}"/>
  <sortState xmlns:xlrd2="http://schemas.microsoft.com/office/spreadsheetml/2017/richdata2" ref="A14:F413">
    <sortCondition ref="B2:B421"/>
    <sortCondition ref="C2:C421"/>
    <sortCondition ref="D2:D421"/>
  </sortState>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8EFCA-ED8B-4D83-BC30-E32BAE5793CB}">
  <dimension ref="A1:S38"/>
  <sheetViews>
    <sheetView workbookViewId="0">
      <selection activeCell="G335" sqref="G335"/>
    </sheetView>
  </sheetViews>
  <sheetFormatPr defaultColWidth="9.140625" defaultRowHeight="12.75"/>
  <cols>
    <col min="1" max="1" width="24.85546875" style="248" customWidth="1"/>
    <col min="2" max="2" width="17.42578125" style="252" customWidth="1"/>
    <col min="3" max="5" width="38.85546875" style="252" customWidth="1"/>
    <col min="6" max="11" width="16" style="252" customWidth="1"/>
    <col min="12" max="18" width="5.5703125" style="253" hidden="1" customWidth="1"/>
    <col min="19" max="19" width="9.140625" style="257"/>
    <col min="20" max="16384" width="9.140625" style="248"/>
  </cols>
  <sheetData>
    <row r="1" spans="1:19" ht="50.1" customHeight="1" thickBot="1">
      <c r="A1" s="457"/>
      <c r="B1" s="458"/>
      <c r="C1" s="458"/>
      <c r="D1" s="458"/>
      <c r="E1" s="458"/>
      <c r="F1" s="458"/>
      <c r="G1" s="458"/>
      <c r="H1" s="458"/>
      <c r="I1" s="458"/>
      <c r="J1" s="458"/>
      <c r="K1" s="458"/>
      <c r="L1" s="458"/>
      <c r="M1" s="458"/>
      <c r="N1" s="458"/>
      <c r="O1" s="458"/>
      <c r="P1" s="458"/>
      <c r="Q1" s="458"/>
      <c r="R1" s="458"/>
      <c r="S1" s="459"/>
    </row>
    <row r="3" spans="1:19" s="251" customFormat="1" ht="110.1" customHeight="1">
      <c r="A3" s="460" t="s">
        <v>887</v>
      </c>
      <c r="B3" s="460" t="s">
        <v>8</v>
      </c>
      <c r="C3" s="460" t="s">
        <v>9</v>
      </c>
      <c r="D3" s="461" t="s">
        <v>10</v>
      </c>
      <c r="E3" s="461" t="s">
        <v>11</v>
      </c>
      <c r="F3" s="461" t="s">
        <v>13</v>
      </c>
      <c r="G3" s="409" t="s">
        <v>14</v>
      </c>
      <c r="H3" s="409" t="s">
        <v>1177</v>
      </c>
      <c r="I3" s="409" t="s">
        <v>17</v>
      </c>
      <c r="J3" s="409" t="s">
        <v>18</v>
      </c>
      <c r="K3" s="409" t="s">
        <v>19</v>
      </c>
      <c r="L3" s="462" t="s">
        <v>87</v>
      </c>
      <c r="M3" s="462" t="s">
        <v>75</v>
      </c>
      <c r="N3" s="462" t="s">
        <v>70</v>
      </c>
      <c r="O3" s="462" t="s">
        <v>90</v>
      </c>
      <c r="P3" s="462" t="s">
        <v>360</v>
      </c>
      <c r="Q3" s="462" t="s">
        <v>892</v>
      </c>
      <c r="R3" s="462" t="s">
        <v>889</v>
      </c>
      <c r="S3" s="463" t="s">
        <v>170</v>
      </c>
    </row>
    <row r="4" spans="1:19" ht="38.25">
      <c r="A4" s="253" t="s">
        <v>1178</v>
      </c>
      <c r="B4" s="252" t="s">
        <v>137</v>
      </c>
      <c r="C4" s="252" t="s">
        <v>1179</v>
      </c>
      <c r="D4" s="252" t="s">
        <v>1180</v>
      </c>
      <c r="E4" s="252" t="s">
        <v>1181</v>
      </c>
      <c r="F4" s="252" t="s">
        <v>488</v>
      </c>
      <c r="G4" s="253"/>
      <c r="H4" s="385"/>
      <c r="I4" s="385"/>
      <c r="J4" s="385"/>
      <c r="K4" s="385"/>
      <c r="S4" s="257">
        <f>SUM(Table147[[#This Row],[Chief architect]:[Administrator]])</f>
        <v>0</v>
      </c>
    </row>
    <row r="5" spans="1:19">
      <c r="A5" s="253" t="s">
        <v>1182</v>
      </c>
      <c r="B5" s="252" t="s">
        <v>161</v>
      </c>
      <c r="C5" s="252" t="s">
        <v>1183</v>
      </c>
      <c r="F5" s="252" t="s">
        <v>488</v>
      </c>
      <c r="G5" s="253"/>
      <c r="H5" s="385">
        <v>25000</v>
      </c>
      <c r="I5" s="385"/>
      <c r="J5" s="385"/>
      <c r="K5" s="385"/>
      <c r="S5" s="257">
        <f>SUM(Table147[[#This Row],[Chief architect]:[Administrator]])</f>
        <v>0</v>
      </c>
    </row>
    <row r="6" spans="1:19">
      <c r="A6" s="253"/>
      <c r="G6" s="253"/>
      <c r="H6" s="385"/>
      <c r="I6" s="385"/>
      <c r="J6" s="385"/>
      <c r="K6" s="385"/>
      <c r="S6" s="257">
        <f>SUM(Table147[[#This Row],[Chief architect]:[Administrator]])</f>
        <v>0</v>
      </c>
    </row>
    <row r="7" spans="1:19">
      <c r="A7" s="253"/>
      <c r="G7" s="253"/>
      <c r="H7" s="385"/>
      <c r="I7" s="385"/>
      <c r="J7" s="385"/>
      <c r="K7" s="385"/>
      <c r="S7" s="257">
        <f>SUM(Table147[[#This Row],[Chief architect]:[Administrator]])</f>
        <v>0</v>
      </c>
    </row>
    <row r="8" spans="1:19">
      <c r="A8" s="253"/>
      <c r="G8" s="253"/>
      <c r="H8" s="385"/>
      <c r="I8" s="385"/>
      <c r="J8" s="385"/>
      <c r="K8" s="385"/>
      <c r="S8" s="257">
        <f>SUM(Table147[[#This Row],[Chief architect]:[Administrator]])</f>
        <v>0</v>
      </c>
    </row>
    <row r="9" spans="1:19">
      <c r="A9" s="253"/>
      <c r="G9" s="253"/>
      <c r="H9" s="385"/>
      <c r="I9" s="385"/>
      <c r="J9" s="385"/>
      <c r="K9" s="385"/>
      <c r="S9" s="257">
        <f>SUM(Table147[[#This Row],[Chief architect]:[Administrator]])</f>
        <v>0</v>
      </c>
    </row>
    <row r="10" spans="1:19">
      <c r="A10" s="253"/>
      <c r="G10" s="253"/>
      <c r="H10" s="385"/>
      <c r="I10" s="385"/>
      <c r="J10" s="385"/>
      <c r="K10" s="385"/>
      <c r="S10" s="257">
        <f>SUM(Table147[[#This Row],[Chief architect]:[Administrator]])</f>
        <v>0</v>
      </c>
    </row>
    <row r="11" spans="1:19">
      <c r="A11" s="253"/>
      <c r="G11" s="253"/>
      <c r="H11" s="385"/>
      <c r="I11" s="385"/>
      <c r="J11" s="385"/>
      <c r="K11" s="385"/>
      <c r="S11" s="257">
        <f>SUM(Table147[[#This Row],[Chief architect]:[Administrator]])</f>
        <v>0</v>
      </c>
    </row>
    <row r="12" spans="1:19">
      <c r="A12" s="253"/>
      <c r="G12" s="253"/>
      <c r="H12" s="385"/>
      <c r="I12" s="385"/>
      <c r="J12" s="385"/>
      <c r="K12" s="385"/>
      <c r="S12" s="257">
        <f>SUM(Table147[[#This Row],[Chief architect]:[Administrator]])</f>
        <v>0</v>
      </c>
    </row>
    <row r="13" spans="1:19">
      <c r="A13" s="253"/>
      <c r="G13" s="253"/>
      <c r="H13" s="385"/>
      <c r="I13" s="385"/>
      <c r="J13" s="385"/>
      <c r="K13" s="385"/>
      <c r="S13" s="257">
        <f>SUM(Table147[[#This Row],[Chief architect]:[Administrator]])</f>
        <v>0</v>
      </c>
    </row>
    <row r="14" spans="1:19">
      <c r="A14" s="253"/>
      <c r="G14" s="253"/>
      <c r="H14" s="385"/>
      <c r="I14" s="385"/>
      <c r="J14" s="385"/>
      <c r="K14" s="385"/>
      <c r="S14" s="257">
        <f>SUM(Table147[[#This Row],[Chief architect]:[Administrator]])</f>
        <v>0</v>
      </c>
    </row>
    <row r="15" spans="1:19">
      <c r="A15" s="253"/>
      <c r="G15" s="253"/>
      <c r="H15" s="385"/>
      <c r="I15" s="385"/>
      <c r="J15" s="385"/>
      <c r="K15" s="385"/>
      <c r="S15" s="257">
        <f>SUM(Table147[[#This Row],[Chief architect]:[Administrator]])</f>
        <v>0</v>
      </c>
    </row>
    <row r="16" spans="1:19">
      <c r="A16" s="253"/>
      <c r="H16" s="386"/>
      <c r="I16" s="386"/>
      <c r="J16" s="386"/>
      <c r="K16" s="386"/>
      <c r="S16" s="257">
        <f>SUM(Table147[[#This Row],[Chief architect]:[Administrator]])</f>
        <v>0</v>
      </c>
    </row>
    <row r="17" spans="1:19">
      <c r="A17" s="253"/>
      <c r="H17" s="386"/>
      <c r="I17" s="386"/>
      <c r="J17" s="386"/>
      <c r="K17" s="386"/>
      <c r="S17" s="257">
        <f>SUM(Table147[[#This Row],[Chief architect]:[Administrator]])</f>
        <v>0</v>
      </c>
    </row>
    <row r="18" spans="1:19">
      <c r="A18" s="253"/>
      <c r="H18" s="386"/>
      <c r="I18" s="386"/>
      <c r="J18" s="386"/>
      <c r="K18" s="386"/>
      <c r="S18" s="257">
        <f>SUM(Table147[[#This Row],[Chief architect]:[Administrator]])</f>
        <v>0</v>
      </c>
    </row>
    <row r="19" spans="1:19">
      <c r="A19" s="253"/>
      <c r="H19" s="386"/>
      <c r="I19" s="386"/>
      <c r="J19" s="386"/>
      <c r="K19" s="386"/>
      <c r="S19" s="257">
        <f>SUM(Table147[[#This Row],[Chief architect]:[Administrator]])</f>
        <v>0</v>
      </c>
    </row>
    <row r="20" spans="1:19">
      <c r="A20" s="253"/>
      <c r="H20" s="386"/>
      <c r="I20" s="386"/>
      <c r="J20" s="386"/>
      <c r="K20" s="386"/>
      <c r="S20" s="257">
        <f>SUM(Table147[[#This Row],[Chief architect]:[Administrator]])</f>
        <v>0</v>
      </c>
    </row>
    <row r="21" spans="1:19">
      <c r="A21" s="253"/>
      <c r="H21" s="386"/>
      <c r="I21" s="386"/>
      <c r="J21" s="386"/>
      <c r="K21" s="386"/>
      <c r="S21" s="257">
        <f>SUM(Table147[[#This Row],[Chief architect]:[Administrator]])</f>
        <v>0</v>
      </c>
    </row>
    <row r="22" spans="1:19">
      <c r="A22" s="253"/>
      <c r="H22" s="386"/>
      <c r="I22" s="386"/>
      <c r="J22" s="386"/>
      <c r="K22" s="386"/>
      <c r="S22" s="257">
        <f>SUM(Table147[[#This Row],[Chief architect]:[Administrator]])</f>
        <v>0</v>
      </c>
    </row>
    <row r="23" spans="1:19">
      <c r="A23" s="253"/>
      <c r="H23" s="386"/>
      <c r="I23" s="386"/>
      <c r="J23" s="386"/>
      <c r="K23" s="386"/>
      <c r="S23" s="257">
        <f>SUM(Table147[[#This Row],[Chief architect]:[Administrator]])</f>
        <v>0</v>
      </c>
    </row>
    <row r="24" spans="1:19">
      <c r="A24" s="253"/>
      <c r="H24" s="386"/>
      <c r="I24" s="386"/>
      <c r="J24" s="386"/>
      <c r="K24" s="386"/>
      <c r="S24" s="257">
        <f>SUM(Table147[[#This Row],[Chief architect]:[Administrator]])</f>
        <v>0</v>
      </c>
    </row>
    <row r="25" spans="1:19">
      <c r="A25" s="253"/>
      <c r="H25" s="386"/>
      <c r="I25" s="386"/>
      <c r="J25" s="386"/>
      <c r="K25" s="386"/>
      <c r="S25" s="257">
        <f>SUM(Table147[[#This Row],[Chief architect]:[Administrator]])</f>
        <v>0</v>
      </c>
    </row>
    <row r="26" spans="1:19">
      <c r="A26" s="253"/>
      <c r="H26" s="386"/>
      <c r="I26" s="386"/>
      <c r="J26" s="386"/>
      <c r="K26" s="386"/>
      <c r="S26" s="257">
        <f>SUM(Table147[[#This Row],[Chief architect]:[Administrator]])</f>
        <v>0</v>
      </c>
    </row>
    <row r="27" spans="1:19">
      <c r="A27" s="253"/>
      <c r="H27" s="386"/>
      <c r="I27" s="386"/>
      <c r="J27" s="386"/>
      <c r="K27" s="386"/>
      <c r="S27" s="257">
        <f>SUM(Table147[[#This Row],[Chief architect]:[Administrator]])</f>
        <v>0</v>
      </c>
    </row>
    <row r="28" spans="1:19">
      <c r="A28" s="253"/>
      <c r="H28" s="386"/>
      <c r="I28" s="386"/>
      <c r="J28" s="386"/>
      <c r="K28" s="386"/>
      <c r="S28" s="257">
        <f>SUM(Table147[[#This Row],[Chief architect]:[Administrator]])</f>
        <v>0</v>
      </c>
    </row>
    <row r="29" spans="1:19">
      <c r="A29" s="253"/>
      <c r="H29" s="386"/>
      <c r="I29" s="386"/>
      <c r="J29" s="386"/>
      <c r="K29" s="386"/>
      <c r="S29" s="257">
        <f>SUM(Table147[[#This Row],[Chief architect]:[Administrator]])</f>
        <v>0</v>
      </c>
    </row>
    <row r="30" spans="1:19">
      <c r="A30" s="253"/>
      <c r="H30" s="386"/>
      <c r="I30" s="386"/>
      <c r="J30" s="386"/>
      <c r="K30" s="386"/>
      <c r="S30" s="257">
        <f>SUM(Table147[[#This Row],[Chief architect]:[Administrator]])</f>
        <v>0</v>
      </c>
    </row>
    <row r="31" spans="1:19">
      <c r="A31" s="253"/>
      <c r="H31" s="386"/>
      <c r="I31" s="386"/>
      <c r="J31" s="386"/>
      <c r="K31" s="386"/>
      <c r="S31" s="257">
        <f>SUM(Table147[[#This Row],[Chief architect]:[Administrator]])</f>
        <v>0</v>
      </c>
    </row>
    <row r="32" spans="1:19">
      <c r="A32" s="253"/>
      <c r="H32" s="386"/>
      <c r="I32" s="386"/>
      <c r="J32" s="386"/>
      <c r="K32" s="386"/>
      <c r="S32" s="257">
        <f>SUM(Table147[[#This Row],[Chief architect]:[Administrator]])</f>
        <v>0</v>
      </c>
    </row>
    <row r="33" spans="1:19">
      <c r="A33" s="253"/>
      <c r="H33" s="386"/>
      <c r="I33" s="386"/>
      <c r="J33" s="386"/>
      <c r="K33" s="386"/>
      <c r="S33" s="257">
        <f>SUM(Table147[[#This Row],[Chief architect]:[Administrator]])</f>
        <v>0</v>
      </c>
    </row>
    <row r="34" spans="1:19">
      <c r="A34" s="253"/>
      <c r="H34" s="386"/>
      <c r="I34" s="386"/>
      <c r="J34" s="386"/>
      <c r="K34" s="386"/>
      <c r="S34" s="257">
        <f>SUM(Table147[[#This Row],[Chief architect]:[Administrator]])</f>
        <v>0</v>
      </c>
    </row>
    <row r="35" spans="1:19">
      <c r="A35" s="253"/>
      <c r="H35" s="386"/>
      <c r="I35" s="386"/>
      <c r="J35" s="386"/>
      <c r="K35" s="386"/>
      <c r="S35" s="257">
        <f>SUM(Table147[[#This Row],[Chief architect]:[Administrator]])</f>
        <v>0</v>
      </c>
    </row>
    <row r="36" spans="1:19">
      <c r="A36" s="253"/>
      <c r="H36" s="386"/>
      <c r="I36" s="386"/>
      <c r="J36" s="386"/>
      <c r="K36" s="386"/>
      <c r="S36" s="257">
        <f>SUM(Table147[[#This Row],[Chief architect]:[Administrator]])</f>
        <v>0</v>
      </c>
    </row>
    <row r="37" spans="1:19">
      <c r="A37" s="253"/>
      <c r="H37" s="386"/>
      <c r="I37" s="386"/>
      <c r="J37" s="386"/>
      <c r="K37" s="386"/>
      <c r="S37" s="257">
        <f>SUM(Table147[[#This Row],[Chief architect]:[Administrator]])</f>
        <v>0</v>
      </c>
    </row>
    <row r="38" spans="1:19">
      <c r="A38" s="253"/>
      <c r="H38" s="386"/>
      <c r="I38" s="386"/>
      <c r="J38" s="386"/>
      <c r="K38" s="386"/>
      <c r="S38" s="257">
        <f>SUM(Table147[[#This Row],[Chief architect]:[Administrator]])</f>
        <v>0</v>
      </c>
    </row>
  </sheetData>
  <dataValidations count="2">
    <dataValidation type="list" allowBlank="1" showInputMessage="1" showErrorMessage="1" sqref="F4:F38" xr:uid="{6E34DBD0-27EE-407B-B8E9-8B10203663DD}">
      <formula1>"Billable, Non-Billable"</formula1>
    </dataValidation>
    <dataValidation type="list" allowBlank="1" showInputMessage="1" showErrorMessage="1" sqref="B4:B38" xr:uid="{DF17CB98-ABB5-4473-9D4B-8AF8FC60F53F}">
      <formula1>"Initate, Prepare, Execute, Deliver, Close, Project Indirects"</formula1>
    </dataValidation>
  </dataValidations>
  <pageMargins left="0.7" right="0.7" top="0.75" bottom="0.75" header="0.3" footer="0.3"/>
  <pageSetup orientation="portrait" r:id="rId1"/>
  <drawing r:id="rId2"/>
  <tableParts count="1">
    <tablePart r:id="rId3"/>
  </tableParts>
  <extLst>
    <ext xmlns:x14="http://schemas.microsoft.com/office/spreadsheetml/2009/9/main" uri="{CCE6A557-97BC-4b89-ADB6-D9C93CAAB3DF}">
      <x14:dataValidations xmlns:xm="http://schemas.microsoft.com/office/excel/2006/main" count="1">
        <x14:dataValidation type="list" allowBlank="1" showInputMessage="1" showErrorMessage="1" xr:uid="{916F8FC5-6529-4F5D-89EF-9CA66405C449}">
          <x14:formula1>
            <xm:f>List!$G$2:$G$20</xm:f>
          </x14:formula1>
          <xm:sqref>A4:A38</xm:sqref>
        </x14:dataValidation>
      </x14:dataValidation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DD8CB-D361-47A2-8F7F-CDD7E093368D}">
  <dimension ref="A1:M53"/>
  <sheetViews>
    <sheetView showFormulas="1" topLeftCell="B1" workbookViewId="0">
      <selection activeCell="G335" sqref="G335"/>
    </sheetView>
  </sheetViews>
  <sheetFormatPr defaultColWidth="9.140625" defaultRowHeight="12.75"/>
  <cols>
    <col min="1" max="1" width="18.42578125" style="248" bestFit="1" customWidth="1"/>
    <col min="2" max="2" width="13.5703125" style="248" bestFit="1" customWidth="1"/>
    <col min="3" max="3" width="13.42578125" style="248" bestFit="1" customWidth="1"/>
    <col min="4" max="4" width="7.5703125" style="248" bestFit="1" customWidth="1"/>
    <col min="5" max="5" width="14.5703125" style="248" bestFit="1" customWidth="1"/>
    <col min="6" max="6" width="10.85546875" style="248" bestFit="1" customWidth="1"/>
    <col min="7" max="7" width="24.140625" style="248" bestFit="1" customWidth="1"/>
    <col min="8" max="8" width="31.42578125" style="248" bestFit="1" customWidth="1"/>
    <col min="9" max="9" width="32.5703125" style="248" bestFit="1" customWidth="1"/>
    <col min="10" max="10" width="32.5703125" style="248" customWidth="1"/>
    <col min="11" max="11" width="9.140625" style="248"/>
    <col min="12" max="12" width="16.85546875" style="248" customWidth="1"/>
    <col min="13" max="16384" width="9.140625" style="248"/>
  </cols>
  <sheetData>
    <row r="1" spans="1:13">
      <c r="A1" s="258" t="s">
        <v>1184</v>
      </c>
      <c r="B1" s="258" t="s">
        <v>1185</v>
      </c>
      <c r="C1" s="258" t="s">
        <v>1186</v>
      </c>
      <c r="D1" s="259" t="s">
        <v>1187</v>
      </c>
      <c r="E1" s="259" t="s">
        <v>1188</v>
      </c>
      <c r="F1" s="259" t="s">
        <v>1189</v>
      </c>
      <c r="G1" s="258" t="s">
        <v>1190</v>
      </c>
      <c r="H1" s="258" t="s">
        <v>1191</v>
      </c>
      <c r="I1" s="258" t="s">
        <v>485</v>
      </c>
      <c r="J1" s="258" t="s">
        <v>1192</v>
      </c>
      <c r="K1" s="248" t="s">
        <v>306</v>
      </c>
      <c r="L1" s="334" t="s">
        <v>230</v>
      </c>
      <c r="M1" s="248" t="s">
        <v>741</v>
      </c>
    </row>
    <row r="2" spans="1:13">
      <c r="B2" s="260"/>
      <c r="E2" s="248" t="s">
        <v>487</v>
      </c>
      <c r="F2" s="248" t="s">
        <v>71</v>
      </c>
      <c r="G2" s="248" t="s">
        <v>1182</v>
      </c>
      <c r="H2" s="248" t="s">
        <v>3</v>
      </c>
      <c r="I2" s="248" t="s">
        <v>1193</v>
      </c>
      <c r="J2" s="248" t="s">
        <v>844</v>
      </c>
      <c r="K2" s="248" t="s">
        <v>306</v>
      </c>
      <c r="L2" s="248" t="s">
        <v>419</v>
      </c>
      <c r="M2" s="248" t="s">
        <v>543</v>
      </c>
    </row>
    <row r="3" spans="1:13">
      <c r="B3" s="260"/>
      <c r="E3" s="248" t="s">
        <v>429</v>
      </c>
      <c r="F3" s="248" t="s">
        <v>66</v>
      </c>
      <c r="G3" s="260" t="s">
        <v>1194</v>
      </c>
      <c r="H3" s="260" t="s">
        <v>4</v>
      </c>
      <c r="I3" s="260" t="s">
        <v>162</v>
      </c>
      <c r="J3" s="248" t="s">
        <v>845</v>
      </c>
      <c r="K3" s="248" t="s">
        <v>310</v>
      </c>
      <c r="L3" s="248" t="s">
        <v>1195</v>
      </c>
      <c r="M3" s="248" t="s">
        <v>256</v>
      </c>
    </row>
    <row r="4" spans="1:13">
      <c r="B4" s="261"/>
      <c r="E4" s="248" t="s">
        <v>97</v>
      </c>
      <c r="F4" s="248" t="s">
        <v>1196</v>
      </c>
      <c r="G4" s="260" t="s">
        <v>1197</v>
      </c>
      <c r="H4" s="260" t="s">
        <v>1176</v>
      </c>
      <c r="I4" s="260" t="s">
        <v>375</v>
      </c>
      <c r="J4" s="248" t="s">
        <v>847</v>
      </c>
      <c r="L4" s="248" t="s">
        <v>1198</v>
      </c>
    </row>
    <row r="5" spans="1:13">
      <c r="E5" s="248" t="s">
        <v>137</v>
      </c>
      <c r="F5" s="248" t="s">
        <v>1199</v>
      </c>
      <c r="G5" s="260" t="s">
        <v>1200</v>
      </c>
      <c r="H5" s="260" t="s">
        <v>425</v>
      </c>
      <c r="I5" s="260" t="s">
        <v>1201</v>
      </c>
      <c r="J5" s="248" t="s">
        <v>359</v>
      </c>
      <c r="L5" s="248" t="s">
        <v>383</v>
      </c>
    </row>
    <row r="6" spans="1:13">
      <c r="E6" s="248" t="s">
        <v>151</v>
      </c>
      <c r="G6" s="260" t="s">
        <v>1202</v>
      </c>
      <c r="H6" s="260"/>
      <c r="I6" s="260" t="s">
        <v>814</v>
      </c>
      <c r="J6" s="248" t="s">
        <v>65</v>
      </c>
      <c r="L6" s="248" t="s">
        <v>1056</v>
      </c>
    </row>
    <row r="7" spans="1:13">
      <c r="E7" s="248" t="s">
        <v>161</v>
      </c>
      <c r="G7" s="260" t="s">
        <v>1203</v>
      </c>
      <c r="H7" s="260"/>
      <c r="I7" s="260" t="s">
        <v>1204</v>
      </c>
      <c r="J7" s="248" t="s">
        <v>823</v>
      </c>
    </row>
    <row r="8" spans="1:13">
      <c r="G8" s="260"/>
      <c r="H8" s="260"/>
      <c r="I8" s="260"/>
      <c r="J8" s="248" t="s">
        <v>824</v>
      </c>
    </row>
    <row r="9" spans="1:13">
      <c r="G9" s="260"/>
      <c r="H9" s="260"/>
      <c r="I9" s="260"/>
      <c r="J9" s="248" t="s">
        <v>825</v>
      </c>
    </row>
    <row r="10" spans="1:13">
      <c r="G10" s="260"/>
      <c r="H10" s="260"/>
      <c r="I10" s="260"/>
      <c r="J10" s="248" t="s">
        <v>158</v>
      </c>
    </row>
    <row r="11" spans="1:13">
      <c r="G11" s="260" t="s">
        <v>1205</v>
      </c>
      <c r="H11" s="260"/>
      <c r="I11" s="260" t="s">
        <v>87</v>
      </c>
      <c r="J11" s="248" t="s">
        <v>1171</v>
      </c>
    </row>
    <row r="12" spans="1:13">
      <c r="G12" s="260" t="s">
        <v>1206</v>
      </c>
      <c r="H12" s="260"/>
      <c r="I12" s="260" t="s">
        <v>1207</v>
      </c>
      <c r="J12" s="248" t="s">
        <v>375</v>
      </c>
    </row>
    <row r="13" spans="1:13">
      <c r="G13" s="260" t="s">
        <v>1208</v>
      </c>
      <c r="H13" s="260"/>
      <c r="I13" s="260" t="s">
        <v>890</v>
      </c>
      <c r="J13" s="248" t="s">
        <v>826</v>
      </c>
    </row>
    <row r="14" spans="1:13">
      <c r="G14" s="310" t="s">
        <v>1209</v>
      </c>
      <c r="H14" s="260"/>
      <c r="I14" s="260" t="s">
        <v>847</v>
      </c>
      <c r="J14" s="248" t="s">
        <v>383</v>
      </c>
    </row>
    <row r="15" spans="1:13">
      <c r="G15" s="311" t="s">
        <v>1178</v>
      </c>
      <c r="H15" s="261"/>
      <c r="I15" s="260" t="s">
        <v>1210</v>
      </c>
      <c r="J15" s="248" t="s">
        <v>1175</v>
      </c>
    </row>
    <row r="16" spans="1:13">
      <c r="G16" s="311" t="s">
        <v>1211</v>
      </c>
      <c r="H16" s="261"/>
      <c r="I16" s="260" t="s">
        <v>861</v>
      </c>
      <c r="J16" s="248" t="s">
        <v>1174</v>
      </c>
    </row>
    <row r="17" spans="1:10">
      <c r="G17" s="311" t="s">
        <v>1212</v>
      </c>
      <c r="H17" s="261"/>
      <c r="I17" s="248" t="s">
        <v>888</v>
      </c>
      <c r="J17" s="248" t="s">
        <v>1173</v>
      </c>
    </row>
    <row r="18" spans="1:10">
      <c r="G18" s="261" t="s">
        <v>1213</v>
      </c>
      <c r="H18" s="261"/>
      <c r="J18" s="248" t="s">
        <v>1172</v>
      </c>
    </row>
    <row r="19" spans="1:10">
      <c r="G19" s="311" t="s">
        <v>1214</v>
      </c>
      <c r="H19" s="261"/>
    </row>
    <row r="20" spans="1:10">
      <c r="G20" s="312" t="s">
        <v>1215</v>
      </c>
      <c r="H20" s="231"/>
    </row>
    <row r="23" spans="1:10">
      <c r="A23" s="248" t="s">
        <v>1216</v>
      </c>
    </row>
    <row r="24" spans="1:10">
      <c r="A24" s="334" t="s">
        <v>1093</v>
      </c>
      <c r="B24" s="248" t="s">
        <v>1094</v>
      </c>
      <c r="G24" s="248" t="s">
        <v>626</v>
      </c>
    </row>
    <row r="25" spans="1:10">
      <c r="A25" s="248" t="s">
        <v>164</v>
      </c>
      <c r="B25" s="335">
        <v>0.25</v>
      </c>
      <c r="G25" s="248" t="s">
        <v>627</v>
      </c>
    </row>
    <row r="26" spans="1:10">
      <c r="A26" s="248" t="s">
        <v>84</v>
      </c>
      <c r="B26" s="335">
        <v>0.1</v>
      </c>
      <c r="G26" s="248" t="s">
        <v>628</v>
      </c>
    </row>
    <row r="27" spans="1:10">
      <c r="A27" s="248" t="s">
        <v>167</v>
      </c>
      <c r="B27" s="335">
        <v>0.1</v>
      </c>
      <c r="G27" s="248" t="s">
        <v>629</v>
      </c>
    </row>
    <row r="28" spans="1:10">
      <c r="G28" s="248" t="s">
        <v>630</v>
      </c>
    </row>
    <row r="29" spans="1:10">
      <c r="G29" s="248" t="s">
        <v>631</v>
      </c>
    </row>
    <row r="30" spans="1:10">
      <c r="G30" s="248" t="s">
        <v>632</v>
      </c>
    </row>
    <row r="31" spans="1:10">
      <c r="G31" s="248" t="s">
        <v>633</v>
      </c>
    </row>
    <row r="32" spans="1:10">
      <c r="G32" s="248" t="s">
        <v>634</v>
      </c>
    </row>
    <row r="33" spans="7:7">
      <c r="G33" s="248" t="s">
        <v>635</v>
      </c>
    </row>
    <row r="34" spans="7:7">
      <c r="G34" s="248" t="s">
        <v>636</v>
      </c>
    </row>
    <row r="35" spans="7:7">
      <c r="G35" s="248" t="s">
        <v>637</v>
      </c>
    </row>
    <row r="36" spans="7:7">
      <c r="G36" s="248" t="s">
        <v>638</v>
      </c>
    </row>
    <row r="37" spans="7:7">
      <c r="G37" s="248" t="s">
        <v>639</v>
      </c>
    </row>
    <row r="38" spans="7:7">
      <c r="G38" s="248" t="s">
        <v>640</v>
      </c>
    </row>
    <row r="39" spans="7:7">
      <c r="G39" s="248" t="s">
        <v>641</v>
      </c>
    </row>
    <row r="40" spans="7:7">
      <c r="G40" s="248" t="s">
        <v>642</v>
      </c>
    </row>
    <row r="41" spans="7:7">
      <c r="G41" s="248" t="s">
        <v>643</v>
      </c>
    </row>
    <row r="42" spans="7:7">
      <c r="G42" s="248" t="s">
        <v>644</v>
      </c>
    </row>
    <row r="43" spans="7:7">
      <c r="G43" s="248" t="s">
        <v>645</v>
      </c>
    </row>
    <row r="44" spans="7:7">
      <c r="G44" s="248" t="s">
        <v>646</v>
      </c>
    </row>
    <row r="45" spans="7:7">
      <c r="G45" s="248" t="s">
        <v>647</v>
      </c>
    </row>
    <row r="46" spans="7:7">
      <c r="G46" s="248" t="s">
        <v>648</v>
      </c>
    </row>
    <row r="47" spans="7:7">
      <c r="G47" s="248" t="s">
        <v>649</v>
      </c>
    </row>
    <row r="48" spans="7:7">
      <c r="G48" s="248" t="s">
        <v>650</v>
      </c>
    </row>
    <row r="49" spans="7:7">
      <c r="G49" s="248" t="s">
        <v>651</v>
      </c>
    </row>
    <row r="50" spans="7:7">
      <c r="G50" s="248" t="s">
        <v>652</v>
      </c>
    </row>
    <row r="51" spans="7:7">
      <c r="G51" s="248" t="s">
        <v>653</v>
      </c>
    </row>
    <row r="52" spans="7:7">
      <c r="G52" s="248" t="s">
        <v>654</v>
      </c>
    </row>
    <row r="53" spans="7:7">
      <c r="G53" s="248" t="s">
        <v>655</v>
      </c>
    </row>
  </sheetData>
  <phoneticPr fontId="18" type="noConversion"/>
  <pageMargins left="0.7" right="0.7" top="0.75" bottom="0.75" header="0.3" footer="0.3"/>
  <tableParts count="1">
    <tablePart r:id="rId1"/>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45C96-23AA-4238-B643-561BA33991C3}">
  <sheetPr codeName="Sheet4">
    <pageSetUpPr fitToPage="1"/>
  </sheetPr>
  <dimension ref="A1:C10"/>
  <sheetViews>
    <sheetView workbookViewId="0">
      <selection activeCell="G335" sqref="G335"/>
    </sheetView>
  </sheetViews>
  <sheetFormatPr defaultColWidth="9.140625" defaultRowHeight="12.75"/>
  <cols>
    <col min="1" max="1" width="31.5703125" customWidth="1"/>
    <col min="2" max="3" width="9.5703125" customWidth="1"/>
  </cols>
  <sheetData>
    <row r="1" spans="1:3" s="14" customFormat="1" ht="63.75">
      <c r="A1" s="14" t="s">
        <v>1217</v>
      </c>
      <c r="B1" s="14" t="s">
        <v>1218</v>
      </c>
      <c r="C1" s="14" t="s">
        <v>1219</v>
      </c>
    </row>
    <row r="2" spans="1:3" ht="15">
      <c r="A2" t="s">
        <v>370</v>
      </c>
      <c r="B2" s="31">
        <v>230</v>
      </c>
      <c r="C2" s="31">
        <v>180</v>
      </c>
    </row>
    <row r="3" spans="1:3" ht="15">
      <c r="A3" t="s">
        <v>389</v>
      </c>
      <c r="B3" s="31">
        <v>175</v>
      </c>
      <c r="C3" s="31">
        <v>140</v>
      </c>
    </row>
    <row r="4" spans="1:3" ht="15">
      <c r="A4" t="s">
        <v>167</v>
      </c>
      <c r="B4" s="31">
        <v>115</v>
      </c>
      <c r="C4" s="31">
        <v>90</v>
      </c>
    </row>
    <row r="5" spans="1:3" ht="15">
      <c r="A5" t="s">
        <v>377</v>
      </c>
      <c r="B5" s="31">
        <v>115</v>
      </c>
      <c r="C5" s="31">
        <v>90</v>
      </c>
    </row>
    <row r="6" spans="1:3" ht="15">
      <c r="A6" t="s">
        <v>162</v>
      </c>
      <c r="B6" s="31">
        <v>135</v>
      </c>
      <c r="C6" s="31">
        <v>105</v>
      </c>
    </row>
    <row r="7" spans="1:3">
      <c r="B7" s="15"/>
      <c r="C7" s="15"/>
    </row>
    <row r="8" spans="1:3">
      <c r="B8" s="15"/>
      <c r="C8" s="15"/>
    </row>
    <row r="9" spans="1:3">
      <c r="B9" s="15"/>
      <c r="C9" s="15"/>
    </row>
    <row r="10" spans="1:3">
      <c r="B10" s="15"/>
      <c r="C10" s="15"/>
    </row>
  </sheetData>
  <sortState xmlns:xlrd2="http://schemas.microsoft.com/office/spreadsheetml/2017/richdata2" ref="A3:C5">
    <sortCondition ref="A1"/>
  </sortState>
  <printOptions gridLines="1"/>
  <pageMargins left="0.70866141732283472" right="0.70866141732283472" top="0.74803149606299213" bottom="0.74803149606299213" header="0.31496062992125984" footer="0.31496062992125984"/>
  <pageSetup orientation="landscape"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FA8638-C31F-432A-BCAE-71C05F6F0F0F}">
  <sheetPr>
    <pageSetUpPr fitToPage="1"/>
  </sheetPr>
  <dimension ref="A1:FT264"/>
  <sheetViews>
    <sheetView topLeftCell="R1" workbookViewId="0">
      <selection activeCell="G335" sqref="G335"/>
    </sheetView>
  </sheetViews>
  <sheetFormatPr defaultColWidth="9.140625" defaultRowHeight="12.75" outlineLevelRow="1" outlineLevelCol="1"/>
  <cols>
    <col min="1" max="1" width="11.42578125" style="147" customWidth="1"/>
    <col min="2" max="2" width="11" style="147" customWidth="1"/>
    <col min="3" max="3" width="45.5703125" style="217" customWidth="1"/>
    <col min="4" max="7" width="45.5703125" style="217" customWidth="1" outlineLevel="1"/>
    <col min="8" max="8" width="22.5703125" style="147" customWidth="1"/>
    <col min="9" max="17" width="9" style="218" customWidth="1"/>
    <col min="18" max="18" width="7" style="218" customWidth="1"/>
    <col min="19" max="20" width="18.5703125" style="219" customWidth="1"/>
    <col min="21" max="21" width="7.42578125" style="220" customWidth="1"/>
    <col min="22" max="22" width="10.5703125" style="147" customWidth="1"/>
    <col min="23" max="23" width="44.5703125" style="221" customWidth="1"/>
    <col min="24" max="25" width="8.5703125" style="222" customWidth="1"/>
    <col min="26" max="124" width="3.5703125" style="147" customWidth="1"/>
    <col min="125" max="125" width="4" style="147" customWidth="1"/>
    <col min="126" max="175" width="3.5703125" style="147" customWidth="1"/>
    <col min="176" max="16384" width="9.140625" style="147"/>
  </cols>
  <sheetData>
    <row r="1" spans="1:176" ht="13.5" thickBot="1">
      <c r="A1" s="18"/>
      <c r="B1" s="18"/>
      <c r="C1" s="21"/>
      <c r="D1" s="21"/>
      <c r="E1" s="21"/>
      <c r="F1" s="21"/>
      <c r="G1" s="21"/>
      <c r="H1" s="18"/>
      <c r="I1" s="18"/>
      <c r="J1" s="18"/>
      <c r="K1" s="18"/>
      <c r="L1" s="18"/>
      <c r="M1" s="18"/>
      <c r="N1" s="18"/>
      <c r="O1" s="18"/>
      <c r="P1" s="18"/>
      <c r="Q1" s="18"/>
      <c r="R1" s="18"/>
      <c r="S1" s="18"/>
      <c r="T1" s="18"/>
      <c r="U1" s="18"/>
      <c r="V1" s="18"/>
      <c r="W1" s="19"/>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c r="BI1" s="18"/>
      <c r="BJ1" s="18"/>
      <c r="BK1" s="18"/>
      <c r="BL1" s="18"/>
      <c r="BM1" s="18"/>
      <c r="BN1" s="18"/>
      <c r="BO1" s="18"/>
      <c r="BP1" s="18"/>
      <c r="BQ1" s="18"/>
      <c r="BR1" s="18"/>
      <c r="BS1" s="18"/>
      <c r="BT1" s="18"/>
      <c r="BU1" s="18"/>
      <c r="BV1" s="18"/>
      <c r="BW1" s="18"/>
      <c r="BX1" s="18"/>
      <c r="BY1" s="18"/>
      <c r="BZ1" s="18"/>
      <c r="CA1" s="18"/>
      <c r="CB1" s="18"/>
      <c r="CC1" s="18"/>
      <c r="CD1" s="18"/>
      <c r="CE1" s="18"/>
      <c r="CF1" s="18"/>
      <c r="CG1" s="18"/>
      <c r="CH1" s="18"/>
      <c r="CI1" s="18"/>
      <c r="CJ1" s="18"/>
      <c r="CK1" s="18"/>
      <c r="CL1" s="18"/>
      <c r="CM1" s="18"/>
      <c r="CN1" s="18"/>
      <c r="CO1" s="18"/>
      <c r="CP1" s="18"/>
      <c r="CQ1" s="18"/>
      <c r="CR1" s="18"/>
      <c r="CS1" s="18"/>
      <c r="CT1" s="18"/>
      <c r="CU1" s="18"/>
      <c r="CV1" s="18"/>
      <c r="CW1" s="18"/>
      <c r="CX1" s="18"/>
      <c r="CY1" s="18"/>
      <c r="CZ1" s="18"/>
      <c r="DA1" s="18"/>
      <c r="DB1" s="18"/>
      <c r="DC1" s="18"/>
      <c r="DD1" s="18"/>
      <c r="DE1" s="18"/>
      <c r="DF1" s="18"/>
      <c r="DG1" s="18"/>
      <c r="DH1" s="18"/>
      <c r="DI1" s="18"/>
      <c r="DJ1" s="18"/>
      <c r="DK1" s="18"/>
      <c r="DL1" s="18"/>
      <c r="DM1" s="18"/>
      <c r="DN1" s="18"/>
      <c r="DO1" s="18"/>
      <c r="DP1" s="18"/>
      <c r="DQ1" s="18"/>
      <c r="DR1" s="18"/>
      <c r="DS1" s="18"/>
      <c r="DT1" s="18"/>
      <c r="DU1" s="18"/>
      <c r="DV1" s="18"/>
      <c r="DW1" s="18"/>
      <c r="DX1" s="18"/>
      <c r="DY1" s="18"/>
      <c r="DZ1" s="18"/>
      <c r="EA1" s="18"/>
      <c r="EB1" s="18"/>
      <c r="EC1" s="18"/>
      <c r="ED1" s="18"/>
      <c r="EE1" s="18"/>
      <c r="EF1" s="18"/>
      <c r="EG1" s="18"/>
      <c r="EH1" s="18"/>
      <c r="EI1" s="18"/>
      <c r="EJ1" s="18"/>
      <c r="EK1" s="18"/>
      <c r="EL1" s="18"/>
      <c r="EM1" s="18"/>
      <c r="EN1" s="18"/>
      <c r="EO1" s="18"/>
      <c r="EP1" s="18"/>
      <c r="EQ1" s="18"/>
      <c r="ER1" s="18"/>
      <c r="ES1" s="18"/>
      <c r="ET1" s="18"/>
      <c r="EU1" s="18"/>
      <c r="EV1" s="18"/>
      <c r="EW1" s="18"/>
      <c r="EX1" s="18"/>
      <c r="EY1" s="18"/>
      <c r="EZ1" s="18"/>
      <c r="FA1" s="18"/>
      <c r="FB1" s="18"/>
      <c r="FC1" s="18"/>
      <c r="FD1" s="18"/>
      <c r="FE1" s="18"/>
      <c r="FF1" s="18"/>
      <c r="FG1" s="18"/>
      <c r="FH1" s="18"/>
      <c r="FI1" s="18"/>
      <c r="FJ1" s="18"/>
      <c r="FK1" s="18"/>
      <c r="FL1" s="18"/>
      <c r="FM1" s="18"/>
      <c r="FN1" s="18"/>
      <c r="FO1" s="18"/>
      <c r="FP1" s="18"/>
      <c r="FQ1" s="18"/>
      <c r="FR1" s="18"/>
      <c r="FS1" s="18"/>
      <c r="FT1" s="18"/>
    </row>
    <row r="2" spans="1:176" ht="30" customHeight="1" thickBot="1">
      <c r="A2" s="148" t="s">
        <v>1220</v>
      </c>
      <c r="B2" s="149"/>
      <c r="C2" s="150"/>
      <c r="D2" s="150"/>
      <c r="E2" s="150"/>
      <c r="F2" s="150"/>
      <c r="G2" s="150"/>
      <c r="H2" s="149"/>
      <c r="I2" s="149"/>
      <c r="J2" s="149"/>
      <c r="K2" s="149"/>
      <c r="L2" s="149"/>
      <c r="M2" s="149"/>
      <c r="N2" s="149"/>
      <c r="O2" s="149"/>
      <c r="P2" s="149"/>
      <c r="Q2" s="149"/>
      <c r="R2" s="149"/>
      <c r="S2" s="149"/>
      <c r="T2" s="151"/>
      <c r="U2" s="18"/>
      <c r="V2" s="152" t="s">
        <v>1221</v>
      </c>
      <c r="W2" s="153"/>
      <c r="X2" s="154"/>
      <c r="Y2" s="154"/>
      <c r="Z2" s="155"/>
      <c r="AA2" s="155"/>
      <c r="AB2" s="155"/>
      <c r="AC2" s="155"/>
      <c r="AD2" s="155"/>
      <c r="AE2" s="155"/>
      <c r="AF2" s="155"/>
      <c r="AG2" s="155"/>
      <c r="AH2" s="155"/>
      <c r="AI2" s="155"/>
      <c r="AJ2" s="155"/>
      <c r="AK2" s="155"/>
      <c r="AL2" s="155"/>
      <c r="AM2" s="155"/>
      <c r="AN2" s="155"/>
      <c r="AO2" s="155"/>
      <c r="AP2" s="155"/>
      <c r="AQ2" s="155"/>
      <c r="AR2" s="155"/>
      <c r="AS2" s="155"/>
      <c r="AT2" s="155"/>
      <c r="AU2" s="155"/>
      <c r="AV2" s="155"/>
      <c r="AW2" s="155"/>
      <c r="AX2" s="155"/>
      <c r="AY2" s="155"/>
      <c r="AZ2" s="155"/>
      <c r="BA2" s="155"/>
      <c r="BB2" s="155"/>
      <c r="BC2" s="155"/>
      <c r="BD2" s="155"/>
      <c r="BE2" s="155"/>
      <c r="BF2" s="155"/>
      <c r="BG2" s="155"/>
      <c r="BH2" s="155"/>
      <c r="BI2" s="155"/>
      <c r="BJ2" s="155"/>
      <c r="BK2" s="155"/>
      <c r="BL2" s="155"/>
      <c r="BM2" s="155"/>
      <c r="BN2" s="155"/>
      <c r="BO2" s="155"/>
      <c r="BP2" s="155"/>
      <c r="BQ2" s="155"/>
      <c r="BR2" s="155"/>
      <c r="BS2" s="155"/>
      <c r="BT2" s="155"/>
      <c r="BU2" s="155"/>
      <c r="BV2" s="155"/>
      <c r="BW2" s="155"/>
      <c r="BX2" s="155"/>
      <c r="BY2" s="155"/>
      <c r="BZ2" s="155"/>
      <c r="CA2" s="155"/>
      <c r="CB2" s="155"/>
      <c r="CC2" s="155"/>
      <c r="CD2" s="155"/>
      <c r="CE2" s="155"/>
      <c r="CF2" s="155"/>
      <c r="CG2" s="155"/>
      <c r="CH2" s="155"/>
      <c r="CI2" s="155"/>
      <c r="CJ2" s="155"/>
      <c r="CK2" s="155"/>
      <c r="CL2" s="155"/>
      <c r="CM2" s="155"/>
      <c r="CN2" s="155"/>
      <c r="CO2" s="155"/>
      <c r="CP2" s="155"/>
      <c r="CQ2" s="155"/>
      <c r="CR2" s="155"/>
      <c r="CS2" s="155"/>
      <c r="CT2" s="155"/>
      <c r="CU2" s="155"/>
      <c r="CV2" s="155"/>
      <c r="CW2" s="155"/>
      <c r="CX2" s="155"/>
      <c r="CY2" s="155"/>
      <c r="CZ2" s="155"/>
      <c r="DA2" s="155"/>
      <c r="DB2" s="155"/>
      <c r="DC2" s="155"/>
      <c r="DD2" s="155"/>
      <c r="DE2" s="155"/>
      <c r="DF2" s="155"/>
      <c r="DG2" s="155"/>
      <c r="DH2" s="155"/>
      <c r="DI2" s="155"/>
      <c r="DJ2" s="155"/>
      <c r="DK2" s="155"/>
      <c r="DL2" s="155"/>
      <c r="DM2" s="155"/>
      <c r="DN2" s="155"/>
      <c r="DO2" s="155"/>
      <c r="DP2" s="155"/>
      <c r="DQ2" s="155"/>
      <c r="DR2" s="155"/>
      <c r="DS2" s="155"/>
      <c r="DT2" s="155"/>
      <c r="DU2" s="155"/>
      <c r="DV2" s="155"/>
      <c r="DW2" s="155"/>
      <c r="DX2" s="155"/>
      <c r="DY2" s="155"/>
      <c r="DZ2" s="155"/>
      <c r="EA2" s="155"/>
      <c r="EB2" s="155"/>
      <c r="EC2" s="155"/>
      <c r="ED2" s="155"/>
      <c r="EE2" s="155"/>
      <c r="EF2" s="155"/>
      <c r="EG2" s="155"/>
      <c r="EH2" s="155"/>
      <c r="EI2" s="155"/>
      <c r="EJ2" s="155"/>
      <c r="EK2" s="155"/>
      <c r="EL2" s="155"/>
      <c r="EM2" s="155"/>
      <c r="EN2" s="155"/>
      <c r="EO2" s="155"/>
      <c r="EP2" s="155"/>
      <c r="EQ2" s="155"/>
      <c r="ER2" s="155"/>
      <c r="ES2" s="155"/>
      <c r="ET2" s="155"/>
      <c r="EU2" s="155"/>
      <c r="EV2" s="155"/>
      <c r="EW2" s="155"/>
      <c r="EX2" s="155"/>
      <c r="EY2" s="155"/>
      <c r="EZ2" s="155"/>
      <c r="FA2" s="155"/>
      <c r="FB2" s="155"/>
      <c r="FC2" s="155"/>
      <c r="FD2" s="155"/>
      <c r="FE2" s="155"/>
      <c r="FF2" s="155"/>
      <c r="FG2" s="155"/>
      <c r="FH2" s="155"/>
      <c r="FI2" s="155"/>
      <c r="FJ2" s="155"/>
      <c r="FK2" s="155"/>
      <c r="FL2" s="155"/>
      <c r="FM2" s="155"/>
      <c r="FN2" s="155"/>
      <c r="FO2" s="155"/>
      <c r="FP2" s="155"/>
      <c r="FQ2" s="155"/>
      <c r="FR2" s="155"/>
      <c r="FS2" s="155"/>
      <c r="FT2" s="156"/>
    </row>
    <row r="3" spans="1:176" s="163" customFormat="1" ht="141.75" customHeight="1">
      <c r="A3" s="1267" t="s">
        <v>1222</v>
      </c>
      <c r="B3" s="1275" t="s">
        <v>1223</v>
      </c>
      <c r="C3" s="1270" t="s">
        <v>1224</v>
      </c>
      <c r="D3" s="1270" t="s">
        <v>1225</v>
      </c>
      <c r="E3" s="1270" t="s">
        <v>11</v>
      </c>
      <c r="F3" s="1272" t="s">
        <v>1226</v>
      </c>
      <c r="G3" s="1270" t="s">
        <v>1227</v>
      </c>
      <c r="H3" s="157" t="s">
        <v>288</v>
      </c>
      <c r="I3" s="158">
        <f>TDATE!$A16</f>
        <v>0</v>
      </c>
      <c r="J3" s="158">
        <f>TDATE!$A17</f>
        <v>0</v>
      </c>
      <c r="K3" s="158">
        <f>TDATE!$A18</f>
        <v>0</v>
      </c>
      <c r="L3" s="158">
        <f>TDATE!$A19</f>
        <v>0</v>
      </c>
      <c r="M3" s="158">
        <f>TDATE!$A20</f>
        <v>0</v>
      </c>
      <c r="N3" s="158" t="str">
        <f>IF(TDATE!A28="","",TDATE!A28)</f>
        <v>Subcontractor 1</v>
      </c>
      <c r="O3" s="158" t="str">
        <f>IF(TDATE!A29="","",TDATE!A29)</f>
        <v>Subcontractor 2</v>
      </c>
      <c r="P3" s="158" t="str">
        <f>IF(TDATE!A30="","",TDATE!A30)</f>
        <v>Subcontractor 3</v>
      </c>
      <c r="Q3" s="158" t="str">
        <f>IF(TDATE!A31="","",TDATE!A31)</f>
        <v>Subcontractor 4</v>
      </c>
      <c r="R3" s="159" t="s">
        <v>169</v>
      </c>
      <c r="S3" s="160" t="s">
        <v>1228</v>
      </c>
      <c r="T3" s="161" t="s">
        <v>1229</v>
      </c>
      <c r="U3" s="18"/>
      <c r="V3" s="1261" t="str">
        <f>A3</f>
        <v>Task ID</v>
      </c>
      <c r="W3" s="1258" t="str">
        <f>C3</f>
        <v>Task / Activity</v>
      </c>
      <c r="X3" s="1264" t="s">
        <v>466</v>
      </c>
      <c r="Y3" s="1264" t="s">
        <v>467</v>
      </c>
      <c r="Z3" s="1255">
        <v>1</v>
      </c>
      <c r="AA3" s="1255">
        <v>2</v>
      </c>
      <c r="AB3" s="1255">
        <v>3</v>
      </c>
      <c r="AC3" s="1255">
        <v>4</v>
      </c>
      <c r="AD3" s="1255">
        <v>5</v>
      </c>
      <c r="AE3" s="1255">
        <v>6</v>
      </c>
      <c r="AF3" s="1255">
        <v>7</v>
      </c>
      <c r="AG3" s="1255">
        <v>8</v>
      </c>
      <c r="AH3" s="1255">
        <v>9</v>
      </c>
      <c r="AI3" s="1255">
        <v>10</v>
      </c>
      <c r="AJ3" s="1255">
        <v>11</v>
      </c>
      <c r="AK3" s="1255">
        <v>12</v>
      </c>
      <c r="AL3" s="1255">
        <v>13</v>
      </c>
      <c r="AM3" s="1255">
        <v>14</v>
      </c>
      <c r="AN3" s="1255">
        <v>15</v>
      </c>
      <c r="AO3" s="1255">
        <v>16</v>
      </c>
      <c r="AP3" s="1255">
        <v>17</v>
      </c>
      <c r="AQ3" s="1255">
        <v>18</v>
      </c>
      <c r="AR3" s="1255">
        <v>19</v>
      </c>
      <c r="AS3" s="1255">
        <v>20</v>
      </c>
      <c r="AT3" s="1255">
        <v>21</v>
      </c>
      <c r="AU3" s="1255">
        <v>22</v>
      </c>
      <c r="AV3" s="1255">
        <v>23</v>
      </c>
      <c r="AW3" s="1255">
        <v>24</v>
      </c>
      <c r="AX3" s="1255">
        <v>25</v>
      </c>
      <c r="AY3" s="1255">
        <v>26</v>
      </c>
      <c r="AZ3" s="1255">
        <v>27</v>
      </c>
      <c r="BA3" s="1255">
        <v>28</v>
      </c>
      <c r="BB3" s="1255">
        <v>29</v>
      </c>
      <c r="BC3" s="1255">
        <v>30</v>
      </c>
      <c r="BD3" s="1255">
        <v>31</v>
      </c>
      <c r="BE3" s="1255">
        <v>32</v>
      </c>
      <c r="BF3" s="1255">
        <v>33</v>
      </c>
      <c r="BG3" s="1255">
        <v>34</v>
      </c>
      <c r="BH3" s="1255">
        <v>35</v>
      </c>
      <c r="BI3" s="1255">
        <v>36</v>
      </c>
      <c r="BJ3" s="1255">
        <v>37</v>
      </c>
      <c r="BK3" s="1255">
        <v>38</v>
      </c>
      <c r="BL3" s="1255">
        <v>39</v>
      </c>
      <c r="BM3" s="1255">
        <v>40</v>
      </c>
      <c r="BN3" s="1255">
        <v>41</v>
      </c>
      <c r="BO3" s="1255">
        <v>42</v>
      </c>
      <c r="BP3" s="1255">
        <v>43</v>
      </c>
      <c r="BQ3" s="1255">
        <v>44</v>
      </c>
      <c r="BR3" s="1255">
        <v>45</v>
      </c>
      <c r="BS3" s="1255">
        <v>46</v>
      </c>
      <c r="BT3" s="1255">
        <v>47</v>
      </c>
      <c r="BU3" s="1255">
        <v>48</v>
      </c>
      <c r="BV3" s="1255">
        <v>49</v>
      </c>
      <c r="BW3" s="1255">
        <v>50</v>
      </c>
      <c r="BX3" s="1255">
        <v>51</v>
      </c>
      <c r="BY3" s="1255">
        <v>52</v>
      </c>
      <c r="BZ3" s="1255">
        <v>53</v>
      </c>
      <c r="CA3" s="1255">
        <v>54</v>
      </c>
      <c r="CB3" s="1255">
        <v>55</v>
      </c>
      <c r="CC3" s="1255">
        <v>56</v>
      </c>
      <c r="CD3" s="1255">
        <v>57</v>
      </c>
      <c r="CE3" s="1255">
        <v>58</v>
      </c>
      <c r="CF3" s="1255">
        <v>59</v>
      </c>
      <c r="CG3" s="1255">
        <v>60</v>
      </c>
      <c r="CH3" s="1255">
        <v>61</v>
      </c>
      <c r="CI3" s="1255">
        <v>62</v>
      </c>
      <c r="CJ3" s="1255">
        <v>63</v>
      </c>
      <c r="CK3" s="1255">
        <v>64</v>
      </c>
      <c r="CL3" s="1255">
        <v>65</v>
      </c>
      <c r="CM3" s="1255">
        <v>66</v>
      </c>
      <c r="CN3" s="1255">
        <v>67</v>
      </c>
      <c r="CO3" s="1255">
        <v>68</v>
      </c>
      <c r="CP3" s="1255">
        <v>69</v>
      </c>
      <c r="CQ3" s="1255">
        <v>70</v>
      </c>
      <c r="CR3" s="1255">
        <v>71</v>
      </c>
      <c r="CS3" s="1255">
        <v>72</v>
      </c>
      <c r="CT3" s="1255">
        <v>73</v>
      </c>
      <c r="CU3" s="1255">
        <v>74</v>
      </c>
      <c r="CV3" s="1255">
        <v>75</v>
      </c>
      <c r="CW3" s="1255">
        <v>76</v>
      </c>
      <c r="CX3" s="1255">
        <v>77</v>
      </c>
      <c r="CY3" s="1255">
        <v>78</v>
      </c>
      <c r="CZ3" s="1255">
        <v>79</v>
      </c>
      <c r="DA3" s="1255">
        <v>80</v>
      </c>
      <c r="DB3" s="1255">
        <v>81</v>
      </c>
      <c r="DC3" s="1255">
        <v>82</v>
      </c>
      <c r="DD3" s="1255">
        <v>83</v>
      </c>
      <c r="DE3" s="1255">
        <v>84</v>
      </c>
      <c r="DF3" s="1255">
        <v>85</v>
      </c>
      <c r="DG3" s="1255">
        <v>86</v>
      </c>
      <c r="DH3" s="1255">
        <v>87</v>
      </c>
      <c r="DI3" s="1255">
        <v>88</v>
      </c>
      <c r="DJ3" s="1255">
        <v>89</v>
      </c>
      <c r="DK3" s="1255">
        <v>90</v>
      </c>
      <c r="DL3" s="1255">
        <v>91</v>
      </c>
      <c r="DM3" s="1255">
        <v>92</v>
      </c>
      <c r="DN3" s="1255">
        <v>93</v>
      </c>
      <c r="DO3" s="1255">
        <v>94</v>
      </c>
      <c r="DP3" s="1255">
        <v>95</v>
      </c>
      <c r="DQ3" s="1255">
        <v>96</v>
      </c>
      <c r="DR3" s="1255">
        <v>97</v>
      </c>
      <c r="DS3" s="1255">
        <v>98</v>
      </c>
      <c r="DT3" s="1255">
        <v>99</v>
      </c>
      <c r="DU3" s="1255">
        <v>100</v>
      </c>
      <c r="DV3" s="1255">
        <v>101</v>
      </c>
      <c r="DW3" s="1255">
        <v>102</v>
      </c>
      <c r="DX3" s="1255">
        <v>103</v>
      </c>
      <c r="DY3" s="1255">
        <v>104</v>
      </c>
      <c r="DZ3" s="1255">
        <v>105</v>
      </c>
      <c r="EA3" s="1255">
        <v>106</v>
      </c>
      <c r="EB3" s="1255">
        <v>107</v>
      </c>
      <c r="EC3" s="1255">
        <v>108</v>
      </c>
      <c r="ED3" s="1255">
        <v>109</v>
      </c>
      <c r="EE3" s="1255">
        <v>110</v>
      </c>
      <c r="EF3" s="1255">
        <v>111</v>
      </c>
      <c r="EG3" s="1255">
        <v>112</v>
      </c>
      <c r="EH3" s="1255">
        <v>113</v>
      </c>
      <c r="EI3" s="1255">
        <v>114</v>
      </c>
      <c r="EJ3" s="1255">
        <v>115</v>
      </c>
      <c r="EK3" s="1255">
        <v>116</v>
      </c>
      <c r="EL3" s="1255">
        <v>117</v>
      </c>
      <c r="EM3" s="1255">
        <v>118</v>
      </c>
      <c r="EN3" s="1255">
        <v>119</v>
      </c>
      <c r="EO3" s="1255">
        <v>120</v>
      </c>
      <c r="EP3" s="1255">
        <v>121</v>
      </c>
      <c r="EQ3" s="1255">
        <v>122</v>
      </c>
      <c r="ER3" s="1255">
        <v>123</v>
      </c>
      <c r="ES3" s="1255">
        <v>124</v>
      </c>
      <c r="ET3" s="1255">
        <v>125</v>
      </c>
      <c r="EU3" s="1255">
        <v>126</v>
      </c>
      <c r="EV3" s="1255">
        <v>127</v>
      </c>
      <c r="EW3" s="1255">
        <v>128</v>
      </c>
      <c r="EX3" s="1255">
        <v>129</v>
      </c>
      <c r="EY3" s="1255">
        <v>130</v>
      </c>
      <c r="EZ3" s="1255">
        <v>131</v>
      </c>
      <c r="FA3" s="1255">
        <v>132</v>
      </c>
      <c r="FB3" s="1255">
        <v>133</v>
      </c>
      <c r="FC3" s="1255">
        <v>134</v>
      </c>
      <c r="FD3" s="1255">
        <v>135</v>
      </c>
      <c r="FE3" s="1255">
        <v>136</v>
      </c>
      <c r="FF3" s="1255">
        <v>137</v>
      </c>
      <c r="FG3" s="1255">
        <v>138</v>
      </c>
      <c r="FH3" s="1255">
        <v>139</v>
      </c>
      <c r="FI3" s="1255">
        <v>140</v>
      </c>
      <c r="FJ3" s="1255">
        <v>141</v>
      </c>
      <c r="FK3" s="1255">
        <v>142</v>
      </c>
      <c r="FL3" s="1255">
        <v>143</v>
      </c>
      <c r="FM3" s="1255">
        <v>144</v>
      </c>
      <c r="FN3" s="1255">
        <v>145</v>
      </c>
      <c r="FO3" s="1255">
        <v>146</v>
      </c>
      <c r="FP3" s="1255">
        <v>147</v>
      </c>
      <c r="FQ3" s="1255">
        <v>148</v>
      </c>
      <c r="FR3" s="1255">
        <v>149</v>
      </c>
      <c r="FS3" s="1255">
        <v>150</v>
      </c>
      <c r="FT3" s="162"/>
    </row>
    <row r="4" spans="1:176" s="170" customFormat="1" ht="15">
      <c r="A4" s="1268"/>
      <c r="B4" s="1262"/>
      <c r="C4" s="1259"/>
      <c r="D4" s="1259"/>
      <c r="E4" s="1259"/>
      <c r="F4" s="1273"/>
      <c r="G4" s="1259"/>
      <c r="H4" s="164" t="s">
        <v>280</v>
      </c>
      <c r="I4" s="165" t="str">
        <f>TDATE!$E16</f>
        <v>0</v>
      </c>
      <c r="J4" s="165" t="str">
        <f>TDATE!$E17</f>
        <v>0</v>
      </c>
      <c r="K4" s="165" t="str">
        <f>TDATE!$E18</f>
        <v>0</v>
      </c>
      <c r="L4" s="165" t="str">
        <f>TDATE!$E19</f>
        <v>0</v>
      </c>
      <c r="M4" s="165" t="str">
        <f>TDATE!$E20</f>
        <v>0</v>
      </c>
      <c r="N4" s="165">
        <f>TDATE!E28</f>
        <v>0</v>
      </c>
      <c r="O4" s="165">
        <f>TDATE!E29</f>
        <v>0</v>
      </c>
      <c r="P4" s="165">
        <f>TDATE!E30</f>
        <v>0</v>
      </c>
      <c r="Q4" s="165">
        <f>TDATE!E31</f>
        <v>0</v>
      </c>
      <c r="R4" s="166"/>
      <c r="S4" s="167"/>
      <c r="T4" s="168"/>
      <c r="U4" s="18"/>
      <c r="V4" s="1262"/>
      <c r="W4" s="1259"/>
      <c r="X4" s="1265"/>
      <c r="Y4" s="1265"/>
      <c r="Z4" s="1256"/>
      <c r="AA4" s="1256"/>
      <c r="AB4" s="1256"/>
      <c r="AC4" s="1256"/>
      <c r="AD4" s="1256"/>
      <c r="AE4" s="1256"/>
      <c r="AF4" s="1256"/>
      <c r="AG4" s="1256"/>
      <c r="AH4" s="1256"/>
      <c r="AI4" s="1256"/>
      <c r="AJ4" s="1256"/>
      <c r="AK4" s="1256"/>
      <c r="AL4" s="1256"/>
      <c r="AM4" s="1256"/>
      <c r="AN4" s="1256"/>
      <c r="AO4" s="1256"/>
      <c r="AP4" s="1256"/>
      <c r="AQ4" s="1256"/>
      <c r="AR4" s="1256"/>
      <c r="AS4" s="1256"/>
      <c r="AT4" s="1256"/>
      <c r="AU4" s="1256"/>
      <c r="AV4" s="1256"/>
      <c r="AW4" s="1256"/>
      <c r="AX4" s="1256"/>
      <c r="AY4" s="1256"/>
      <c r="AZ4" s="1256"/>
      <c r="BA4" s="1256"/>
      <c r="BB4" s="1256"/>
      <c r="BC4" s="1256"/>
      <c r="BD4" s="1256"/>
      <c r="BE4" s="1256"/>
      <c r="BF4" s="1256"/>
      <c r="BG4" s="1256"/>
      <c r="BH4" s="1256"/>
      <c r="BI4" s="1256"/>
      <c r="BJ4" s="1256"/>
      <c r="BK4" s="1256"/>
      <c r="BL4" s="1256"/>
      <c r="BM4" s="1256"/>
      <c r="BN4" s="1256"/>
      <c r="BO4" s="1256"/>
      <c r="BP4" s="1256"/>
      <c r="BQ4" s="1256"/>
      <c r="BR4" s="1256"/>
      <c r="BS4" s="1256"/>
      <c r="BT4" s="1256"/>
      <c r="BU4" s="1256"/>
      <c r="BV4" s="1256"/>
      <c r="BW4" s="1256"/>
      <c r="BX4" s="1256"/>
      <c r="BY4" s="1256"/>
      <c r="BZ4" s="1256"/>
      <c r="CA4" s="1256"/>
      <c r="CB4" s="1256"/>
      <c r="CC4" s="1256"/>
      <c r="CD4" s="1256"/>
      <c r="CE4" s="1256"/>
      <c r="CF4" s="1256"/>
      <c r="CG4" s="1256"/>
      <c r="CH4" s="1256"/>
      <c r="CI4" s="1256"/>
      <c r="CJ4" s="1256"/>
      <c r="CK4" s="1256"/>
      <c r="CL4" s="1256"/>
      <c r="CM4" s="1256"/>
      <c r="CN4" s="1256"/>
      <c r="CO4" s="1256"/>
      <c r="CP4" s="1256"/>
      <c r="CQ4" s="1256"/>
      <c r="CR4" s="1256"/>
      <c r="CS4" s="1256"/>
      <c r="CT4" s="1256"/>
      <c r="CU4" s="1256"/>
      <c r="CV4" s="1256"/>
      <c r="CW4" s="1256"/>
      <c r="CX4" s="1256"/>
      <c r="CY4" s="1256"/>
      <c r="CZ4" s="1256"/>
      <c r="DA4" s="1256"/>
      <c r="DB4" s="1256"/>
      <c r="DC4" s="1256"/>
      <c r="DD4" s="1256"/>
      <c r="DE4" s="1256"/>
      <c r="DF4" s="1256"/>
      <c r="DG4" s="1256"/>
      <c r="DH4" s="1256"/>
      <c r="DI4" s="1256"/>
      <c r="DJ4" s="1256"/>
      <c r="DK4" s="1256"/>
      <c r="DL4" s="1256"/>
      <c r="DM4" s="1256"/>
      <c r="DN4" s="1256"/>
      <c r="DO4" s="1256"/>
      <c r="DP4" s="1256"/>
      <c r="DQ4" s="1256"/>
      <c r="DR4" s="1256"/>
      <c r="DS4" s="1256"/>
      <c r="DT4" s="1256"/>
      <c r="DU4" s="1256"/>
      <c r="DV4" s="1256"/>
      <c r="DW4" s="1256"/>
      <c r="DX4" s="1256"/>
      <c r="DY4" s="1256"/>
      <c r="DZ4" s="1256"/>
      <c r="EA4" s="1256"/>
      <c r="EB4" s="1256"/>
      <c r="EC4" s="1256"/>
      <c r="ED4" s="1256"/>
      <c r="EE4" s="1256"/>
      <c r="EF4" s="1256"/>
      <c r="EG4" s="1256"/>
      <c r="EH4" s="1256"/>
      <c r="EI4" s="1256"/>
      <c r="EJ4" s="1256"/>
      <c r="EK4" s="1256"/>
      <c r="EL4" s="1256"/>
      <c r="EM4" s="1256"/>
      <c r="EN4" s="1256"/>
      <c r="EO4" s="1256"/>
      <c r="EP4" s="1256"/>
      <c r="EQ4" s="1256"/>
      <c r="ER4" s="1256"/>
      <c r="ES4" s="1256"/>
      <c r="ET4" s="1256"/>
      <c r="EU4" s="1256"/>
      <c r="EV4" s="1256"/>
      <c r="EW4" s="1256"/>
      <c r="EX4" s="1256"/>
      <c r="EY4" s="1256"/>
      <c r="EZ4" s="1256"/>
      <c r="FA4" s="1256"/>
      <c r="FB4" s="1256"/>
      <c r="FC4" s="1256"/>
      <c r="FD4" s="1256"/>
      <c r="FE4" s="1256"/>
      <c r="FF4" s="1256"/>
      <c r="FG4" s="1256"/>
      <c r="FH4" s="1256"/>
      <c r="FI4" s="1256"/>
      <c r="FJ4" s="1256"/>
      <c r="FK4" s="1256"/>
      <c r="FL4" s="1256"/>
      <c r="FM4" s="1256"/>
      <c r="FN4" s="1256"/>
      <c r="FO4" s="1256"/>
      <c r="FP4" s="1256"/>
      <c r="FQ4" s="1256"/>
      <c r="FR4" s="1256"/>
      <c r="FS4" s="1256"/>
      <c r="FT4" s="169"/>
    </row>
    <row r="5" spans="1:176" s="170" customFormat="1" ht="15">
      <c r="A5" s="1268"/>
      <c r="B5" s="1262"/>
      <c r="C5" s="1259"/>
      <c r="D5" s="1259"/>
      <c r="E5" s="1259"/>
      <c r="F5" s="1273"/>
      <c r="G5" s="1259"/>
      <c r="H5" s="171" t="s">
        <v>279</v>
      </c>
      <c r="I5" s="172">
        <f>TDATE!$F16</f>
        <v>275</v>
      </c>
      <c r="J5" s="172">
        <f>TDATE!$F17</f>
        <v>275</v>
      </c>
      <c r="K5" s="172">
        <f>TDATE!$F18</f>
        <v>195</v>
      </c>
      <c r="L5" s="172">
        <f>TDATE!$F19</f>
        <v>175</v>
      </c>
      <c r="M5" s="172">
        <f>TDATE!$F20</f>
        <v>195</v>
      </c>
      <c r="N5" s="172">
        <f>TDATE!F28</f>
        <v>0</v>
      </c>
      <c r="O5" s="172">
        <f>TDATE!F29</f>
        <v>0</v>
      </c>
      <c r="P5" s="172">
        <f>TDATE!F30</f>
        <v>0</v>
      </c>
      <c r="Q5" s="172">
        <f>TDATE!F31</f>
        <v>0</v>
      </c>
      <c r="R5" s="173"/>
      <c r="S5" s="174"/>
      <c r="T5" s="175"/>
      <c r="U5" s="18"/>
      <c r="V5" s="1262"/>
      <c r="W5" s="1259"/>
      <c r="X5" s="1265"/>
      <c r="Y5" s="1265"/>
      <c r="Z5" s="1256"/>
      <c r="AA5" s="1256"/>
      <c r="AB5" s="1256"/>
      <c r="AC5" s="1256"/>
      <c r="AD5" s="1256"/>
      <c r="AE5" s="1256"/>
      <c r="AF5" s="1256"/>
      <c r="AG5" s="1256"/>
      <c r="AH5" s="1256"/>
      <c r="AI5" s="1256"/>
      <c r="AJ5" s="1256"/>
      <c r="AK5" s="1256"/>
      <c r="AL5" s="1256"/>
      <c r="AM5" s="1256"/>
      <c r="AN5" s="1256"/>
      <c r="AO5" s="1256"/>
      <c r="AP5" s="1256"/>
      <c r="AQ5" s="1256"/>
      <c r="AR5" s="1256"/>
      <c r="AS5" s="1256"/>
      <c r="AT5" s="1256"/>
      <c r="AU5" s="1256"/>
      <c r="AV5" s="1256"/>
      <c r="AW5" s="1256"/>
      <c r="AX5" s="1256"/>
      <c r="AY5" s="1256"/>
      <c r="AZ5" s="1256"/>
      <c r="BA5" s="1256"/>
      <c r="BB5" s="1256"/>
      <c r="BC5" s="1256"/>
      <c r="BD5" s="1256"/>
      <c r="BE5" s="1256"/>
      <c r="BF5" s="1256"/>
      <c r="BG5" s="1256"/>
      <c r="BH5" s="1256"/>
      <c r="BI5" s="1256"/>
      <c r="BJ5" s="1256"/>
      <c r="BK5" s="1256"/>
      <c r="BL5" s="1256"/>
      <c r="BM5" s="1256"/>
      <c r="BN5" s="1256"/>
      <c r="BO5" s="1256"/>
      <c r="BP5" s="1256"/>
      <c r="BQ5" s="1256"/>
      <c r="BR5" s="1256"/>
      <c r="BS5" s="1256"/>
      <c r="BT5" s="1256"/>
      <c r="BU5" s="1256"/>
      <c r="BV5" s="1256"/>
      <c r="BW5" s="1256"/>
      <c r="BX5" s="1256"/>
      <c r="BY5" s="1256"/>
      <c r="BZ5" s="1256"/>
      <c r="CA5" s="1256"/>
      <c r="CB5" s="1256"/>
      <c r="CC5" s="1256"/>
      <c r="CD5" s="1256"/>
      <c r="CE5" s="1256"/>
      <c r="CF5" s="1256"/>
      <c r="CG5" s="1256"/>
      <c r="CH5" s="1256"/>
      <c r="CI5" s="1256"/>
      <c r="CJ5" s="1256"/>
      <c r="CK5" s="1256"/>
      <c r="CL5" s="1256"/>
      <c r="CM5" s="1256"/>
      <c r="CN5" s="1256"/>
      <c r="CO5" s="1256"/>
      <c r="CP5" s="1256"/>
      <c r="CQ5" s="1256"/>
      <c r="CR5" s="1256"/>
      <c r="CS5" s="1256"/>
      <c r="CT5" s="1256"/>
      <c r="CU5" s="1256"/>
      <c r="CV5" s="1256"/>
      <c r="CW5" s="1256"/>
      <c r="CX5" s="1256"/>
      <c r="CY5" s="1256"/>
      <c r="CZ5" s="1256"/>
      <c r="DA5" s="1256"/>
      <c r="DB5" s="1256"/>
      <c r="DC5" s="1256"/>
      <c r="DD5" s="1256"/>
      <c r="DE5" s="1256"/>
      <c r="DF5" s="1256"/>
      <c r="DG5" s="1256"/>
      <c r="DH5" s="1256"/>
      <c r="DI5" s="1256"/>
      <c r="DJ5" s="1256"/>
      <c r="DK5" s="1256"/>
      <c r="DL5" s="1256"/>
      <c r="DM5" s="1256"/>
      <c r="DN5" s="1256"/>
      <c r="DO5" s="1256"/>
      <c r="DP5" s="1256"/>
      <c r="DQ5" s="1256"/>
      <c r="DR5" s="1256"/>
      <c r="DS5" s="1256"/>
      <c r="DT5" s="1256"/>
      <c r="DU5" s="1256"/>
      <c r="DV5" s="1256"/>
      <c r="DW5" s="1256"/>
      <c r="DX5" s="1256"/>
      <c r="DY5" s="1256"/>
      <c r="DZ5" s="1256"/>
      <c r="EA5" s="1256"/>
      <c r="EB5" s="1256"/>
      <c r="EC5" s="1256"/>
      <c r="ED5" s="1256"/>
      <c r="EE5" s="1256"/>
      <c r="EF5" s="1256"/>
      <c r="EG5" s="1256"/>
      <c r="EH5" s="1256"/>
      <c r="EI5" s="1256"/>
      <c r="EJ5" s="1256"/>
      <c r="EK5" s="1256"/>
      <c r="EL5" s="1256"/>
      <c r="EM5" s="1256"/>
      <c r="EN5" s="1256"/>
      <c r="EO5" s="1256"/>
      <c r="EP5" s="1256"/>
      <c r="EQ5" s="1256"/>
      <c r="ER5" s="1256"/>
      <c r="ES5" s="1256"/>
      <c r="ET5" s="1256"/>
      <c r="EU5" s="1256"/>
      <c r="EV5" s="1256"/>
      <c r="EW5" s="1256"/>
      <c r="EX5" s="1256"/>
      <c r="EY5" s="1256"/>
      <c r="EZ5" s="1256"/>
      <c r="FA5" s="1256"/>
      <c r="FB5" s="1256"/>
      <c r="FC5" s="1256"/>
      <c r="FD5" s="1256"/>
      <c r="FE5" s="1256"/>
      <c r="FF5" s="1256"/>
      <c r="FG5" s="1256"/>
      <c r="FH5" s="1256"/>
      <c r="FI5" s="1256"/>
      <c r="FJ5" s="1256"/>
      <c r="FK5" s="1256"/>
      <c r="FL5" s="1256"/>
      <c r="FM5" s="1256"/>
      <c r="FN5" s="1256"/>
      <c r="FO5" s="1256"/>
      <c r="FP5" s="1256"/>
      <c r="FQ5" s="1256"/>
      <c r="FR5" s="1256"/>
      <c r="FS5" s="1256"/>
      <c r="FT5" s="169"/>
    </row>
    <row r="6" spans="1:176" s="170" customFormat="1" ht="15">
      <c r="A6" s="1268"/>
      <c r="B6" s="1262"/>
      <c r="C6" s="1259"/>
      <c r="D6" s="1259"/>
      <c r="E6" s="1259"/>
      <c r="F6" s="1273"/>
      <c r="G6" s="1259"/>
      <c r="H6" s="176" t="s">
        <v>403</v>
      </c>
      <c r="I6" s="177">
        <f t="shared" ref="I6:Q6" si="0">SUMIF($H$10:$H$263,"Non-Billable",I$10:I$263)</f>
        <v>0</v>
      </c>
      <c r="J6" s="177">
        <f t="shared" si="0"/>
        <v>0</v>
      </c>
      <c r="K6" s="177">
        <f t="shared" si="0"/>
        <v>0</v>
      </c>
      <c r="L6" s="177">
        <f t="shared" si="0"/>
        <v>0</v>
      </c>
      <c r="M6" s="177">
        <f t="shared" si="0"/>
        <v>0</v>
      </c>
      <c r="N6" s="177">
        <f t="shared" si="0"/>
        <v>0</v>
      </c>
      <c r="O6" s="177">
        <f t="shared" si="0"/>
        <v>0</v>
      </c>
      <c r="P6" s="177">
        <f t="shared" si="0"/>
        <v>0</v>
      </c>
      <c r="Q6" s="177">
        <f t="shared" si="0"/>
        <v>0</v>
      </c>
      <c r="R6" s="178">
        <f>SUM(I6:Q6)</f>
        <v>0</v>
      </c>
      <c r="S6" s="179">
        <f>(I6*$I$4)+(J6*$J$4)+(K6*$K$4)+(L6*$L$4)+(M6*$M$4)+(N6*$N$4)+(O6*$O$4)+(P6*$P$4)+(Q6*$Q$4)</f>
        <v>0</v>
      </c>
      <c r="T6" s="180"/>
      <c r="U6" s="18"/>
      <c r="V6" s="1262"/>
      <c r="W6" s="1259"/>
      <c r="X6" s="1265"/>
      <c r="Y6" s="1265"/>
      <c r="Z6" s="1256"/>
      <c r="AA6" s="1256"/>
      <c r="AB6" s="1256"/>
      <c r="AC6" s="1256"/>
      <c r="AD6" s="1256"/>
      <c r="AE6" s="1256"/>
      <c r="AF6" s="1256"/>
      <c r="AG6" s="1256"/>
      <c r="AH6" s="1256"/>
      <c r="AI6" s="1256"/>
      <c r="AJ6" s="1256"/>
      <c r="AK6" s="1256"/>
      <c r="AL6" s="1256"/>
      <c r="AM6" s="1256"/>
      <c r="AN6" s="1256"/>
      <c r="AO6" s="1256"/>
      <c r="AP6" s="1256"/>
      <c r="AQ6" s="1256"/>
      <c r="AR6" s="1256"/>
      <c r="AS6" s="1256"/>
      <c r="AT6" s="1256"/>
      <c r="AU6" s="1256"/>
      <c r="AV6" s="1256"/>
      <c r="AW6" s="1256"/>
      <c r="AX6" s="1256"/>
      <c r="AY6" s="1256"/>
      <c r="AZ6" s="1256"/>
      <c r="BA6" s="1256"/>
      <c r="BB6" s="1256"/>
      <c r="BC6" s="1256"/>
      <c r="BD6" s="1256"/>
      <c r="BE6" s="1256"/>
      <c r="BF6" s="1256"/>
      <c r="BG6" s="1256"/>
      <c r="BH6" s="1256"/>
      <c r="BI6" s="1256"/>
      <c r="BJ6" s="1256"/>
      <c r="BK6" s="1256"/>
      <c r="BL6" s="1256"/>
      <c r="BM6" s="1256"/>
      <c r="BN6" s="1256"/>
      <c r="BO6" s="1256"/>
      <c r="BP6" s="1256"/>
      <c r="BQ6" s="1256"/>
      <c r="BR6" s="1256"/>
      <c r="BS6" s="1256"/>
      <c r="BT6" s="1256"/>
      <c r="BU6" s="1256"/>
      <c r="BV6" s="1256"/>
      <c r="BW6" s="1256"/>
      <c r="BX6" s="1256"/>
      <c r="BY6" s="1256"/>
      <c r="BZ6" s="1256"/>
      <c r="CA6" s="1256"/>
      <c r="CB6" s="1256"/>
      <c r="CC6" s="1256"/>
      <c r="CD6" s="1256"/>
      <c r="CE6" s="1256"/>
      <c r="CF6" s="1256"/>
      <c r="CG6" s="1256"/>
      <c r="CH6" s="1256"/>
      <c r="CI6" s="1256"/>
      <c r="CJ6" s="1256"/>
      <c r="CK6" s="1256"/>
      <c r="CL6" s="1256"/>
      <c r="CM6" s="1256"/>
      <c r="CN6" s="1256"/>
      <c r="CO6" s="1256"/>
      <c r="CP6" s="1256"/>
      <c r="CQ6" s="1256"/>
      <c r="CR6" s="1256"/>
      <c r="CS6" s="1256"/>
      <c r="CT6" s="1256"/>
      <c r="CU6" s="1256"/>
      <c r="CV6" s="1256"/>
      <c r="CW6" s="1256"/>
      <c r="CX6" s="1256"/>
      <c r="CY6" s="1256"/>
      <c r="CZ6" s="1256"/>
      <c r="DA6" s="1256"/>
      <c r="DB6" s="1256"/>
      <c r="DC6" s="1256"/>
      <c r="DD6" s="1256"/>
      <c r="DE6" s="1256"/>
      <c r="DF6" s="1256"/>
      <c r="DG6" s="1256"/>
      <c r="DH6" s="1256"/>
      <c r="DI6" s="1256"/>
      <c r="DJ6" s="1256"/>
      <c r="DK6" s="1256"/>
      <c r="DL6" s="1256"/>
      <c r="DM6" s="1256"/>
      <c r="DN6" s="1256"/>
      <c r="DO6" s="1256"/>
      <c r="DP6" s="1256"/>
      <c r="DQ6" s="1256"/>
      <c r="DR6" s="1256"/>
      <c r="DS6" s="1256"/>
      <c r="DT6" s="1256"/>
      <c r="DU6" s="1256"/>
      <c r="DV6" s="1256"/>
      <c r="DW6" s="1256"/>
      <c r="DX6" s="1256"/>
      <c r="DY6" s="1256"/>
      <c r="DZ6" s="1256"/>
      <c r="EA6" s="1256"/>
      <c r="EB6" s="1256"/>
      <c r="EC6" s="1256"/>
      <c r="ED6" s="1256"/>
      <c r="EE6" s="1256"/>
      <c r="EF6" s="1256"/>
      <c r="EG6" s="1256"/>
      <c r="EH6" s="1256"/>
      <c r="EI6" s="1256"/>
      <c r="EJ6" s="1256"/>
      <c r="EK6" s="1256"/>
      <c r="EL6" s="1256"/>
      <c r="EM6" s="1256"/>
      <c r="EN6" s="1256"/>
      <c r="EO6" s="1256"/>
      <c r="EP6" s="1256"/>
      <c r="EQ6" s="1256"/>
      <c r="ER6" s="1256"/>
      <c r="ES6" s="1256"/>
      <c r="ET6" s="1256"/>
      <c r="EU6" s="1256"/>
      <c r="EV6" s="1256"/>
      <c r="EW6" s="1256"/>
      <c r="EX6" s="1256"/>
      <c r="EY6" s="1256"/>
      <c r="EZ6" s="1256"/>
      <c r="FA6" s="1256"/>
      <c r="FB6" s="1256"/>
      <c r="FC6" s="1256"/>
      <c r="FD6" s="1256"/>
      <c r="FE6" s="1256"/>
      <c r="FF6" s="1256"/>
      <c r="FG6" s="1256"/>
      <c r="FH6" s="1256"/>
      <c r="FI6" s="1256"/>
      <c r="FJ6" s="1256"/>
      <c r="FK6" s="1256"/>
      <c r="FL6" s="1256"/>
      <c r="FM6" s="1256"/>
      <c r="FN6" s="1256"/>
      <c r="FO6" s="1256"/>
      <c r="FP6" s="1256"/>
      <c r="FQ6" s="1256"/>
      <c r="FR6" s="1256"/>
      <c r="FS6" s="1256"/>
      <c r="FT6" s="169"/>
    </row>
    <row r="7" spans="1:176" s="170" customFormat="1" ht="15.75" thickBot="1">
      <c r="A7" s="1268"/>
      <c r="B7" s="1262"/>
      <c r="C7" s="1259"/>
      <c r="D7" s="1259"/>
      <c r="E7" s="1259"/>
      <c r="F7" s="1273"/>
      <c r="G7" s="1259"/>
      <c r="H7" s="176" t="s">
        <v>402</v>
      </c>
      <c r="I7" s="177">
        <f>SUMIF($H$10:$H$263,"Billable",I$10:I$263)</f>
        <v>0</v>
      </c>
      <c r="J7" s="177">
        <f t="shared" ref="J7:Q7" si="1">SUMIF($H$10:$H$263,"Billable",J$10:J$263)</f>
        <v>0</v>
      </c>
      <c r="K7" s="177">
        <f t="shared" si="1"/>
        <v>0</v>
      </c>
      <c r="L7" s="177">
        <f t="shared" si="1"/>
        <v>0</v>
      </c>
      <c r="M7" s="177">
        <f t="shared" si="1"/>
        <v>0</v>
      </c>
      <c r="N7" s="177">
        <f t="shared" si="1"/>
        <v>0</v>
      </c>
      <c r="O7" s="177">
        <f t="shared" si="1"/>
        <v>0</v>
      </c>
      <c r="P7" s="177">
        <f t="shared" si="1"/>
        <v>0</v>
      </c>
      <c r="Q7" s="177">
        <f t="shared" si="1"/>
        <v>0</v>
      </c>
      <c r="R7" s="181">
        <f>SUM(I7:Q7)</f>
        <v>0</v>
      </c>
      <c r="S7" s="185">
        <f>(I7*$I$4)++(J7*$J$4)+(K7*$K$4)+(L7*$L$4)+(M7*$M$4)+(N7*$N$4)+(O7*$O$4)+(P7*$P$4)+(Q7*$Q$4)</f>
        <v>0</v>
      </c>
      <c r="T7" s="182">
        <f>(I7*$I$5)+(J7*$J$5)+(K7*$K$5)+(L7*$L$5)+(M7*$M$5)+(N7*$N$5)+(O7*$O$5)+(P7*$P$5)+(Q7*$Q$5)</f>
        <v>0</v>
      </c>
      <c r="U7" s="18"/>
      <c r="V7" s="1262"/>
      <c r="W7" s="1259"/>
      <c r="X7" s="1265"/>
      <c r="Y7" s="1265"/>
      <c r="Z7" s="1256"/>
      <c r="AA7" s="1256"/>
      <c r="AB7" s="1256"/>
      <c r="AC7" s="1256"/>
      <c r="AD7" s="1256"/>
      <c r="AE7" s="1256"/>
      <c r="AF7" s="1256"/>
      <c r="AG7" s="1256"/>
      <c r="AH7" s="1256"/>
      <c r="AI7" s="1256"/>
      <c r="AJ7" s="1256"/>
      <c r="AK7" s="1256"/>
      <c r="AL7" s="1256"/>
      <c r="AM7" s="1256"/>
      <c r="AN7" s="1256"/>
      <c r="AO7" s="1256"/>
      <c r="AP7" s="1256"/>
      <c r="AQ7" s="1256"/>
      <c r="AR7" s="1256"/>
      <c r="AS7" s="1256"/>
      <c r="AT7" s="1256"/>
      <c r="AU7" s="1256"/>
      <c r="AV7" s="1256"/>
      <c r="AW7" s="1256"/>
      <c r="AX7" s="1256"/>
      <c r="AY7" s="1256"/>
      <c r="AZ7" s="1256"/>
      <c r="BA7" s="1256"/>
      <c r="BB7" s="1256"/>
      <c r="BC7" s="1256"/>
      <c r="BD7" s="1256"/>
      <c r="BE7" s="1256"/>
      <c r="BF7" s="1256"/>
      <c r="BG7" s="1256"/>
      <c r="BH7" s="1256"/>
      <c r="BI7" s="1256"/>
      <c r="BJ7" s="1256"/>
      <c r="BK7" s="1256"/>
      <c r="BL7" s="1256"/>
      <c r="BM7" s="1256"/>
      <c r="BN7" s="1256"/>
      <c r="BO7" s="1256"/>
      <c r="BP7" s="1256"/>
      <c r="BQ7" s="1256"/>
      <c r="BR7" s="1256"/>
      <c r="BS7" s="1256"/>
      <c r="BT7" s="1256"/>
      <c r="BU7" s="1256"/>
      <c r="BV7" s="1256"/>
      <c r="BW7" s="1256"/>
      <c r="BX7" s="1256"/>
      <c r="BY7" s="1256"/>
      <c r="BZ7" s="1256"/>
      <c r="CA7" s="1256"/>
      <c r="CB7" s="1256"/>
      <c r="CC7" s="1256"/>
      <c r="CD7" s="1256"/>
      <c r="CE7" s="1256"/>
      <c r="CF7" s="1256"/>
      <c r="CG7" s="1256"/>
      <c r="CH7" s="1256"/>
      <c r="CI7" s="1256"/>
      <c r="CJ7" s="1256"/>
      <c r="CK7" s="1256"/>
      <c r="CL7" s="1256"/>
      <c r="CM7" s="1256"/>
      <c r="CN7" s="1256"/>
      <c r="CO7" s="1256"/>
      <c r="CP7" s="1256"/>
      <c r="CQ7" s="1256"/>
      <c r="CR7" s="1256"/>
      <c r="CS7" s="1256"/>
      <c r="CT7" s="1256"/>
      <c r="CU7" s="1256"/>
      <c r="CV7" s="1256"/>
      <c r="CW7" s="1256"/>
      <c r="CX7" s="1256"/>
      <c r="CY7" s="1256"/>
      <c r="CZ7" s="1256"/>
      <c r="DA7" s="1256"/>
      <c r="DB7" s="1256"/>
      <c r="DC7" s="1256"/>
      <c r="DD7" s="1256"/>
      <c r="DE7" s="1256"/>
      <c r="DF7" s="1256"/>
      <c r="DG7" s="1256"/>
      <c r="DH7" s="1256"/>
      <c r="DI7" s="1256"/>
      <c r="DJ7" s="1256"/>
      <c r="DK7" s="1256"/>
      <c r="DL7" s="1256"/>
      <c r="DM7" s="1256"/>
      <c r="DN7" s="1256"/>
      <c r="DO7" s="1256"/>
      <c r="DP7" s="1256"/>
      <c r="DQ7" s="1256"/>
      <c r="DR7" s="1256"/>
      <c r="DS7" s="1256"/>
      <c r="DT7" s="1256"/>
      <c r="DU7" s="1256"/>
      <c r="DV7" s="1256"/>
      <c r="DW7" s="1256"/>
      <c r="DX7" s="1256"/>
      <c r="DY7" s="1256"/>
      <c r="DZ7" s="1256"/>
      <c r="EA7" s="1256"/>
      <c r="EB7" s="1256"/>
      <c r="EC7" s="1256"/>
      <c r="ED7" s="1256"/>
      <c r="EE7" s="1256"/>
      <c r="EF7" s="1256"/>
      <c r="EG7" s="1256"/>
      <c r="EH7" s="1256"/>
      <c r="EI7" s="1256"/>
      <c r="EJ7" s="1256"/>
      <c r="EK7" s="1256"/>
      <c r="EL7" s="1256"/>
      <c r="EM7" s="1256"/>
      <c r="EN7" s="1256"/>
      <c r="EO7" s="1256"/>
      <c r="EP7" s="1256"/>
      <c r="EQ7" s="1256"/>
      <c r="ER7" s="1256"/>
      <c r="ES7" s="1256"/>
      <c r="ET7" s="1256"/>
      <c r="EU7" s="1256"/>
      <c r="EV7" s="1256"/>
      <c r="EW7" s="1256"/>
      <c r="EX7" s="1256"/>
      <c r="EY7" s="1256"/>
      <c r="EZ7" s="1256"/>
      <c r="FA7" s="1256"/>
      <c r="FB7" s="1256"/>
      <c r="FC7" s="1256"/>
      <c r="FD7" s="1256"/>
      <c r="FE7" s="1256"/>
      <c r="FF7" s="1256"/>
      <c r="FG7" s="1256"/>
      <c r="FH7" s="1256"/>
      <c r="FI7" s="1256"/>
      <c r="FJ7" s="1256"/>
      <c r="FK7" s="1256"/>
      <c r="FL7" s="1256"/>
      <c r="FM7" s="1256"/>
      <c r="FN7" s="1256"/>
      <c r="FO7" s="1256"/>
      <c r="FP7" s="1256"/>
      <c r="FQ7" s="1256"/>
      <c r="FR7" s="1256"/>
      <c r="FS7" s="1256"/>
      <c r="FT7" s="169"/>
    </row>
    <row r="8" spans="1:176" s="187" customFormat="1" ht="15.75" thickBot="1">
      <c r="A8" s="1269"/>
      <c r="B8" s="1276"/>
      <c r="C8" s="1271"/>
      <c r="D8" s="1271"/>
      <c r="E8" s="1271"/>
      <c r="F8" s="1274"/>
      <c r="G8" s="1271"/>
      <c r="H8" s="183" t="s">
        <v>301</v>
      </c>
      <c r="I8" s="184">
        <f>SUM(I6:I7)</f>
        <v>0</v>
      </c>
      <c r="J8" s="184">
        <f t="shared" ref="J8:O8" si="2">SUM(J6:J7)</f>
        <v>0</v>
      </c>
      <c r="K8" s="184">
        <f t="shared" si="2"/>
        <v>0</v>
      </c>
      <c r="L8" s="184">
        <f t="shared" si="2"/>
        <v>0</v>
      </c>
      <c r="M8" s="184">
        <f t="shared" si="2"/>
        <v>0</v>
      </c>
      <c r="N8" s="184">
        <f t="shared" si="2"/>
        <v>0</v>
      </c>
      <c r="O8" s="184">
        <f t="shared" si="2"/>
        <v>0</v>
      </c>
      <c r="P8" s="184">
        <f t="shared" ref="P8:Q8" si="3">SUM(P6:P7)</f>
        <v>0</v>
      </c>
      <c r="Q8" s="184">
        <f t="shared" si="3"/>
        <v>0</v>
      </c>
      <c r="R8" s="178">
        <f>SUM(I8:Q8)</f>
        <v>0</v>
      </c>
      <c r="S8" s="185">
        <f>(I8*$I$4)++(J8*$J$4)+(K8*$K$4)+(L8*$L$4)+(M8*$M$4)+(N8*$N$4)+(O8*$O$4)+(P8*$P$4)+(Q8*$Q$4)</f>
        <v>0</v>
      </c>
      <c r="T8" s="182">
        <f>T7</f>
        <v>0</v>
      </c>
      <c r="U8" s="18"/>
      <c r="V8" s="1263"/>
      <c r="W8" s="1260"/>
      <c r="X8" s="1266"/>
      <c r="Y8" s="1266"/>
      <c r="Z8" s="1257"/>
      <c r="AA8" s="1257"/>
      <c r="AB8" s="1257"/>
      <c r="AC8" s="1257"/>
      <c r="AD8" s="1257"/>
      <c r="AE8" s="1257"/>
      <c r="AF8" s="1257"/>
      <c r="AG8" s="1257"/>
      <c r="AH8" s="1257"/>
      <c r="AI8" s="1257"/>
      <c r="AJ8" s="1257"/>
      <c r="AK8" s="1257"/>
      <c r="AL8" s="1257"/>
      <c r="AM8" s="1257"/>
      <c r="AN8" s="1257"/>
      <c r="AO8" s="1257"/>
      <c r="AP8" s="1257"/>
      <c r="AQ8" s="1257"/>
      <c r="AR8" s="1257"/>
      <c r="AS8" s="1257"/>
      <c r="AT8" s="1257"/>
      <c r="AU8" s="1257"/>
      <c r="AV8" s="1257"/>
      <c r="AW8" s="1257"/>
      <c r="AX8" s="1257"/>
      <c r="AY8" s="1257"/>
      <c r="AZ8" s="1257"/>
      <c r="BA8" s="1257"/>
      <c r="BB8" s="1257"/>
      <c r="BC8" s="1257"/>
      <c r="BD8" s="1257"/>
      <c r="BE8" s="1257"/>
      <c r="BF8" s="1257"/>
      <c r="BG8" s="1257"/>
      <c r="BH8" s="1257"/>
      <c r="BI8" s="1257"/>
      <c r="BJ8" s="1257"/>
      <c r="BK8" s="1257"/>
      <c r="BL8" s="1257"/>
      <c r="BM8" s="1257"/>
      <c r="BN8" s="1257"/>
      <c r="BO8" s="1257"/>
      <c r="BP8" s="1257"/>
      <c r="BQ8" s="1257"/>
      <c r="BR8" s="1257"/>
      <c r="BS8" s="1257"/>
      <c r="BT8" s="1257"/>
      <c r="BU8" s="1257"/>
      <c r="BV8" s="1257"/>
      <c r="BW8" s="1257"/>
      <c r="BX8" s="1257"/>
      <c r="BY8" s="1257"/>
      <c r="BZ8" s="1257"/>
      <c r="CA8" s="1257"/>
      <c r="CB8" s="1257"/>
      <c r="CC8" s="1257"/>
      <c r="CD8" s="1257"/>
      <c r="CE8" s="1257"/>
      <c r="CF8" s="1257"/>
      <c r="CG8" s="1257"/>
      <c r="CH8" s="1257"/>
      <c r="CI8" s="1257"/>
      <c r="CJ8" s="1257"/>
      <c r="CK8" s="1257"/>
      <c r="CL8" s="1257"/>
      <c r="CM8" s="1257"/>
      <c r="CN8" s="1257"/>
      <c r="CO8" s="1257"/>
      <c r="CP8" s="1257"/>
      <c r="CQ8" s="1257"/>
      <c r="CR8" s="1257"/>
      <c r="CS8" s="1257"/>
      <c r="CT8" s="1257"/>
      <c r="CU8" s="1257"/>
      <c r="CV8" s="1257"/>
      <c r="CW8" s="1257"/>
      <c r="CX8" s="1257"/>
      <c r="CY8" s="1257"/>
      <c r="CZ8" s="1257"/>
      <c r="DA8" s="1257"/>
      <c r="DB8" s="1257"/>
      <c r="DC8" s="1257"/>
      <c r="DD8" s="1257"/>
      <c r="DE8" s="1257"/>
      <c r="DF8" s="1257"/>
      <c r="DG8" s="1257"/>
      <c r="DH8" s="1257"/>
      <c r="DI8" s="1257"/>
      <c r="DJ8" s="1257"/>
      <c r="DK8" s="1257"/>
      <c r="DL8" s="1257"/>
      <c r="DM8" s="1257"/>
      <c r="DN8" s="1257"/>
      <c r="DO8" s="1257"/>
      <c r="DP8" s="1257"/>
      <c r="DQ8" s="1257"/>
      <c r="DR8" s="1257"/>
      <c r="DS8" s="1257"/>
      <c r="DT8" s="1257"/>
      <c r="DU8" s="1257"/>
      <c r="DV8" s="1257"/>
      <c r="DW8" s="1257"/>
      <c r="DX8" s="1257"/>
      <c r="DY8" s="1257"/>
      <c r="DZ8" s="1257"/>
      <c r="EA8" s="1257"/>
      <c r="EB8" s="1257"/>
      <c r="EC8" s="1257"/>
      <c r="ED8" s="1257"/>
      <c r="EE8" s="1257"/>
      <c r="EF8" s="1257"/>
      <c r="EG8" s="1257"/>
      <c r="EH8" s="1257"/>
      <c r="EI8" s="1257"/>
      <c r="EJ8" s="1257"/>
      <c r="EK8" s="1257"/>
      <c r="EL8" s="1257"/>
      <c r="EM8" s="1257"/>
      <c r="EN8" s="1257"/>
      <c r="EO8" s="1257"/>
      <c r="EP8" s="1257"/>
      <c r="EQ8" s="1257"/>
      <c r="ER8" s="1257"/>
      <c r="ES8" s="1257"/>
      <c r="ET8" s="1257"/>
      <c r="EU8" s="1257"/>
      <c r="EV8" s="1257"/>
      <c r="EW8" s="1257"/>
      <c r="EX8" s="1257"/>
      <c r="EY8" s="1257"/>
      <c r="EZ8" s="1257"/>
      <c r="FA8" s="1257"/>
      <c r="FB8" s="1257"/>
      <c r="FC8" s="1257"/>
      <c r="FD8" s="1257"/>
      <c r="FE8" s="1257"/>
      <c r="FF8" s="1257"/>
      <c r="FG8" s="1257"/>
      <c r="FH8" s="1257"/>
      <c r="FI8" s="1257"/>
      <c r="FJ8" s="1257"/>
      <c r="FK8" s="1257"/>
      <c r="FL8" s="1257"/>
      <c r="FM8" s="1257"/>
      <c r="FN8" s="1257"/>
      <c r="FO8" s="1257"/>
      <c r="FP8" s="1257"/>
      <c r="FQ8" s="1257"/>
      <c r="FR8" s="1257"/>
      <c r="FS8" s="1257"/>
      <c r="FT8" s="186"/>
    </row>
    <row r="9" spans="1:176" s="198" customFormat="1" ht="15">
      <c r="A9" s="188" t="s">
        <v>1188</v>
      </c>
      <c r="B9" s="189" t="s">
        <v>487</v>
      </c>
      <c r="C9" s="190"/>
      <c r="D9" s="190"/>
      <c r="E9" s="190"/>
      <c r="F9" s="190"/>
      <c r="G9" s="190"/>
      <c r="H9" s="191"/>
      <c r="I9" s="191"/>
      <c r="J9" s="191"/>
      <c r="K9" s="191"/>
      <c r="L9" s="191"/>
      <c r="M9" s="191"/>
      <c r="N9" s="191"/>
      <c r="O9" s="191"/>
      <c r="P9" s="191"/>
      <c r="Q9" s="191"/>
      <c r="R9" s="191">
        <f>SUM(R10:R59)</f>
        <v>0</v>
      </c>
      <c r="S9" s="192">
        <f>SUM(S10:S59)</f>
        <v>0</v>
      </c>
      <c r="T9" s="192">
        <f>SUM(T10:T59)</f>
        <v>0</v>
      </c>
      <c r="U9" s="18"/>
      <c r="V9" s="193" t="str">
        <f>A9</f>
        <v>Phase:</v>
      </c>
      <c r="W9" s="194" t="str">
        <f>B9</f>
        <v>Initiate</v>
      </c>
      <c r="X9" s="195"/>
      <c r="Y9" s="195"/>
      <c r="Z9" s="196"/>
      <c r="AA9" s="196"/>
      <c r="AB9" s="196"/>
      <c r="AC9" s="196"/>
      <c r="AD9" s="196"/>
      <c r="AE9" s="196"/>
      <c r="AF9" s="196"/>
      <c r="AG9" s="196"/>
      <c r="AH9" s="196"/>
      <c r="AI9" s="196"/>
      <c r="AJ9" s="196"/>
      <c r="AK9" s="196"/>
      <c r="AL9" s="196"/>
      <c r="AM9" s="196"/>
      <c r="AN9" s="196"/>
      <c r="AO9" s="196"/>
      <c r="AP9" s="196"/>
      <c r="AQ9" s="196"/>
      <c r="AR9" s="196"/>
      <c r="AS9" s="196"/>
      <c r="AT9" s="196"/>
      <c r="AU9" s="196"/>
      <c r="AV9" s="196"/>
      <c r="AW9" s="196"/>
      <c r="AX9" s="196"/>
      <c r="AY9" s="196"/>
      <c r="AZ9" s="196"/>
      <c r="BA9" s="196"/>
      <c r="BB9" s="196"/>
      <c r="BC9" s="196"/>
      <c r="BD9" s="196"/>
      <c r="BE9" s="196"/>
      <c r="BF9" s="196"/>
      <c r="BG9" s="196"/>
      <c r="BH9" s="196"/>
      <c r="BI9" s="196"/>
      <c r="BJ9" s="196"/>
      <c r="BK9" s="196"/>
      <c r="BL9" s="196"/>
      <c r="BM9" s="196"/>
      <c r="BN9" s="196"/>
      <c r="BO9" s="196"/>
      <c r="BP9" s="196"/>
      <c r="BQ9" s="196"/>
      <c r="BR9" s="196"/>
      <c r="BS9" s="196"/>
      <c r="BT9" s="196"/>
      <c r="BU9" s="196"/>
      <c r="BV9" s="196"/>
      <c r="BW9" s="196"/>
      <c r="BX9" s="196"/>
      <c r="BY9" s="196"/>
      <c r="BZ9" s="196"/>
      <c r="CA9" s="196"/>
      <c r="CB9" s="196"/>
      <c r="CC9" s="196"/>
      <c r="CD9" s="196"/>
      <c r="CE9" s="196"/>
      <c r="CF9" s="196"/>
      <c r="CG9" s="196"/>
      <c r="CH9" s="196"/>
      <c r="CI9" s="196"/>
      <c r="CJ9" s="196"/>
      <c r="CK9" s="196"/>
      <c r="CL9" s="196"/>
      <c r="CM9" s="196"/>
      <c r="CN9" s="196"/>
      <c r="CO9" s="196"/>
      <c r="CP9" s="196"/>
      <c r="CQ9" s="196"/>
      <c r="CR9" s="196"/>
      <c r="CS9" s="196"/>
      <c r="CT9" s="196"/>
      <c r="CU9" s="196"/>
      <c r="CV9" s="196"/>
      <c r="CW9" s="196"/>
      <c r="CX9" s="196"/>
      <c r="CY9" s="196"/>
      <c r="CZ9" s="196"/>
      <c r="DA9" s="196"/>
      <c r="DB9" s="196"/>
      <c r="DC9" s="196"/>
      <c r="DD9" s="196"/>
      <c r="DE9" s="196"/>
      <c r="DF9" s="196"/>
      <c r="DG9" s="196"/>
      <c r="DH9" s="196"/>
      <c r="DI9" s="196"/>
      <c r="DJ9" s="196"/>
      <c r="DK9" s="196"/>
      <c r="DL9" s="196"/>
      <c r="DM9" s="196"/>
      <c r="DN9" s="196"/>
      <c r="DO9" s="196"/>
      <c r="DP9" s="196"/>
      <c r="DQ9" s="196"/>
      <c r="DR9" s="196"/>
      <c r="DS9" s="196"/>
      <c r="DT9" s="196"/>
      <c r="DU9" s="196"/>
      <c r="DV9" s="196"/>
      <c r="DW9" s="196"/>
      <c r="DX9" s="196"/>
      <c r="DY9" s="196"/>
      <c r="DZ9" s="196"/>
      <c r="EA9" s="196"/>
      <c r="EB9" s="196"/>
      <c r="EC9" s="196"/>
      <c r="ED9" s="196"/>
      <c r="EE9" s="196"/>
      <c r="EF9" s="196"/>
      <c r="EG9" s="196"/>
      <c r="EH9" s="196"/>
      <c r="EI9" s="196"/>
      <c r="EJ9" s="196"/>
      <c r="EK9" s="196"/>
      <c r="EL9" s="196"/>
      <c r="EM9" s="196"/>
      <c r="EN9" s="196"/>
      <c r="EO9" s="196"/>
      <c r="EP9" s="196"/>
      <c r="EQ9" s="196"/>
      <c r="ER9" s="196"/>
      <c r="ES9" s="196"/>
      <c r="ET9" s="196"/>
      <c r="EU9" s="196"/>
      <c r="EV9" s="196"/>
      <c r="EW9" s="196"/>
      <c r="EX9" s="196"/>
      <c r="EY9" s="196"/>
      <c r="EZ9" s="196"/>
      <c r="FA9" s="196"/>
      <c r="FB9" s="196"/>
      <c r="FC9" s="196"/>
      <c r="FD9" s="196"/>
      <c r="FE9" s="196"/>
      <c r="FF9" s="196"/>
      <c r="FG9" s="196"/>
      <c r="FH9" s="196"/>
      <c r="FI9" s="196"/>
      <c r="FJ9" s="196"/>
      <c r="FK9" s="196"/>
      <c r="FL9" s="196"/>
      <c r="FM9" s="196"/>
      <c r="FN9" s="196"/>
      <c r="FO9" s="196"/>
      <c r="FP9" s="196"/>
      <c r="FQ9" s="196"/>
      <c r="FR9" s="196"/>
      <c r="FS9" s="196"/>
      <c r="FT9" s="197"/>
    </row>
    <row r="10" spans="1:176" ht="60" outlineLevel="1">
      <c r="A10" s="199" t="s">
        <v>1230</v>
      </c>
      <c r="B10" s="200" t="s">
        <v>487</v>
      </c>
      <c r="C10" s="34" t="s">
        <v>1231</v>
      </c>
      <c r="D10" s="34" t="s">
        <v>1232</v>
      </c>
      <c r="E10" s="34"/>
      <c r="F10" s="34"/>
      <c r="G10" s="34" t="s">
        <v>1233</v>
      </c>
      <c r="H10" s="35" t="s">
        <v>488</v>
      </c>
      <c r="I10" s="36"/>
      <c r="J10" s="36"/>
      <c r="K10" s="36"/>
      <c r="L10" s="36"/>
      <c r="M10" s="36"/>
      <c r="N10" s="36"/>
      <c r="O10" s="36"/>
      <c r="P10" s="36"/>
      <c r="Q10" s="36"/>
      <c r="R10" s="201">
        <f t="shared" ref="R10:R41" si="4">SUM(I10:Q10)</f>
        <v>0</v>
      </c>
      <c r="S10" s="202">
        <f>(I10*$I$4)+(J10*$J$4)+(K10*$K$4)+(L10*$L$4)+(M10*$M$4)+(N10*$N$4)+(O10*$O$4)+(P10*$P$4)+(Q10*$Q$4)</f>
        <v>0</v>
      </c>
      <c r="T10" s="202">
        <f>IF(H10="Billable",(I10*$I$5)+(J10*$J$5)+(K10*$K$5)+(L10*$L$5)+(M10*$M$5)+(N10*$N$5)+(O10*$O$5)+(P10*$P$5)+(Q10*$Q$5),0)</f>
        <v>0</v>
      </c>
      <c r="U10" s="18"/>
      <c r="V10" s="199" t="str">
        <f t="shared" ref="V10:V73" si="5">A10</f>
        <v>1-1</v>
      </c>
      <c r="W10" s="203" t="str">
        <f t="shared" ref="W10:W41" si="6">IF(ISBLANK(C10),"",C10)</f>
        <v>Setup project</v>
      </c>
      <c r="X10" s="108">
        <v>8</v>
      </c>
      <c r="Y10" s="109">
        <v>10</v>
      </c>
      <c r="Z10" s="204"/>
      <c r="AA10" s="204"/>
      <c r="AB10" s="204"/>
      <c r="AC10" s="204"/>
      <c r="AD10" s="204"/>
      <c r="AE10" s="204"/>
      <c r="AF10" s="204"/>
      <c r="AG10" s="204"/>
      <c r="AH10" s="204"/>
      <c r="AI10" s="204"/>
      <c r="AJ10" s="204"/>
      <c r="AK10" s="204"/>
      <c r="AL10" s="204"/>
      <c r="AM10" s="204"/>
      <c r="AN10" s="204"/>
      <c r="AO10" s="204"/>
      <c r="AP10" s="204"/>
      <c r="AQ10" s="204"/>
      <c r="AR10" s="204"/>
      <c r="AS10" s="204"/>
      <c r="AT10" s="204"/>
      <c r="AU10" s="204"/>
      <c r="AV10" s="204"/>
      <c r="AW10" s="204"/>
      <c r="AX10" s="204"/>
      <c r="AY10" s="204"/>
      <c r="AZ10" s="204"/>
      <c r="BA10" s="204"/>
      <c r="BB10" s="204"/>
      <c r="BC10" s="204"/>
      <c r="BD10" s="204"/>
      <c r="BE10" s="204"/>
      <c r="BF10" s="204"/>
      <c r="BG10" s="204"/>
      <c r="BH10" s="204"/>
      <c r="BI10" s="204"/>
      <c r="BJ10" s="204"/>
      <c r="BK10" s="204"/>
      <c r="BL10" s="204"/>
      <c r="BM10" s="204"/>
      <c r="BN10" s="204"/>
      <c r="BO10" s="204"/>
      <c r="BP10" s="204"/>
      <c r="BQ10" s="204"/>
      <c r="BR10" s="204"/>
      <c r="BS10" s="204"/>
      <c r="BT10" s="204"/>
      <c r="BU10" s="204"/>
      <c r="BV10" s="204"/>
      <c r="BW10" s="204"/>
      <c r="BX10" s="204"/>
      <c r="BY10" s="204"/>
      <c r="BZ10" s="204"/>
      <c r="CA10" s="204"/>
      <c r="CB10" s="204"/>
      <c r="CC10" s="204"/>
      <c r="CD10" s="204"/>
      <c r="CE10" s="204"/>
      <c r="CF10" s="204"/>
      <c r="CG10" s="204"/>
      <c r="CH10" s="204"/>
      <c r="CI10" s="204"/>
      <c r="CJ10" s="204"/>
      <c r="CK10" s="204"/>
      <c r="CL10" s="204"/>
      <c r="CM10" s="204"/>
      <c r="CN10" s="204"/>
      <c r="CO10" s="204"/>
      <c r="CP10" s="204"/>
      <c r="CQ10" s="204"/>
      <c r="CR10" s="204"/>
      <c r="CS10" s="204"/>
      <c r="CT10" s="204"/>
      <c r="CU10" s="204"/>
      <c r="CV10" s="204"/>
      <c r="CW10" s="204"/>
      <c r="CX10" s="204"/>
      <c r="CY10" s="204"/>
      <c r="CZ10" s="204"/>
      <c r="DA10" s="204"/>
      <c r="DB10" s="204"/>
      <c r="DC10" s="204"/>
      <c r="DD10" s="204"/>
      <c r="DE10" s="204"/>
      <c r="DF10" s="204"/>
      <c r="DG10" s="204"/>
      <c r="DH10" s="204"/>
      <c r="DI10" s="204"/>
      <c r="DJ10" s="204"/>
      <c r="DK10" s="204"/>
      <c r="DL10" s="204"/>
      <c r="DM10" s="204"/>
      <c r="DN10" s="204"/>
      <c r="DO10" s="204"/>
      <c r="DP10" s="204"/>
      <c r="DQ10" s="204"/>
      <c r="DR10" s="204"/>
      <c r="DS10" s="204"/>
      <c r="DT10" s="204"/>
      <c r="DU10" s="204"/>
      <c r="DV10" s="204"/>
      <c r="DW10" s="204"/>
      <c r="DX10" s="204"/>
      <c r="DY10" s="204"/>
      <c r="DZ10" s="204"/>
      <c r="EA10" s="204"/>
      <c r="EB10" s="204"/>
      <c r="EC10" s="204"/>
      <c r="ED10" s="204"/>
      <c r="EE10" s="204"/>
      <c r="EF10" s="204"/>
      <c r="EG10" s="204"/>
      <c r="EH10" s="204"/>
      <c r="EI10" s="204"/>
      <c r="EJ10" s="204"/>
      <c r="EK10" s="204"/>
      <c r="EL10" s="204"/>
      <c r="EM10" s="204"/>
      <c r="EN10" s="204"/>
      <c r="EO10" s="204"/>
      <c r="EP10" s="204"/>
      <c r="EQ10" s="204"/>
      <c r="ER10" s="204"/>
      <c r="ES10" s="204"/>
      <c r="ET10" s="204"/>
      <c r="EU10" s="204"/>
      <c r="EV10" s="204"/>
      <c r="EW10" s="204"/>
      <c r="EX10" s="204"/>
      <c r="EY10" s="204"/>
      <c r="EZ10" s="204"/>
      <c r="FA10" s="204"/>
      <c r="FB10" s="204"/>
      <c r="FC10" s="204"/>
      <c r="FD10" s="204"/>
      <c r="FE10" s="204"/>
      <c r="FF10" s="204"/>
      <c r="FG10" s="204"/>
      <c r="FH10" s="204"/>
      <c r="FI10" s="204"/>
      <c r="FJ10" s="204"/>
      <c r="FK10" s="204"/>
      <c r="FL10" s="204"/>
      <c r="FM10" s="204"/>
      <c r="FN10" s="204"/>
      <c r="FO10" s="204"/>
      <c r="FP10" s="204"/>
      <c r="FQ10" s="204"/>
      <c r="FR10" s="204"/>
      <c r="FS10" s="205"/>
      <c r="FT10" s="156"/>
    </row>
    <row r="11" spans="1:176" ht="165" outlineLevel="1">
      <c r="A11" s="206" t="s">
        <v>1234</v>
      </c>
      <c r="B11" s="200" t="s">
        <v>487</v>
      </c>
      <c r="C11" s="34" t="s">
        <v>1235</v>
      </c>
      <c r="D11" s="34" t="s">
        <v>1236</v>
      </c>
      <c r="E11" s="34"/>
      <c r="F11" s="34"/>
      <c r="G11" s="34" t="s">
        <v>1237</v>
      </c>
      <c r="H11" s="37" t="s">
        <v>488</v>
      </c>
      <c r="I11" s="38"/>
      <c r="J11" s="38"/>
      <c r="K11" s="38"/>
      <c r="L11" s="38"/>
      <c r="M11" s="38"/>
      <c r="N11" s="38"/>
      <c r="O11" s="38"/>
      <c r="P11" s="38"/>
      <c r="Q11" s="38"/>
      <c r="R11" s="177">
        <f t="shared" si="4"/>
        <v>0</v>
      </c>
      <c r="S11" s="202">
        <f t="shared" ref="S11:S59" si="7">(I11*$I$4)+(J11*$J$4)+(K11*$K$4)+(L11*$L$4)+(M11*$M$4)+(N11*$N$4)+(O11*$O$4)+(P11*$P$4)+(Q11*$Q$4)</f>
        <v>0</v>
      </c>
      <c r="T11" s="202">
        <f t="shared" ref="T11:T59" si="8">IF(H11="Billable",(I11*$I$5)+(J11*$J$5)+(K11*$K$5)+(L11*$L$5)+(M11*$M$5)+(N11*$N$5)+(O11*$O$5)+(P11*$P$5)+(Q11*$Q$5),0)</f>
        <v>0</v>
      </c>
      <c r="U11" s="18"/>
      <c r="V11" s="206" t="str">
        <f t="shared" si="5"/>
        <v>1-2</v>
      </c>
      <c r="W11" s="203" t="str">
        <f t="shared" si="6"/>
        <v>Conduct project planning</v>
      </c>
      <c r="X11" s="110">
        <v>5</v>
      </c>
      <c r="Y11" s="109">
        <v>6</v>
      </c>
      <c r="Z11" s="207"/>
      <c r="AA11" s="207"/>
      <c r="AB11" s="207"/>
      <c r="AC11" s="207"/>
      <c r="AD11" s="207"/>
      <c r="AE11" s="207"/>
      <c r="AF11" s="207"/>
      <c r="AG11" s="207"/>
      <c r="AH11" s="207"/>
      <c r="AI11" s="207"/>
      <c r="AJ11" s="207"/>
      <c r="AK11" s="207"/>
      <c r="AL11" s="207"/>
      <c r="AM11" s="207"/>
      <c r="AN11" s="207"/>
      <c r="AO11" s="207"/>
      <c r="AP11" s="207"/>
      <c r="AQ11" s="207"/>
      <c r="AR11" s="207"/>
      <c r="AS11" s="207"/>
      <c r="AT11" s="207"/>
      <c r="AU11" s="207"/>
      <c r="AV11" s="207"/>
      <c r="AW11" s="207"/>
      <c r="AX11" s="207"/>
      <c r="AY11" s="207"/>
      <c r="AZ11" s="207"/>
      <c r="BA11" s="207"/>
      <c r="BB11" s="207"/>
      <c r="BC11" s="207"/>
      <c r="BD11" s="207"/>
      <c r="BE11" s="207"/>
      <c r="BF11" s="207"/>
      <c r="BG11" s="207"/>
      <c r="BH11" s="207"/>
      <c r="BI11" s="207"/>
      <c r="BJ11" s="207"/>
      <c r="BK11" s="207"/>
      <c r="BL11" s="207"/>
      <c r="BM11" s="207"/>
      <c r="BN11" s="207"/>
      <c r="BO11" s="207"/>
      <c r="BP11" s="207"/>
      <c r="BQ11" s="207"/>
      <c r="BR11" s="207"/>
      <c r="BS11" s="207"/>
      <c r="BT11" s="207"/>
      <c r="BU11" s="207"/>
      <c r="BV11" s="207"/>
      <c r="BW11" s="207"/>
      <c r="BX11" s="207"/>
      <c r="BY11" s="207"/>
      <c r="BZ11" s="207"/>
      <c r="CA11" s="207"/>
      <c r="CB11" s="207"/>
      <c r="CC11" s="207"/>
      <c r="CD11" s="207"/>
      <c r="CE11" s="207"/>
      <c r="CF11" s="207"/>
      <c r="CG11" s="207"/>
      <c r="CH11" s="207"/>
      <c r="CI11" s="207"/>
      <c r="CJ11" s="207"/>
      <c r="CK11" s="207"/>
      <c r="CL11" s="207"/>
      <c r="CM11" s="207"/>
      <c r="CN11" s="207"/>
      <c r="CO11" s="207"/>
      <c r="CP11" s="207"/>
      <c r="CQ11" s="207"/>
      <c r="CR11" s="207"/>
      <c r="CS11" s="207"/>
      <c r="CT11" s="207"/>
      <c r="CU11" s="207"/>
      <c r="CV11" s="207"/>
      <c r="CW11" s="207"/>
      <c r="CX11" s="207"/>
      <c r="CY11" s="207"/>
      <c r="CZ11" s="207"/>
      <c r="DA11" s="207"/>
      <c r="DB11" s="207"/>
      <c r="DC11" s="207"/>
      <c r="DD11" s="207"/>
      <c r="DE11" s="207"/>
      <c r="DF11" s="207"/>
      <c r="DG11" s="207"/>
      <c r="DH11" s="207"/>
      <c r="DI11" s="207"/>
      <c r="DJ11" s="207"/>
      <c r="DK11" s="207"/>
      <c r="DL11" s="207"/>
      <c r="DM11" s="207"/>
      <c r="DN11" s="207"/>
      <c r="DO11" s="207"/>
      <c r="DP11" s="207"/>
      <c r="DQ11" s="207"/>
      <c r="DR11" s="207"/>
      <c r="DS11" s="207"/>
      <c r="DT11" s="207"/>
      <c r="DU11" s="207"/>
      <c r="DV11" s="207"/>
      <c r="DW11" s="207"/>
      <c r="DX11" s="207"/>
      <c r="DY11" s="207"/>
      <c r="DZ11" s="207"/>
      <c r="EA11" s="207"/>
      <c r="EB11" s="207"/>
      <c r="EC11" s="207"/>
      <c r="ED11" s="207"/>
      <c r="EE11" s="207"/>
      <c r="EF11" s="207"/>
      <c r="EG11" s="207"/>
      <c r="EH11" s="207"/>
      <c r="EI11" s="207"/>
      <c r="EJ11" s="207"/>
      <c r="EK11" s="207"/>
      <c r="EL11" s="207"/>
      <c r="EM11" s="207"/>
      <c r="EN11" s="207"/>
      <c r="EO11" s="207"/>
      <c r="EP11" s="207"/>
      <c r="EQ11" s="207"/>
      <c r="ER11" s="207"/>
      <c r="ES11" s="207"/>
      <c r="ET11" s="207"/>
      <c r="EU11" s="207"/>
      <c r="EV11" s="207"/>
      <c r="EW11" s="207"/>
      <c r="EX11" s="207"/>
      <c r="EY11" s="207"/>
      <c r="EZ11" s="207"/>
      <c r="FA11" s="207"/>
      <c r="FB11" s="207"/>
      <c r="FC11" s="207"/>
      <c r="FD11" s="207"/>
      <c r="FE11" s="207"/>
      <c r="FF11" s="207"/>
      <c r="FG11" s="207"/>
      <c r="FH11" s="207"/>
      <c r="FI11" s="207"/>
      <c r="FJ11" s="207"/>
      <c r="FK11" s="207"/>
      <c r="FL11" s="207"/>
      <c r="FM11" s="207"/>
      <c r="FN11" s="207"/>
      <c r="FO11" s="207"/>
      <c r="FP11" s="207"/>
      <c r="FQ11" s="207"/>
      <c r="FR11" s="207"/>
      <c r="FS11" s="208"/>
      <c r="FT11" s="156"/>
    </row>
    <row r="12" spans="1:176" ht="75" outlineLevel="1">
      <c r="A12" s="206" t="s">
        <v>1238</v>
      </c>
      <c r="B12" s="200" t="s">
        <v>487</v>
      </c>
      <c r="C12" s="34" t="s">
        <v>1239</v>
      </c>
      <c r="D12" s="34" t="s">
        <v>1240</v>
      </c>
      <c r="E12" s="34"/>
      <c r="F12" s="34"/>
      <c r="G12" s="34" t="s">
        <v>1241</v>
      </c>
      <c r="H12" s="35" t="s">
        <v>488</v>
      </c>
      <c r="I12" s="38"/>
      <c r="J12" s="38"/>
      <c r="K12" s="38"/>
      <c r="L12" s="38"/>
      <c r="M12" s="38"/>
      <c r="N12" s="38"/>
      <c r="O12" s="38"/>
      <c r="P12" s="38"/>
      <c r="Q12" s="38"/>
      <c r="R12" s="177">
        <f t="shared" si="4"/>
        <v>0</v>
      </c>
      <c r="S12" s="202">
        <f t="shared" si="7"/>
        <v>0</v>
      </c>
      <c r="T12" s="202">
        <f t="shared" si="8"/>
        <v>0</v>
      </c>
      <c r="U12" s="18"/>
      <c r="V12" s="206" t="str">
        <f t="shared" si="5"/>
        <v>1-3</v>
      </c>
      <c r="W12" s="203" t="str">
        <f t="shared" si="6"/>
        <v>Coordinate onboarding of team members to client environments</v>
      </c>
      <c r="X12" s="110"/>
      <c r="Y12" s="109"/>
      <c r="Z12" s="207"/>
      <c r="AA12" s="207"/>
      <c r="AB12" s="207"/>
      <c r="AC12" s="207"/>
      <c r="AD12" s="207"/>
      <c r="AE12" s="207"/>
      <c r="AF12" s="207"/>
      <c r="AG12" s="207"/>
      <c r="AH12" s="207"/>
      <c r="AI12" s="207"/>
      <c r="AJ12" s="207"/>
      <c r="AK12" s="207"/>
      <c r="AL12" s="207"/>
      <c r="AM12" s="207"/>
      <c r="AN12" s="207"/>
      <c r="AO12" s="207"/>
      <c r="AP12" s="207"/>
      <c r="AQ12" s="207"/>
      <c r="AR12" s="207"/>
      <c r="AS12" s="207"/>
      <c r="AT12" s="207"/>
      <c r="AU12" s="207"/>
      <c r="AV12" s="207"/>
      <c r="AW12" s="207"/>
      <c r="AX12" s="207"/>
      <c r="AY12" s="207"/>
      <c r="AZ12" s="207"/>
      <c r="BA12" s="207"/>
      <c r="BB12" s="207"/>
      <c r="BC12" s="207"/>
      <c r="BD12" s="207"/>
      <c r="BE12" s="207"/>
      <c r="BF12" s="207"/>
      <c r="BG12" s="207"/>
      <c r="BH12" s="207"/>
      <c r="BI12" s="207"/>
      <c r="BJ12" s="207"/>
      <c r="BK12" s="207"/>
      <c r="BL12" s="207"/>
      <c r="BM12" s="207"/>
      <c r="BN12" s="207"/>
      <c r="BO12" s="207"/>
      <c r="BP12" s="207"/>
      <c r="BQ12" s="207"/>
      <c r="BR12" s="207"/>
      <c r="BS12" s="207"/>
      <c r="BT12" s="207"/>
      <c r="BU12" s="207"/>
      <c r="BV12" s="207"/>
      <c r="BW12" s="207"/>
      <c r="BX12" s="207"/>
      <c r="BY12" s="207"/>
      <c r="BZ12" s="207"/>
      <c r="CA12" s="207"/>
      <c r="CB12" s="207"/>
      <c r="CC12" s="207"/>
      <c r="CD12" s="207"/>
      <c r="CE12" s="207"/>
      <c r="CF12" s="207"/>
      <c r="CG12" s="207"/>
      <c r="CH12" s="207"/>
      <c r="CI12" s="207"/>
      <c r="CJ12" s="207"/>
      <c r="CK12" s="207"/>
      <c r="CL12" s="207"/>
      <c r="CM12" s="207"/>
      <c r="CN12" s="207"/>
      <c r="CO12" s="207"/>
      <c r="CP12" s="207"/>
      <c r="CQ12" s="207"/>
      <c r="CR12" s="207"/>
      <c r="CS12" s="207"/>
      <c r="CT12" s="207"/>
      <c r="CU12" s="207"/>
      <c r="CV12" s="207"/>
      <c r="CW12" s="207"/>
      <c r="CX12" s="207"/>
      <c r="CY12" s="207"/>
      <c r="CZ12" s="207"/>
      <c r="DA12" s="207"/>
      <c r="DB12" s="207"/>
      <c r="DC12" s="207"/>
      <c r="DD12" s="207"/>
      <c r="DE12" s="207"/>
      <c r="DF12" s="207"/>
      <c r="DG12" s="207"/>
      <c r="DH12" s="207"/>
      <c r="DI12" s="207"/>
      <c r="DJ12" s="207"/>
      <c r="DK12" s="207"/>
      <c r="DL12" s="207"/>
      <c r="DM12" s="207"/>
      <c r="DN12" s="207"/>
      <c r="DO12" s="207"/>
      <c r="DP12" s="207"/>
      <c r="DQ12" s="207"/>
      <c r="DR12" s="207"/>
      <c r="DS12" s="207"/>
      <c r="DT12" s="207"/>
      <c r="DU12" s="207"/>
      <c r="DV12" s="207"/>
      <c r="DW12" s="207"/>
      <c r="DX12" s="207"/>
      <c r="DY12" s="207"/>
      <c r="DZ12" s="207"/>
      <c r="EA12" s="207"/>
      <c r="EB12" s="207"/>
      <c r="EC12" s="207"/>
      <c r="ED12" s="207"/>
      <c r="EE12" s="207"/>
      <c r="EF12" s="207"/>
      <c r="EG12" s="207"/>
      <c r="EH12" s="207"/>
      <c r="EI12" s="207"/>
      <c r="EJ12" s="207"/>
      <c r="EK12" s="207"/>
      <c r="EL12" s="207"/>
      <c r="EM12" s="207"/>
      <c r="EN12" s="207"/>
      <c r="EO12" s="207"/>
      <c r="EP12" s="207"/>
      <c r="EQ12" s="207"/>
      <c r="ER12" s="207"/>
      <c r="ES12" s="207"/>
      <c r="ET12" s="207"/>
      <c r="EU12" s="207"/>
      <c r="EV12" s="207"/>
      <c r="EW12" s="207"/>
      <c r="EX12" s="207"/>
      <c r="EY12" s="207"/>
      <c r="EZ12" s="207"/>
      <c r="FA12" s="207"/>
      <c r="FB12" s="207"/>
      <c r="FC12" s="207"/>
      <c r="FD12" s="207"/>
      <c r="FE12" s="207"/>
      <c r="FF12" s="207"/>
      <c r="FG12" s="207"/>
      <c r="FH12" s="207"/>
      <c r="FI12" s="207"/>
      <c r="FJ12" s="207"/>
      <c r="FK12" s="207"/>
      <c r="FL12" s="207"/>
      <c r="FM12" s="207"/>
      <c r="FN12" s="207"/>
      <c r="FO12" s="207"/>
      <c r="FP12" s="207"/>
      <c r="FQ12" s="207"/>
      <c r="FR12" s="207"/>
      <c r="FS12" s="208"/>
      <c r="FT12" s="156"/>
    </row>
    <row r="13" spans="1:176" ht="75" outlineLevel="1">
      <c r="A13" s="206" t="s">
        <v>1242</v>
      </c>
      <c r="B13" s="200" t="s">
        <v>487</v>
      </c>
      <c r="C13" s="34" t="s">
        <v>1243</v>
      </c>
      <c r="D13" s="34" t="s">
        <v>1244</v>
      </c>
      <c r="E13" s="34"/>
      <c r="F13" s="34"/>
      <c r="G13" s="34" t="s">
        <v>1245</v>
      </c>
      <c r="H13" s="37" t="s">
        <v>488</v>
      </c>
      <c r="I13" s="38"/>
      <c r="J13" s="38"/>
      <c r="K13" s="38"/>
      <c r="L13" s="38"/>
      <c r="M13" s="38"/>
      <c r="N13" s="38"/>
      <c r="O13" s="38"/>
      <c r="P13" s="38"/>
      <c r="Q13" s="38"/>
      <c r="R13" s="177">
        <f t="shared" si="4"/>
        <v>0</v>
      </c>
      <c r="S13" s="202">
        <f t="shared" si="7"/>
        <v>0</v>
      </c>
      <c r="T13" s="202">
        <f t="shared" si="8"/>
        <v>0</v>
      </c>
      <c r="U13" s="18"/>
      <c r="V13" s="206" t="str">
        <f t="shared" si="5"/>
        <v>1-4</v>
      </c>
      <c r="W13" s="203" t="str">
        <f t="shared" si="6"/>
        <v>Conduct executive sponsor visioning and objective setting meeting</v>
      </c>
      <c r="X13" s="110"/>
      <c r="Y13" s="109"/>
      <c r="Z13" s="207"/>
      <c r="AA13" s="207"/>
      <c r="AB13" s="207"/>
      <c r="AC13" s="207"/>
      <c r="AD13" s="207"/>
      <c r="AE13" s="207"/>
      <c r="AF13" s="207"/>
      <c r="AG13" s="207"/>
      <c r="AH13" s="207"/>
      <c r="AI13" s="207"/>
      <c r="AJ13" s="207"/>
      <c r="AK13" s="207"/>
      <c r="AL13" s="207"/>
      <c r="AM13" s="207"/>
      <c r="AN13" s="207"/>
      <c r="AO13" s="207"/>
      <c r="AP13" s="207"/>
      <c r="AQ13" s="207"/>
      <c r="AR13" s="207"/>
      <c r="AS13" s="207"/>
      <c r="AT13" s="207"/>
      <c r="AU13" s="207"/>
      <c r="AV13" s="207"/>
      <c r="AW13" s="207"/>
      <c r="AX13" s="207"/>
      <c r="AY13" s="207"/>
      <c r="AZ13" s="207"/>
      <c r="BA13" s="207"/>
      <c r="BB13" s="207"/>
      <c r="BC13" s="207"/>
      <c r="BD13" s="207"/>
      <c r="BE13" s="207"/>
      <c r="BF13" s="207"/>
      <c r="BG13" s="207"/>
      <c r="BH13" s="207"/>
      <c r="BI13" s="207"/>
      <c r="BJ13" s="207"/>
      <c r="BK13" s="207"/>
      <c r="BL13" s="207"/>
      <c r="BM13" s="207"/>
      <c r="BN13" s="207"/>
      <c r="BO13" s="207"/>
      <c r="BP13" s="207"/>
      <c r="BQ13" s="207"/>
      <c r="BR13" s="207"/>
      <c r="BS13" s="207"/>
      <c r="BT13" s="207"/>
      <c r="BU13" s="207"/>
      <c r="BV13" s="207"/>
      <c r="BW13" s="207"/>
      <c r="BX13" s="207"/>
      <c r="BY13" s="207"/>
      <c r="BZ13" s="207"/>
      <c r="CA13" s="207"/>
      <c r="CB13" s="207"/>
      <c r="CC13" s="207"/>
      <c r="CD13" s="207"/>
      <c r="CE13" s="207"/>
      <c r="CF13" s="207"/>
      <c r="CG13" s="207"/>
      <c r="CH13" s="207"/>
      <c r="CI13" s="207"/>
      <c r="CJ13" s="207"/>
      <c r="CK13" s="207"/>
      <c r="CL13" s="207"/>
      <c r="CM13" s="207"/>
      <c r="CN13" s="207"/>
      <c r="CO13" s="207"/>
      <c r="CP13" s="207"/>
      <c r="CQ13" s="207"/>
      <c r="CR13" s="207"/>
      <c r="CS13" s="207"/>
      <c r="CT13" s="207"/>
      <c r="CU13" s="207"/>
      <c r="CV13" s="207"/>
      <c r="CW13" s="207"/>
      <c r="CX13" s="207"/>
      <c r="CY13" s="207"/>
      <c r="CZ13" s="207"/>
      <c r="DA13" s="207"/>
      <c r="DB13" s="207"/>
      <c r="DC13" s="207"/>
      <c r="DD13" s="207"/>
      <c r="DE13" s="207"/>
      <c r="DF13" s="207"/>
      <c r="DG13" s="207"/>
      <c r="DH13" s="207"/>
      <c r="DI13" s="207"/>
      <c r="DJ13" s="207"/>
      <c r="DK13" s="207"/>
      <c r="DL13" s="207"/>
      <c r="DM13" s="207"/>
      <c r="DN13" s="207"/>
      <c r="DO13" s="207"/>
      <c r="DP13" s="207"/>
      <c r="DQ13" s="207"/>
      <c r="DR13" s="207"/>
      <c r="DS13" s="207"/>
      <c r="DT13" s="207"/>
      <c r="DU13" s="207"/>
      <c r="DV13" s="207"/>
      <c r="DW13" s="207"/>
      <c r="DX13" s="207"/>
      <c r="DY13" s="207"/>
      <c r="DZ13" s="207"/>
      <c r="EA13" s="207"/>
      <c r="EB13" s="207"/>
      <c r="EC13" s="207"/>
      <c r="ED13" s="207"/>
      <c r="EE13" s="207"/>
      <c r="EF13" s="207"/>
      <c r="EG13" s="207"/>
      <c r="EH13" s="207"/>
      <c r="EI13" s="207"/>
      <c r="EJ13" s="207"/>
      <c r="EK13" s="207"/>
      <c r="EL13" s="207"/>
      <c r="EM13" s="207"/>
      <c r="EN13" s="207"/>
      <c r="EO13" s="207"/>
      <c r="EP13" s="207"/>
      <c r="EQ13" s="207"/>
      <c r="ER13" s="207"/>
      <c r="ES13" s="207"/>
      <c r="ET13" s="207"/>
      <c r="EU13" s="207"/>
      <c r="EV13" s="207"/>
      <c r="EW13" s="207"/>
      <c r="EX13" s="207"/>
      <c r="EY13" s="207"/>
      <c r="EZ13" s="207"/>
      <c r="FA13" s="207"/>
      <c r="FB13" s="207"/>
      <c r="FC13" s="207"/>
      <c r="FD13" s="207"/>
      <c r="FE13" s="207"/>
      <c r="FF13" s="207"/>
      <c r="FG13" s="207"/>
      <c r="FH13" s="207"/>
      <c r="FI13" s="207"/>
      <c r="FJ13" s="207"/>
      <c r="FK13" s="207"/>
      <c r="FL13" s="207"/>
      <c r="FM13" s="207"/>
      <c r="FN13" s="207"/>
      <c r="FO13" s="207"/>
      <c r="FP13" s="207"/>
      <c r="FQ13" s="207"/>
      <c r="FR13" s="207"/>
      <c r="FS13" s="208"/>
      <c r="FT13" s="156"/>
    </row>
    <row r="14" spans="1:176" ht="30" outlineLevel="1">
      <c r="A14" s="206" t="s">
        <v>1246</v>
      </c>
      <c r="B14" s="200" t="s">
        <v>487</v>
      </c>
      <c r="C14" s="34" t="s">
        <v>1247</v>
      </c>
      <c r="D14" s="34" t="s">
        <v>1248</v>
      </c>
      <c r="E14" s="34"/>
      <c r="F14" s="34"/>
      <c r="G14" s="34"/>
      <c r="H14" s="35" t="s">
        <v>488</v>
      </c>
      <c r="I14" s="38"/>
      <c r="J14" s="38"/>
      <c r="K14" s="38"/>
      <c r="L14" s="38"/>
      <c r="M14" s="38"/>
      <c r="N14" s="38"/>
      <c r="O14" s="38"/>
      <c r="P14" s="38"/>
      <c r="Q14" s="38"/>
      <c r="R14" s="177">
        <f t="shared" si="4"/>
        <v>0</v>
      </c>
      <c r="S14" s="202">
        <f t="shared" si="7"/>
        <v>0</v>
      </c>
      <c r="T14" s="202">
        <f t="shared" si="8"/>
        <v>0</v>
      </c>
      <c r="U14" s="18"/>
      <c r="V14" s="206" t="str">
        <f t="shared" si="5"/>
        <v>1-5</v>
      </c>
      <c r="W14" s="203" t="str">
        <f t="shared" si="6"/>
        <v>Prepare for project kickoff meeting</v>
      </c>
      <c r="X14" s="110"/>
      <c r="Y14" s="109"/>
      <c r="Z14" s="207"/>
      <c r="AA14" s="207"/>
      <c r="AB14" s="207"/>
      <c r="AC14" s="207"/>
      <c r="AD14" s="207"/>
      <c r="AE14" s="207"/>
      <c r="AF14" s="207"/>
      <c r="AG14" s="207"/>
      <c r="AH14" s="207"/>
      <c r="AI14" s="207"/>
      <c r="AJ14" s="207"/>
      <c r="AK14" s="207"/>
      <c r="AL14" s="207"/>
      <c r="AM14" s="207"/>
      <c r="AN14" s="207"/>
      <c r="AO14" s="207"/>
      <c r="AP14" s="207"/>
      <c r="AQ14" s="207"/>
      <c r="AR14" s="207"/>
      <c r="AS14" s="207"/>
      <c r="AT14" s="207"/>
      <c r="AU14" s="207"/>
      <c r="AV14" s="207"/>
      <c r="AW14" s="207"/>
      <c r="AX14" s="207"/>
      <c r="AY14" s="207"/>
      <c r="AZ14" s="207"/>
      <c r="BA14" s="207"/>
      <c r="BB14" s="207"/>
      <c r="BC14" s="207"/>
      <c r="BD14" s="207"/>
      <c r="BE14" s="207"/>
      <c r="BF14" s="207"/>
      <c r="BG14" s="207"/>
      <c r="BH14" s="207"/>
      <c r="BI14" s="207"/>
      <c r="BJ14" s="207"/>
      <c r="BK14" s="207"/>
      <c r="BL14" s="207"/>
      <c r="BM14" s="207"/>
      <c r="BN14" s="207"/>
      <c r="BO14" s="207"/>
      <c r="BP14" s="207"/>
      <c r="BQ14" s="207"/>
      <c r="BR14" s="207"/>
      <c r="BS14" s="207"/>
      <c r="BT14" s="207"/>
      <c r="BU14" s="207"/>
      <c r="BV14" s="207"/>
      <c r="BW14" s="207"/>
      <c r="BX14" s="207"/>
      <c r="BY14" s="207"/>
      <c r="BZ14" s="207"/>
      <c r="CA14" s="207"/>
      <c r="CB14" s="207"/>
      <c r="CC14" s="207"/>
      <c r="CD14" s="207"/>
      <c r="CE14" s="207"/>
      <c r="CF14" s="207"/>
      <c r="CG14" s="207"/>
      <c r="CH14" s="207"/>
      <c r="CI14" s="207"/>
      <c r="CJ14" s="207"/>
      <c r="CK14" s="207"/>
      <c r="CL14" s="207"/>
      <c r="CM14" s="207"/>
      <c r="CN14" s="207"/>
      <c r="CO14" s="207"/>
      <c r="CP14" s="207"/>
      <c r="CQ14" s="207"/>
      <c r="CR14" s="207"/>
      <c r="CS14" s="207"/>
      <c r="CT14" s="207"/>
      <c r="CU14" s="207"/>
      <c r="CV14" s="207"/>
      <c r="CW14" s="207"/>
      <c r="CX14" s="207"/>
      <c r="CY14" s="207"/>
      <c r="CZ14" s="207"/>
      <c r="DA14" s="207"/>
      <c r="DB14" s="207"/>
      <c r="DC14" s="207"/>
      <c r="DD14" s="207"/>
      <c r="DE14" s="207"/>
      <c r="DF14" s="207"/>
      <c r="DG14" s="207"/>
      <c r="DH14" s="207"/>
      <c r="DI14" s="207"/>
      <c r="DJ14" s="207"/>
      <c r="DK14" s="207"/>
      <c r="DL14" s="207"/>
      <c r="DM14" s="207"/>
      <c r="DN14" s="207"/>
      <c r="DO14" s="207"/>
      <c r="DP14" s="207"/>
      <c r="DQ14" s="207"/>
      <c r="DR14" s="207"/>
      <c r="DS14" s="207"/>
      <c r="DT14" s="207"/>
      <c r="DU14" s="207"/>
      <c r="DV14" s="207"/>
      <c r="DW14" s="207"/>
      <c r="DX14" s="207"/>
      <c r="DY14" s="207"/>
      <c r="DZ14" s="207"/>
      <c r="EA14" s="207"/>
      <c r="EB14" s="207"/>
      <c r="EC14" s="207"/>
      <c r="ED14" s="207"/>
      <c r="EE14" s="207"/>
      <c r="EF14" s="207"/>
      <c r="EG14" s="207"/>
      <c r="EH14" s="207"/>
      <c r="EI14" s="207"/>
      <c r="EJ14" s="207"/>
      <c r="EK14" s="207"/>
      <c r="EL14" s="207"/>
      <c r="EM14" s="207"/>
      <c r="EN14" s="207"/>
      <c r="EO14" s="207"/>
      <c r="EP14" s="207"/>
      <c r="EQ14" s="207"/>
      <c r="ER14" s="207"/>
      <c r="ES14" s="207"/>
      <c r="ET14" s="207"/>
      <c r="EU14" s="207"/>
      <c r="EV14" s="207"/>
      <c r="EW14" s="207"/>
      <c r="EX14" s="207"/>
      <c r="EY14" s="207"/>
      <c r="EZ14" s="207"/>
      <c r="FA14" s="207"/>
      <c r="FB14" s="207"/>
      <c r="FC14" s="207"/>
      <c r="FD14" s="207"/>
      <c r="FE14" s="207"/>
      <c r="FF14" s="207"/>
      <c r="FG14" s="207"/>
      <c r="FH14" s="207"/>
      <c r="FI14" s="207"/>
      <c r="FJ14" s="207"/>
      <c r="FK14" s="207"/>
      <c r="FL14" s="207"/>
      <c r="FM14" s="207"/>
      <c r="FN14" s="207"/>
      <c r="FO14" s="207"/>
      <c r="FP14" s="207"/>
      <c r="FQ14" s="207"/>
      <c r="FR14" s="207"/>
      <c r="FS14" s="208"/>
      <c r="FT14" s="156"/>
    </row>
    <row r="15" spans="1:176" ht="45" outlineLevel="1">
      <c r="A15" s="206" t="s">
        <v>1249</v>
      </c>
      <c r="B15" s="200" t="s">
        <v>487</v>
      </c>
      <c r="C15" s="34" t="s">
        <v>1250</v>
      </c>
      <c r="D15" s="34" t="s">
        <v>1251</v>
      </c>
      <c r="E15" s="34"/>
      <c r="F15" s="34"/>
      <c r="G15" s="34"/>
      <c r="H15" s="37" t="s">
        <v>488</v>
      </c>
      <c r="I15" s="38"/>
      <c r="J15" s="38"/>
      <c r="K15" s="38"/>
      <c r="L15" s="38"/>
      <c r="M15" s="38"/>
      <c r="N15" s="38"/>
      <c r="O15" s="38"/>
      <c r="P15" s="38"/>
      <c r="Q15" s="38"/>
      <c r="R15" s="177">
        <f t="shared" si="4"/>
        <v>0</v>
      </c>
      <c r="S15" s="202">
        <f t="shared" si="7"/>
        <v>0</v>
      </c>
      <c r="T15" s="202">
        <f t="shared" si="8"/>
        <v>0</v>
      </c>
      <c r="U15" s="18"/>
      <c r="V15" s="206" t="str">
        <f t="shared" si="5"/>
        <v>1-6</v>
      </c>
      <c r="W15" s="203" t="str">
        <f t="shared" si="6"/>
        <v>Conduct project kickoff meeting</v>
      </c>
      <c r="X15" s="110"/>
      <c r="Y15" s="109"/>
      <c r="Z15" s="207"/>
      <c r="AA15" s="207"/>
      <c r="AB15" s="207"/>
      <c r="AC15" s="207"/>
      <c r="AD15" s="207"/>
      <c r="AE15" s="207"/>
      <c r="AF15" s="207"/>
      <c r="AG15" s="207"/>
      <c r="AH15" s="207"/>
      <c r="AI15" s="207"/>
      <c r="AJ15" s="207"/>
      <c r="AK15" s="207"/>
      <c r="AL15" s="207"/>
      <c r="AM15" s="207"/>
      <c r="AN15" s="207"/>
      <c r="AO15" s="207"/>
      <c r="AP15" s="207"/>
      <c r="AQ15" s="207"/>
      <c r="AR15" s="207"/>
      <c r="AS15" s="207"/>
      <c r="AT15" s="207"/>
      <c r="AU15" s="207"/>
      <c r="AV15" s="207"/>
      <c r="AW15" s="207"/>
      <c r="AX15" s="207"/>
      <c r="AY15" s="207"/>
      <c r="AZ15" s="207"/>
      <c r="BA15" s="207"/>
      <c r="BB15" s="207"/>
      <c r="BC15" s="207"/>
      <c r="BD15" s="207"/>
      <c r="BE15" s="207"/>
      <c r="BF15" s="207"/>
      <c r="BG15" s="207"/>
      <c r="BH15" s="207"/>
      <c r="BI15" s="207"/>
      <c r="BJ15" s="207"/>
      <c r="BK15" s="207"/>
      <c r="BL15" s="207"/>
      <c r="BM15" s="207"/>
      <c r="BN15" s="207"/>
      <c r="BO15" s="207"/>
      <c r="BP15" s="207"/>
      <c r="BQ15" s="207"/>
      <c r="BR15" s="207"/>
      <c r="BS15" s="207"/>
      <c r="BT15" s="207"/>
      <c r="BU15" s="207"/>
      <c r="BV15" s="207"/>
      <c r="BW15" s="207"/>
      <c r="BX15" s="207"/>
      <c r="BY15" s="207"/>
      <c r="BZ15" s="207"/>
      <c r="CA15" s="207"/>
      <c r="CB15" s="207"/>
      <c r="CC15" s="207"/>
      <c r="CD15" s="207"/>
      <c r="CE15" s="207"/>
      <c r="CF15" s="207"/>
      <c r="CG15" s="207"/>
      <c r="CH15" s="207"/>
      <c r="CI15" s="207"/>
      <c r="CJ15" s="207"/>
      <c r="CK15" s="207"/>
      <c r="CL15" s="207"/>
      <c r="CM15" s="207"/>
      <c r="CN15" s="207"/>
      <c r="CO15" s="207"/>
      <c r="CP15" s="207"/>
      <c r="CQ15" s="207"/>
      <c r="CR15" s="207"/>
      <c r="CS15" s="207"/>
      <c r="CT15" s="207"/>
      <c r="CU15" s="207"/>
      <c r="CV15" s="207"/>
      <c r="CW15" s="207"/>
      <c r="CX15" s="207"/>
      <c r="CY15" s="207"/>
      <c r="CZ15" s="207"/>
      <c r="DA15" s="207"/>
      <c r="DB15" s="207"/>
      <c r="DC15" s="207"/>
      <c r="DD15" s="207"/>
      <c r="DE15" s="207"/>
      <c r="DF15" s="207"/>
      <c r="DG15" s="207"/>
      <c r="DH15" s="207"/>
      <c r="DI15" s="207"/>
      <c r="DJ15" s="207"/>
      <c r="DK15" s="207"/>
      <c r="DL15" s="207"/>
      <c r="DM15" s="207"/>
      <c r="DN15" s="207"/>
      <c r="DO15" s="207"/>
      <c r="DP15" s="207"/>
      <c r="DQ15" s="207"/>
      <c r="DR15" s="207"/>
      <c r="DS15" s="207"/>
      <c r="DT15" s="207"/>
      <c r="DU15" s="207"/>
      <c r="DV15" s="207"/>
      <c r="DW15" s="207"/>
      <c r="DX15" s="207"/>
      <c r="DY15" s="207"/>
      <c r="DZ15" s="207"/>
      <c r="EA15" s="207"/>
      <c r="EB15" s="207"/>
      <c r="EC15" s="207"/>
      <c r="ED15" s="207"/>
      <c r="EE15" s="207"/>
      <c r="EF15" s="207"/>
      <c r="EG15" s="207"/>
      <c r="EH15" s="207"/>
      <c r="EI15" s="207"/>
      <c r="EJ15" s="207"/>
      <c r="EK15" s="207"/>
      <c r="EL15" s="207"/>
      <c r="EM15" s="207"/>
      <c r="EN15" s="207"/>
      <c r="EO15" s="207"/>
      <c r="EP15" s="207"/>
      <c r="EQ15" s="207"/>
      <c r="ER15" s="207"/>
      <c r="ES15" s="207"/>
      <c r="ET15" s="207"/>
      <c r="EU15" s="207"/>
      <c r="EV15" s="207"/>
      <c r="EW15" s="207"/>
      <c r="EX15" s="207"/>
      <c r="EY15" s="207"/>
      <c r="EZ15" s="207"/>
      <c r="FA15" s="207"/>
      <c r="FB15" s="207"/>
      <c r="FC15" s="207"/>
      <c r="FD15" s="207"/>
      <c r="FE15" s="207"/>
      <c r="FF15" s="207"/>
      <c r="FG15" s="207"/>
      <c r="FH15" s="207"/>
      <c r="FI15" s="207"/>
      <c r="FJ15" s="207"/>
      <c r="FK15" s="207"/>
      <c r="FL15" s="207"/>
      <c r="FM15" s="207"/>
      <c r="FN15" s="207"/>
      <c r="FO15" s="207"/>
      <c r="FP15" s="207"/>
      <c r="FQ15" s="207"/>
      <c r="FR15" s="207"/>
      <c r="FS15" s="208"/>
      <c r="FT15" s="156"/>
    </row>
    <row r="16" spans="1:176" ht="15" outlineLevel="1">
      <c r="A16" s="206" t="s">
        <v>1252</v>
      </c>
      <c r="B16" s="200" t="s">
        <v>487</v>
      </c>
      <c r="C16" s="34"/>
      <c r="D16" s="34"/>
      <c r="E16" s="34"/>
      <c r="F16" s="34"/>
      <c r="G16" s="34"/>
      <c r="H16" s="35" t="s">
        <v>488</v>
      </c>
      <c r="I16" s="38"/>
      <c r="J16" s="38"/>
      <c r="K16" s="38"/>
      <c r="L16" s="38"/>
      <c r="M16" s="38"/>
      <c r="N16" s="38"/>
      <c r="O16" s="38"/>
      <c r="P16" s="38"/>
      <c r="Q16" s="38"/>
      <c r="R16" s="177">
        <f t="shared" si="4"/>
        <v>0</v>
      </c>
      <c r="S16" s="202">
        <f t="shared" si="7"/>
        <v>0</v>
      </c>
      <c r="T16" s="202">
        <f t="shared" si="8"/>
        <v>0</v>
      </c>
      <c r="U16" s="18"/>
      <c r="V16" s="206" t="str">
        <f t="shared" si="5"/>
        <v>1-7</v>
      </c>
      <c r="W16" s="203" t="str">
        <f t="shared" si="6"/>
        <v/>
      </c>
      <c r="X16" s="110"/>
      <c r="Y16" s="109"/>
      <c r="Z16" s="207"/>
      <c r="AA16" s="207"/>
      <c r="AB16" s="207"/>
      <c r="AC16" s="207"/>
      <c r="AD16" s="207"/>
      <c r="AE16" s="207"/>
      <c r="AF16" s="207"/>
      <c r="AG16" s="207"/>
      <c r="AH16" s="207"/>
      <c r="AI16" s="207"/>
      <c r="AJ16" s="207"/>
      <c r="AK16" s="207"/>
      <c r="AL16" s="207"/>
      <c r="AM16" s="207"/>
      <c r="AN16" s="207"/>
      <c r="AO16" s="207"/>
      <c r="AP16" s="207"/>
      <c r="AQ16" s="207"/>
      <c r="AR16" s="207"/>
      <c r="AS16" s="207"/>
      <c r="AT16" s="207"/>
      <c r="AU16" s="207"/>
      <c r="AV16" s="207"/>
      <c r="AW16" s="207"/>
      <c r="AX16" s="207"/>
      <c r="AY16" s="207"/>
      <c r="AZ16" s="207"/>
      <c r="BA16" s="207"/>
      <c r="BB16" s="207"/>
      <c r="BC16" s="207"/>
      <c r="BD16" s="207"/>
      <c r="BE16" s="207"/>
      <c r="BF16" s="207"/>
      <c r="BG16" s="207"/>
      <c r="BH16" s="207"/>
      <c r="BI16" s="207"/>
      <c r="BJ16" s="207"/>
      <c r="BK16" s="207"/>
      <c r="BL16" s="207"/>
      <c r="BM16" s="207"/>
      <c r="BN16" s="207"/>
      <c r="BO16" s="207"/>
      <c r="BP16" s="207"/>
      <c r="BQ16" s="207"/>
      <c r="BR16" s="207"/>
      <c r="BS16" s="207"/>
      <c r="BT16" s="207"/>
      <c r="BU16" s="207"/>
      <c r="BV16" s="207"/>
      <c r="BW16" s="207"/>
      <c r="BX16" s="207"/>
      <c r="BY16" s="207"/>
      <c r="BZ16" s="207"/>
      <c r="CA16" s="207"/>
      <c r="CB16" s="207"/>
      <c r="CC16" s="207"/>
      <c r="CD16" s="207"/>
      <c r="CE16" s="207"/>
      <c r="CF16" s="207"/>
      <c r="CG16" s="207"/>
      <c r="CH16" s="207"/>
      <c r="CI16" s="207"/>
      <c r="CJ16" s="207"/>
      <c r="CK16" s="207"/>
      <c r="CL16" s="207"/>
      <c r="CM16" s="207"/>
      <c r="CN16" s="207"/>
      <c r="CO16" s="207"/>
      <c r="CP16" s="207"/>
      <c r="CQ16" s="207"/>
      <c r="CR16" s="207"/>
      <c r="CS16" s="207"/>
      <c r="CT16" s="207"/>
      <c r="CU16" s="207"/>
      <c r="CV16" s="207"/>
      <c r="CW16" s="207"/>
      <c r="CX16" s="207"/>
      <c r="CY16" s="207"/>
      <c r="CZ16" s="207"/>
      <c r="DA16" s="207"/>
      <c r="DB16" s="207"/>
      <c r="DC16" s="207"/>
      <c r="DD16" s="207"/>
      <c r="DE16" s="207"/>
      <c r="DF16" s="207"/>
      <c r="DG16" s="207"/>
      <c r="DH16" s="207"/>
      <c r="DI16" s="207"/>
      <c r="DJ16" s="207"/>
      <c r="DK16" s="207"/>
      <c r="DL16" s="207"/>
      <c r="DM16" s="207"/>
      <c r="DN16" s="207"/>
      <c r="DO16" s="207"/>
      <c r="DP16" s="207"/>
      <c r="DQ16" s="207"/>
      <c r="DR16" s="207"/>
      <c r="DS16" s="207"/>
      <c r="DT16" s="207"/>
      <c r="DU16" s="207"/>
      <c r="DV16" s="207"/>
      <c r="DW16" s="207"/>
      <c r="DX16" s="207"/>
      <c r="DY16" s="207"/>
      <c r="DZ16" s="207"/>
      <c r="EA16" s="207"/>
      <c r="EB16" s="207"/>
      <c r="EC16" s="207"/>
      <c r="ED16" s="207"/>
      <c r="EE16" s="207"/>
      <c r="EF16" s="207"/>
      <c r="EG16" s="207"/>
      <c r="EH16" s="207"/>
      <c r="EI16" s="207"/>
      <c r="EJ16" s="207"/>
      <c r="EK16" s="207"/>
      <c r="EL16" s="207"/>
      <c r="EM16" s="207"/>
      <c r="EN16" s="207"/>
      <c r="EO16" s="207"/>
      <c r="EP16" s="207"/>
      <c r="EQ16" s="207"/>
      <c r="ER16" s="207"/>
      <c r="ES16" s="207"/>
      <c r="ET16" s="207"/>
      <c r="EU16" s="207"/>
      <c r="EV16" s="207"/>
      <c r="EW16" s="207"/>
      <c r="EX16" s="207"/>
      <c r="EY16" s="207"/>
      <c r="EZ16" s="207"/>
      <c r="FA16" s="207"/>
      <c r="FB16" s="207"/>
      <c r="FC16" s="207"/>
      <c r="FD16" s="207"/>
      <c r="FE16" s="207"/>
      <c r="FF16" s="207"/>
      <c r="FG16" s="207"/>
      <c r="FH16" s="207"/>
      <c r="FI16" s="207"/>
      <c r="FJ16" s="207"/>
      <c r="FK16" s="207"/>
      <c r="FL16" s="207"/>
      <c r="FM16" s="207"/>
      <c r="FN16" s="207"/>
      <c r="FO16" s="207"/>
      <c r="FP16" s="207"/>
      <c r="FQ16" s="207"/>
      <c r="FR16" s="207"/>
      <c r="FS16" s="208"/>
      <c r="FT16" s="156"/>
    </row>
    <row r="17" spans="1:176" ht="15" outlineLevel="1">
      <c r="A17" s="206" t="s">
        <v>1253</v>
      </c>
      <c r="B17" s="200" t="s">
        <v>487</v>
      </c>
      <c r="C17" s="34"/>
      <c r="D17" s="34"/>
      <c r="E17" s="34"/>
      <c r="F17" s="34"/>
      <c r="G17" s="34"/>
      <c r="H17" s="37" t="s">
        <v>488</v>
      </c>
      <c r="I17" s="38"/>
      <c r="J17" s="38"/>
      <c r="K17" s="38"/>
      <c r="L17" s="38"/>
      <c r="M17" s="38"/>
      <c r="N17" s="38"/>
      <c r="O17" s="38"/>
      <c r="P17" s="38"/>
      <c r="Q17" s="38"/>
      <c r="R17" s="177">
        <f t="shared" si="4"/>
        <v>0</v>
      </c>
      <c r="S17" s="202">
        <f t="shared" si="7"/>
        <v>0</v>
      </c>
      <c r="T17" s="202">
        <f t="shared" si="8"/>
        <v>0</v>
      </c>
      <c r="U17" s="18"/>
      <c r="V17" s="206" t="str">
        <f t="shared" si="5"/>
        <v>1-8</v>
      </c>
      <c r="W17" s="203" t="str">
        <f t="shared" si="6"/>
        <v/>
      </c>
      <c r="X17" s="110"/>
      <c r="Y17" s="109"/>
      <c r="Z17" s="207"/>
      <c r="AA17" s="207"/>
      <c r="AB17" s="207"/>
      <c r="AC17" s="207"/>
      <c r="AD17" s="207"/>
      <c r="AE17" s="207"/>
      <c r="AF17" s="207"/>
      <c r="AG17" s="207"/>
      <c r="AH17" s="207"/>
      <c r="AI17" s="207"/>
      <c r="AJ17" s="207"/>
      <c r="AK17" s="207"/>
      <c r="AL17" s="207"/>
      <c r="AM17" s="207"/>
      <c r="AN17" s="207"/>
      <c r="AO17" s="207"/>
      <c r="AP17" s="207"/>
      <c r="AQ17" s="207"/>
      <c r="AR17" s="207"/>
      <c r="AS17" s="207"/>
      <c r="AT17" s="207"/>
      <c r="AU17" s="207"/>
      <c r="AV17" s="207"/>
      <c r="AW17" s="207"/>
      <c r="AX17" s="207"/>
      <c r="AY17" s="207"/>
      <c r="AZ17" s="207"/>
      <c r="BA17" s="207"/>
      <c r="BB17" s="207"/>
      <c r="BC17" s="207"/>
      <c r="BD17" s="207"/>
      <c r="BE17" s="207"/>
      <c r="BF17" s="207"/>
      <c r="BG17" s="207"/>
      <c r="BH17" s="207"/>
      <c r="BI17" s="207"/>
      <c r="BJ17" s="207"/>
      <c r="BK17" s="207"/>
      <c r="BL17" s="207"/>
      <c r="BM17" s="207"/>
      <c r="BN17" s="207"/>
      <c r="BO17" s="207"/>
      <c r="BP17" s="207"/>
      <c r="BQ17" s="207"/>
      <c r="BR17" s="207"/>
      <c r="BS17" s="207"/>
      <c r="BT17" s="207"/>
      <c r="BU17" s="207"/>
      <c r="BV17" s="207"/>
      <c r="BW17" s="207"/>
      <c r="BX17" s="207"/>
      <c r="BY17" s="207"/>
      <c r="BZ17" s="207"/>
      <c r="CA17" s="207"/>
      <c r="CB17" s="207"/>
      <c r="CC17" s="207"/>
      <c r="CD17" s="207"/>
      <c r="CE17" s="207"/>
      <c r="CF17" s="207"/>
      <c r="CG17" s="207"/>
      <c r="CH17" s="207"/>
      <c r="CI17" s="207"/>
      <c r="CJ17" s="207"/>
      <c r="CK17" s="207"/>
      <c r="CL17" s="207"/>
      <c r="CM17" s="207"/>
      <c r="CN17" s="207"/>
      <c r="CO17" s="207"/>
      <c r="CP17" s="207"/>
      <c r="CQ17" s="207"/>
      <c r="CR17" s="207"/>
      <c r="CS17" s="207"/>
      <c r="CT17" s="207"/>
      <c r="CU17" s="207"/>
      <c r="CV17" s="207"/>
      <c r="CW17" s="207"/>
      <c r="CX17" s="207"/>
      <c r="CY17" s="207"/>
      <c r="CZ17" s="207"/>
      <c r="DA17" s="207"/>
      <c r="DB17" s="207"/>
      <c r="DC17" s="207"/>
      <c r="DD17" s="207"/>
      <c r="DE17" s="207"/>
      <c r="DF17" s="207"/>
      <c r="DG17" s="207"/>
      <c r="DH17" s="207"/>
      <c r="DI17" s="207"/>
      <c r="DJ17" s="207"/>
      <c r="DK17" s="207"/>
      <c r="DL17" s="207"/>
      <c r="DM17" s="207"/>
      <c r="DN17" s="207"/>
      <c r="DO17" s="207"/>
      <c r="DP17" s="207"/>
      <c r="DQ17" s="207"/>
      <c r="DR17" s="207"/>
      <c r="DS17" s="207"/>
      <c r="DT17" s="207"/>
      <c r="DU17" s="207"/>
      <c r="DV17" s="207"/>
      <c r="DW17" s="207"/>
      <c r="DX17" s="207"/>
      <c r="DY17" s="207"/>
      <c r="DZ17" s="207"/>
      <c r="EA17" s="207"/>
      <c r="EB17" s="207"/>
      <c r="EC17" s="207"/>
      <c r="ED17" s="207"/>
      <c r="EE17" s="207"/>
      <c r="EF17" s="207"/>
      <c r="EG17" s="207"/>
      <c r="EH17" s="207"/>
      <c r="EI17" s="207"/>
      <c r="EJ17" s="207"/>
      <c r="EK17" s="207"/>
      <c r="EL17" s="207"/>
      <c r="EM17" s="207"/>
      <c r="EN17" s="207"/>
      <c r="EO17" s="207"/>
      <c r="EP17" s="207"/>
      <c r="EQ17" s="207"/>
      <c r="ER17" s="207"/>
      <c r="ES17" s="207"/>
      <c r="ET17" s="207"/>
      <c r="EU17" s="207"/>
      <c r="EV17" s="207"/>
      <c r="EW17" s="207"/>
      <c r="EX17" s="207"/>
      <c r="EY17" s="207"/>
      <c r="EZ17" s="207"/>
      <c r="FA17" s="207"/>
      <c r="FB17" s="207"/>
      <c r="FC17" s="207"/>
      <c r="FD17" s="207"/>
      <c r="FE17" s="207"/>
      <c r="FF17" s="207"/>
      <c r="FG17" s="207"/>
      <c r="FH17" s="207"/>
      <c r="FI17" s="207"/>
      <c r="FJ17" s="207"/>
      <c r="FK17" s="207"/>
      <c r="FL17" s="207"/>
      <c r="FM17" s="207"/>
      <c r="FN17" s="207"/>
      <c r="FO17" s="207"/>
      <c r="FP17" s="207"/>
      <c r="FQ17" s="207"/>
      <c r="FR17" s="207"/>
      <c r="FS17" s="208"/>
      <c r="FT17" s="156"/>
    </row>
    <row r="18" spans="1:176" ht="15" outlineLevel="1">
      <c r="A18" s="206" t="s">
        <v>1254</v>
      </c>
      <c r="B18" s="200" t="s">
        <v>487</v>
      </c>
      <c r="C18" s="34"/>
      <c r="D18" s="34"/>
      <c r="E18" s="34"/>
      <c r="F18" s="34"/>
      <c r="G18" s="34"/>
      <c r="H18" s="35" t="s">
        <v>488</v>
      </c>
      <c r="I18" s="38"/>
      <c r="J18" s="38"/>
      <c r="K18" s="38"/>
      <c r="L18" s="38"/>
      <c r="M18" s="38"/>
      <c r="N18" s="38"/>
      <c r="O18" s="38"/>
      <c r="P18" s="38"/>
      <c r="Q18" s="38"/>
      <c r="R18" s="177">
        <f t="shared" si="4"/>
        <v>0</v>
      </c>
      <c r="S18" s="202">
        <f t="shared" si="7"/>
        <v>0</v>
      </c>
      <c r="T18" s="202">
        <f t="shared" si="8"/>
        <v>0</v>
      </c>
      <c r="U18" s="18"/>
      <c r="V18" s="206" t="str">
        <f t="shared" si="5"/>
        <v>1-9</v>
      </c>
      <c r="W18" s="203" t="str">
        <f t="shared" si="6"/>
        <v/>
      </c>
      <c r="X18" s="110"/>
      <c r="Y18" s="109"/>
      <c r="Z18" s="207"/>
      <c r="AA18" s="207"/>
      <c r="AB18" s="207"/>
      <c r="AC18" s="207"/>
      <c r="AD18" s="207"/>
      <c r="AE18" s="207"/>
      <c r="AF18" s="207"/>
      <c r="AG18" s="207"/>
      <c r="AH18" s="207"/>
      <c r="AI18" s="207"/>
      <c r="AJ18" s="207"/>
      <c r="AK18" s="207"/>
      <c r="AL18" s="207"/>
      <c r="AM18" s="207"/>
      <c r="AN18" s="207"/>
      <c r="AO18" s="207"/>
      <c r="AP18" s="207"/>
      <c r="AQ18" s="207"/>
      <c r="AR18" s="207"/>
      <c r="AS18" s="207"/>
      <c r="AT18" s="207"/>
      <c r="AU18" s="207"/>
      <c r="AV18" s="207"/>
      <c r="AW18" s="207"/>
      <c r="AX18" s="207"/>
      <c r="AY18" s="207"/>
      <c r="AZ18" s="207"/>
      <c r="BA18" s="207"/>
      <c r="BB18" s="207"/>
      <c r="BC18" s="207"/>
      <c r="BD18" s="207"/>
      <c r="BE18" s="207"/>
      <c r="BF18" s="207"/>
      <c r="BG18" s="207"/>
      <c r="BH18" s="207"/>
      <c r="BI18" s="207"/>
      <c r="BJ18" s="207"/>
      <c r="BK18" s="207"/>
      <c r="BL18" s="207"/>
      <c r="BM18" s="207"/>
      <c r="BN18" s="207"/>
      <c r="BO18" s="207"/>
      <c r="BP18" s="207"/>
      <c r="BQ18" s="207"/>
      <c r="BR18" s="207"/>
      <c r="BS18" s="207"/>
      <c r="BT18" s="207"/>
      <c r="BU18" s="207"/>
      <c r="BV18" s="207"/>
      <c r="BW18" s="207"/>
      <c r="BX18" s="207"/>
      <c r="BY18" s="207"/>
      <c r="BZ18" s="207"/>
      <c r="CA18" s="207"/>
      <c r="CB18" s="207"/>
      <c r="CC18" s="207"/>
      <c r="CD18" s="207"/>
      <c r="CE18" s="207"/>
      <c r="CF18" s="207"/>
      <c r="CG18" s="207"/>
      <c r="CH18" s="207"/>
      <c r="CI18" s="207"/>
      <c r="CJ18" s="207"/>
      <c r="CK18" s="207"/>
      <c r="CL18" s="207"/>
      <c r="CM18" s="207"/>
      <c r="CN18" s="207"/>
      <c r="CO18" s="207"/>
      <c r="CP18" s="207"/>
      <c r="CQ18" s="207"/>
      <c r="CR18" s="207"/>
      <c r="CS18" s="207"/>
      <c r="CT18" s="207"/>
      <c r="CU18" s="207"/>
      <c r="CV18" s="207"/>
      <c r="CW18" s="207"/>
      <c r="CX18" s="207"/>
      <c r="CY18" s="207"/>
      <c r="CZ18" s="207"/>
      <c r="DA18" s="207"/>
      <c r="DB18" s="207"/>
      <c r="DC18" s="207"/>
      <c r="DD18" s="207"/>
      <c r="DE18" s="207"/>
      <c r="DF18" s="207"/>
      <c r="DG18" s="207"/>
      <c r="DH18" s="207"/>
      <c r="DI18" s="207"/>
      <c r="DJ18" s="207"/>
      <c r="DK18" s="207"/>
      <c r="DL18" s="207"/>
      <c r="DM18" s="207"/>
      <c r="DN18" s="207"/>
      <c r="DO18" s="207"/>
      <c r="DP18" s="207"/>
      <c r="DQ18" s="207"/>
      <c r="DR18" s="207"/>
      <c r="DS18" s="207"/>
      <c r="DT18" s="207"/>
      <c r="DU18" s="207"/>
      <c r="DV18" s="207"/>
      <c r="DW18" s="207"/>
      <c r="DX18" s="207"/>
      <c r="DY18" s="207"/>
      <c r="DZ18" s="207"/>
      <c r="EA18" s="207"/>
      <c r="EB18" s="207"/>
      <c r="EC18" s="207"/>
      <c r="ED18" s="207"/>
      <c r="EE18" s="207"/>
      <c r="EF18" s="207"/>
      <c r="EG18" s="207"/>
      <c r="EH18" s="207"/>
      <c r="EI18" s="207"/>
      <c r="EJ18" s="207"/>
      <c r="EK18" s="207"/>
      <c r="EL18" s="207"/>
      <c r="EM18" s="207"/>
      <c r="EN18" s="207"/>
      <c r="EO18" s="207"/>
      <c r="EP18" s="207"/>
      <c r="EQ18" s="207"/>
      <c r="ER18" s="207"/>
      <c r="ES18" s="207"/>
      <c r="ET18" s="207"/>
      <c r="EU18" s="207"/>
      <c r="EV18" s="207"/>
      <c r="EW18" s="207"/>
      <c r="EX18" s="207"/>
      <c r="EY18" s="207"/>
      <c r="EZ18" s="207"/>
      <c r="FA18" s="207"/>
      <c r="FB18" s="207"/>
      <c r="FC18" s="207"/>
      <c r="FD18" s="207"/>
      <c r="FE18" s="207"/>
      <c r="FF18" s="207"/>
      <c r="FG18" s="207"/>
      <c r="FH18" s="207"/>
      <c r="FI18" s="207"/>
      <c r="FJ18" s="207"/>
      <c r="FK18" s="207"/>
      <c r="FL18" s="207"/>
      <c r="FM18" s="207"/>
      <c r="FN18" s="207"/>
      <c r="FO18" s="207"/>
      <c r="FP18" s="207"/>
      <c r="FQ18" s="207"/>
      <c r="FR18" s="207"/>
      <c r="FS18" s="208"/>
      <c r="FT18" s="156"/>
    </row>
    <row r="19" spans="1:176" ht="15" outlineLevel="1">
      <c r="A19" s="206" t="s">
        <v>1255</v>
      </c>
      <c r="B19" s="200" t="s">
        <v>487</v>
      </c>
      <c r="C19" s="34"/>
      <c r="D19" s="34"/>
      <c r="E19" s="34"/>
      <c r="F19" s="34"/>
      <c r="G19" s="34"/>
      <c r="H19" s="37" t="s">
        <v>488</v>
      </c>
      <c r="I19" s="38"/>
      <c r="J19" s="38"/>
      <c r="K19" s="38"/>
      <c r="L19" s="38"/>
      <c r="M19" s="38"/>
      <c r="N19" s="38"/>
      <c r="O19" s="38"/>
      <c r="P19" s="38"/>
      <c r="Q19" s="38"/>
      <c r="R19" s="177">
        <f t="shared" si="4"/>
        <v>0</v>
      </c>
      <c r="S19" s="202">
        <f t="shared" si="7"/>
        <v>0</v>
      </c>
      <c r="T19" s="202">
        <f t="shared" si="8"/>
        <v>0</v>
      </c>
      <c r="U19" s="18"/>
      <c r="V19" s="206" t="str">
        <f t="shared" si="5"/>
        <v>1-10</v>
      </c>
      <c r="W19" s="203" t="str">
        <f t="shared" si="6"/>
        <v/>
      </c>
      <c r="X19" s="110"/>
      <c r="Y19" s="109"/>
      <c r="Z19" s="207"/>
      <c r="AA19" s="207"/>
      <c r="AB19" s="207"/>
      <c r="AC19" s="207"/>
      <c r="AD19" s="207"/>
      <c r="AE19" s="207"/>
      <c r="AF19" s="207"/>
      <c r="AG19" s="207"/>
      <c r="AH19" s="207"/>
      <c r="AI19" s="207"/>
      <c r="AJ19" s="207"/>
      <c r="AK19" s="207"/>
      <c r="AL19" s="207"/>
      <c r="AM19" s="207"/>
      <c r="AN19" s="207"/>
      <c r="AO19" s="207"/>
      <c r="AP19" s="207"/>
      <c r="AQ19" s="207"/>
      <c r="AR19" s="207"/>
      <c r="AS19" s="207"/>
      <c r="AT19" s="207"/>
      <c r="AU19" s="207"/>
      <c r="AV19" s="207"/>
      <c r="AW19" s="207"/>
      <c r="AX19" s="207"/>
      <c r="AY19" s="207"/>
      <c r="AZ19" s="207"/>
      <c r="BA19" s="207"/>
      <c r="BB19" s="207"/>
      <c r="BC19" s="207"/>
      <c r="BD19" s="207"/>
      <c r="BE19" s="207"/>
      <c r="BF19" s="207"/>
      <c r="BG19" s="207"/>
      <c r="BH19" s="207"/>
      <c r="BI19" s="207"/>
      <c r="BJ19" s="207"/>
      <c r="BK19" s="207"/>
      <c r="BL19" s="207"/>
      <c r="BM19" s="207"/>
      <c r="BN19" s="207"/>
      <c r="BO19" s="207"/>
      <c r="BP19" s="207"/>
      <c r="BQ19" s="207"/>
      <c r="BR19" s="207"/>
      <c r="BS19" s="207"/>
      <c r="BT19" s="207"/>
      <c r="BU19" s="207"/>
      <c r="BV19" s="207"/>
      <c r="BW19" s="207"/>
      <c r="BX19" s="207"/>
      <c r="BY19" s="207"/>
      <c r="BZ19" s="207"/>
      <c r="CA19" s="207"/>
      <c r="CB19" s="207"/>
      <c r="CC19" s="207"/>
      <c r="CD19" s="207"/>
      <c r="CE19" s="207"/>
      <c r="CF19" s="207"/>
      <c r="CG19" s="207"/>
      <c r="CH19" s="207"/>
      <c r="CI19" s="207"/>
      <c r="CJ19" s="207"/>
      <c r="CK19" s="207"/>
      <c r="CL19" s="207"/>
      <c r="CM19" s="207"/>
      <c r="CN19" s="207"/>
      <c r="CO19" s="207"/>
      <c r="CP19" s="207"/>
      <c r="CQ19" s="207"/>
      <c r="CR19" s="207"/>
      <c r="CS19" s="207"/>
      <c r="CT19" s="207"/>
      <c r="CU19" s="207"/>
      <c r="CV19" s="207"/>
      <c r="CW19" s="207"/>
      <c r="CX19" s="207"/>
      <c r="CY19" s="207"/>
      <c r="CZ19" s="207"/>
      <c r="DA19" s="207"/>
      <c r="DB19" s="207"/>
      <c r="DC19" s="207"/>
      <c r="DD19" s="207"/>
      <c r="DE19" s="207"/>
      <c r="DF19" s="207"/>
      <c r="DG19" s="207"/>
      <c r="DH19" s="207"/>
      <c r="DI19" s="207"/>
      <c r="DJ19" s="207"/>
      <c r="DK19" s="207"/>
      <c r="DL19" s="207"/>
      <c r="DM19" s="207"/>
      <c r="DN19" s="207"/>
      <c r="DO19" s="207"/>
      <c r="DP19" s="207"/>
      <c r="DQ19" s="207"/>
      <c r="DR19" s="207"/>
      <c r="DS19" s="207"/>
      <c r="DT19" s="207"/>
      <c r="DU19" s="207"/>
      <c r="DV19" s="207"/>
      <c r="DW19" s="207"/>
      <c r="DX19" s="207"/>
      <c r="DY19" s="207"/>
      <c r="DZ19" s="207"/>
      <c r="EA19" s="207"/>
      <c r="EB19" s="207"/>
      <c r="EC19" s="207"/>
      <c r="ED19" s="207"/>
      <c r="EE19" s="207"/>
      <c r="EF19" s="207"/>
      <c r="EG19" s="207"/>
      <c r="EH19" s="207"/>
      <c r="EI19" s="207"/>
      <c r="EJ19" s="207"/>
      <c r="EK19" s="207"/>
      <c r="EL19" s="207"/>
      <c r="EM19" s="207"/>
      <c r="EN19" s="207"/>
      <c r="EO19" s="207"/>
      <c r="EP19" s="207"/>
      <c r="EQ19" s="207"/>
      <c r="ER19" s="207"/>
      <c r="ES19" s="207"/>
      <c r="ET19" s="207"/>
      <c r="EU19" s="207"/>
      <c r="EV19" s="207"/>
      <c r="EW19" s="207"/>
      <c r="EX19" s="207"/>
      <c r="EY19" s="207"/>
      <c r="EZ19" s="207"/>
      <c r="FA19" s="207"/>
      <c r="FB19" s="207"/>
      <c r="FC19" s="207"/>
      <c r="FD19" s="207"/>
      <c r="FE19" s="207"/>
      <c r="FF19" s="207"/>
      <c r="FG19" s="207"/>
      <c r="FH19" s="207"/>
      <c r="FI19" s="207"/>
      <c r="FJ19" s="207"/>
      <c r="FK19" s="207"/>
      <c r="FL19" s="207"/>
      <c r="FM19" s="207"/>
      <c r="FN19" s="207"/>
      <c r="FO19" s="207"/>
      <c r="FP19" s="207"/>
      <c r="FQ19" s="207"/>
      <c r="FR19" s="207"/>
      <c r="FS19" s="208"/>
      <c r="FT19" s="156"/>
    </row>
    <row r="20" spans="1:176" ht="15" outlineLevel="1">
      <c r="A20" s="206" t="s">
        <v>1256</v>
      </c>
      <c r="B20" s="200" t="s">
        <v>487</v>
      </c>
      <c r="C20" s="34"/>
      <c r="D20" s="34"/>
      <c r="E20" s="34"/>
      <c r="F20" s="34"/>
      <c r="G20" s="34"/>
      <c r="H20" s="35" t="s">
        <v>488</v>
      </c>
      <c r="I20" s="38"/>
      <c r="J20" s="38"/>
      <c r="K20" s="38"/>
      <c r="L20" s="38"/>
      <c r="M20" s="38"/>
      <c r="N20" s="38"/>
      <c r="O20" s="38"/>
      <c r="P20" s="38"/>
      <c r="Q20" s="38"/>
      <c r="R20" s="177">
        <f t="shared" si="4"/>
        <v>0</v>
      </c>
      <c r="S20" s="202">
        <f t="shared" si="7"/>
        <v>0</v>
      </c>
      <c r="T20" s="202">
        <f t="shared" si="8"/>
        <v>0</v>
      </c>
      <c r="U20" s="18"/>
      <c r="V20" s="206" t="str">
        <f t="shared" si="5"/>
        <v>1-11</v>
      </c>
      <c r="W20" s="203" t="str">
        <f t="shared" si="6"/>
        <v/>
      </c>
      <c r="X20" s="110"/>
      <c r="Y20" s="109"/>
      <c r="Z20" s="207"/>
      <c r="AA20" s="207"/>
      <c r="AB20" s="207"/>
      <c r="AC20" s="207"/>
      <c r="AD20" s="207"/>
      <c r="AE20" s="207"/>
      <c r="AF20" s="207"/>
      <c r="AG20" s="207"/>
      <c r="AH20" s="207"/>
      <c r="AI20" s="207"/>
      <c r="AJ20" s="207"/>
      <c r="AK20" s="207"/>
      <c r="AL20" s="207"/>
      <c r="AM20" s="207"/>
      <c r="AN20" s="207"/>
      <c r="AO20" s="207"/>
      <c r="AP20" s="207"/>
      <c r="AQ20" s="207"/>
      <c r="AR20" s="207"/>
      <c r="AS20" s="207"/>
      <c r="AT20" s="207"/>
      <c r="AU20" s="207"/>
      <c r="AV20" s="207"/>
      <c r="AW20" s="207"/>
      <c r="AX20" s="207"/>
      <c r="AY20" s="207"/>
      <c r="AZ20" s="207"/>
      <c r="BA20" s="207"/>
      <c r="BB20" s="207"/>
      <c r="BC20" s="207"/>
      <c r="BD20" s="207"/>
      <c r="BE20" s="207"/>
      <c r="BF20" s="207"/>
      <c r="BG20" s="207"/>
      <c r="BH20" s="207"/>
      <c r="BI20" s="207"/>
      <c r="BJ20" s="207"/>
      <c r="BK20" s="207"/>
      <c r="BL20" s="207"/>
      <c r="BM20" s="207"/>
      <c r="BN20" s="207"/>
      <c r="BO20" s="207"/>
      <c r="BP20" s="207"/>
      <c r="BQ20" s="207"/>
      <c r="BR20" s="207"/>
      <c r="BS20" s="207"/>
      <c r="BT20" s="207"/>
      <c r="BU20" s="207"/>
      <c r="BV20" s="207"/>
      <c r="BW20" s="207"/>
      <c r="BX20" s="207"/>
      <c r="BY20" s="207"/>
      <c r="BZ20" s="207"/>
      <c r="CA20" s="207"/>
      <c r="CB20" s="207"/>
      <c r="CC20" s="207"/>
      <c r="CD20" s="207"/>
      <c r="CE20" s="207"/>
      <c r="CF20" s="207"/>
      <c r="CG20" s="207"/>
      <c r="CH20" s="207"/>
      <c r="CI20" s="207"/>
      <c r="CJ20" s="207"/>
      <c r="CK20" s="207"/>
      <c r="CL20" s="207"/>
      <c r="CM20" s="207"/>
      <c r="CN20" s="207"/>
      <c r="CO20" s="207"/>
      <c r="CP20" s="207"/>
      <c r="CQ20" s="207"/>
      <c r="CR20" s="207"/>
      <c r="CS20" s="207"/>
      <c r="CT20" s="207"/>
      <c r="CU20" s="207"/>
      <c r="CV20" s="207"/>
      <c r="CW20" s="207"/>
      <c r="CX20" s="207"/>
      <c r="CY20" s="207"/>
      <c r="CZ20" s="207"/>
      <c r="DA20" s="207"/>
      <c r="DB20" s="207"/>
      <c r="DC20" s="207"/>
      <c r="DD20" s="207"/>
      <c r="DE20" s="207"/>
      <c r="DF20" s="207"/>
      <c r="DG20" s="207"/>
      <c r="DH20" s="207"/>
      <c r="DI20" s="207"/>
      <c r="DJ20" s="207"/>
      <c r="DK20" s="207"/>
      <c r="DL20" s="207"/>
      <c r="DM20" s="207"/>
      <c r="DN20" s="207"/>
      <c r="DO20" s="207"/>
      <c r="DP20" s="207"/>
      <c r="DQ20" s="207"/>
      <c r="DR20" s="207"/>
      <c r="DS20" s="207"/>
      <c r="DT20" s="207"/>
      <c r="DU20" s="207"/>
      <c r="DV20" s="207"/>
      <c r="DW20" s="207"/>
      <c r="DX20" s="207"/>
      <c r="DY20" s="207"/>
      <c r="DZ20" s="207"/>
      <c r="EA20" s="207"/>
      <c r="EB20" s="207"/>
      <c r="EC20" s="207"/>
      <c r="ED20" s="207"/>
      <c r="EE20" s="207"/>
      <c r="EF20" s="207"/>
      <c r="EG20" s="207"/>
      <c r="EH20" s="207"/>
      <c r="EI20" s="207"/>
      <c r="EJ20" s="207"/>
      <c r="EK20" s="207"/>
      <c r="EL20" s="207"/>
      <c r="EM20" s="207"/>
      <c r="EN20" s="207"/>
      <c r="EO20" s="207"/>
      <c r="EP20" s="207"/>
      <c r="EQ20" s="207"/>
      <c r="ER20" s="207"/>
      <c r="ES20" s="207"/>
      <c r="ET20" s="207"/>
      <c r="EU20" s="207"/>
      <c r="EV20" s="207"/>
      <c r="EW20" s="207"/>
      <c r="EX20" s="207"/>
      <c r="EY20" s="207"/>
      <c r="EZ20" s="207"/>
      <c r="FA20" s="207"/>
      <c r="FB20" s="207"/>
      <c r="FC20" s="207"/>
      <c r="FD20" s="207"/>
      <c r="FE20" s="207"/>
      <c r="FF20" s="207"/>
      <c r="FG20" s="207"/>
      <c r="FH20" s="207"/>
      <c r="FI20" s="207"/>
      <c r="FJ20" s="207"/>
      <c r="FK20" s="207"/>
      <c r="FL20" s="207"/>
      <c r="FM20" s="207"/>
      <c r="FN20" s="207"/>
      <c r="FO20" s="207"/>
      <c r="FP20" s="207"/>
      <c r="FQ20" s="207"/>
      <c r="FR20" s="207"/>
      <c r="FS20" s="208"/>
      <c r="FT20" s="156"/>
    </row>
    <row r="21" spans="1:176" ht="15" outlineLevel="1">
      <c r="A21" s="206" t="s">
        <v>1257</v>
      </c>
      <c r="B21" s="200" t="s">
        <v>487</v>
      </c>
      <c r="C21" s="34"/>
      <c r="D21" s="34"/>
      <c r="E21" s="34"/>
      <c r="F21" s="34"/>
      <c r="G21" s="34"/>
      <c r="H21" s="37" t="s">
        <v>488</v>
      </c>
      <c r="I21" s="38"/>
      <c r="J21" s="38"/>
      <c r="K21" s="38"/>
      <c r="L21" s="38"/>
      <c r="M21" s="38"/>
      <c r="N21" s="38"/>
      <c r="O21" s="38"/>
      <c r="P21" s="38"/>
      <c r="Q21" s="38"/>
      <c r="R21" s="177">
        <f t="shared" si="4"/>
        <v>0</v>
      </c>
      <c r="S21" s="202">
        <f t="shared" si="7"/>
        <v>0</v>
      </c>
      <c r="T21" s="202">
        <f t="shared" si="8"/>
        <v>0</v>
      </c>
      <c r="U21" s="18"/>
      <c r="V21" s="206" t="str">
        <f t="shared" si="5"/>
        <v>1-12</v>
      </c>
      <c r="W21" s="203" t="str">
        <f t="shared" si="6"/>
        <v/>
      </c>
      <c r="X21" s="110"/>
      <c r="Y21" s="109"/>
      <c r="Z21" s="207"/>
      <c r="AA21" s="207"/>
      <c r="AB21" s="207"/>
      <c r="AC21" s="207"/>
      <c r="AD21" s="207"/>
      <c r="AE21" s="207"/>
      <c r="AF21" s="207"/>
      <c r="AG21" s="207"/>
      <c r="AH21" s="207"/>
      <c r="AI21" s="207"/>
      <c r="AJ21" s="207"/>
      <c r="AK21" s="207"/>
      <c r="AL21" s="207"/>
      <c r="AM21" s="207"/>
      <c r="AN21" s="207"/>
      <c r="AO21" s="207"/>
      <c r="AP21" s="207"/>
      <c r="AQ21" s="207"/>
      <c r="AR21" s="207"/>
      <c r="AS21" s="207"/>
      <c r="AT21" s="207"/>
      <c r="AU21" s="207"/>
      <c r="AV21" s="207"/>
      <c r="AW21" s="207"/>
      <c r="AX21" s="207"/>
      <c r="AY21" s="207"/>
      <c r="AZ21" s="207"/>
      <c r="BA21" s="207"/>
      <c r="BB21" s="207"/>
      <c r="BC21" s="207"/>
      <c r="BD21" s="207"/>
      <c r="BE21" s="207"/>
      <c r="BF21" s="207"/>
      <c r="BG21" s="207"/>
      <c r="BH21" s="207"/>
      <c r="BI21" s="207"/>
      <c r="BJ21" s="207"/>
      <c r="BK21" s="207"/>
      <c r="BL21" s="207"/>
      <c r="BM21" s="207"/>
      <c r="BN21" s="207"/>
      <c r="BO21" s="207"/>
      <c r="BP21" s="207"/>
      <c r="BQ21" s="207"/>
      <c r="BR21" s="207"/>
      <c r="BS21" s="207"/>
      <c r="BT21" s="207"/>
      <c r="BU21" s="207"/>
      <c r="BV21" s="207"/>
      <c r="BW21" s="207"/>
      <c r="BX21" s="207"/>
      <c r="BY21" s="207"/>
      <c r="BZ21" s="207"/>
      <c r="CA21" s="207"/>
      <c r="CB21" s="207"/>
      <c r="CC21" s="207"/>
      <c r="CD21" s="207"/>
      <c r="CE21" s="207"/>
      <c r="CF21" s="207"/>
      <c r="CG21" s="207"/>
      <c r="CH21" s="207"/>
      <c r="CI21" s="207"/>
      <c r="CJ21" s="207"/>
      <c r="CK21" s="207"/>
      <c r="CL21" s="207"/>
      <c r="CM21" s="207"/>
      <c r="CN21" s="207"/>
      <c r="CO21" s="207"/>
      <c r="CP21" s="207"/>
      <c r="CQ21" s="207"/>
      <c r="CR21" s="207"/>
      <c r="CS21" s="207"/>
      <c r="CT21" s="207"/>
      <c r="CU21" s="207"/>
      <c r="CV21" s="207"/>
      <c r="CW21" s="207"/>
      <c r="CX21" s="207"/>
      <c r="CY21" s="207"/>
      <c r="CZ21" s="207"/>
      <c r="DA21" s="207"/>
      <c r="DB21" s="207"/>
      <c r="DC21" s="207"/>
      <c r="DD21" s="207"/>
      <c r="DE21" s="207"/>
      <c r="DF21" s="207"/>
      <c r="DG21" s="207"/>
      <c r="DH21" s="207"/>
      <c r="DI21" s="207"/>
      <c r="DJ21" s="207"/>
      <c r="DK21" s="207"/>
      <c r="DL21" s="207"/>
      <c r="DM21" s="207"/>
      <c r="DN21" s="207"/>
      <c r="DO21" s="207"/>
      <c r="DP21" s="207"/>
      <c r="DQ21" s="207"/>
      <c r="DR21" s="207"/>
      <c r="DS21" s="207"/>
      <c r="DT21" s="207"/>
      <c r="DU21" s="207"/>
      <c r="DV21" s="207"/>
      <c r="DW21" s="207"/>
      <c r="DX21" s="207"/>
      <c r="DY21" s="207"/>
      <c r="DZ21" s="207"/>
      <c r="EA21" s="207"/>
      <c r="EB21" s="207"/>
      <c r="EC21" s="207"/>
      <c r="ED21" s="207"/>
      <c r="EE21" s="207"/>
      <c r="EF21" s="207"/>
      <c r="EG21" s="207"/>
      <c r="EH21" s="207"/>
      <c r="EI21" s="207"/>
      <c r="EJ21" s="207"/>
      <c r="EK21" s="207"/>
      <c r="EL21" s="207"/>
      <c r="EM21" s="207"/>
      <c r="EN21" s="207"/>
      <c r="EO21" s="207"/>
      <c r="EP21" s="207"/>
      <c r="EQ21" s="207"/>
      <c r="ER21" s="207"/>
      <c r="ES21" s="207"/>
      <c r="ET21" s="207"/>
      <c r="EU21" s="207"/>
      <c r="EV21" s="207"/>
      <c r="EW21" s="207"/>
      <c r="EX21" s="207"/>
      <c r="EY21" s="207"/>
      <c r="EZ21" s="207"/>
      <c r="FA21" s="207"/>
      <c r="FB21" s="207"/>
      <c r="FC21" s="207"/>
      <c r="FD21" s="207"/>
      <c r="FE21" s="207"/>
      <c r="FF21" s="207"/>
      <c r="FG21" s="207"/>
      <c r="FH21" s="207"/>
      <c r="FI21" s="207"/>
      <c r="FJ21" s="207"/>
      <c r="FK21" s="207"/>
      <c r="FL21" s="207"/>
      <c r="FM21" s="207"/>
      <c r="FN21" s="207"/>
      <c r="FO21" s="207"/>
      <c r="FP21" s="207"/>
      <c r="FQ21" s="207"/>
      <c r="FR21" s="207"/>
      <c r="FS21" s="208"/>
      <c r="FT21" s="156"/>
    </row>
    <row r="22" spans="1:176" ht="15" outlineLevel="1">
      <c r="A22" s="206" t="s">
        <v>1258</v>
      </c>
      <c r="B22" s="200" t="s">
        <v>487</v>
      </c>
      <c r="C22" s="34"/>
      <c r="D22" s="34"/>
      <c r="E22" s="34"/>
      <c r="F22" s="34"/>
      <c r="G22" s="34"/>
      <c r="H22" s="35" t="s">
        <v>488</v>
      </c>
      <c r="I22" s="38"/>
      <c r="J22" s="38"/>
      <c r="K22" s="38"/>
      <c r="L22" s="38"/>
      <c r="M22" s="38"/>
      <c r="N22" s="38"/>
      <c r="O22" s="38"/>
      <c r="P22" s="38"/>
      <c r="Q22" s="38"/>
      <c r="R22" s="177">
        <f t="shared" si="4"/>
        <v>0</v>
      </c>
      <c r="S22" s="202">
        <f t="shared" si="7"/>
        <v>0</v>
      </c>
      <c r="T22" s="202">
        <f t="shared" si="8"/>
        <v>0</v>
      </c>
      <c r="U22" s="18"/>
      <c r="V22" s="206" t="str">
        <f t="shared" si="5"/>
        <v>1-13</v>
      </c>
      <c r="W22" s="203" t="str">
        <f t="shared" si="6"/>
        <v/>
      </c>
      <c r="X22" s="110"/>
      <c r="Y22" s="109"/>
      <c r="Z22" s="207"/>
      <c r="AA22" s="207"/>
      <c r="AB22" s="207"/>
      <c r="AC22" s="207"/>
      <c r="AD22" s="207"/>
      <c r="AE22" s="207"/>
      <c r="AF22" s="207"/>
      <c r="AG22" s="207"/>
      <c r="AH22" s="207"/>
      <c r="AI22" s="207"/>
      <c r="AJ22" s="207"/>
      <c r="AK22" s="207"/>
      <c r="AL22" s="207"/>
      <c r="AM22" s="207"/>
      <c r="AN22" s="207"/>
      <c r="AO22" s="207"/>
      <c r="AP22" s="207"/>
      <c r="AQ22" s="207"/>
      <c r="AR22" s="207"/>
      <c r="AS22" s="207"/>
      <c r="AT22" s="207"/>
      <c r="AU22" s="207"/>
      <c r="AV22" s="207"/>
      <c r="AW22" s="207"/>
      <c r="AX22" s="207"/>
      <c r="AY22" s="207"/>
      <c r="AZ22" s="207"/>
      <c r="BA22" s="207"/>
      <c r="BB22" s="207"/>
      <c r="BC22" s="207"/>
      <c r="BD22" s="207"/>
      <c r="BE22" s="207"/>
      <c r="BF22" s="207"/>
      <c r="BG22" s="207"/>
      <c r="BH22" s="207"/>
      <c r="BI22" s="207"/>
      <c r="BJ22" s="207"/>
      <c r="BK22" s="207"/>
      <c r="BL22" s="207"/>
      <c r="BM22" s="207"/>
      <c r="BN22" s="207"/>
      <c r="BO22" s="207"/>
      <c r="BP22" s="207"/>
      <c r="BQ22" s="207"/>
      <c r="BR22" s="207"/>
      <c r="BS22" s="207"/>
      <c r="BT22" s="207"/>
      <c r="BU22" s="207"/>
      <c r="BV22" s="207"/>
      <c r="BW22" s="207"/>
      <c r="BX22" s="207"/>
      <c r="BY22" s="207"/>
      <c r="BZ22" s="207"/>
      <c r="CA22" s="207"/>
      <c r="CB22" s="207"/>
      <c r="CC22" s="207"/>
      <c r="CD22" s="207"/>
      <c r="CE22" s="207"/>
      <c r="CF22" s="207"/>
      <c r="CG22" s="207"/>
      <c r="CH22" s="207"/>
      <c r="CI22" s="207"/>
      <c r="CJ22" s="207"/>
      <c r="CK22" s="207"/>
      <c r="CL22" s="207"/>
      <c r="CM22" s="207"/>
      <c r="CN22" s="207"/>
      <c r="CO22" s="207"/>
      <c r="CP22" s="207"/>
      <c r="CQ22" s="207"/>
      <c r="CR22" s="207"/>
      <c r="CS22" s="207"/>
      <c r="CT22" s="207"/>
      <c r="CU22" s="207"/>
      <c r="CV22" s="207"/>
      <c r="CW22" s="207"/>
      <c r="CX22" s="207"/>
      <c r="CY22" s="207"/>
      <c r="CZ22" s="207"/>
      <c r="DA22" s="207"/>
      <c r="DB22" s="207"/>
      <c r="DC22" s="207"/>
      <c r="DD22" s="207"/>
      <c r="DE22" s="207"/>
      <c r="DF22" s="207"/>
      <c r="DG22" s="207"/>
      <c r="DH22" s="207"/>
      <c r="DI22" s="207"/>
      <c r="DJ22" s="207"/>
      <c r="DK22" s="207"/>
      <c r="DL22" s="207"/>
      <c r="DM22" s="207"/>
      <c r="DN22" s="207"/>
      <c r="DO22" s="207"/>
      <c r="DP22" s="207"/>
      <c r="DQ22" s="207"/>
      <c r="DR22" s="207"/>
      <c r="DS22" s="207"/>
      <c r="DT22" s="207"/>
      <c r="DU22" s="207"/>
      <c r="DV22" s="207"/>
      <c r="DW22" s="207"/>
      <c r="DX22" s="207"/>
      <c r="DY22" s="207"/>
      <c r="DZ22" s="207"/>
      <c r="EA22" s="207"/>
      <c r="EB22" s="207"/>
      <c r="EC22" s="207"/>
      <c r="ED22" s="207"/>
      <c r="EE22" s="207"/>
      <c r="EF22" s="207"/>
      <c r="EG22" s="207"/>
      <c r="EH22" s="207"/>
      <c r="EI22" s="207"/>
      <c r="EJ22" s="207"/>
      <c r="EK22" s="207"/>
      <c r="EL22" s="207"/>
      <c r="EM22" s="207"/>
      <c r="EN22" s="207"/>
      <c r="EO22" s="207"/>
      <c r="EP22" s="207"/>
      <c r="EQ22" s="207"/>
      <c r="ER22" s="207"/>
      <c r="ES22" s="207"/>
      <c r="ET22" s="207"/>
      <c r="EU22" s="207"/>
      <c r="EV22" s="207"/>
      <c r="EW22" s="207"/>
      <c r="EX22" s="207"/>
      <c r="EY22" s="207"/>
      <c r="EZ22" s="207"/>
      <c r="FA22" s="207"/>
      <c r="FB22" s="207"/>
      <c r="FC22" s="207"/>
      <c r="FD22" s="207"/>
      <c r="FE22" s="207"/>
      <c r="FF22" s="207"/>
      <c r="FG22" s="207"/>
      <c r="FH22" s="207"/>
      <c r="FI22" s="207"/>
      <c r="FJ22" s="207"/>
      <c r="FK22" s="207"/>
      <c r="FL22" s="207"/>
      <c r="FM22" s="207"/>
      <c r="FN22" s="207"/>
      <c r="FO22" s="207"/>
      <c r="FP22" s="207"/>
      <c r="FQ22" s="207"/>
      <c r="FR22" s="207"/>
      <c r="FS22" s="208"/>
      <c r="FT22" s="156"/>
    </row>
    <row r="23" spans="1:176" ht="15" outlineLevel="1">
      <c r="A23" s="206" t="s">
        <v>1259</v>
      </c>
      <c r="B23" s="200" t="s">
        <v>487</v>
      </c>
      <c r="C23" s="34"/>
      <c r="D23" s="34"/>
      <c r="E23" s="34"/>
      <c r="F23" s="34"/>
      <c r="G23" s="34"/>
      <c r="H23" s="37" t="s">
        <v>488</v>
      </c>
      <c r="I23" s="38"/>
      <c r="J23" s="38"/>
      <c r="K23" s="38"/>
      <c r="L23" s="38"/>
      <c r="M23" s="38"/>
      <c r="N23" s="38"/>
      <c r="O23" s="38"/>
      <c r="P23" s="38"/>
      <c r="Q23" s="38"/>
      <c r="R23" s="177">
        <f t="shared" si="4"/>
        <v>0</v>
      </c>
      <c r="S23" s="202">
        <f t="shared" si="7"/>
        <v>0</v>
      </c>
      <c r="T23" s="202">
        <f t="shared" si="8"/>
        <v>0</v>
      </c>
      <c r="U23" s="18"/>
      <c r="V23" s="206" t="str">
        <f t="shared" si="5"/>
        <v>1-14</v>
      </c>
      <c r="W23" s="203" t="str">
        <f t="shared" si="6"/>
        <v/>
      </c>
      <c r="X23" s="110"/>
      <c r="Y23" s="109"/>
      <c r="Z23" s="207"/>
      <c r="AA23" s="207"/>
      <c r="AB23" s="207"/>
      <c r="AC23" s="207"/>
      <c r="AD23" s="207"/>
      <c r="AE23" s="207"/>
      <c r="AF23" s="207"/>
      <c r="AG23" s="207"/>
      <c r="AH23" s="207"/>
      <c r="AI23" s="207"/>
      <c r="AJ23" s="207"/>
      <c r="AK23" s="207"/>
      <c r="AL23" s="207"/>
      <c r="AM23" s="207"/>
      <c r="AN23" s="207"/>
      <c r="AO23" s="207"/>
      <c r="AP23" s="207"/>
      <c r="AQ23" s="207"/>
      <c r="AR23" s="207"/>
      <c r="AS23" s="207"/>
      <c r="AT23" s="207"/>
      <c r="AU23" s="207"/>
      <c r="AV23" s="207"/>
      <c r="AW23" s="207"/>
      <c r="AX23" s="207"/>
      <c r="AY23" s="207"/>
      <c r="AZ23" s="207"/>
      <c r="BA23" s="207"/>
      <c r="BB23" s="207"/>
      <c r="BC23" s="207"/>
      <c r="BD23" s="207"/>
      <c r="BE23" s="207"/>
      <c r="BF23" s="207"/>
      <c r="BG23" s="207"/>
      <c r="BH23" s="207"/>
      <c r="BI23" s="207"/>
      <c r="BJ23" s="207"/>
      <c r="BK23" s="207"/>
      <c r="BL23" s="207"/>
      <c r="BM23" s="207"/>
      <c r="BN23" s="207"/>
      <c r="BO23" s="207"/>
      <c r="BP23" s="207"/>
      <c r="BQ23" s="207"/>
      <c r="BR23" s="207"/>
      <c r="BS23" s="207"/>
      <c r="BT23" s="207"/>
      <c r="BU23" s="207"/>
      <c r="BV23" s="207"/>
      <c r="BW23" s="207"/>
      <c r="BX23" s="207"/>
      <c r="BY23" s="207"/>
      <c r="BZ23" s="207"/>
      <c r="CA23" s="207"/>
      <c r="CB23" s="207"/>
      <c r="CC23" s="207"/>
      <c r="CD23" s="207"/>
      <c r="CE23" s="207"/>
      <c r="CF23" s="207"/>
      <c r="CG23" s="207"/>
      <c r="CH23" s="207"/>
      <c r="CI23" s="207"/>
      <c r="CJ23" s="207"/>
      <c r="CK23" s="207"/>
      <c r="CL23" s="207"/>
      <c r="CM23" s="207"/>
      <c r="CN23" s="207"/>
      <c r="CO23" s="207"/>
      <c r="CP23" s="207"/>
      <c r="CQ23" s="207"/>
      <c r="CR23" s="207"/>
      <c r="CS23" s="207"/>
      <c r="CT23" s="207"/>
      <c r="CU23" s="207"/>
      <c r="CV23" s="207"/>
      <c r="CW23" s="207"/>
      <c r="CX23" s="207"/>
      <c r="CY23" s="207"/>
      <c r="CZ23" s="207"/>
      <c r="DA23" s="207"/>
      <c r="DB23" s="207"/>
      <c r="DC23" s="207"/>
      <c r="DD23" s="207"/>
      <c r="DE23" s="207"/>
      <c r="DF23" s="207"/>
      <c r="DG23" s="207"/>
      <c r="DH23" s="207"/>
      <c r="DI23" s="207"/>
      <c r="DJ23" s="207"/>
      <c r="DK23" s="207"/>
      <c r="DL23" s="207"/>
      <c r="DM23" s="207"/>
      <c r="DN23" s="207"/>
      <c r="DO23" s="207"/>
      <c r="DP23" s="207"/>
      <c r="DQ23" s="207"/>
      <c r="DR23" s="207"/>
      <c r="DS23" s="207"/>
      <c r="DT23" s="207"/>
      <c r="DU23" s="207"/>
      <c r="DV23" s="207"/>
      <c r="DW23" s="207"/>
      <c r="DX23" s="207"/>
      <c r="DY23" s="207"/>
      <c r="DZ23" s="207"/>
      <c r="EA23" s="207"/>
      <c r="EB23" s="207"/>
      <c r="EC23" s="207"/>
      <c r="ED23" s="207"/>
      <c r="EE23" s="207"/>
      <c r="EF23" s="207"/>
      <c r="EG23" s="207"/>
      <c r="EH23" s="207"/>
      <c r="EI23" s="207"/>
      <c r="EJ23" s="207"/>
      <c r="EK23" s="207"/>
      <c r="EL23" s="207"/>
      <c r="EM23" s="207"/>
      <c r="EN23" s="207"/>
      <c r="EO23" s="207"/>
      <c r="EP23" s="207"/>
      <c r="EQ23" s="207"/>
      <c r="ER23" s="207"/>
      <c r="ES23" s="207"/>
      <c r="ET23" s="207"/>
      <c r="EU23" s="207"/>
      <c r="EV23" s="207"/>
      <c r="EW23" s="207"/>
      <c r="EX23" s="207"/>
      <c r="EY23" s="207"/>
      <c r="EZ23" s="207"/>
      <c r="FA23" s="207"/>
      <c r="FB23" s="207"/>
      <c r="FC23" s="207"/>
      <c r="FD23" s="207"/>
      <c r="FE23" s="207"/>
      <c r="FF23" s="207"/>
      <c r="FG23" s="207"/>
      <c r="FH23" s="207"/>
      <c r="FI23" s="207"/>
      <c r="FJ23" s="207"/>
      <c r="FK23" s="207"/>
      <c r="FL23" s="207"/>
      <c r="FM23" s="207"/>
      <c r="FN23" s="207"/>
      <c r="FO23" s="207"/>
      <c r="FP23" s="207"/>
      <c r="FQ23" s="207"/>
      <c r="FR23" s="207"/>
      <c r="FS23" s="208"/>
      <c r="FT23" s="156"/>
    </row>
    <row r="24" spans="1:176" ht="15" outlineLevel="1">
      <c r="A24" s="206" t="s">
        <v>1260</v>
      </c>
      <c r="B24" s="200" t="s">
        <v>487</v>
      </c>
      <c r="C24" s="34"/>
      <c r="D24" s="34"/>
      <c r="E24" s="34"/>
      <c r="F24" s="34"/>
      <c r="G24" s="34"/>
      <c r="H24" s="35" t="s">
        <v>488</v>
      </c>
      <c r="I24" s="38"/>
      <c r="J24" s="38"/>
      <c r="K24" s="38"/>
      <c r="L24" s="38"/>
      <c r="M24" s="38"/>
      <c r="N24" s="38"/>
      <c r="O24" s="38"/>
      <c r="P24" s="38"/>
      <c r="Q24" s="38"/>
      <c r="R24" s="177">
        <f t="shared" si="4"/>
        <v>0</v>
      </c>
      <c r="S24" s="202">
        <f t="shared" si="7"/>
        <v>0</v>
      </c>
      <c r="T24" s="202">
        <f t="shared" si="8"/>
        <v>0</v>
      </c>
      <c r="U24" s="18"/>
      <c r="V24" s="206" t="str">
        <f t="shared" si="5"/>
        <v>1-15</v>
      </c>
      <c r="W24" s="203" t="str">
        <f t="shared" si="6"/>
        <v/>
      </c>
      <c r="X24" s="110"/>
      <c r="Y24" s="109"/>
      <c r="Z24" s="207"/>
      <c r="AA24" s="207"/>
      <c r="AB24" s="207"/>
      <c r="AC24" s="207"/>
      <c r="AD24" s="207"/>
      <c r="AE24" s="207"/>
      <c r="AF24" s="207"/>
      <c r="AG24" s="207"/>
      <c r="AH24" s="207"/>
      <c r="AI24" s="207"/>
      <c r="AJ24" s="207"/>
      <c r="AK24" s="207"/>
      <c r="AL24" s="207"/>
      <c r="AM24" s="207"/>
      <c r="AN24" s="207"/>
      <c r="AO24" s="207"/>
      <c r="AP24" s="207"/>
      <c r="AQ24" s="207"/>
      <c r="AR24" s="207"/>
      <c r="AS24" s="207"/>
      <c r="AT24" s="207"/>
      <c r="AU24" s="207"/>
      <c r="AV24" s="207"/>
      <c r="AW24" s="207"/>
      <c r="AX24" s="207"/>
      <c r="AY24" s="207"/>
      <c r="AZ24" s="207"/>
      <c r="BA24" s="207"/>
      <c r="BB24" s="207"/>
      <c r="BC24" s="207"/>
      <c r="BD24" s="207"/>
      <c r="BE24" s="207"/>
      <c r="BF24" s="207"/>
      <c r="BG24" s="207"/>
      <c r="BH24" s="207"/>
      <c r="BI24" s="207"/>
      <c r="BJ24" s="207"/>
      <c r="BK24" s="207"/>
      <c r="BL24" s="207"/>
      <c r="BM24" s="207"/>
      <c r="BN24" s="207"/>
      <c r="BO24" s="207"/>
      <c r="BP24" s="207"/>
      <c r="BQ24" s="207"/>
      <c r="BR24" s="207"/>
      <c r="BS24" s="207"/>
      <c r="BT24" s="207"/>
      <c r="BU24" s="207"/>
      <c r="BV24" s="207"/>
      <c r="BW24" s="207"/>
      <c r="BX24" s="207"/>
      <c r="BY24" s="207"/>
      <c r="BZ24" s="207"/>
      <c r="CA24" s="207"/>
      <c r="CB24" s="207"/>
      <c r="CC24" s="207"/>
      <c r="CD24" s="207"/>
      <c r="CE24" s="207"/>
      <c r="CF24" s="207"/>
      <c r="CG24" s="207"/>
      <c r="CH24" s="207"/>
      <c r="CI24" s="207"/>
      <c r="CJ24" s="207"/>
      <c r="CK24" s="207"/>
      <c r="CL24" s="207"/>
      <c r="CM24" s="207"/>
      <c r="CN24" s="207"/>
      <c r="CO24" s="207"/>
      <c r="CP24" s="207"/>
      <c r="CQ24" s="207"/>
      <c r="CR24" s="207"/>
      <c r="CS24" s="207"/>
      <c r="CT24" s="207"/>
      <c r="CU24" s="207"/>
      <c r="CV24" s="207"/>
      <c r="CW24" s="207"/>
      <c r="CX24" s="207"/>
      <c r="CY24" s="207"/>
      <c r="CZ24" s="207"/>
      <c r="DA24" s="207"/>
      <c r="DB24" s="207"/>
      <c r="DC24" s="207"/>
      <c r="DD24" s="207"/>
      <c r="DE24" s="207"/>
      <c r="DF24" s="207"/>
      <c r="DG24" s="207"/>
      <c r="DH24" s="207"/>
      <c r="DI24" s="207"/>
      <c r="DJ24" s="207"/>
      <c r="DK24" s="207"/>
      <c r="DL24" s="207"/>
      <c r="DM24" s="207"/>
      <c r="DN24" s="207"/>
      <c r="DO24" s="207"/>
      <c r="DP24" s="207"/>
      <c r="DQ24" s="207"/>
      <c r="DR24" s="207"/>
      <c r="DS24" s="207"/>
      <c r="DT24" s="207"/>
      <c r="DU24" s="207"/>
      <c r="DV24" s="207"/>
      <c r="DW24" s="207"/>
      <c r="DX24" s="207"/>
      <c r="DY24" s="207"/>
      <c r="DZ24" s="207"/>
      <c r="EA24" s="207"/>
      <c r="EB24" s="207"/>
      <c r="EC24" s="207"/>
      <c r="ED24" s="207"/>
      <c r="EE24" s="207"/>
      <c r="EF24" s="207"/>
      <c r="EG24" s="207"/>
      <c r="EH24" s="207"/>
      <c r="EI24" s="207"/>
      <c r="EJ24" s="207"/>
      <c r="EK24" s="207"/>
      <c r="EL24" s="207"/>
      <c r="EM24" s="207"/>
      <c r="EN24" s="207"/>
      <c r="EO24" s="207"/>
      <c r="EP24" s="207"/>
      <c r="EQ24" s="207"/>
      <c r="ER24" s="207"/>
      <c r="ES24" s="207"/>
      <c r="ET24" s="207"/>
      <c r="EU24" s="207"/>
      <c r="EV24" s="207"/>
      <c r="EW24" s="207"/>
      <c r="EX24" s="207"/>
      <c r="EY24" s="207"/>
      <c r="EZ24" s="207"/>
      <c r="FA24" s="207"/>
      <c r="FB24" s="207"/>
      <c r="FC24" s="207"/>
      <c r="FD24" s="207"/>
      <c r="FE24" s="207"/>
      <c r="FF24" s="207"/>
      <c r="FG24" s="207"/>
      <c r="FH24" s="207"/>
      <c r="FI24" s="207"/>
      <c r="FJ24" s="207"/>
      <c r="FK24" s="207"/>
      <c r="FL24" s="207"/>
      <c r="FM24" s="207"/>
      <c r="FN24" s="207"/>
      <c r="FO24" s="207"/>
      <c r="FP24" s="207"/>
      <c r="FQ24" s="207"/>
      <c r="FR24" s="207"/>
      <c r="FS24" s="208"/>
      <c r="FT24" s="156"/>
    </row>
    <row r="25" spans="1:176" ht="15" outlineLevel="1">
      <c r="A25" s="206" t="s">
        <v>1261</v>
      </c>
      <c r="B25" s="200" t="s">
        <v>487</v>
      </c>
      <c r="C25" s="34"/>
      <c r="D25" s="34"/>
      <c r="E25" s="34"/>
      <c r="F25" s="34"/>
      <c r="G25" s="34"/>
      <c r="H25" s="37" t="s">
        <v>488</v>
      </c>
      <c r="I25" s="38"/>
      <c r="J25" s="38"/>
      <c r="K25" s="38"/>
      <c r="L25" s="38"/>
      <c r="M25" s="38"/>
      <c r="N25" s="38"/>
      <c r="O25" s="38"/>
      <c r="P25" s="38"/>
      <c r="Q25" s="38"/>
      <c r="R25" s="177">
        <f t="shared" si="4"/>
        <v>0</v>
      </c>
      <c r="S25" s="202">
        <f t="shared" si="7"/>
        <v>0</v>
      </c>
      <c r="T25" s="202">
        <f t="shared" si="8"/>
        <v>0</v>
      </c>
      <c r="U25" s="18"/>
      <c r="V25" s="206" t="str">
        <f t="shared" si="5"/>
        <v>1-16</v>
      </c>
      <c r="W25" s="203" t="str">
        <f t="shared" si="6"/>
        <v/>
      </c>
      <c r="X25" s="110"/>
      <c r="Y25" s="109"/>
      <c r="Z25" s="207"/>
      <c r="AA25" s="207"/>
      <c r="AB25" s="207"/>
      <c r="AC25" s="207"/>
      <c r="AD25" s="207"/>
      <c r="AE25" s="207"/>
      <c r="AF25" s="207"/>
      <c r="AG25" s="207"/>
      <c r="AH25" s="207"/>
      <c r="AI25" s="207"/>
      <c r="AJ25" s="207"/>
      <c r="AK25" s="207"/>
      <c r="AL25" s="207"/>
      <c r="AM25" s="207"/>
      <c r="AN25" s="207"/>
      <c r="AO25" s="207"/>
      <c r="AP25" s="207"/>
      <c r="AQ25" s="207"/>
      <c r="AR25" s="207"/>
      <c r="AS25" s="207"/>
      <c r="AT25" s="207"/>
      <c r="AU25" s="207"/>
      <c r="AV25" s="207"/>
      <c r="AW25" s="207"/>
      <c r="AX25" s="207"/>
      <c r="AY25" s="207"/>
      <c r="AZ25" s="207"/>
      <c r="BA25" s="207"/>
      <c r="BB25" s="207"/>
      <c r="BC25" s="207"/>
      <c r="BD25" s="207"/>
      <c r="BE25" s="207"/>
      <c r="BF25" s="207"/>
      <c r="BG25" s="207"/>
      <c r="BH25" s="207"/>
      <c r="BI25" s="207"/>
      <c r="BJ25" s="207"/>
      <c r="BK25" s="207"/>
      <c r="BL25" s="207"/>
      <c r="BM25" s="207"/>
      <c r="BN25" s="207"/>
      <c r="BO25" s="207"/>
      <c r="BP25" s="207"/>
      <c r="BQ25" s="207"/>
      <c r="BR25" s="207"/>
      <c r="BS25" s="207"/>
      <c r="BT25" s="207"/>
      <c r="BU25" s="207"/>
      <c r="BV25" s="207"/>
      <c r="BW25" s="207"/>
      <c r="BX25" s="207"/>
      <c r="BY25" s="207"/>
      <c r="BZ25" s="207"/>
      <c r="CA25" s="207"/>
      <c r="CB25" s="207"/>
      <c r="CC25" s="207"/>
      <c r="CD25" s="207"/>
      <c r="CE25" s="207"/>
      <c r="CF25" s="207"/>
      <c r="CG25" s="207"/>
      <c r="CH25" s="207"/>
      <c r="CI25" s="207"/>
      <c r="CJ25" s="207"/>
      <c r="CK25" s="207"/>
      <c r="CL25" s="207"/>
      <c r="CM25" s="207"/>
      <c r="CN25" s="207"/>
      <c r="CO25" s="207"/>
      <c r="CP25" s="207"/>
      <c r="CQ25" s="207"/>
      <c r="CR25" s="207"/>
      <c r="CS25" s="207"/>
      <c r="CT25" s="207"/>
      <c r="CU25" s="207"/>
      <c r="CV25" s="207"/>
      <c r="CW25" s="207"/>
      <c r="CX25" s="207"/>
      <c r="CY25" s="207"/>
      <c r="CZ25" s="207"/>
      <c r="DA25" s="207"/>
      <c r="DB25" s="207"/>
      <c r="DC25" s="207"/>
      <c r="DD25" s="207"/>
      <c r="DE25" s="207"/>
      <c r="DF25" s="207"/>
      <c r="DG25" s="207"/>
      <c r="DH25" s="207"/>
      <c r="DI25" s="207"/>
      <c r="DJ25" s="207"/>
      <c r="DK25" s="207"/>
      <c r="DL25" s="207"/>
      <c r="DM25" s="207"/>
      <c r="DN25" s="207"/>
      <c r="DO25" s="207"/>
      <c r="DP25" s="207"/>
      <c r="DQ25" s="207"/>
      <c r="DR25" s="207"/>
      <c r="DS25" s="207"/>
      <c r="DT25" s="207"/>
      <c r="DU25" s="207"/>
      <c r="DV25" s="207"/>
      <c r="DW25" s="207"/>
      <c r="DX25" s="207"/>
      <c r="DY25" s="207"/>
      <c r="DZ25" s="207"/>
      <c r="EA25" s="207"/>
      <c r="EB25" s="207"/>
      <c r="EC25" s="207"/>
      <c r="ED25" s="207"/>
      <c r="EE25" s="207"/>
      <c r="EF25" s="207"/>
      <c r="EG25" s="207"/>
      <c r="EH25" s="207"/>
      <c r="EI25" s="207"/>
      <c r="EJ25" s="207"/>
      <c r="EK25" s="207"/>
      <c r="EL25" s="207"/>
      <c r="EM25" s="207"/>
      <c r="EN25" s="207"/>
      <c r="EO25" s="207"/>
      <c r="EP25" s="207"/>
      <c r="EQ25" s="207"/>
      <c r="ER25" s="207"/>
      <c r="ES25" s="207"/>
      <c r="ET25" s="207"/>
      <c r="EU25" s="207"/>
      <c r="EV25" s="207"/>
      <c r="EW25" s="207"/>
      <c r="EX25" s="207"/>
      <c r="EY25" s="207"/>
      <c r="EZ25" s="207"/>
      <c r="FA25" s="207"/>
      <c r="FB25" s="207"/>
      <c r="FC25" s="207"/>
      <c r="FD25" s="207"/>
      <c r="FE25" s="207"/>
      <c r="FF25" s="207"/>
      <c r="FG25" s="207"/>
      <c r="FH25" s="207"/>
      <c r="FI25" s="207"/>
      <c r="FJ25" s="207"/>
      <c r="FK25" s="207"/>
      <c r="FL25" s="207"/>
      <c r="FM25" s="207"/>
      <c r="FN25" s="207"/>
      <c r="FO25" s="207"/>
      <c r="FP25" s="207"/>
      <c r="FQ25" s="207"/>
      <c r="FR25" s="207"/>
      <c r="FS25" s="208"/>
      <c r="FT25" s="156"/>
    </row>
    <row r="26" spans="1:176" ht="15" outlineLevel="1">
      <c r="A26" s="206" t="s">
        <v>1262</v>
      </c>
      <c r="B26" s="200" t="s">
        <v>487</v>
      </c>
      <c r="C26" s="34"/>
      <c r="D26" s="34"/>
      <c r="E26" s="34"/>
      <c r="F26" s="34"/>
      <c r="G26" s="34"/>
      <c r="H26" s="35" t="s">
        <v>488</v>
      </c>
      <c r="I26" s="38"/>
      <c r="J26" s="38"/>
      <c r="K26" s="38"/>
      <c r="L26" s="38"/>
      <c r="M26" s="38"/>
      <c r="N26" s="38"/>
      <c r="O26" s="38"/>
      <c r="P26" s="38"/>
      <c r="Q26" s="38"/>
      <c r="R26" s="177">
        <f t="shared" si="4"/>
        <v>0</v>
      </c>
      <c r="S26" s="202">
        <f t="shared" si="7"/>
        <v>0</v>
      </c>
      <c r="T26" s="202">
        <f t="shared" si="8"/>
        <v>0</v>
      </c>
      <c r="U26" s="18"/>
      <c r="V26" s="206" t="str">
        <f t="shared" si="5"/>
        <v>1-17</v>
      </c>
      <c r="W26" s="203" t="str">
        <f t="shared" si="6"/>
        <v/>
      </c>
      <c r="X26" s="110"/>
      <c r="Y26" s="109"/>
      <c r="Z26" s="207"/>
      <c r="AA26" s="207"/>
      <c r="AB26" s="207"/>
      <c r="AC26" s="207"/>
      <c r="AD26" s="207"/>
      <c r="AE26" s="207"/>
      <c r="AF26" s="207"/>
      <c r="AG26" s="207"/>
      <c r="AH26" s="207"/>
      <c r="AI26" s="207"/>
      <c r="AJ26" s="207"/>
      <c r="AK26" s="207"/>
      <c r="AL26" s="207"/>
      <c r="AM26" s="207"/>
      <c r="AN26" s="207"/>
      <c r="AO26" s="207"/>
      <c r="AP26" s="207"/>
      <c r="AQ26" s="207"/>
      <c r="AR26" s="207"/>
      <c r="AS26" s="207"/>
      <c r="AT26" s="207"/>
      <c r="AU26" s="207"/>
      <c r="AV26" s="207"/>
      <c r="AW26" s="207"/>
      <c r="AX26" s="207"/>
      <c r="AY26" s="207"/>
      <c r="AZ26" s="207"/>
      <c r="BA26" s="207"/>
      <c r="BB26" s="207"/>
      <c r="BC26" s="207"/>
      <c r="BD26" s="207"/>
      <c r="BE26" s="207"/>
      <c r="BF26" s="207"/>
      <c r="BG26" s="207"/>
      <c r="BH26" s="207"/>
      <c r="BI26" s="207"/>
      <c r="BJ26" s="207"/>
      <c r="BK26" s="207"/>
      <c r="BL26" s="207"/>
      <c r="BM26" s="207"/>
      <c r="BN26" s="207"/>
      <c r="BO26" s="207"/>
      <c r="BP26" s="207"/>
      <c r="BQ26" s="207"/>
      <c r="BR26" s="207"/>
      <c r="BS26" s="207"/>
      <c r="BT26" s="207"/>
      <c r="BU26" s="207"/>
      <c r="BV26" s="207"/>
      <c r="BW26" s="207"/>
      <c r="BX26" s="207"/>
      <c r="BY26" s="207"/>
      <c r="BZ26" s="207"/>
      <c r="CA26" s="207"/>
      <c r="CB26" s="207"/>
      <c r="CC26" s="207"/>
      <c r="CD26" s="207"/>
      <c r="CE26" s="207"/>
      <c r="CF26" s="207"/>
      <c r="CG26" s="207"/>
      <c r="CH26" s="207"/>
      <c r="CI26" s="207"/>
      <c r="CJ26" s="207"/>
      <c r="CK26" s="207"/>
      <c r="CL26" s="207"/>
      <c r="CM26" s="207"/>
      <c r="CN26" s="207"/>
      <c r="CO26" s="207"/>
      <c r="CP26" s="207"/>
      <c r="CQ26" s="207"/>
      <c r="CR26" s="207"/>
      <c r="CS26" s="207"/>
      <c r="CT26" s="207"/>
      <c r="CU26" s="207"/>
      <c r="CV26" s="207"/>
      <c r="CW26" s="207"/>
      <c r="CX26" s="207"/>
      <c r="CY26" s="207"/>
      <c r="CZ26" s="207"/>
      <c r="DA26" s="207"/>
      <c r="DB26" s="207"/>
      <c r="DC26" s="207"/>
      <c r="DD26" s="207"/>
      <c r="DE26" s="207"/>
      <c r="DF26" s="207"/>
      <c r="DG26" s="207"/>
      <c r="DH26" s="207"/>
      <c r="DI26" s="207"/>
      <c r="DJ26" s="207"/>
      <c r="DK26" s="207"/>
      <c r="DL26" s="207"/>
      <c r="DM26" s="207"/>
      <c r="DN26" s="207"/>
      <c r="DO26" s="207"/>
      <c r="DP26" s="207"/>
      <c r="DQ26" s="207"/>
      <c r="DR26" s="207"/>
      <c r="DS26" s="207"/>
      <c r="DT26" s="207"/>
      <c r="DU26" s="207"/>
      <c r="DV26" s="207"/>
      <c r="DW26" s="207"/>
      <c r="DX26" s="207"/>
      <c r="DY26" s="207"/>
      <c r="DZ26" s="207"/>
      <c r="EA26" s="207"/>
      <c r="EB26" s="207"/>
      <c r="EC26" s="207"/>
      <c r="ED26" s="207"/>
      <c r="EE26" s="207"/>
      <c r="EF26" s="207"/>
      <c r="EG26" s="207"/>
      <c r="EH26" s="207"/>
      <c r="EI26" s="207"/>
      <c r="EJ26" s="207"/>
      <c r="EK26" s="207"/>
      <c r="EL26" s="207"/>
      <c r="EM26" s="207"/>
      <c r="EN26" s="207"/>
      <c r="EO26" s="207"/>
      <c r="EP26" s="207"/>
      <c r="EQ26" s="207"/>
      <c r="ER26" s="207"/>
      <c r="ES26" s="207"/>
      <c r="ET26" s="207"/>
      <c r="EU26" s="207"/>
      <c r="EV26" s="207"/>
      <c r="EW26" s="207"/>
      <c r="EX26" s="207"/>
      <c r="EY26" s="207"/>
      <c r="EZ26" s="207"/>
      <c r="FA26" s="207"/>
      <c r="FB26" s="207"/>
      <c r="FC26" s="207"/>
      <c r="FD26" s="207"/>
      <c r="FE26" s="207"/>
      <c r="FF26" s="207"/>
      <c r="FG26" s="207"/>
      <c r="FH26" s="207"/>
      <c r="FI26" s="207"/>
      <c r="FJ26" s="207"/>
      <c r="FK26" s="207"/>
      <c r="FL26" s="207"/>
      <c r="FM26" s="207"/>
      <c r="FN26" s="207"/>
      <c r="FO26" s="207"/>
      <c r="FP26" s="207"/>
      <c r="FQ26" s="207"/>
      <c r="FR26" s="207"/>
      <c r="FS26" s="208"/>
      <c r="FT26" s="156"/>
    </row>
    <row r="27" spans="1:176" ht="15" outlineLevel="1">
      <c r="A27" s="206" t="s">
        <v>1263</v>
      </c>
      <c r="B27" s="200" t="s">
        <v>487</v>
      </c>
      <c r="C27" s="34"/>
      <c r="D27" s="34"/>
      <c r="E27" s="34"/>
      <c r="F27" s="34"/>
      <c r="G27" s="34"/>
      <c r="H27" s="37" t="s">
        <v>488</v>
      </c>
      <c r="I27" s="38"/>
      <c r="J27" s="38"/>
      <c r="K27" s="38"/>
      <c r="L27" s="38"/>
      <c r="M27" s="38"/>
      <c r="N27" s="38"/>
      <c r="O27" s="38"/>
      <c r="P27" s="38"/>
      <c r="Q27" s="38"/>
      <c r="R27" s="177">
        <f t="shared" si="4"/>
        <v>0</v>
      </c>
      <c r="S27" s="202">
        <f t="shared" si="7"/>
        <v>0</v>
      </c>
      <c r="T27" s="202">
        <f t="shared" si="8"/>
        <v>0</v>
      </c>
      <c r="U27" s="18"/>
      <c r="V27" s="206" t="str">
        <f t="shared" si="5"/>
        <v>1-18</v>
      </c>
      <c r="W27" s="203" t="str">
        <f t="shared" si="6"/>
        <v/>
      </c>
      <c r="X27" s="110"/>
      <c r="Y27" s="109"/>
      <c r="Z27" s="207"/>
      <c r="AA27" s="207"/>
      <c r="AB27" s="207"/>
      <c r="AC27" s="207"/>
      <c r="AD27" s="207"/>
      <c r="AE27" s="207"/>
      <c r="AF27" s="207"/>
      <c r="AG27" s="207"/>
      <c r="AH27" s="207"/>
      <c r="AI27" s="207"/>
      <c r="AJ27" s="207"/>
      <c r="AK27" s="207"/>
      <c r="AL27" s="207"/>
      <c r="AM27" s="207"/>
      <c r="AN27" s="207"/>
      <c r="AO27" s="207"/>
      <c r="AP27" s="207"/>
      <c r="AQ27" s="207"/>
      <c r="AR27" s="207"/>
      <c r="AS27" s="207"/>
      <c r="AT27" s="207"/>
      <c r="AU27" s="207"/>
      <c r="AV27" s="207"/>
      <c r="AW27" s="207"/>
      <c r="AX27" s="207"/>
      <c r="AY27" s="207"/>
      <c r="AZ27" s="207"/>
      <c r="BA27" s="207"/>
      <c r="BB27" s="207"/>
      <c r="BC27" s="207"/>
      <c r="BD27" s="207"/>
      <c r="BE27" s="207"/>
      <c r="BF27" s="207"/>
      <c r="BG27" s="207"/>
      <c r="BH27" s="207"/>
      <c r="BI27" s="207"/>
      <c r="BJ27" s="207"/>
      <c r="BK27" s="207"/>
      <c r="BL27" s="207"/>
      <c r="BM27" s="207"/>
      <c r="BN27" s="207"/>
      <c r="BO27" s="207"/>
      <c r="BP27" s="207"/>
      <c r="BQ27" s="207"/>
      <c r="BR27" s="207"/>
      <c r="BS27" s="207"/>
      <c r="BT27" s="207"/>
      <c r="BU27" s="207"/>
      <c r="BV27" s="207"/>
      <c r="BW27" s="207"/>
      <c r="BX27" s="207"/>
      <c r="BY27" s="207"/>
      <c r="BZ27" s="207"/>
      <c r="CA27" s="207"/>
      <c r="CB27" s="207"/>
      <c r="CC27" s="207"/>
      <c r="CD27" s="207"/>
      <c r="CE27" s="207"/>
      <c r="CF27" s="207"/>
      <c r="CG27" s="207"/>
      <c r="CH27" s="207"/>
      <c r="CI27" s="207"/>
      <c r="CJ27" s="207"/>
      <c r="CK27" s="207"/>
      <c r="CL27" s="207"/>
      <c r="CM27" s="207"/>
      <c r="CN27" s="207"/>
      <c r="CO27" s="207"/>
      <c r="CP27" s="207"/>
      <c r="CQ27" s="207"/>
      <c r="CR27" s="207"/>
      <c r="CS27" s="207"/>
      <c r="CT27" s="207"/>
      <c r="CU27" s="207"/>
      <c r="CV27" s="207"/>
      <c r="CW27" s="207"/>
      <c r="CX27" s="207"/>
      <c r="CY27" s="207"/>
      <c r="CZ27" s="207"/>
      <c r="DA27" s="207"/>
      <c r="DB27" s="207"/>
      <c r="DC27" s="207"/>
      <c r="DD27" s="207"/>
      <c r="DE27" s="207"/>
      <c r="DF27" s="207"/>
      <c r="DG27" s="207"/>
      <c r="DH27" s="207"/>
      <c r="DI27" s="207"/>
      <c r="DJ27" s="207"/>
      <c r="DK27" s="207"/>
      <c r="DL27" s="207"/>
      <c r="DM27" s="207"/>
      <c r="DN27" s="207"/>
      <c r="DO27" s="207"/>
      <c r="DP27" s="207"/>
      <c r="DQ27" s="207"/>
      <c r="DR27" s="207"/>
      <c r="DS27" s="207"/>
      <c r="DT27" s="207"/>
      <c r="DU27" s="207"/>
      <c r="DV27" s="207"/>
      <c r="DW27" s="207"/>
      <c r="DX27" s="207"/>
      <c r="DY27" s="207"/>
      <c r="DZ27" s="207"/>
      <c r="EA27" s="207"/>
      <c r="EB27" s="207"/>
      <c r="EC27" s="207"/>
      <c r="ED27" s="207"/>
      <c r="EE27" s="207"/>
      <c r="EF27" s="207"/>
      <c r="EG27" s="207"/>
      <c r="EH27" s="207"/>
      <c r="EI27" s="207"/>
      <c r="EJ27" s="207"/>
      <c r="EK27" s="207"/>
      <c r="EL27" s="207"/>
      <c r="EM27" s="207"/>
      <c r="EN27" s="207"/>
      <c r="EO27" s="207"/>
      <c r="EP27" s="207"/>
      <c r="EQ27" s="207"/>
      <c r="ER27" s="207"/>
      <c r="ES27" s="207"/>
      <c r="ET27" s="207"/>
      <c r="EU27" s="207"/>
      <c r="EV27" s="207"/>
      <c r="EW27" s="207"/>
      <c r="EX27" s="207"/>
      <c r="EY27" s="207"/>
      <c r="EZ27" s="207"/>
      <c r="FA27" s="207"/>
      <c r="FB27" s="207"/>
      <c r="FC27" s="207"/>
      <c r="FD27" s="207"/>
      <c r="FE27" s="207"/>
      <c r="FF27" s="207"/>
      <c r="FG27" s="207"/>
      <c r="FH27" s="207"/>
      <c r="FI27" s="207"/>
      <c r="FJ27" s="207"/>
      <c r="FK27" s="207"/>
      <c r="FL27" s="207"/>
      <c r="FM27" s="207"/>
      <c r="FN27" s="207"/>
      <c r="FO27" s="207"/>
      <c r="FP27" s="207"/>
      <c r="FQ27" s="207"/>
      <c r="FR27" s="207"/>
      <c r="FS27" s="208"/>
      <c r="FT27" s="156"/>
    </row>
    <row r="28" spans="1:176" ht="15" outlineLevel="1">
      <c r="A28" s="206" t="s">
        <v>1264</v>
      </c>
      <c r="B28" s="200" t="s">
        <v>487</v>
      </c>
      <c r="C28" s="34"/>
      <c r="D28" s="34"/>
      <c r="E28" s="34"/>
      <c r="F28" s="34"/>
      <c r="G28" s="34"/>
      <c r="H28" s="35" t="s">
        <v>488</v>
      </c>
      <c r="I28" s="38"/>
      <c r="J28" s="38"/>
      <c r="K28" s="38"/>
      <c r="L28" s="38"/>
      <c r="M28" s="38"/>
      <c r="N28" s="38"/>
      <c r="O28" s="38"/>
      <c r="P28" s="38"/>
      <c r="Q28" s="38"/>
      <c r="R28" s="177">
        <f t="shared" si="4"/>
        <v>0</v>
      </c>
      <c r="S28" s="202">
        <f t="shared" si="7"/>
        <v>0</v>
      </c>
      <c r="T28" s="202">
        <f t="shared" si="8"/>
        <v>0</v>
      </c>
      <c r="U28" s="18"/>
      <c r="V28" s="206" t="str">
        <f t="shared" si="5"/>
        <v>1-19</v>
      </c>
      <c r="W28" s="203" t="str">
        <f t="shared" si="6"/>
        <v/>
      </c>
      <c r="X28" s="110"/>
      <c r="Y28" s="109"/>
      <c r="Z28" s="207"/>
      <c r="AA28" s="207"/>
      <c r="AB28" s="207"/>
      <c r="AC28" s="207"/>
      <c r="AD28" s="207"/>
      <c r="AE28" s="207"/>
      <c r="AF28" s="207"/>
      <c r="AG28" s="207"/>
      <c r="AH28" s="207"/>
      <c r="AI28" s="207"/>
      <c r="AJ28" s="207"/>
      <c r="AK28" s="207"/>
      <c r="AL28" s="207"/>
      <c r="AM28" s="207"/>
      <c r="AN28" s="207"/>
      <c r="AO28" s="207"/>
      <c r="AP28" s="207"/>
      <c r="AQ28" s="207"/>
      <c r="AR28" s="207"/>
      <c r="AS28" s="207"/>
      <c r="AT28" s="207"/>
      <c r="AU28" s="207"/>
      <c r="AV28" s="207"/>
      <c r="AW28" s="207"/>
      <c r="AX28" s="207"/>
      <c r="AY28" s="207"/>
      <c r="AZ28" s="207"/>
      <c r="BA28" s="207"/>
      <c r="BB28" s="207"/>
      <c r="BC28" s="207"/>
      <c r="BD28" s="207"/>
      <c r="BE28" s="207"/>
      <c r="BF28" s="207"/>
      <c r="BG28" s="207"/>
      <c r="BH28" s="207"/>
      <c r="BI28" s="207"/>
      <c r="BJ28" s="207"/>
      <c r="BK28" s="207"/>
      <c r="BL28" s="207"/>
      <c r="BM28" s="207"/>
      <c r="BN28" s="207"/>
      <c r="BO28" s="207"/>
      <c r="BP28" s="207"/>
      <c r="BQ28" s="207"/>
      <c r="BR28" s="207"/>
      <c r="BS28" s="207"/>
      <c r="BT28" s="207"/>
      <c r="BU28" s="207"/>
      <c r="BV28" s="207"/>
      <c r="BW28" s="207"/>
      <c r="BX28" s="207"/>
      <c r="BY28" s="207"/>
      <c r="BZ28" s="207"/>
      <c r="CA28" s="207"/>
      <c r="CB28" s="207"/>
      <c r="CC28" s="207"/>
      <c r="CD28" s="207"/>
      <c r="CE28" s="207"/>
      <c r="CF28" s="207"/>
      <c r="CG28" s="207"/>
      <c r="CH28" s="207"/>
      <c r="CI28" s="207"/>
      <c r="CJ28" s="207"/>
      <c r="CK28" s="207"/>
      <c r="CL28" s="207"/>
      <c r="CM28" s="207"/>
      <c r="CN28" s="207"/>
      <c r="CO28" s="207"/>
      <c r="CP28" s="207"/>
      <c r="CQ28" s="207"/>
      <c r="CR28" s="207"/>
      <c r="CS28" s="207"/>
      <c r="CT28" s="207"/>
      <c r="CU28" s="207"/>
      <c r="CV28" s="207"/>
      <c r="CW28" s="207"/>
      <c r="CX28" s="207"/>
      <c r="CY28" s="207"/>
      <c r="CZ28" s="207"/>
      <c r="DA28" s="207"/>
      <c r="DB28" s="207"/>
      <c r="DC28" s="207"/>
      <c r="DD28" s="207"/>
      <c r="DE28" s="207"/>
      <c r="DF28" s="207"/>
      <c r="DG28" s="207"/>
      <c r="DH28" s="207"/>
      <c r="DI28" s="207"/>
      <c r="DJ28" s="207"/>
      <c r="DK28" s="207"/>
      <c r="DL28" s="207"/>
      <c r="DM28" s="207"/>
      <c r="DN28" s="207"/>
      <c r="DO28" s="207"/>
      <c r="DP28" s="207"/>
      <c r="DQ28" s="207"/>
      <c r="DR28" s="207"/>
      <c r="DS28" s="207"/>
      <c r="DT28" s="207"/>
      <c r="DU28" s="207"/>
      <c r="DV28" s="207"/>
      <c r="DW28" s="207"/>
      <c r="DX28" s="207"/>
      <c r="DY28" s="207"/>
      <c r="DZ28" s="207"/>
      <c r="EA28" s="207"/>
      <c r="EB28" s="207"/>
      <c r="EC28" s="207"/>
      <c r="ED28" s="207"/>
      <c r="EE28" s="207"/>
      <c r="EF28" s="207"/>
      <c r="EG28" s="207"/>
      <c r="EH28" s="207"/>
      <c r="EI28" s="207"/>
      <c r="EJ28" s="207"/>
      <c r="EK28" s="207"/>
      <c r="EL28" s="207"/>
      <c r="EM28" s="207"/>
      <c r="EN28" s="207"/>
      <c r="EO28" s="207"/>
      <c r="EP28" s="207"/>
      <c r="EQ28" s="207"/>
      <c r="ER28" s="207"/>
      <c r="ES28" s="207"/>
      <c r="ET28" s="207"/>
      <c r="EU28" s="207"/>
      <c r="EV28" s="207"/>
      <c r="EW28" s="207"/>
      <c r="EX28" s="207"/>
      <c r="EY28" s="207"/>
      <c r="EZ28" s="207"/>
      <c r="FA28" s="207"/>
      <c r="FB28" s="207"/>
      <c r="FC28" s="207"/>
      <c r="FD28" s="207"/>
      <c r="FE28" s="207"/>
      <c r="FF28" s="207"/>
      <c r="FG28" s="207"/>
      <c r="FH28" s="207"/>
      <c r="FI28" s="207"/>
      <c r="FJ28" s="207"/>
      <c r="FK28" s="207"/>
      <c r="FL28" s="207"/>
      <c r="FM28" s="207"/>
      <c r="FN28" s="207"/>
      <c r="FO28" s="207"/>
      <c r="FP28" s="207"/>
      <c r="FQ28" s="207"/>
      <c r="FR28" s="207"/>
      <c r="FS28" s="208"/>
      <c r="FT28" s="156"/>
    </row>
    <row r="29" spans="1:176" ht="15" outlineLevel="1">
      <c r="A29" s="206" t="s">
        <v>1265</v>
      </c>
      <c r="B29" s="200" t="s">
        <v>487</v>
      </c>
      <c r="C29" s="34"/>
      <c r="D29" s="34"/>
      <c r="E29" s="34"/>
      <c r="F29" s="34"/>
      <c r="G29" s="34"/>
      <c r="H29" s="37" t="s">
        <v>488</v>
      </c>
      <c r="I29" s="38"/>
      <c r="J29" s="38"/>
      <c r="K29" s="38"/>
      <c r="L29" s="38"/>
      <c r="M29" s="38"/>
      <c r="N29" s="38"/>
      <c r="O29" s="38"/>
      <c r="P29" s="38"/>
      <c r="Q29" s="38"/>
      <c r="R29" s="177">
        <f t="shared" si="4"/>
        <v>0</v>
      </c>
      <c r="S29" s="202">
        <f t="shared" si="7"/>
        <v>0</v>
      </c>
      <c r="T29" s="202">
        <f t="shared" si="8"/>
        <v>0</v>
      </c>
      <c r="U29" s="18"/>
      <c r="V29" s="206" t="str">
        <f t="shared" si="5"/>
        <v>1-20</v>
      </c>
      <c r="W29" s="203" t="str">
        <f t="shared" si="6"/>
        <v/>
      </c>
      <c r="X29" s="110"/>
      <c r="Y29" s="109"/>
      <c r="Z29" s="207"/>
      <c r="AA29" s="207"/>
      <c r="AB29" s="207"/>
      <c r="AC29" s="207"/>
      <c r="AD29" s="207"/>
      <c r="AE29" s="207"/>
      <c r="AF29" s="207"/>
      <c r="AG29" s="207"/>
      <c r="AH29" s="207"/>
      <c r="AI29" s="207"/>
      <c r="AJ29" s="207"/>
      <c r="AK29" s="207"/>
      <c r="AL29" s="207"/>
      <c r="AM29" s="207"/>
      <c r="AN29" s="207"/>
      <c r="AO29" s="207"/>
      <c r="AP29" s="207"/>
      <c r="AQ29" s="207"/>
      <c r="AR29" s="207"/>
      <c r="AS29" s="207"/>
      <c r="AT29" s="207"/>
      <c r="AU29" s="207"/>
      <c r="AV29" s="207"/>
      <c r="AW29" s="207"/>
      <c r="AX29" s="207"/>
      <c r="AY29" s="207"/>
      <c r="AZ29" s="207"/>
      <c r="BA29" s="207"/>
      <c r="BB29" s="207"/>
      <c r="BC29" s="207"/>
      <c r="BD29" s="207"/>
      <c r="BE29" s="207"/>
      <c r="BF29" s="207"/>
      <c r="BG29" s="207"/>
      <c r="BH29" s="207"/>
      <c r="BI29" s="207"/>
      <c r="BJ29" s="207"/>
      <c r="BK29" s="207"/>
      <c r="BL29" s="207"/>
      <c r="BM29" s="207"/>
      <c r="BN29" s="207"/>
      <c r="BO29" s="207"/>
      <c r="BP29" s="207"/>
      <c r="BQ29" s="207"/>
      <c r="BR29" s="207"/>
      <c r="BS29" s="207"/>
      <c r="BT29" s="207"/>
      <c r="BU29" s="207"/>
      <c r="BV29" s="207"/>
      <c r="BW29" s="207"/>
      <c r="BX29" s="207"/>
      <c r="BY29" s="207"/>
      <c r="BZ29" s="207"/>
      <c r="CA29" s="207"/>
      <c r="CB29" s="207"/>
      <c r="CC29" s="207"/>
      <c r="CD29" s="207"/>
      <c r="CE29" s="207"/>
      <c r="CF29" s="207"/>
      <c r="CG29" s="207"/>
      <c r="CH29" s="207"/>
      <c r="CI29" s="207"/>
      <c r="CJ29" s="207"/>
      <c r="CK29" s="207"/>
      <c r="CL29" s="207"/>
      <c r="CM29" s="207"/>
      <c r="CN29" s="207"/>
      <c r="CO29" s="207"/>
      <c r="CP29" s="207"/>
      <c r="CQ29" s="207"/>
      <c r="CR29" s="207"/>
      <c r="CS29" s="207"/>
      <c r="CT29" s="207"/>
      <c r="CU29" s="207"/>
      <c r="CV29" s="207"/>
      <c r="CW29" s="207"/>
      <c r="CX29" s="207"/>
      <c r="CY29" s="207"/>
      <c r="CZ29" s="207"/>
      <c r="DA29" s="207"/>
      <c r="DB29" s="207"/>
      <c r="DC29" s="207"/>
      <c r="DD29" s="207"/>
      <c r="DE29" s="207"/>
      <c r="DF29" s="207"/>
      <c r="DG29" s="207"/>
      <c r="DH29" s="207"/>
      <c r="DI29" s="207"/>
      <c r="DJ29" s="207"/>
      <c r="DK29" s="207"/>
      <c r="DL29" s="207"/>
      <c r="DM29" s="207"/>
      <c r="DN29" s="207"/>
      <c r="DO29" s="207"/>
      <c r="DP29" s="207"/>
      <c r="DQ29" s="207"/>
      <c r="DR29" s="207"/>
      <c r="DS29" s="207"/>
      <c r="DT29" s="207"/>
      <c r="DU29" s="207"/>
      <c r="DV29" s="207"/>
      <c r="DW29" s="207"/>
      <c r="DX29" s="207"/>
      <c r="DY29" s="207"/>
      <c r="DZ29" s="207"/>
      <c r="EA29" s="207"/>
      <c r="EB29" s="207"/>
      <c r="EC29" s="207"/>
      <c r="ED29" s="207"/>
      <c r="EE29" s="207"/>
      <c r="EF29" s="207"/>
      <c r="EG29" s="207"/>
      <c r="EH29" s="207"/>
      <c r="EI29" s="207"/>
      <c r="EJ29" s="207"/>
      <c r="EK29" s="207"/>
      <c r="EL29" s="207"/>
      <c r="EM29" s="207"/>
      <c r="EN29" s="207"/>
      <c r="EO29" s="207"/>
      <c r="EP29" s="207"/>
      <c r="EQ29" s="207"/>
      <c r="ER29" s="207"/>
      <c r="ES29" s="207"/>
      <c r="ET29" s="207"/>
      <c r="EU29" s="207"/>
      <c r="EV29" s="207"/>
      <c r="EW29" s="207"/>
      <c r="EX29" s="207"/>
      <c r="EY29" s="207"/>
      <c r="EZ29" s="207"/>
      <c r="FA29" s="207"/>
      <c r="FB29" s="207"/>
      <c r="FC29" s="207"/>
      <c r="FD29" s="207"/>
      <c r="FE29" s="207"/>
      <c r="FF29" s="207"/>
      <c r="FG29" s="207"/>
      <c r="FH29" s="207"/>
      <c r="FI29" s="207"/>
      <c r="FJ29" s="207"/>
      <c r="FK29" s="207"/>
      <c r="FL29" s="207"/>
      <c r="FM29" s="207"/>
      <c r="FN29" s="207"/>
      <c r="FO29" s="207"/>
      <c r="FP29" s="207"/>
      <c r="FQ29" s="207"/>
      <c r="FR29" s="207"/>
      <c r="FS29" s="208"/>
      <c r="FT29" s="156"/>
    </row>
    <row r="30" spans="1:176" ht="15" outlineLevel="1">
      <c r="A30" s="206" t="s">
        <v>1266</v>
      </c>
      <c r="B30" s="200" t="s">
        <v>487</v>
      </c>
      <c r="C30" s="34"/>
      <c r="D30" s="34"/>
      <c r="E30" s="34"/>
      <c r="F30" s="34"/>
      <c r="G30" s="34"/>
      <c r="H30" s="35" t="s">
        <v>488</v>
      </c>
      <c r="I30" s="38"/>
      <c r="J30" s="38"/>
      <c r="K30" s="38"/>
      <c r="L30" s="38"/>
      <c r="M30" s="38"/>
      <c r="N30" s="38"/>
      <c r="O30" s="38"/>
      <c r="P30" s="38"/>
      <c r="Q30" s="38"/>
      <c r="R30" s="177">
        <f t="shared" si="4"/>
        <v>0</v>
      </c>
      <c r="S30" s="202">
        <f t="shared" si="7"/>
        <v>0</v>
      </c>
      <c r="T30" s="202">
        <f t="shared" si="8"/>
        <v>0</v>
      </c>
      <c r="U30" s="18"/>
      <c r="V30" s="206" t="str">
        <f t="shared" si="5"/>
        <v>1-21</v>
      </c>
      <c r="W30" s="203" t="str">
        <f t="shared" si="6"/>
        <v/>
      </c>
      <c r="X30" s="110"/>
      <c r="Y30" s="109"/>
      <c r="Z30" s="207"/>
      <c r="AA30" s="207"/>
      <c r="AB30" s="207"/>
      <c r="AC30" s="207"/>
      <c r="AD30" s="207"/>
      <c r="AE30" s="207"/>
      <c r="AF30" s="207"/>
      <c r="AG30" s="207"/>
      <c r="AH30" s="207"/>
      <c r="AI30" s="207"/>
      <c r="AJ30" s="207"/>
      <c r="AK30" s="207"/>
      <c r="AL30" s="207"/>
      <c r="AM30" s="207"/>
      <c r="AN30" s="207"/>
      <c r="AO30" s="207"/>
      <c r="AP30" s="207"/>
      <c r="AQ30" s="207"/>
      <c r="AR30" s="207"/>
      <c r="AS30" s="207"/>
      <c r="AT30" s="207"/>
      <c r="AU30" s="207"/>
      <c r="AV30" s="207"/>
      <c r="AW30" s="207"/>
      <c r="AX30" s="207"/>
      <c r="AY30" s="207"/>
      <c r="AZ30" s="207"/>
      <c r="BA30" s="207"/>
      <c r="BB30" s="207"/>
      <c r="BC30" s="207"/>
      <c r="BD30" s="207"/>
      <c r="BE30" s="207"/>
      <c r="BF30" s="207"/>
      <c r="BG30" s="207"/>
      <c r="BH30" s="207"/>
      <c r="BI30" s="207"/>
      <c r="BJ30" s="207"/>
      <c r="BK30" s="207"/>
      <c r="BL30" s="207"/>
      <c r="BM30" s="207"/>
      <c r="BN30" s="207"/>
      <c r="BO30" s="207"/>
      <c r="BP30" s="207"/>
      <c r="BQ30" s="207"/>
      <c r="BR30" s="207"/>
      <c r="BS30" s="207"/>
      <c r="BT30" s="207"/>
      <c r="BU30" s="207"/>
      <c r="BV30" s="207"/>
      <c r="BW30" s="207"/>
      <c r="BX30" s="207"/>
      <c r="BY30" s="207"/>
      <c r="BZ30" s="207"/>
      <c r="CA30" s="207"/>
      <c r="CB30" s="207"/>
      <c r="CC30" s="207"/>
      <c r="CD30" s="207"/>
      <c r="CE30" s="207"/>
      <c r="CF30" s="207"/>
      <c r="CG30" s="207"/>
      <c r="CH30" s="207"/>
      <c r="CI30" s="207"/>
      <c r="CJ30" s="207"/>
      <c r="CK30" s="207"/>
      <c r="CL30" s="207"/>
      <c r="CM30" s="207"/>
      <c r="CN30" s="207"/>
      <c r="CO30" s="207"/>
      <c r="CP30" s="207"/>
      <c r="CQ30" s="207"/>
      <c r="CR30" s="207"/>
      <c r="CS30" s="207"/>
      <c r="CT30" s="207"/>
      <c r="CU30" s="207"/>
      <c r="CV30" s="207"/>
      <c r="CW30" s="207"/>
      <c r="CX30" s="207"/>
      <c r="CY30" s="207"/>
      <c r="CZ30" s="207"/>
      <c r="DA30" s="207"/>
      <c r="DB30" s="207"/>
      <c r="DC30" s="207"/>
      <c r="DD30" s="207"/>
      <c r="DE30" s="207"/>
      <c r="DF30" s="207"/>
      <c r="DG30" s="207"/>
      <c r="DH30" s="207"/>
      <c r="DI30" s="207"/>
      <c r="DJ30" s="207"/>
      <c r="DK30" s="207"/>
      <c r="DL30" s="207"/>
      <c r="DM30" s="207"/>
      <c r="DN30" s="207"/>
      <c r="DO30" s="207"/>
      <c r="DP30" s="207"/>
      <c r="DQ30" s="207"/>
      <c r="DR30" s="207"/>
      <c r="DS30" s="207"/>
      <c r="DT30" s="207"/>
      <c r="DU30" s="207"/>
      <c r="DV30" s="207"/>
      <c r="DW30" s="207"/>
      <c r="DX30" s="207"/>
      <c r="DY30" s="207"/>
      <c r="DZ30" s="207"/>
      <c r="EA30" s="207"/>
      <c r="EB30" s="207"/>
      <c r="EC30" s="207"/>
      <c r="ED30" s="207"/>
      <c r="EE30" s="207"/>
      <c r="EF30" s="207"/>
      <c r="EG30" s="207"/>
      <c r="EH30" s="207"/>
      <c r="EI30" s="207"/>
      <c r="EJ30" s="207"/>
      <c r="EK30" s="207"/>
      <c r="EL30" s="207"/>
      <c r="EM30" s="207"/>
      <c r="EN30" s="207"/>
      <c r="EO30" s="207"/>
      <c r="EP30" s="207"/>
      <c r="EQ30" s="207"/>
      <c r="ER30" s="207"/>
      <c r="ES30" s="207"/>
      <c r="ET30" s="207"/>
      <c r="EU30" s="207"/>
      <c r="EV30" s="207"/>
      <c r="EW30" s="207"/>
      <c r="EX30" s="207"/>
      <c r="EY30" s="207"/>
      <c r="EZ30" s="207"/>
      <c r="FA30" s="207"/>
      <c r="FB30" s="207"/>
      <c r="FC30" s="207"/>
      <c r="FD30" s="207"/>
      <c r="FE30" s="207"/>
      <c r="FF30" s="207"/>
      <c r="FG30" s="207"/>
      <c r="FH30" s="207"/>
      <c r="FI30" s="207"/>
      <c r="FJ30" s="207"/>
      <c r="FK30" s="207"/>
      <c r="FL30" s="207"/>
      <c r="FM30" s="207"/>
      <c r="FN30" s="207"/>
      <c r="FO30" s="207"/>
      <c r="FP30" s="207"/>
      <c r="FQ30" s="207"/>
      <c r="FR30" s="207"/>
      <c r="FS30" s="208"/>
      <c r="FT30" s="156"/>
    </row>
    <row r="31" spans="1:176" ht="15" outlineLevel="1">
      <c r="A31" s="206" t="s">
        <v>1267</v>
      </c>
      <c r="B31" s="200" t="s">
        <v>487</v>
      </c>
      <c r="C31" s="34"/>
      <c r="D31" s="34"/>
      <c r="E31" s="34"/>
      <c r="F31" s="34"/>
      <c r="G31" s="34"/>
      <c r="H31" s="37" t="s">
        <v>488</v>
      </c>
      <c r="I31" s="38"/>
      <c r="J31" s="38"/>
      <c r="K31" s="38"/>
      <c r="L31" s="38"/>
      <c r="M31" s="38"/>
      <c r="N31" s="38"/>
      <c r="O31" s="38"/>
      <c r="P31" s="38"/>
      <c r="Q31" s="38"/>
      <c r="R31" s="177">
        <f t="shared" si="4"/>
        <v>0</v>
      </c>
      <c r="S31" s="202">
        <f t="shared" si="7"/>
        <v>0</v>
      </c>
      <c r="T31" s="202">
        <f t="shared" si="8"/>
        <v>0</v>
      </c>
      <c r="U31" s="18"/>
      <c r="V31" s="206" t="str">
        <f t="shared" si="5"/>
        <v>1-22</v>
      </c>
      <c r="W31" s="203" t="str">
        <f t="shared" si="6"/>
        <v/>
      </c>
      <c r="X31" s="110"/>
      <c r="Y31" s="109"/>
      <c r="Z31" s="207"/>
      <c r="AA31" s="207"/>
      <c r="AB31" s="207"/>
      <c r="AC31" s="207"/>
      <c r="AD31" s="207"/>
      <c r="AE31" s="207"/>
      <c r="AF31" s="207"/>
      <c r="AG31" s="207"/>
      <c r="AH31" s="207"/>
      <c r="AI31" s="207"/>
      <c r="AJ31" s="207"/>
      <c r="AK31" s="207"/>
      <c r="AL31" s="207"/>
      <c r="AM31" s="207"/>
      <c r="AN31" s="207"/>
      <c r="AO31" s="207"/>
      <c r="AP31" s="207"/>
      <c r="AQ31" s="207"/>
      <c r="AR31" s="207"/>
      <c r="AS31" s="207"/>
      <c r="AT31" s="207"/>
      <c r="AU31" s="207"/>
      <c r="AV31" s="207"/>
      <c r="AW31" s="207"/>
      <c r="AX31" s="207"/>
      <c r="AY31" s="207"/>
      <c r="AZ31" s="207"/>
      <c r="BA31" s="207"/>
      <c r="BB31" s="207"/>
      <c r="BC31" s="207"/>
      <c r="BD31" s="207"/>
      <c r="BE31" s="207"/>
      <c r="BF31" s="207"/>
      <c r="BG31" s="207"/>
      <c r="BH31" s="207"/>
      <c r="BI31" s="207"/>
      <c r="BJ31" s="207"/>
      <c r="BK31" s="207"/>
      <c r="BL31" s="207"/>
      <c r="BM31" s="207"/>
      <c r="BN31" s="207"/>
      <c r="BO31" s="207"/>
      <c r="BP31" s="207"/>
      <c r="BQ31" s="207"/>
      <c r="BR31" s="207"/>
      <c r="BS31" s="207"/>
      <c r="BT31" s="207"/>
      <c r="BU31" s="207"/>
      <c r="BV31" s="207"/>
      <c r="BW31" s="207"/>
      <c r="BX31" s="207"/>
      <c r="BY31" s="207"/>
      <c r="BZ31" s="207"/>
      <c r="CA31" s="207"/>
      <c r="CB31" s="207"/>
      <c r="CC31" s="207"/>
      <c r="CD31" s="207"/>
      <c r="CE31" s="207"/>
      <c r="CF31" s="207"/>
      <c r="CG31" s="207"/>
      <c r="CH31" s="207"/>
      <c r="CI31" s="207"/>
      <c r="CJ31" s="207"/>
      <c r="CK31" s="207"/>
      <c r="CL31" s="207"/>
      <c r="CM31" s="207"/>
      <c r="CN31" s="207"/>
      <c r="CO31" s="207"/>
      <c r="CP31" s="207"/>
      <c r="CQ31" s="207"/>
      <c r="CR31" s="207"/>
      <c r="CS31" s="207"/>
      <c r="CT31" s="207"/>
      <c r="CU31" s="207"/>
      <c r="CV31" s="207"/>
      <c r="CW31" s="207"/>
      <c r="CX31" s="207"/>
      <c r="CY31" s="207"/>
      <c r="CZ31" s="207"/>
      <c r="DA31" s="207"/>
      <c r="DB31" s="207"/>
      <c r="DC31" s="207"/>
      <c r="DD31" s="207"/>
      <c r="DE31" s="207"/>
      <c r="DF31" s="207"/>
      <c r="DG31" s="207"/>
      <c r="DH31" s="207"/>
      <c r="DI31" s="207"/>
      <c r="DJ31" s="207"/>
      <c r="DK31" s="207"/>
      <c r="DL31" s="207"/>
      <c r="DM31" s="207"/>
      <c r="DN31" s="207"/>
      <c r="DO31" s="207"/>
      <c r="DP31" s="207"/>
      <c r="DQ31" s="207"/>
      <c r="DR31" s="207"/>
      <c r="DS31" s="207"/>
      <c r="DT31" s="207"/>
      <c r="DU31" s="207"/>
      <c r="DV31" s="207"/>
      <c r="DW31" s="207"/>
      <c r="DX31" s="207"/>
      <c r="DY31" s="207"/>
      <c r="DZ31" s="207"/>
      <c r="EA31" s="207"/>
      <c r="EB31" s="207"/>
      <c r="EC31" s="207"/>
      <c r="ED31" s="207"/>
      <c r="EE31" s="207"/>
      <c r="EF31" s="207"/>
      <c r="EG31" s="207"/>
      <c r="EH31" s="207"/>
      <c r="EI31" s="207"/>
      <c r="EJ31" s="207"/>
      <c r="EK31" s="207"/>
      <c r="EL31" s="207"/>
      <c r="EM31" s="207"/>
      <c r="EN31" s="207"/>
      <c r="EO31" s="207"/>
      <c r="EP31" s="207"/>
      <c r="EQ31" s="207"/>
      <c r="ER31" s="207"/>
      <c r="ES31" s="207"/>
      <c r="ET31" s="207"/>
      <c r="EU31" s="207"/>
      <c r="EV31" s="207"/>
      <c r="EW31" s="207"/>
      <c r="EX31" s="207"/>
      <c r="EY31" s="207"/>
      <c r="EZ31" s="207"/>
      <c r="FA31" s="207"/>
      <c r="FB31" s="207"/>
      <c r="FC31" s="207"/>
      <c r="FD31" s="207"/>
      <c r="FE31" s="207"/>
      <c r="FF31" s="207"/>
      <c r="FG31" s="207"/>
      <c r="FH31" s="207"/>
      <c r="FI31" s="207"/>
      <c r="FJ31" s="207"/>
      <c r="FK31" s="207"/>
      <c r="FL31" s="207"/>
      <c r="FM31" s="207"/>
      <c r="FN31" s="207"/>
      <c r="FO31" s="207"/>
      <c r="FP31" s="207"/>
      <c r="FQ31" s="207"/>
      <c r="FR31" s="207"/>
      <c r="FS31" s="208"/>
      <c r="FT31" s="156"/>
    </row>
    <row r="32" spans="1:176" ht="15" outlineLevel="1">
      <c r="A32" s="206" t="s">
        <v>1268</v>
      </c>
      <c r="B32" s="200" t="s">
        <v>487</v>
      </c>
      <c r="C32" s="34"/>
      <c r="D32" s="34"/>
      <c r="E32" s="34"/>
      <c r="F32" s="34"/>
      <c r="G32" s="34"/>
      <c r="H32" s="35" t="s">
        <v>488</v>
      </c>
      <c r="I32" s="38"/>
      <c r="J32" s="38"/>
      <c r="K32" s="38"/>
      <c r="L32" s="38"/>
      <c r="M32" s="38"/>
      <c r="N32" s="38"/>
      <c r="O32" s="38"/>
      <c r="P32" s="38"/>
      <c r="Q32" s="38"/>
      <c r="R32" s="177">
        <f t="shared" si="4"/>
        <v>0</v>
      </c>
      <c r="S32" s="202">
        <f t="shared" si="7"/>
        <v>0</v>
      </c>
      <c r="T32" s="202">
        <f t="shared" si="8"/>
        <v>0</v>
      </c>
      <c r="U32" s="18"/>
      <c r="V32" s="206" t="str">
        <f t="shared" si="5"/>
        <v>1-23</v>
      </c>
      <c r="W32" s="203" t="str">
        <f t="shared" si="6"/>
        <v/>
      </c>
      <c r="X32" s="110"/>
      <c r="Y32" s="109"/>
      <c r="Z32" s="207"/>
      <c r="AA32" s="207"/>
      <c r="AB32" s="207"/>
      <c r="AC32" s="207"/>
      <c r="AD32" s="207"/>
      <c r="AE32" s="207"/>
      <c r="AF32" s="207"/>
      <c r="AG32" s="207"/>
      <c r="AH32" s="207"/>
      <c r="AI32" s="207"/>
      <c r="AJ32" s="207"/>
      <c r="AK32" s="207"/>
      <c r="AL32" s="207"/>
      <c r="AM32" s="207"/>
      <c r="AN32" s="207"/>
      <c r="AO32" s="207"/>
      <c r="AP32" s="207"/>
      <c r="AQ32" s="207"/>
      <c r="AR32" s="207"/>
      <c r="AS32" s="207"/>
      <c r="AT32" s="207"/>
      <c r="AU32" s="207"/>
      <c r="AV32" s="207"/>
      <c r="AW32" s="207"/>
      <c r="AX32" s="207"/>
      <c r="AY32" s="207"/>
      <c r="AZ32" s="207"/>
      <c r="BA32" s="207"/>
      <c r="BB32" s="207"/>
      <c r="BC32" s="207"/>
      <c r="BD32" s="207"/>
      <c r="BE32" s="207"/>
      <c r="BF32" s="207"/>
      <c r="BG32" s="207"/>
      <c r="BH32" s="207"/>
      <c r="BI32" s="207"/>
      <c r="BJ32" s="207"/>
      <c r="BK32" s="207"/>
      <c r="BL32" s="207"/>
      <c r="BM32" s="207"/>
      <c r="BN32" s="207"/>
      <c r="BO32" s="207"/>
      <c r="BP32" s="207"/>
      <c r="BQ32" s="207"/>
      <c r="BR32" s="207"/>
      <c r="BS32" s="207"/>
      <c r="BT32" s="207"/>
      <c r="BU32" s="207"/>
      <c r="BV32" s="207"/>
      <c r="BW32" s="207"/>
      <c r="BX32" s="207"/>
      <c r="BY32" s="207"/>
      <c r="BZ32" s="207"/>
      <c r="CA32" s="207"/>
      <c r="CB32" s="207"/>
      <c r="CC32" s="207"/>
      <c r="CD32" s="207"/>
      <c r="CE32" s="207"/>
      <c r="CF32" s="207"/>
      <c r="CG32" s="207"/>
      <c r="CH32" s="207"/>
      <c r="CI32" s="207"/>
      <c r="CJ32" s="207"/>
      <c r="CK32" s="207"/>
      <c r="CL32" s="207"/>
      <c r="CM32" s="207"/>
      <c r="CN32" s="207"/>
      <c r="CO32" s="207"/>
      <c r="CP32" s="207"/>
      <c r="CQ32" s="207"/>
      <c r="CR32" s="207"/>
      <c r="CS32" s="207"/>
      <c r="CT32" s="207"/>
      <c r="CU32" s="207"/>
      <c r="CV32" s="207"/>
      <c r="CW32" s="207"/>
      <c r="CX32" s="207"/>
      <c r="CY32" s="207"/>
      <c r="CZ32" s="207"/>
      <c r="DA32" s="207"/>
      <c r="DB32" s="207"/>
      <c r="DC32" s="207"/>
      <c r="DD32" s="207"/>
      <c r="DE32" s="207"/>
      <c r="DF32" s="207"/>
      <c r="DG32" s="207"/>
      <c r="DH32" s="207"/>
      <c r="DI32" s="207"/>
      <c r="DJ32" s="207"/>
      <c r="DK32" s="207"/>
      <c r="DL32" s="207"/>
      <c r="DM32" s="207"/>
      <c r="DN32" s="207"/>
      <c r="DO32" s="207"/>
      <c r="DP32" s="207"/>
      <c r="DQ32" s="207"/>
      <c r="DR32" s="207"/>
      <c r="DS32" s="207"/>
      <c r="DT32" s="207"/>
      <c r="DU32" s="207"/>
      <c r="DV32" s="207"/>
      <c r="DW32" s="207"/>
      <c r="DX32" s="207"/>
      <c r="DY32" s="207"/>
      <c r="DZ32" s="207"/>
      <c r="EA32" s="207"/>
      <c r="EB32" s="207"/>
      <c r="EC32" s="207"/>
      <c r="ED32" s="207"/>
      <c r="EE32" s="207"/>
      <c r="EF32" s="207"/>
      <c r="EG32" s="207"/>
      <c r="EH32" s="207"/>
      <c r="EI32" s="207"/>
      <c r="EJ32" s="207"/>
      <c r="EK32" s="207"/>
      <c r="EL32" s="207"/>
      <c r="EM32" s="207"/>
      <c r="EN32" s="207"/>
      <c r="EO32" s="207"/>
      <c r="EP32" s="207"/>
      <c r="EQ32" s="207"/>
      <c r="ER32" s="207"/>
      <c r="ES32" s="207"/>
      <c r="ET32" s="207"/>
      <c r="EU32" s="207"/>
      <c r="EV32" s="207"/>
      <c r="EW32" s="207"/>
      <c r="EX32" s="207"/>
      <c r="EY32" s="207"/>
      <c r="EZ32" s="207"/>
      <c r="FA32" s="207"/>
      <c r="FB32" s="207"/>
      <c r="FC32" s="207"/>
      <c r="FD32" s="207"/>
      <c r="FE32" s="207"/>
      <c r="FF32" s="207"/>
      <c r="FG32" s="207"/>
      <c r="FH32" s="207"/>
      <c r="FI32" s="207"/>
      <c r="FJ32" s="207"/>
      <c r="FK32" s="207"/>
      <c r="FL32" s="207"/>
      <c r="FM32" s="207"/>
      <c r="FN32" s="207"/>
      <c r="FO32" s="207"/>
      <c r="FP32" s="207"/>
      <c r="FQ32" s="207"/>
      <c r="FR32" s="207"/>
      <c r="FS32" s="208"/>
      <c r="FT32" s="156"/>
    </row>
    <row r="33" spans="1:176" ht="15" outlineLevel="1">
      <c r="A33" s="206" t="s">
        <v>1269</v>
      </c>
      <c r="B33" s="200" t="s">
        <v>487</v>
      </c>
      <c r="C33" s="34"/>
      <c r="D33" s="34"/>
      <c r="E33" s="34"/>
      <c r="F33" s="34"/>
      <c r="G33" s="34"/>
      <c r="H33" s="37" t="s">
        <v>488</v>
      </c>
      <c r="I33" s="38"/>
      <c r="J33" s="38"/>
      <c r="K33" s="38"/>
      <c r="L33" s="38"/>
      <c r="M33" s="38"/>
      <c r="N33" s="38"/>
      <c r="O33" s="38"/>
      <c r="P33" s="38"/>
      <c r="Q33" s="38"/>
      <c r="R33" s="177">
        <f t="shared" si="4"/>
        <v>0</v>
      </c>
      <c r="S33" s="202">
        <f t="shared" si="7"/>
        <v>0</v>
      </c>
      <c r="T33" s="202">
        <f t="shared" si="8"/>
        <v>0</v>
      </c>
      <c r="U33" s="18"/>
      <c r="V33" s="206" t="str">
        <f t="shared" si="5"/>
        <v>1-24</v>
      </c>
      <c r="W33" s="203" t="str">
        <f t="shared" si="6"/>
        <v/>
      </c>
      <c r="X33" s="110"/>
      <c r="Y33" s="109"/>
      <c r="Z33" s="207"/>
      <c r="AA33" s="207"/>
      <c r="AB33" s="207"/>
      <c r="AC33" s="207"/>
      <c r="AD33" s="207"/>
      <c r="AE33" s="207"/>
      <c r="AF33" s="207"/>
      <c r="AG33" s="207"/>
      <c r="AH33" s="207"/>
      <c r="AI33" s="207"/>
      <c r="AJ33" s="207"/>
      <c r="AK33" s="207"/>
      <c r="AL33" s="207"/>
      <c r="AM33" s="207"/>
      <c r="AN33" s="207"/>
      <c r="AO33" s="207"/>
      <c r="AP33" s="207"/>
      <c r="AQ33" s="207"/>
      <c r="AR33" s="207"/>
      <c r="AS33" s="207"/>
      <c r="AT33" s="207"/>
      <c r="AU33" s="207"/>
      <c r="AV33" s="207"/>
      <c r="AW33" s="207"/>
      <c r="AX33" s="207"/>
      <c r="AY33" s="207"/>
      <c r="AZ33" s="207"/>
      <c r="BA33" s="207"/>
      <c r="BB33" s="207"/>
      <c r="BC33" s="207"/>
      <c r="BD33" s="207"/>
      <c r="BE33" s="207"/>
      <c r="BF33" s="207"/>
      <c r="BG33" s="207"/>
      <c r="BH33" s="207"/>
      <c r="BI33" s="207"/>
      <c r="BJ33" s="207"/>
      <c r="BK33" s="207"/>
      <c r="BL33" s="207"/>
      <c r="BM33" s="207"/>
      <c r="BN33" s="207"/>
      <c r="BO33" s="207"/>
      <c r="BP33" s="207"/>
      <c r="BQ33" s="207"/>
      <c r="BR33" s="207"/>
      <c r="BS33" s="207"/>
      <c r="BT33" s="207"/>
      <c r="BU33" s="207"/>
      <c r="BV33" s="207"/>
      <c r="BW33" s="207"/>
      <c r="BX33" s="207"/>
      <c r="BY33" s="207"/>
      <c r="BZ33" s="207"/>
      <c r="CA33" s="207"/>
      <c r="CB33" s="207"/>
      <c r="CC33" s="207"/>
      <c r="CD33" s="207"/>
      <c r="CE33" s="207"/>
      <c r="CF33" s="207"/>
      <c r="CG33" s="207"/>
      <c r="CH33" s="207"/>
      <c r="CI33" s="207"/>
      <c r="CJ33" s="207"/>
      <c r="CK33" s="207"/>
      <c r="CL33" s="207"/>
      <c r="CM33" s="207"/>
      <c r="CN33" s="207"/>
      <c r="CO33" s="207"/>
      <c r="CP33" s="207"/>
      <c r="CQ33" s="207"/>
      <c r="CR33" s="207"/>
      <c r="CS33" s="207"/>
      <c r="CT33" s="207"/>
      <c r="CU33" s="207"/>
      <c r="CV33" s="207"/>
      <c r="CW33" s="207"/>
      <c r="CX33" s="207"/>
      <c r="CY33" s="207"/>
      <c r="CZ33" s="207"/>
      <c r="DA33" s="207"/>
      <c r="DB33" s="207"/>
      <c r="DC33" s="207"/>
      <c r="DD33" s="207"/>
      <c r="DE33" s="207"/>
      <c r="DF33" s="207"/>
      <c r="DG33" s="207"/>
      <c r="DH33" s="207"/>
      <c r="DI33" s="207"/>
      <c r="DJ33" s="207"/>
      <c r="DK33" s="207"/>
      <c r="DL33" s="207"/>
      <c r="DM33" s="207"/>
      <c r="DN33" s="207"/>
      <c r="DO33" s="207"/>
      <c r="DP33" s="207"/>
      <c r="DQ33" s="207"/>
      <c r="DR33" s="207"/>
      <c r="DS33" s="207"/>
      <c r="DT33" s="207"/>
      <c r="DU33" s="207"/>
      <c r="DV33" s="207"/>
      <c r="DW33" s="207"/>
      <c r="DX33" s="207"/>
      <c r="DY33" s="207"/>
      <c r="DZ33" s="207"/>
      <c r="EA33" s="207"/>
      <c r="EB33" s="207"/>
      <c r="EC33" s="207"/>
      <c r="ED33" s="207"/>
      <c r="EE33" s="207"/>
      <c r="EF33" s="207"/>
      <c r="EG33" s="207"/>
      <c r="EH33" s="207"/>
      <c r="EI33" s="207"/>
      <c r="EJ33" s="207"/>
      <c r="EK33" s="207"/>
      <c r="EL33" s="207"/>
      <c r="EM33" s="207"/>
      <c r="EN33" s="207"/>
      <c r="EO33" s="207"/>
      <c r="EP33" s="207"/>
      <c r="EQ33" s="207"/>
      <c r="ER33" s="207"/>
      <c r="ES33" s="207"/>
      <c r="ET33" s="207"/>
      <c r="EU33" s="207"/>
      <c r="EV33" s="207"/>
      <c r="EW33" s="207"/>
      <c r="EX33" s="207"/>
      <c r="EY33" s="207"/>
      <c r="EZ33" s="207"/>
      <c r="FA33" s="207"/>
      <c r="FB33" s="207"/>
      <c r="FC33" s="207"/>
      <c r="FD33" s="207"/>
      <c r="FE33" s="207"/>
      <c r="FF33" s="207"/>
      <c r="FG33" s="207"/>
      <c r="FH33" s="207"/>
      <c r="FI33" s="207"/>
      <c r="FJ33" s="207"/>
      <c r="FK33" s="207"/>
      <c r="FL33" s="207"/>
      <c r="FM33" s="207"/>
      <c r="FN33" s="207"/>
      <c r="FO33" s="207"/>
      <c r="FP33" s="207"/>
      <c r="FQ33" s="207"/>
      <c r="FR33" s="207"/>
      <c r="FS33" s="208"/>
      <c r="FT33" s="156"/>
    </row>
    <row r="34" spans="1:176" ht="15" outlineLevel="1">
      <c r="A34" s="206" t="s">
        <v>1270</v>
      </c>
      <c r="B34" s="200" t="s">
        <v>487</v>
      </c>
      <c r="C34" s="34"/>
      <c r="D34" s="34"/>
      <c r="E34" s="34"/>
      <c r="F34" s="34"/>
      <c r="G34" s="34"/>
      <c r="H34" s="35" t="s">
        <v>488</v>
      </c>
      <c r="I34" s="38"/>
      <c r="J34" s="38"/>
      <c r="K34" s="38"/>
      <c r="L34" s="38"/>
      <c r="M34" s="38"/>
      <c r="N34" s="38"/>
      <c r="O34" s="38"/>
      <c r="P34" s="38"/>
      <c r="Q34" s="38"/>
      <c r="R34" s="177">
        <f t="shared" si="4"/>
        <v>0</v>
      </c>
      <c r="S34" s="202">
        <f t="shared" si="7"/>
        <v>0</v>
      </c>
      <c r="T34" s="202">
        <f t="shared" si="8"/>
        <v>0</v>
      </c>
      <c r="U34" s="18"/>
      <c r="V34" s="206" t="str">
        <f t="shared" si="5"/>
        <v>1-25</v>
      </c>
      <c r="W34" s="203" t="str">
        <f t="shared" si="6"/>
        <v/>
      </c>
      <c r="X34" s="110"/>
      <c r="Y34" s="109"/>
      <c r="Z34" s="207"/>
      <c r="AA34" s="207"/>
      <c r="AB34" s="207"/>
      <c r="AC34" s="207"/>
      <c r="AD34" s="207"/>
      <c r="AE34" s="207"/>
      <c r="AF34" s="207"/>
      <c r="AG34" s="207"/>
      <c r="AH34" s="207"/>
      <c r="AI34" s="207"/>
      <c r="AJ34" s="207"/>
      <c r="AK34" s="207"/>
      <c r="AL34" s="207"/>
      <c r="AM34" s="207"/>
      <c r="AN34" s="207"/>
      <c r="AO34" s="207"/>
      <c r="AP34" s="207"/>
      <c r="AQ34" s="207"/>
      <c r="AR34" s="207"/>
      <c r="AS34" s="207"/>
      <c r="AT34" s="207"/>
      <c r="AU34" s="207"/>
      <c r="AV34" s="207"/>
      <c r="AW34" s="207"/>
      <c r="AX34" s="207"/>
      <c r="AY34" s="207"/>
      <c r="AZ34" s="207"/>
      <c r="BA34" s="207"/>
      <c r="BB34" s="207"/>
      <c r="BC34" s="207"/>
      <c r="BD34" s="207"/>
      <c r="BE34" s="207"/>
      <c r="BF34" s="207"/>
      <c r="BG34" s="207"/>
      <c r="BH34" s="207"/>
      <c r="BI34" s="207"/>
      <c r="BJ34" s="207"/>
      <c r="BK34" s="207"/>
      <c r="BL34" s="207"/>
      <c r="BM34" s="207"/>
      <c r="BN34" s="207"/>
      <c r="BO34" s="207"/>
      <c r="BP34" s="207"/>
      <c r="BQ34" s="207"/>
      <c r="BR34" s="207"/>
      <c r="BS34" s="207"/>
      <c r="BT34" s="207"/>
      <c r="BU34" s="207"/>
      <c r="BV34" s="207"/>
      <c r="BW34" s="207"/>
      <c r="BX34" s="207"/>
      <c r="BY34" s="207"/>
      <c r="BZ34" s="207"/>
      <c r="CA34" s="207"/>
      <c r="CB34" s="207"/>
      <c r="CC34" s="207"/>
      <c r="CD34" s="207"/>
      <c r="CE34" s="207"/>
      <c r="CF34" s="207"/>
      <c r="CG34" s="207"/>
      <c r="CH34" s="207"/>
      <c r="CI34" s="207"/>
      <c r="CJ34" s="207"/>
      <c r="CK34" s="207"/>
      <c r="CL34" s="207"/>
      <c r="CM34" s="207"/>
      <c r="CN34" s="207"/>
      <c r="CO34" s="207"/>
      <c r="CP34" s="207"/>
      <c r="CQ34" s="207"/>
      <c r="CR34" s="207"/>
      <c r="CS34" s="207"/>
      <c r="CT34" s="207"/>
      <c r="CU34" s="207"/>
      <c r="CV34" s="207"/>
      <c r="CW34" s="207"/>
      <c r="CX34" s="207"/>
      <c r="CY34" s="207"/>
      <c r="CZ34" s="207"/>
      <c r="DA34" s="207"/>
      <c r="DB34" s="207"/>
      <c r="DC34" s="207"/>
      <c r="DD34" s="207"/>
      <c r="DE34" s="207"/>
      <c r="DF34" s="207"/>
      <c r="DG34" s="207"/>
      <c r="DH34" s="207"/>
      <c r="DI34" s="207"/>
      <c r="DJ34" s="207"/>
      <c r="DK34" s="207"/>
      <c r="DL34" s="207"/>
      <c r="DM34" s="207"/>
      <c r="DN34" s="207"/>
      <c r="DO34" s="207"/>
      <c r="DP34" s="207"/>
      <c r="DQ34" s="207"/>
      <c r="DR34" s="207"/>
      <c r="DS34" s="207"/>
      <c r="DT34" s="207"/>
      <c r="DU34" s="207"/>
      <c r="DV34" s="207"/>
      <c r="DW34" s="207"/>
      <c r="DX34" s="207"/>
      <c r="DY34" s="207"/>
      <c r="DZ34" s="207"/>
      <c r="EA34" s="207"/>
      <c r="EB34" s="207"/>
      <c r="EC34" s="207"/>
      <c r="ED34" s="207"/>
      <c r="EE34" s="207"/>
      <c r="EF34" s="207"/>
      <c r="EG34" s="207"/>
      <c r="EH34" s="207"/>
      <c r="EI34" s="207"/>
      <c r="EJ34" s="207"/>
      <c r="EK34" s="207"/>
      <c r="EL34" s="207"/>
      <c r="EM34" s="207"/>
      <c r="EN34" s="207"/>
      <c r="EO34" s="207"/>
      <c r="EP34" s="207"/>
      <c r="EQ34" s="207"/>
      <c r="ER34" s="207"/>
      <c r="ES34" s="207"/>
      <c r="ET34" s="207"/>
      <c r="EU34" s="207"/>
      <c r="EV34" s="207"/>
      <c r="EW34" s="207"/>
      <c r="EX34" s="207"/>
      <c r="EY34" s="207"/>
      <c r="EZ34" s="207"/>
      <c r="FA34" s="207"/>
      <c r="FB34" s="207"/>
      <c r="FC34" s="207"/>
      <c r="FD34" s="207"/>
      <c r="FE34" s="207"/>
      <c r="FF34" s="207"/>
      <c r="FG34" s="207"/>
      <c r="FH34" s="207"/>
      <c r="FI34" s="207"/>
      <c r="FJ34" s="207"/>
      <c r="FK34" s="207"/>
      <c r="FL34" s="207"/>
      <c r="FM34" s="207"/>
      <c r="FN34" s="207"/>
      <c r="FO34" s="207"/>
      <c r="FP34" s="207"/>
      <c r="FQ34" s="207"/>
      <c r="FR34" s="207"/>
      <c r="FS34" s="208"/>
      <c r="FT34" s="156"/>
    </row>
    <row r="35" spans="1:176" ht="15" outlineLevel="1">
      <c r="A35" s="206" t="s">
        <v>1271</v>
      </c>
      <c r="B35" s="200" t="s">
        <v>487</v>
      </c>
      <c r="C35" s="34"/>
      <c r="D35" s="34"/>
      <c r="E35" s="34"/>
      <c r="F35" s="34"/>
      <c r="G35" s="34"/>
      <c r="H35" s="37" t="s">
        <v>488</v>
      </c>
      <c r="I35" s="38"/>
      <c r="J35" s="38"/>
      <c r="K35" s="38"/>
      <c r="L35" s="38"/>
      <c r="M35" s="38"/>
      <c r="N35" s="38"/>
      <c r="O35" s="38"/>
      <c r="P35" s="38"/>
      <c r="Q35" s="38"/>
      <c r="R35" s="177">
        <f t="shared" si="4"/>
        <v>0</v>
      </c>
      <c r="S35" s="202">
        <f t="shared" si="7"/>
        <v>0</v>
      </c>
      <c r="T35" s="202">
        <f t="shared" si="8"/>
        <v>0</v>
      </c>
      <c r="U35" s="18"/>
      <c r="V35" s="206" t="str">
        <f t="shared" si="5"/>
        <v>1-26</v>
      </c>
      <c r="W35" s="203" t="str">
        <f t="shared" si="6"/>
        <v/>
      </c>
      <c r="X35" s="110"/>
      <c r="Y35" s="109"/>
      <c r="Z35" s="207"/>
      <c r="AA35" s="207"/>
      <c r="AB35" s="207"/>
      <c r="AC35" s="207"/>
      <c r="AD35" s="207"/>
      <c r="AE35" s="207"/>
      <c r="AF35" s="207"/>
      <c r="AG35" s="207"/>
      <c r="AH35" s="207"/>
      <c r="AI35" s="207"/>
      <c r="AJ35" s="207"/>
      <c r="AK35" s="207"/>
      <c r="AL35" s="207"/>
      <c r="AM35" s="207"/>
      <c r="AN35" s="207"/>
      <c r="AO35" s="207"/>
      <c r="AP35" s="207"/>
      <c r="AQ35" s="207"/>
      <c r="AR35" s="207"/>
      <c r="AS35" s="207"/>
      <c r="AT35" s="207"/>
      <c r="AU35" s="207"/>
      <c r="AV35" s="207"/>
      <c r="AW35" s="207"/>
      <c r="AX35" s="207"/>
      <c r="AY35" s="207"/>
      <c r="AZ35" s="207"/>
      <c r="BA35" s="207"/>
      <c r="BB35" s="207"/>
      <c r="BC35" s="207"/>
      <c r="BD35" s="207"/>
      <c r="BE35" s="207"/>
      <c r="BF35" s="207"/>
      <c r="BG35" s="207"/>
      <c r="BH35" s="207"/>
      <c r="BI35" s="207"/>
      <c r="BJ35" s="207"/>
      <c r="BK35" s="207"/>
      <c r="BL35" s="207"/>
      <c r="BM35" s="207"/>
      <c r="BN35" s="207"/>
      <c r="BO35" s="207"/>
      <c r="BP35" s="207"/>
      <c r="BQ35" s="207"/>
      <c r="BR35" s="207"/>
      <c r="BS35" s="207"/>
      <c r="BT35" s="207"/>
      <c r="BU35" s="207"/>
      <c r="BV35" s="207"/>
      <c r="BW35" s="207"/>
      <c r="BX35" s="207"/>
      <c r="BY35" s="207"/>
      <c r="BZ35" s="207"/>
      <c r="CA35" s="207"/>
      <c r="CB35" s="207"/>
      <c r="CC35" s="207"/>
      <c r="CD35" s="207"/>
      <c r="CE35" s="207"/>
      <c r="CF35" s="207"/>
      <c r="CG35" s="207"/>
      <c r="CH35" s="207"/>
      <c r="CI35" s="207"/>
      <c r="CJ35" s="207"/>
      <c r="CK35" s="207"/>
      <c r="CL35" s="207"/>
      <c r="CM35" s="207"/>
      <c r="CN35" s="207"/>
      <c r="CO35" s="207"/>
      <c r="CP35" s="207"/>
      <c r="CQ35" s="207"/>
      <c r="CR35" s="207"/>
      <c r="CS35" s="207"/>
      <c r="CT35" s="207"/>
      <c r="CU35" s="207"/>
      <c r="CV35" s="207"/>
      <c r="CW35" s="207"/>
      <c r="CX35" s="207"/>
      <c r="CY35" s="207"/>
      <c r="CZ35" s="207"/>
      <c r="DA35" s="207"/>
      <c r="DB35" s="207"/>
      <c r="DC35" s="207"/>
      <c r="DD35" s="207"/>
      <c r="DE35" s="207"/>
      <c r="DF35" s="207"/>
      <c r="DG35" s="207"/>
      <c r="DH35" s="207"/>
      <c r="DI35" s="207"/>
      <c r="DJ35" s="207"/>
      <c r="DK35" s="207"/>
      <c r="DL35" s="207"/>
      <c r="DM35" s="207"/>
      <c r="DN35" s="207"/>
      <c r="DO35" s="207"/>
      <c r="DP35" s="207"/>
      <c r="DQ35" s="207"/>
      <c r="DR35" s="207"/>
      <c r="DS35" s="207"/>
      <c r="DT35" s="207"/>
      <c r="DU35" s="207"/>
      <c r="DV35" s="207"/>
      <c r="DW35" s="207"/>
      <c r="DX35" s="207"/>
      <c r="DY35" s="207"/>
      <c r="DZ35" s="207"/>
      <c r="EA35" s="207"/>
      <c r="EB35" s="207"/>
      <c r="EC35" s="207"/>
      <c r="ED35" s="207"/>
      <c r="EE35" s="207"/>
      <c r="EF35" s="207"/>
      <c r="EG35" s="207"/>
      <c r="EH35" s="207"/>
      <c r="EI35" s="207"/>
      <c r="EJ35" s="207"/>
      <c r="EK35" s="207"/>
      <c r="EL35" s="207"/>
      <c r="EM35" s="207"/>
      <c r="EN35" s="207"/>
      <c r="EO35" s="207"/>
      <c r="EP35" s="207"/>
      <c r="EQ35" s="207"/>
      <c r="ER35" s="207"/>
      <c r="ES35" s="207"/>
      <c r="ET35" s="207"/>
      <c r="EU35" s="207"/>
      <c r="EV35" s="207"/>
      <c r="EW35" s="207"/>
      <c r="EX35" s="207"/>
      <c r="EY35" s="207"/>
      <c r="EZ35" s="207"/>
      <c r="FA35" s="207"/>
      <c r="FB35" s="207"/>
      <c r="FC35" s="207"/>
      <c r="FD35" s="207"/>
      <c r="FE35" s="207"/>
      <c r="FF35" s="207"/>
      <c r="FG35" s="207"/>
      <c r="FH35" s="207"/>
      <c r="FI35" s="207"/>
      <c r="FJ35" s="207"/>
      <c r="FK35" s="207"/>
      <c r="FL35" s="207"/>
      <c r="FM35" s="207"/>
      <c r="FN35" s="207"/>
      <c r="FO35" s="207"/>
      <c r="FP35" s="207"/>
      <c r="FQ35" s="207"/>
      <c r="FR35" s="207"/>
      <c r="FS35" s="208"/>
      <c r="FT35" s="156"/>
    </row>
    <row r="36" spans="1:176" ht="15" outlineLevel="1">
      <c r="A36" s="206" t="s">
        <v>1272</v>
      </c>
      <c r="B36" s="200" t="s">
        <v>487</v>
      </c>
      <c r="C36" s="34"/>
      <c r="D36" s="34"/>
      <c r="E36" s="34"/>
      <c r="F36" s="34"/>
      <c r="G36" s="34"/>
      <c r="H36" s="35" t="s">
        <v>488</v>
      </c>
      <c r="I36" s="38"/>
      <c r="J36" s="38"/>
      <c r="K36" s="38"/>
      <c r="L36" s="38"/>
      <c r="M36" s="38"/>
      <c r="N36" s="38"/>
      <c r="O36" s="38"/>
      <c r="P36" s="38"/>
      <c r="Q36" s="38"/>
      <c r="R36" s="177">
        <f t="shared" si="4"/>
        <v>0</v>
      </c>
      <c r="S36" s="202">
        <f t="shared" si="7"/>
        <v>0</v>
      </c>
      <c r="T36" s="202">
        <f t="shared" si="8"/>
        <v>0</v>
      </c>
      <c r="U36" s="18"/>
      <c r="V36" s="206" t="str">
        <f t="shared" si="5"/>
        <v>1-27</v>
      </c>
      <c r="W36" s="203" t="str">
        <f t="shared" si="6"/>
        <v/>
      </c>
      <c r="X36" s="110"/>
      <c r="Y36" s="109"/>
      <c r="Z36" s="207"/>
      <c r="AA36" s="207"/>
      <c r="AB36" s="207"/>
      <c r="AC36" s="207"/>
      <c r="AD36" s="207"/>
      <c r="AE36" s="207"/>
      <c r="AF36" s="207"/>
      <c r="AG36" s="207"/>
      <c r="AH36" s="207"/>
      <c r="AI36" s="207"/>
      <c r="AJ36" s="207"/>
      <c r="AK36" s="207"/>
      <c r="AL36" s="207"/>
      <c r="AM36" s="207"/>
      <c r="AN36" s="207"/>
      <c r="AO36" s="207"/>
      <c r="AP36" s="207"/>
      <c r="AQ36" s="207"/>
      <c r="AR36" s="207"/>
      <c r="AS36" s="207"/>
      <c r="AT36" s="207"/>
      <c r="AU36" s="207"/>
      <c r="AV36" s="207"/>
      <c r="AW36" s="207"/>
      <c r="AX36" s="207"/>
      <c r="AY36" s="207"/>
      <c r="AZ36" s="207"/>
      <c r="BA36" s="207"/>
      <c r="BB36" s="207"/>
      <c r="BC36" s="207"/>
      <c r="BD36" s="207"/>
      <c r="BE36" s="207"/>
      <c r="BF36" s="207"/>
      <c r="BG36" s="207"/>
      <c r="BH36" s="207"/>
      <c r="BI36" s="207"/>
      <c r="BJ36" s="207"/>
      <c r="BK36" s="207"/>
      <c r="BL36" s="207"/>
      <c r="BM36" s="207"/>
      <c r="BN36" s="207"/>
      <c r="BO36" s="207"/>
      <c r="BP36" s="207"/>
      <c r="BQ36" s="207"/>
      <c r="BR36" s="207"/>
      <c r="BS36" s="207"/>
      <c r="BT36" s="207"/>
      <c r="BU36" s="207"/>
      <c r="BV36" s="207"/>
      <c r="BW36" s="207"/>
      <c r="BX36" s="207"/>
      <c r="BY36" s="207"/>
      <c r="BZ36" s="207"/>
      <c r="CA36" s="207"/>
      <c r="CB36" s="207"/>
      <c r="CC36" s="207"/>
      <c r="CD36" s="207"/>
      <c r="CE36" s="207"/>
      <c r="CF36" s="207"/>
      <c r="CG36" s="207"/>
      <c r="CH36" s="207"/>
      <c r="CI36" s="207"/>
      <c r="CJ36" s="207"/>
      <c r="CK36" s="207"/>
      <c r="CL36" s="207"/>
      <c r="CM36" s="207"/>
      <c r="CN36" s="207"/>
      <c r="CO36" s="207"/>
      <c r="CP36" s="207"/>
      <c r="CQ36" s="207"/>
      <c r="CR36" s="207"/>
      <c r="CS36" s="207"/>
      <c r="CT36" s="207"/>
      <c r="CU36" s="207"/>
      <c r="CV36" s="207"/>
      <c r="CW36" s="207"/>
      <c r="CX36" s="207"/>
      <c r="CY36" s="207"/>
      <c r="CZ36" s="207"/>
      <c r="DA36" s="207"/>
      <c r="DB36" s="207"/>
      <c r="DC36" s="207"/>
      <c r="DD36" s="207"/>
      <c r="DE36" s="207"/>
      <c r="DF36" s="207"/>
      <c r="DG36" s="207"/>
      <c r="DH36" s="207"/>
      <c r="DI36" s="207"/>
      <c r="DJ36" s="207"/>
      <c r="DK36" s="207"/>
      <c r="DL36" s="207"/>
      <c r="DM36" s="207"/>
      <c r="DN36" s="207"/>
      <c r="DO36" s="207"/>
      <c r="DP36" s="207"/>
      <c r="DQ36" s="207"/>
      <c r="DR36" s="207"/>
      <c r="DS36" s="207"/>
      <c r="DT36" s="207"/>
      <c r="DU36" s="207"/>
      <c r="DV36" s="207"/>
      <c r="DW36" s="207"/>
      <c r="DX36" s="207"/>
      <c r="DY36" s="207"/>
      <c r="DZ36" s="207"/>
      <c r="EA36" s="207"/>
      <c r="EB36" s="207"/>
      <c r="EC36" s="207"/>
      <c r="ED36" s="207"/>
      <c r="EE36" s="207"/>
      <c r="EF36" s="207"/>
      <c r="EG36" s="207"/>
      <c r="EH36" s="207"/>
      <c r="EI36" s="207"/>
      <c r="EJ36" s="207"/>
      <c r="EK36" s="207"/>
      <c r="EL36" s="207"/>
      <c r="EM36" s="207"/>
      <c r="EN36" s="207"/>
      <c r="EO36" s="207"/>
      <c r="EP36" s="207"/>
      <c r="EQ36" s="207"/>
      <c r="ER36" s="207"/>
      <c r="ES36" s="207"/>
      <c r="ET36" s="207"/>
      <c r="EU36" s="207"/>
      <c r="EV36" s="207"/>
      <c r="EW36" s="207"/>
      <c r="EX36" s="207"/>
      <c r="EY36" s="207"/>
      <c r="EZ36" s="207"/>
      <c r="FA36" s="207"/>
      <c r="FB36" s="207"/>
      <c r="FC36" s="207"/>
      <c r="FD36" s="207"/>
      <c r="FE36" s="207"/>
      <c r="FF36" s="207"/>
      <c r="FG36" s="207"/>
      <c r="FH36" s="207"/>
      <c r="FI36" s="207"/>
      <c r="FJ36" s="207"/>
      <c r="FK36" s="207"/>
      <c r="FL36" s="207"/>
      <c r="FM36" s="207"/>
      <c r="FN36" s="207"/>
      <c r="FO36" s="207"/>
      <c r="FP36" s="207"/>
      <c r="FQ36" s="207"/>
      <c r="FR36" s="207"/>
      <c r="FS36" s="208"/>
      <c r="FT36" s="156"/>
    </row>
    <row r="37" spans="1:176" ht="15" outlineLevel="1">
      <c r="A37" s="206" t="s">
        <v>1273</v>
      </c>
      <c r="B37" s="200" t="s">
        <v>487</v>
      </c>
      <c r="C37" s="34"/>
      <c r="D37" s="34"/>
      <c r="E37" s="34"/>
      <c r="F37" s="34"/>
      <c r="G37" s="34"/>
      <c r="H37" s="37" t="s">
        <v>488</v>
      </c>
      <c r="I37" s="38"/>
      <c r="J37" s="38"/>
      <c r="K37" s="38"/>
      <c r="L37" s="38"/>
      <c r="M37" s="38"/>
      <c r="N37" s="38"/>
      <c r="O37" s="38"/>
      <c r="P37" s="38"/>
      <c r="Q37" s="38"/>
      <c r="R37" s="177">
        <f t="shared" si="4"/>
        <v>0</v>
      </c>
      <c r="S37" s="202">
        <f t="shared" si="7"/>
        <v>0</v>
      </c>
      <c r="T37" s="202">
        <f t="shared" si="8"/>
        <v>0</v>
      </c>
      <c r="U37" s="18"/>
      <c r="V37" s="206" t="str">
        <f t="shared" si="5"/>
        <v>1-28</v>
      </c>
      <c r="W37" s="203" t="str">
        <f t="shared" si="6"/>
        <v/>
      </c>
      <c r="X37" s="110"/>
      <c r="Y37" s="109"/>
      <c r="Z37" s="207"/>
      <c r="AA37" s="207"/>
      <c r="AB37" s="207"/>
      <c r="AC37" s="207"/>
      <c r="AD37" s="207"/>
      <c r="AE37" s="207"/>
      <c r="AF37" s="207"/>
      <c r="AG37" s="207"/>
      <c r="AH37" s="207"/>
      <c r="AI37" s="207"/>
      <c r="AJ37" s="207"/>
      <c r="AK37" s="207"/>
      <c r="AL37" s="207"/>
      <c r="AM37" s="207"/>
      <c r="AN37" s="207"/>
      <c r="AO37" s="207"/>
      <c r="AP37" s="207"/>
      <c r="AQ37" s="207"/>
      <c r="AR37" s="207"/>
      <c r="AS37" s="207"/>
      <c r="AT37" s="207"/>
      <c r="AU37" s="207"/>
      <c r="AV37" s="207"/>
      <c r="AW37" s="207"/>
      <c r="AX37" s="207"/>
      <c r="AY37" s="207"/>
      <c r="AZ37" s="207"/>
      <c r="BA37" s="207"/>
      <c r="BB37" s="207"/>
      <c r="BC37" s="207"/>
      <c r="BD37" s="207"/>
      <c r="BE37" s="207"/>
      <c r="BF37" s="207"/>
      <c r="BG37" s="207"/>
      <c r="BH37" s="207"/>
      <c r="BI37" s="207"/>
      <c r="BJ37" s="207"/>
      <c r="BK37" s="207"/>
      <c r="BL37" s="207"/>
      <c r="BM37" s="207"/>
      <c r="BN37" s="207"/>
      <c r="BO37" s="207"/>
      <c r="BP37" s="207"/>
      <c r="BQ37" s="207"/>
      <c r="BR37" s="207"/>
      <c r="BS37" s="207"/>
      <c r="BT37" s="207"/>
      <c r="BU37" s="207"/>
      <c r="BV37" s="207"/>
      <c r="BW37" s="207"/>
      <c r="BX37" s="207"/>
      <c r="BY37" s="207"/>
      <c r="BZ37" s="207"/>
      <c r="CA37" s="207"/>
      <c r="CB37" s="207"/>
      <c r="CC37" s="207"/>
      <c r="CD37" s="207"/>
      <c r="CE37" s="207"/>
      <c r="CF37" s="207"/>
      <c r="CG37" s="207"/>
      <c r="CH37" s="207"/>
      <c r="CI37" s="207"/>
      <c r="CJ37" s="207"/>
      <c r="CK37" s="207"/>
      <c r="CL37" s="207"/>
      <c r="CM37" s="207"/>
      <c r="CN37" s="207"/>
      <c r="CO37" s="207"/>
      <c r="CP37" s="207"/>
      <c r="CQ37" s="207"/>
      <c r="CR37" s="207"/>
      <c r="CS37" s="207"/>
      <c r="CT37" s="207"/>
      <c r="CU37" s="207"/>
      <c r="CV37" s="207"/>
      <c r="CW37" s="207"/>
      <c r="CX37" s="207"/>
      <c r="CY37" s="207"/>
      <c r="CZ37" s="207"/>
      <c r="DA37" s="207"/>
      <c r="DB37" s="207"/>
      <c r="DC37" s="207"/>
      <c r="DD37" s="207"/>
      <c r="DE37" s="207"/>
      <c r="DF37" s="207"/>
      <c r="DG37" s="207"/>
      <c r="DH37" s="207"/>
      <c r="DI37" s="207"/>
      <c r="DJ37" s="207"/>
      <c r="DK37" s="207"/>
      <c r="DL37" s="207"/>
      <c r="DM37" s="207"/>
      <c r="DN37" s="207"/>
      <c r="DO37" s="207"/>
      <c r="DP37" s="207"/>
      <c r="DQ37" s="207"/>
      <c r="DR37" s="207"/>
      <c r="DS37" s="207"/>
      <c r="DT37" s="207"/>
      <c r="DU37" s="207"/>
      <c r="DV37" s="207"/>
      <c r="DW37" s="207"/>
      <c r="DX37" s="207"/>
      <c r="DY37" s="207"/>
      <c r="DZ37" s="207"/>
      <c r="EA37" s="207"/>
      <c r="EB37" s="207"/>
      <c r="EC37" s="207"/>
      <c r="ED37" s="207"/>
      <c r="EE37" s="207"/>
      <c r="EF37" s="207"/>
      <c r="EG37" s="207"/>
      <c r="EH37" s="207"/>
      <c r="EI37" s="207"/>
      <c r="EJ37" s="207"/>
      <c r="EK37" s="207"/>
      <c r="EL37" s="207"/>
      <c r="EM37" s="207"/>
      <c r="EN37" s="207"/>
      <c r="EO37" s="207"/>
      <c r="EP37" s="207"/>
      <c r="EQ37" s="207"/>
      <c r="ER37" s="207"/>
      <c r="ES37" s="207"/>
      <c r="ET37" s="207"/>
      <c r="EU37" s="207"/>
      <c r="EV37" s="207"/>
      <c r="EW37" s="207"/>
      <c r="EX37" s="207"/>
      <c r="EY37" s="207"/>
      <c r="EZ37" s="207"/>
      <c r="FA37" s="207"/>
      <c r="FB37" s="207"/>
      <c r="FC37" s="207"/>
      <c r="FD37" s="207"/>
      <c r="FE37" s="207"/>
      <c r="FF37" s="207"/>
      <c r="FG37" s="207"/>
      <c r="FH37" s="207"/>
      <c r="FI37" s="207"/>
      <c r="FJ37" s="207"/>
      <c r="FK37" s="207"/>
      <c r="FL37" s="207"/>
      <c r="FM37" s="207"/>
      <c r="FN37" s="207"/>
      <c r="FO37" s="207"/>
      <c r="FP37" s="207"/>
      <c r="FQ37" s="207"/>
      <c r="FR37" s="207"/>
      <c r="FS37" s="208"/>
      <c r="FT37" s="156"/>
    </row>
    <row r="38" spans="1:176" ht="15" outlineLevel="1">
      <c r="A38" s="206" t="s">
        <v>1274</v>
      </c>
      <c r="B38" s="200" t="s">
        <v>487</v>
      </c>
      <c r="C38" s="34"/>
      <c r="D38" s="34"/>
      <c r="E38" s="34"/>
      <c r="F38" s="34"/>
      <c r="G38" s="34"/>
      <c r="H38" s="35" t="s">
        <v>488</v>
      </c>
      <c r="I38" s="38"/>
      <c r="J38" s="38"/>
      <c r="K38" s="38"/>
      <c r="L38" s="38"/>
      <c r="M38" s="38"/>
      <c r="N38" s="38"/>
      <c r="O38" s="38"/>
      <c r="P38" s="38"/>
      <c r="Q38" s="38"/>
      <c r="R38" s="177">
        <f t="shared" si="4"/>
        <v>0</v>
      </c>
      <c r="S38" s="202">
        <f t="shared" si="7"/>
        <v>0</v>
      </c>
      <c r="T38" s="202">
        <f t="shared" si="8"/>
        <v>0</v>
      </c>
      <c r="U38" s="18"/>
      <c r="V38" s="206" t="str">
        <f t="shared" si="5"/>
        <v>1-29</v>
      </c>
      <c r="W38" s="203" t="str">
        <f t="shared" si="6"/>
        <v/>
      </c>
      <c r="X38" s="110"/>
      <c r="Y38" s="109"/>
      <c r="Z38" s="207"/>
      <c r="AA38" s="207"/>
      <c r="AB38" s="207"/>
      <c r="AC38" s="207"/>
      <c r="AD38" s="207"/>
      <c r="AE38" s="207"/>
      <c r="AF38" s="207"/>
      <c r="AG38" s="207"/>
      <c r="AH38" s="207"/>
      <c r="AI38" s="207"/>
      <c r="AJ38" s="207"/>
      <c r="AK38" s="207"/>
      <c r="AL38" s="207"/>
      <c r="AM38" s="207"/>
      <c r="AN38" s="207"/>
      <c r="AO38" s="207"/>
      <c r="AP38" s="207"/>
      <c r="AQ38" s="207"/>
      <c r="AR38" s="207"/>
      <c r="AS38" s="207"/>
      <c r="AT38" s="207"/>
      <c r="AU38" s="207"/>
      <c r="AV38" s="207"/>
      <c r="AW38" s="207"/>
      <c r="AX38" s="207"/>
      <c r="AY38" s="207"/>
      <c r="AZ38" s="207"/>
      <c r="BA38" s="207"/>
      <c r="BB38" s="207"/>
      <c r="BC38" s="207"/>
      <c r="BD38" s="207"/>
      <c r="BE38" s="207"/>
      <c r="BF38" s="207"/>
      <c r="BG38" s="207"/>
      <c r="BH38" s="207"/>
      <c r="BI38" s="207"/>
      <c r="BJ38" s="207"/>
      <c r="BK38" s="207"/>
      <c r="BL38" s="207"/>
      <c r="BM38" s="207"/>
      <c r="BN38" s="207"/>
      <c r="BO38" s="207"/>
      <c r="BP38" s="207"/>
      <c r="BQ38" s="207"/>
      <c r="BR38" s="207"/>
      <c r="BS38" s="207"/>
      <c r="BT38" s="207"/>
      <c r="BU38" s="207"/>
      <c r="BV38" s="207"/>
      <c r="BW38" s="207"/>
      <c r="BX38" s="207"/>
      <c r="BY38" s="207"/>
      <c r="BZ38" s="207"/>
      <c r="CA38" s="207"/>
      <c r="CB38" s="207"/>
      <c r="CC38" s="207"/>
      <c r="CD38" s="207"/>
      <c r="CE38" s="207"/>
      <c r="CF38" s="207"/>
      <c r="CG38" s="207"/>
      <c r="CH38" s="207"/>
      <c r="CI38" s="207"/>
      <c r="CJ38" s="207"/>
      <c r="CK38" s="207"/>
      <c r="CL38" s="207"/>
      <c r="CM38" s="207"/>
      <c r="CN38" s="207"/>
      <c r="CO38" s="207"/>
      <c r="CP38" s="207"/>
      <c r="CQ38" s="207"/>
      <c r="CR38" s="207"/>
      <c r="CS38" s="207"/>
      <c r="CT38" s="207"/>
      <c r="CU38" s="207"/>
      <c r="CV38" s="207"/>
      <c r="CW38" s="207"/>
      <c r="CX38" s="207"/>
      <c r="CY38" s="207"/>
      <c r="CZ38" s="207"/>
      <c r="DA38" s="207"/>
      <c r="DB38" s="207"/>
      <c r="DC38" s="207"/>
      <c r="DD38" s="207"/>
      <c r="DE38" s="207"/>
      <c r="DF38" s="207"/>
      <c r="DG38" s="207"/>
      <c r="DH38" s="207"/>
      <c r="DI38" s="207"/>
      <c r="DJ38" s="207"/>
      <c r="DK38" s="207"/>
      <c r="DL38" s="207"/>
      <c r="DM38" s="207"/>
      <c r="DN38" s="207"/>
      <c r="DO38" s="207"/>
      <c r="DP38" s="207"/>
      <c r="DQ38" s="207"/>
      <c r="DR38" s="207"/>
      <c r="DS38" s="207"/>
      <c r="DT38" s="207"/>
      <c r="DU38" s="207"/>
      <c r="DV38" s="207"/>
      <c r="DW38" s="207"/>
      <c r="DX38" s="207"/>
      <c r="DY38" s="207"/>
      <c r="DZ38" s="207"/>
      <c r="EA38" s="207"/>
      <c r="EB38" s="207"/>
      <c r="EC38" s="207"/>
      <c r="ED38" s="207"/>
      <c r="EE38" s="207"/>
      <c r="EF38" s="207"/>
      <c r="EG38" s="207"/>
      <c r="EH38" s="207"/>
      <c r="EI38" s="207"/>
      <c r="EJ38" s="207"/>
      <c r="EK38" s="207"/>
      <c r="EL38" s="207"/>
      <c r="EM38" s="207"/>
      <c r="EN38" s="207"/>
      <c r="EO38" s="207"/>
      <c r="EP38" s="207"/>
      <c r="EQ38" s="207"/>
      <c r="ER38" s="207"/>
      <c r="ES38" s="207"/>
      <c r="ET38" s="207"/>
      <c r="EU38" s="207"/>
      <c r="EV38" s="207"/>
      <c r="EW38" s="207"/>
      <c r="EX38" s="207"/>
      <c r="EY38" s="207"/>
      <c r="EZ38" s="207"/>
      <c r="FA38" s="207"/>
      <c r="FB38" s="207"/>
      <c r="FC38" s="207"/>
      <c r="FD38" s="207"/>
      <c r="FE38" s="207"/>
      <c r="FF38" s="207"/>
      <c r="FG38" s="207"/>
      <c r="FH38" s="207"/>
      <c r="FI38" s="207"/>
      <c r="FJ38" s="207"/>
      <c r="FK38" s="207"/>
      <c r="FL38" s="207"/>
      <c r="FM38" s="207"/>
      <c r="FN38" s="207"/>
      <c r="FO38" s="207"/>
      <c r="FP38" s="207"/>
      <c r="FQ38" s="207"/>
      <c r="FR38" s="207"/>
      <c r="FS38" s="208"/>
      <c r="FT38" s="156"/>
    </row>
    <row r="39" spans="1:176" ht="15" outlineLevel="1">
      <c r="A39" s="206" t="s">
        <v>1275</v>
      </c>
      <c r="B39" s="200" t="s">
        <v>487</v>
      </c>
      <c r="C39" s="34"/>
      <c r="D39" s="34"/>
      <c r="E39" s="34"/>
      <c r="F39" s="34"/>
      <c r="G39" s="34"/>
      <c r="H39" s="37" t="s">
        <v>488</v>
      </c>
      <c r="I39" s="38"/>
      <c r="J39" s="38"/>
      <c r="K39" s="38"/>
      <c r="L39" s="38"/>
      <c r="M39" s="38"/>
      <c r="N39" s="38"/>
      <c r="O39" s="38"/>
      <c r="P39" s="38"/>
      <c r="Q39" s="38"/>
      <c r="R39" s="177">
        <f t="shared" si="4"/>
        <v>0</v>
      </c>
      <c r="S39" s="202">
        <f t="shared" si="7"/>
        <v>0</v>
      </c>
      <c r="T39" s="202">
        <f t="shared" si="8"/>
        <v>0</v>
      </c>
      <c r="U39" s="18"/>
      <c r="V39" s="206" t="str">
        <f t="shared" si="5"/>
        <v>1-30</v>
      </c>
      <c r="W39" s="203" t="str">
        <f t="shared" si="6"/>
        <v/>
      </c>
      <c r="X39" s="110"/>
      <c r="Y39" s="109"/>
      <c r="Z39" s="207"/>
      <c r="AA39" s="207"/>
      <c r="AB39" s="207"/>
      <c r="AC39" s="207"/>
      <c r="AD39" s="207"/>
      <c r="AE39" s="207"/>
      <c r="AF39" s="207"/>
      <c r="AG39" s="207"/>
      <c r="AH39" s="207"/>
      <c r="AI39" s="207"/>
      <c r="AJ39" s="207"/>
      <c r="AK39" s="207"/>
      <c r="AL39" s="207"/>
      <c r="AM39" s="207"/>
      <c r="AN39" s="207"/>
      <c r="AO39" s="207"/>
      <c r="AP39" s="207"/>
      <c r="AQ39" s="207"/>
      <c r="AR39" s="207"/>
      <c r="AS39" s="207"/>
      <c r="AT39" s="207"/>
      <c r="AU39" s="207"/>
      <c r="AV39" s="207"/>
      <c r="AW39" s="207"/>
      <c r="AX39" s="207"/>
      <c r="AY39" s="207"/>
      <c r="AZ39" s="207"/>
      <c r="BA39" s="207"/>
      <c r="BB39" s="207"/>
      <c r="BC39" s="207"/>
      <c r="BD39" s="207"/>
      <c r="BE39" s="207"/>
      <c r="BF39" s="207"/>
      <c r="BG39" s="207"/>
      <c r="BH39" s="207"/>
      <c r="BI39" s="207"/>
      <c r="BJ39" s="207"/>
      <c r="BK39" s="207"/>
      <c r="BL39" s="207"/>
      <c r="BM39" s="207"/>
      <c r="BN39" s="207"/>
      <c r="BO39" s="207"/>
      <c r="BP39" s="207"/>
      <c r="BQ39" s="207"/>
      <c r="BR39" s="207"/>
      <c r="BS39" s="207"/>
      <c r="BT39" s="207"/>
      <c r="BU39" s="207"/>
      <c r="BV39" s="207"/>
      <c r="BW39" s="207"/>
      <c r="BX39" s="207"/>
      <c r="BY39" s="207"/>
      <c r="BZ39" s="207"/>
      <c r="CA39" s="207"/>
      <c r="CB39" s="207"/>
      <c r="CC39" s="207"/>
      <c r="CD39" s="207"/>
      <c r="CE39" s="207"/>
      <c r="CF39" s="207"/>
      <c r="CG39" s="207"/>
      <c r="CH39" s="207"/>
      <c r="CI39" s="207"/>
      <c r="CJ39" s="207"/>
      <c r="CK39" s="207"/>
      <c r="CL39" s="207"/>
      <c r="CM39" s="207"/>
      <c r="CN39" s="207"/>
      <c r="CO39" s="207"/>
      <c r="CP39" s="207"/>
      <c r="CQ39" s="207"/>
      <c r="CR39" s="207"/>
      <c r="CS39" s="207"/>
      <c r="CT39" s="207"/>
      <c r="CU39" s="207"/>
      <c r="CV39" s="207"/>
      <c r="CW39" s="207"/>
      <c r="CX39" s="207"/>
      <c r="CY39" s="207"/>
      <c r="CZ39" s="207"/>
      <c r="DA39" s="207"/>
      <c r="DB39" s="207"/>
      <c r="DC39" s="207"/>
      <c r="DD39" s="207"/>
      <c r="DE39" s="207"/>
      <c r="DF39" s="207"/>
      <c r="DG39" s="207"/>
      <c r="DH39" s="207"/>
      <c r="DI39" s="207"/>
      <c r="DJ39" s="207"/>
      <c r="DK39" s="207"/>
      <c r="DL39" s="207"/>
      <c r="DM39" s="207"/>
      <c r="DN39" s="207"/>
      <c r="DO39" s="207"/>
      <c r="DP39" s="207"/>
      <c r="DQ39" s="207"/>
      <c r="DR39" s="207"/>
      <c r="DS39" s="207"/>
      <c r="DT39" s="207"/>
      <c r="DU39" s="207"/>
      <c r="DV39" s="207"/>
      <c r="DW39" s="207"/>
      <c r="DX39" s="207"/>
      <c r="DY39" s="207"/>
      <c r="DZ39" s="207"/>
      <c r="EA39" s="207"/>
      <c r="EB39" s="207"/>
      <c r="EC39" s="207"/>
      <c r="ED39" s="207"/>
      <c r="EE39" s="207"/>
      <c r="EF39" s="207"/>
      <c r="EG39" s="207"/>
      <c r="EH39" s="207"/>
      <c r="EI39" s="207"/>
      <c r="EJ39" s="207"/>
      <c r="EK39" s="207"/>
      <c r="EL39" s="207"/>
      <c r="EM39" s="207"/>
      <c r="EN39" s="207"/>
      <c r="EO39" s="207"/>
      <c r="EP39" s="207"/>
      <c r="EQ39" s="207"/>
      <c r="ER39" s="207"/>
      <c r="ES39" s="207"/>
      <c r="ET39" s="207"/>
      <c r="EU39" s="207"/>
      <c r="EV39" s="207"/>
      <c r="EW39" s="207"/>
      <c r="EX39" s="207"/>
      <c r="EY39" s="207"/>
      <c r="EZ39" s="207"/>
      <c r="FA39" s="207"/>
      <c r="FB39" s="207"/>
      <c r="FC39" s="207"/>
      <c r="FD39" s="207"/>
      <c r="FE39" s="207"/>
      <c r="FF39" s="207"/>
      <c r="FG39" s="207"/>
      <c r="FH39" s="207"/>
      <c r="FI39" s="207"/>
      <c r="FJ39" s="207"/>
      <c r="FK39" s="207"/>
      <c r="FL39" s="207"/>
      <c r="FM39" s="207"/>
      <c r="FN39" s="207"/>
      <c r="FO39" s="207"/>
      <c r="FP39" s="207"/>
      <c r="FQ39" s="207"/>
      <c r="FR39" s="207"/>
      <c r="FS39" s="208"/>
      <c r="FT39" s="156"/>
    </row>
    <row r="40" spans="1:176" ht="15" outlineLevel="1">
      <c r="A40" s="206" t="s">
        <v>1276</v>
      </c>
      <c r="B40" s="200" t="s">
        <v>487</v>
      </c>
      <c r="C40" s="34"/>
      <c r="D40" s="34"/>
      <c r="E40" s="34"/>
      <c r="F40" s="34"/>
      <c r="G40" s="34"/>
      <c r="H40" s="35" t="s">
        <v>488</v>
      </c>
      <c r="I40" s="38"/>
      <c r="J40" s="38"/>
      <c r="K40" s="38"/>
      <c r="L40" s="38"/>
      <c r="M40" s="38"/>
      <c r="N40" s="38"/>
      <c r="O40" s="38"/>
      <c r="P40" s="38"/>
      <c r="Q40" s="38"/>
      <c r="R40" s="177">
        <f t="shared" si="4"/>
        <v>0</v>
      </c>
      <c r="S40" s="202">
        <f t="shared" si="7"/>
        <v>0</v>
      </c>
      <c r="T40" s="202">
        <f t="shared" si="8"/>
        <v>0</v>
      </c>
      <c r="U40" s="18"/>
      <c r="V40" s="206" t="str">
        <f t="shared" si="5"/>
        <v>1-31</v>
      </c>
      <c r="W40" s="203" t="str">
        <f t="shared" si="6"/>
        <v/>
      </c>
      <c r="X40" s="110"/>
      <c r="Y40" s="109"/>
      <c r="Z40" s="207"/>
      <c r="AA40" s="207"/>
      <c r="AB40" s="207"/>
      <c r="AC40" s="207"/>
      <c r="AD40" s="207"/>
      <c r="AE40" s="207"/>
      <c r="AF40" s="207"/>
      <c r="AG40" s="207"/>
      <c r="AH40" s="207"/>
      <c r="AI40" s="207"/>
      <c r="AJ40" s="207"/>
      <c r="AK40" s="207"/>
      <c r="AL40" s="207"/>
      <c r="AM40" s="207"/>
      <c r="AN40" s="207"/>
      <c r="AO40" s="207"/>
      <c r="AP40" s="207"/>
      <c r="AQ40" s="207"/>
      <c r="AR40" s="207"/>
      <c r="AS40" s="207"/>
      <c r="AT40" s="207"/>
      <c r="AU40" s="207"/>
      <c r="AV40" s="207"/>
      <c r="AW40" s="207"/>
      <c r="AX40" s="207"/>
      <c r="AY40" s="207"/>
      <c r="AZ40" s="207"/>
      <c r="BA40" s="207"/>
      <c r="BB40" s="207"/>
      <c r="BC40" s="207"/>
      <c r="BD40" s="207"/>
      <c r="BE40" s="207"/>
      <c r="BF40" s="207"/>
      <c r="BG40" s="207"/>
      <c r="BH40" s="207"/>
      <c r="BI40" s="207"/>
      <c r="BJ40" s="207"/>
      <c r="BK40" s="207"/>
      <c r="BL40" s="207"/>
      <c r="BM40" s="207"/>
      <c r="BN40" s="207"/>
      <c r="BO40" s="207"/>
      <c r="BP40" s="207"/>
      <c r="BQ40" s="207"/>
      <c r="BR40" s="207"/>
      <c r="BS40" s="207"/>
      <c r="BT40" s="207"/>
      <c r="BU40" s="207"/>
      <c r="BV40" s="207"/>
      <c r="BW40" s="207"/>
      <c r="BX40" s="207"/>
      <c r="BY40" s="207"/>
      <c r="BZ40" s="207"/>
      <c r="CA40" s="207"/>
      <c r="CB40" s="207"/>
      <c r="CC40" s="207"/>
      <c r="CD40" s="207"/>
      <c r="CE40" s="207"/>
      <c r="CF40" s="207"/>
      <c r="CG40" s="207"/>
      <c r="CH40" s="207"/>
      <c r="CI40" s="207"/>
      <c r="CJ40" s="207"/>
      <c r="CK40" s="207"/>
      <c r="CL40" s="207"/>
      <c r="CM40" s="207"/>
      <c r="CN40" s="207"/>
      <c r="CO40" s="207"/>
      <c r="CP40" s="207"/>
      <c r="CQ40" s="207"/>
      <c r="CR40" s="207"/>
      <c r="CS40" s="207"/>
      <c r="CT40" s="207"/>
      <c r="CU40" s="207"/>
      <c r="CV40" s="207"/>
      <c r="CW40" s="207"/>
      <c r="CX40" s="207"/>
      <c r="CY40" s="207"/>
      <c r="CZ40" s="207"/>
      <c r="DA40" s="207"/>
      <c r="DB40" s="207"/>
      <c r="DC40" s="207"/>
      <c r="DD40" s="207"/>
      <c r="DE40" s="207"/>
      <c r="DF40" s="207"/>
      <c r="DG40" s="207"/>
      <c r="DH40" s="207"/>
      <c r="DI40" s="207"/>
      <c r="DJ40" s="207"/>
      <c r="DK40" s="207"/>
      <c r="DL40" s="207"/>
      <c r="DM40" s="207"/>
      <c r="DN40" s="207"/>
      <c r="DO40" s="207"/>
      <c r="DP40" s="207"/>
      <c r="DQ40" s="207"/>
      <c r="DR40" s="207"/>
      <c r="DS40" s="207"/>
      <c r="DT40" s="207"/>
      <c r="DU40" s="207"/>
      <c r="DV40" s="207"/>
      <c r="DW40" s="207"/>
      <c r="DX40" s="207"/>
      <c r="DY40" s="207"/>
      <c r="DZ40" s="207"/>
      <c r="EA40" s="207"/>
      <c r="EB40" s="207"/>
      <c r="EC40" s="207"/>
      <c r="ED40" s="207"/>
      <c r="EE40" s="207"/>
      <c r="EF40" s="207"/>
      <c r="EG40" s="207"/>
      <c r="EH40" s="207"/>
      <c r="EI40" s="207"/>
      <c r="EJ40" s="207"/>
      <c r="EK40" s="207"/>
      <c r="EL40" s="207"/>
      <c r="EM40" s="207"/>
      <c r="EN40" s="207"/>
      <c r="EO40" s="207"/>
      <c r="EP40" s="207"/>
      <c r="EQ40" s="207"/>
      <c r="ER40" s="207"/>
      <c r="ES40" s="207"/>
      <c r="ET40" s="207"/>
      <c r="EU40" s="207"/>
      <c r="EV40" s="207"/>
      <c r="EW40" s="207"/>
      <c r="EX40" s="207"/>
      <c r="EY40" s="207"/>
      <c r="EZ40" s="207"/>
      <c r="FA40" s="207"/>
      <c r="FB40" s="207"/>
      <c r="FC40" s="207"/>
      <c r="FD40" s="207"/>
      <c r="FE40" s="207"/>
      <c r="FF40" s="207"/>
      <c r="FG40" s="207"/>
      <c r="FH40" s="207"/>
      <c r="FI40" s="207"/>
      <c r="FJ40" s="207"/>
      <c r="FK40" s="207"/>
      <c r="FL40" s="207"/>
      <c r="FM40" s="207"/>
      <c r="FN40" s="207"/>
      <c r="FO40" s="207"/>
      <c r="FP40" s="207"/>
      <c r="FQ40" s="207"/>
      <c r="FR40" s="207"/>
      <c r="FS40" s="208"/>
      <c r="FT40" s="156"/>
    </row>
    <row r="41" spans="1:176" ht="15" outlineLevel="1">
      <c r="A41" s="206" t="s">
        <v>1277</v>
      </c>
      <c r="B41" s="200" t="s">
        <v>487</v>
      </c>
      <c r="C41" s="34"/>
      <c r="D41" s="34"/>
      <c r="E41" s="34"/>
      <c r="F41" s="34"/>
      <c r="G41" s="34"/>
      <c r="H41" s="37" t="s">
        <v>488</v>
      </c>
      <c r="I41" s="38"/>
      <c r="J41" s="38"/>
      <c r="K41" s="38"/>
      <c r="L41" s="38"/>
      <c r="M41" s="38"/>
      <c r="N41" s="38"/>
      <c r="O41" s="38"/>
      <c r="P41" s="38"/>
      <c r="Q41" s="38"/>
      <c r="R41" s="177">
        <f t="shared" si="4"/>
        <v>0</v>
      </c>
      <c r="S41" s="202">
        <f t="shared" si="7"/>
        <v>0</v>
      </c>
      <c r="T41" s="202">
        <f t="shared" si="8"/>
        <v>0</v>
      </c>
      <c r="U41" s="18"/>
      <c r="V41" s="206" t="str">
        <f t="shared" si="5"/>
        <v>1-32</v>
      </c>
      <c r="W41" s="203" t="str">
        <f t="shared" si="6"/>
        <v/>
      </c>
      <c r="X41" s="110"/>
      <c r="Y41" s="109"/>
      <c r="Z41" s="207"/>
      <c r="AA41" s="207"/>
      <c r="AB41" s="207"/>
      <c r="AC41" s="207"/>
      <c r="AD41" s="207"/>
      <c r="AE41" s="207"/>
      <c r="AF41" s="207"/>
      <c r="AG41" s="207"/>
      <c r="AH41" s="207"/>
      <c r="AI41" s="207"/>
      <c r="AJ41" s="207"/>
      <c r="AK41" s="207"/>
      <c r="AL41" s="207"/>
      <c r="AM41" s="207"/>
      <c r="AN41" s="207"/>
      <c r="AO41" s="207"/>
      <c r="AP41" s="207"/>
      <c r="AQ41" s="207"/>
      <c r="AR41" s="207"/>
      <c r="AS41" s="207"/>
      <c r="AT41" s="207"/>
      <c r="AU41" s="207"/>
      <c r="AV41" s="207"/>
      <c r="AW41" s="207"/>
      <c r="AX41" s="207"/>
      <c r="AY41" s="207"/>
      <c r="AZ41" s="207"/>
      <c r="BA41" s="207"/>
      <c r="BB41" s="207"/>
      <c r="BC41" s="207"/>
      <c r="BD41" s="207"/>
      <c r="BE41" s="207"/>
      <c r="BF41" s="207"/>
      <c r="BG41" s="207"/>
      <c r="BH41" s="207"/>
      <c r="BI41" s="207"/>
      <c r="BJ41" s="207"/>
      <c r="BK41" s="207"/>
      <c r="BL41" s="207"/>
      <c r="BM41" s="207"/>
      <c r="BN41" s="207"/>
      <c r="BO41" s="207"/>
      <c r="BP41" s="207"/>
      <c r="BQ41" s="207"/>
      <c r="BR41" s="207"/>
      <c r="BS41" s="207"/>
      <c r="BT41" s="207"/>
      <c r="BU41" s="207"/>
      <c r="BV41" s="207"/>
      <c r="BW41" s="207"/>
      <c r="BX41" s="207"/>
      <c r="BY41" s="207"/>
      <c r="BZ41" s="207"/>
      <c r="CA41" s="207"/>
      <c r="CB41" s="207"/>
      <c r="CC41" s="207"/>
      <c r="CD41" s="207"/>
      <c r="CE41" s="207"/>
      <c r="CF41" s="207"/>
      <c r="CG41" s="207"/>
      <c r="CH41" s="207"/>
      <c r="CI41" s="207"/>
      <c r="CJ41" s="207"/>
      <c r="CK41" s="207"/>
      <c r="CL41" s="207"/>
      <c r="CM41" s="207"/>
      <c r="CN41" s="207"/>
      <c r="CO41" s="207"/>
      <c r="CP41" s="207"/>
      <c r="CQ41" s="207"/>
      <c r="CR41" s="207"/>
      <c r="CS41" s="207"/>
      <c r="CT41" s="207"/>
      <c r="CU41" s="207"/>
      <c r="CV41" s="207"/>
      <c r="CW41" s="207"/>
      <c r="CX41" s="207"/>
      <c r="CY41" s="207"/>
      <c r="CZ41" s="207"/>
      <c r="DA41" s="207"/>
      <c r="DB41" s="207"/>
      <c r="DC41" s="207"/>
      <c r="DD41" s="207"/>
      <c r="DE41" s="207"/>
      <c r="DF41" s="207"/>
      <c r="DG41" s="207"/>
      <c r="DH41" s="207"/>
      <c r="DI41" s="207"/>
      <c r="DJ41" s="207"/>
      <c r="DK41" s="207"/>
      <c r="DL41" s="207"/>
      <c r="DM41" s="207"/>
      <c r="DN41" s="207"/>
      <c r="DO41" s="207"/>
      <c r="DP41" s="207"/>
      <c r="DQ41" s="207"/>
      <c r="DR41" s="207"/>
      <c r="DS41" s="207"/>
      <c r="DT41" s="207"/>
      <c r="DU41" s="207"/>
      <c r="DV41" s="207"/>
      <c r="DW41" s="207"/>
      <c r="DX41" s="207"/>
      <c r="DY41" s="207"/>
      <c r="DZ41" s="207"/>
      <c r="EA41" s="207"/>
      <c r="EB41" s="207"/>
      <c r="EC41" s="207"/>
      <c r="ED41" s="207"/>
      <c r="EE41" s="207"/>
      <c r="EF41" s="207"/>
      <c r="EG41" s="207"/>
      <c r="EH41" s="207"/>
      <c r="EI41" s="207"/>
      <c r="EJ41" s="207"/>
      <c r="EK41" s="207"/>
      <c r="EL41" s="207"/>
      <c r="EM41" s="207"/>
      <c r="EN41" s="207"/>
      <c r="EO41" s="207"/>
      <c r="EP41" s="207"/>
      <c r="EQ41" s="207"/>
      <c r="ER41" s="207"/>
      <c r="ES41" s="207"/>
      <c r="ET41" s="207"/>
      <c r="EU41" s="207"/>
      <c r="EV41" s="207"/>
      <c r="EW41" s="207"/>
      <c r="EX41" s="207"/>
      <c r="EY41" s="207"/>
      <c r="EZ41" s="207"/>
      <c r="FA41" s="207"/>
      <c r="FB41" s="207"/>
      <c r="FC41" s="207"/>
      <c r="FD41" s="207"/>
      <c r="FE41" s="207"/>
      <c r="FF41" s="207"/>
      <c r="FG41" s="207"/>
      <c r="FH41" s="207"/>
      <c r="FI41" s="207"/>
      <c r="FJ41" s="207"/>
      <c r="FK41" s="207"/>
      <c r="FL41" s="207"/>
      <c r="FM41" s="207"/>
      <c r="FN41" s="207"/>
      <c r="FO41" s="207"/>
      <c r="FP41" s="207"/>
      <c r="FQ41" s="207"/>
      <c r="FR41" s="207"/>
      <c r="FS41" s="208"/>
      <c r="FT41" s="156"/>
    </row>
    <row r="42" spans="1:176" ht="15" outlineLevel="1">
      <c r="A42" s="206" t="s">
        <v>1278</v>
      </c>
      <c r="B42" s="200" t="s">
        <v>487</v>
      </c>
      <c r="C42" s="34"/>
      <c r="D42" s="34"/>
      <c r="E42" s="34"/>
      <c r="F42" s="34"/>
      <c r="G42" s="34"/>
      <c r="H42" s="35" t="s">
        <v>488</v>
      </c>
      <c r="I42" s="38"/>
      <c r="J42" s="38"/>
      <c r="K42" s="38"/>
      <c r="L42" s="38"/>
      <c r="M42" s="38"/>
      <c r="N42" s="38"/>
      <c r="O42" s="38"/>
      <c r="P42" s="38"/>
      <c r="Q42" s="38"/>
      <c r="R42" s="177">
        <f t="shared" ref="R42:R59" si="9">SUM(I42:Q42)</f>
        <v>0</v>
      </c>
      <c r="S42" s="202">
        <f t="shared" si="7"/>
        <v>0</v>
      </c>
      <c r="T42" s="202">
        <f t="shared" si="8"/>
        <v>0</v>
      </c>
      <c r="U42" s="18"/>
      <c r="V42" s="206" t="str">
        <f t="shared" si="5"/>
        <v>1-33</v>
      </c>
      <c r="W42" s="203" t="str">
        <f t="shared" ref="W42:W59" si="10">IF(ISBLANK(C42),"",C42)</f>
        <v/>
      </c>
      <c r="X42" s="110"/>
      <c r="Y42" s="109"/>
      <c r="Z42" s="207"/>
      <c r="AA42" s="207"/>
      <c r="AB42" s="207"/>
      <c r="AC42" s="207"/>
      <c r="AD42" s="207"/>
      <c r="AE42" s="207"/>
      <c r="AF42" s="207"/>
      <c r="AG42" s="207"/>
      <c r="AH42" s="207"/>
      <c r="AI42" s="207"/>
      <c r="AJ42" s="207"/>
      <c r="AK42" s="207"/>
      <c r="AL42" s="207"/>
      <c r="AM42" s="207"/>
      <c r="AN42" s="207"/>
      <c r="AO42" s="207"/>
      <c r="AP42" s="207"/>
      <c r="AQ42" s="207"/>
      <c r="AR42" s="207"/>
      <c r="AS42" s="207"/>
      <c r="AT42" s="207"/>
      <c r="AU42" s="207"/>
      <c r="AV42" s="207"/>
      <c r="AW42" s="207"/>
      <c r="AX42" s="207"/>
      <c r="AY42" s="207"/>
      <c r="AZ42" s="207"/>
      <c r="BA42" s="207"/>
      <c r="BB42" s="207"/>
      <c r="BC42" s="207"/>
      <c r="BD42" s="207"/>
      <c r="BE42" s="207"/>
      <c r="BF42" s="207"/>
      <c r="BG42" s="207"/>
      <c r="BH42" s="207"/>
      <c r="BI42" s="207"/>
      <c r="BJ42" s="207"/>
      <c r="BK42" s="207"/>
      <c r="BL42" s="207"/>
      <c r="BM42" s="207"/>
      <c r="BN42" s="207"/>
      <c r="BO42" s="207"/>
      <c r="BP42" s="207"/>
      <c r="BQ42" s="207"/>
      <c r="BR42" s="207"/>
      <c r="BS42" s="207"/>
      <c r="BT42" s="207"/>
      <c r="BU42" s="207"/>
      <c r="BV42" s="207"/>
      <c r="BW42" s="207"/>
      <c r="BX42" s="207"/>
      <c r="BY42" s="207"/>
      <c r="BZ42" s="207"/>
      <c r="CA42" s="207"/>
      <c r="CB42" s="207"/>
      <c r="CC42" s="207"/>
      <c r="CD42" s="207"/>
      <c r="CE42" s="207"/>
      <c r="CF42" s="207"/>
      <c r="CG42" s="207"/>
      <c r="CH42" s="207"/>
      <c r="CI42" s="207"/>
      <c r="CJ42" s="207"/>
      <c r="CK42" s="207"/>
      <c r="CL42" s="207"/>
      <c r="CM42" s="207"/>
      <c r="CN42" s="207"/>
      <c r="CO42" s="207"/>
      <c r="CP42" s="207"/>
      <c r="CQ42" s="207"/>
      <c r="CR42" s="207"/>
      <c r="CS42" s="207"/>
      <c r="CT42" s="207"/>
      <c r="CU42" s="207"/>
      <c r="CV42" s="207"/>
      <c r="CW42" s="207"/>
      <c r="CX42" s="207"/>
      <c r="CY42" s="207"/>
      <c r="CZ42" s="207"/>
      <c r="DA42" s="207"/>
      <c r="DB42" s="207"/>
      <c r="DC42" s="207"/>
      <c r="DD42" s="207"/>
      <c r="DE42" s="207"/>
      <c r="DF42" s="207"/>
      <c r="DG42" s="207"/>
      <c r="DH42" s="207"/>
      <c r="DI42" s="207"/>
      <c r="DJ42" s="207"/>
      <c r="DK42" s="207"/>
      <c r="DL42" s="207"/>
      <c r="DM42" s="207"/>
      <c r="DN42" s="207"/>
      <c r="DO42" s="207"/>
      <c r="DP42" s="207"/>
      <c r="DQ42" s="207"/>
      <c r="DR42" s="207"/>
      <c r="DS42" s="207"/>
      <c r="DT42" s="207"/>
      <c r="DU42" s="207"/>
      <c r="DV42" s="207"/>
      <c r="DW42" s="207"/>
      <c r="DX42" s="207"/>
      <c r="DY42" s="207"/>
      <c r="DZ42" s="207"/>
      <c r="EA42" s="207"/>
      <c r="EB42" s="207"/>
      <c r="EC42" s="207"/>
      <c r="ED42" s="207"/>
      <c r="EE42" s="207"/>
      <c r="EF42" s="207"/>
      <c r="EG42" s="207"/>
      <c r="EH42" s="207"/>
      <c r="EI42" s="207"/>
      <c r="EJ42" s="207"/>
      <c r="EK42" s="207"/>
      <c r="EL42" s="207"/>
      <c r="EM42" s="207"/>
      <c r="EN42" s="207"/>
      <c r="EO42" s="207"/>
      <c r="EP42" s="207"/>
      <c r="EQ42" s="207"/>
      <c r="ER42" s="207"/>
      <c r="ES42" s="207"/>
      <c r="ET42" s="207"/>
      <c r="EU42" s="207"/>
      <c r="EV42" s="207"/>
      <c r="EW42" s="207"/>
      <c r="EX42" s="207"/>
      <c r="EY42" s="207"/>
      <c r="EZ42" s="207"/>
      <c r="FA42" s="207"/>
      <c r="FB42" s="207"/>
      <c r="FC42" s="207"/>
      <c r="FD42" s="207"/>
      <c r="FE42" s="207"/>
      <c r="FF42" s="207"/>
      <c r="FG42" s="207"/>
      <c r="FH42" s="207"/>
      <c r="FI42" s="207"/>
      <c r="FJ42" s="207"/>
      <c r="FK42" s="207"/>
      <c r="FL42" s="207"/>
      <c r="FM42" s="207"/>
      <c r="FN42" s="207"/>
      <c r="FO42" s="207"/>
      <c r="FP42" s="207"/>
      <c r="FQ42" s="207"/>
      <c r="FR42" s="207"/>
      <c r="FS42" s="208"/>
      <c r="FT42" s="156"/>
    </row>
    <row r="43" spans="1:176" ht="15" outlineLevel="1">
      <c r="A43" s="206" t="s">
        <v>1279</v>
      </c>
      <c r="B43" s="200" t="s">
        <v>487</v>
      </c>
      <c r="C43" s="34"/>
      <c r="D43" s="34"/>
      <c r="E43" s="34"/>
      <c r="F43" s="34"/>
      <c r="G43" s="34"/>
      <c r="H43" s="37" t="s">
        <v>488</v>
      </c>
      <c r="I43" s="38"/>
      <c r="J43" s="38"/>
      <c r="K43" s="38"/>
      <c r="L43" s="38"/>
      <c r="M43" s="38"/>
      <c r="N43" s="38"/>
      <c r="O43" s="38"/>
      <c r="P43" s="38"/>
      <c r="Q43" s="38"/>
      <c r="R43" s="177">
        <f t="shared" si="9"/>
        <v>0</v>
      </c>
      <c r="S43" s="202">
        <f t="shared" si="7"/>
        <v>0</v>
      </c>
      <c r="T43" s="202">
        <f t="shared" si="8"/>
        <v>0</v>
      </c>
      <c r="U43" s="18"/>
      <c r="V43" s="206" t="str">
        <f t="shared" si="5"/>
        <v>1-34</v>
      </c>
      <c r="W43" s="203" t="str">
        <f t="shared" si="10"/>
        <v/>
      </c>
      <c r="X43" s="110"/>
      <c r="Y43" s="109"/>
      <c r="Z43" s="207"/>
      <c r="AA43" s="207"/>
      <c r="AB43" s="207"/>
      <c r="AC43" s="207"/>
      <c r="AD43" s="207"/>
      <c r="AE43" s="207"/>
      <c r="AF43" s="207"/>
      <c r="AG43" s="207"/>
      <c r="AH43" s="207"/>
      <c r="AI43" s="207"/>
      <c r="AJ43" s="207"/>
      <c r="AK43" s="207"/>
      <c r="AL43" s="207"/>
      <c r="AM43" s="207"/>
      <c r="AN43" s="207"/>
      <c r="AO43" s="207"/>
      <c r="AP43" s="207"/>
      <c r="AQ43" s="207"/>
      <c r="AR43" s="207"/>
      <c r="AS43" s="207"/>
      <c r="AT43" s="207"/>
      <c r="AU43" s="207"/>
      <c r="AV43" s="207"/>
      <c r="AW43" s="207"/>
      <c r="AX43" s="207"/>
      <c r="AY43" s="207"/>
      <c r="AZ43" s="207"/>
      <c r="BA43" s="207"/>
      <c r="BB43" s="207"/>
      <c r="BC43" s="207"/>
      <c r="BD43" s="207"/>
      <c r="BE43" s="207"/>
      <c r="BF43" s="207"/>
      <c r="BG43" s="207"/>
      <c r="BH43" s="207"/>
      <c r="BI43" s="207"/>
      <c r="BJ43" s="207"/>
      <c r="BK43" s="207"/>
      <c r="BL43" s="207"/>
      <c r="BM43" s="207"/>
      <c r="BN43" s="207"/>
      <c r="BO43" s="207"/>
      <c r="BP43" s="207"/>
      <c r="BQ43" s="207"/>
      <c r="BR43" s="207"/>
      <c r="BS43" s="207"/>
      <c r="BT43" s="207"/>
      <c r="BU43" s="207"/>
      <c r="BV43" s="207"/>
      <c r="BW43" s="207"/>
      <c r="BX43" s="207"/>
      <c r="BY43" s="207"/>
      <c r="BZ43" s="207"/>
      <c r="CA43" s="207"/>
      <c r="CB43" s="207"/>
      <c r="CC43" s="207"/>
      <c r="CD43" s="207"/>
      <c r="CE43" s="207"/>
      <c r="CF43" s="207"/>
      <c r="CG43" s="207"/>
      <c r="CH43" s="207"/>
      <c r="CI43" s="207"/>
      <c r="CJ43" s="207"/>
      <c r="CK43" s="207"/>
      <c r="CL43" s="207"/>
      <c r="CM43" s="207"/>
      <c r="CN43" s="207"/>
      <c r="CO43" s="207"/>
      <c r="CP43" s="207"/>
      <c r="CQ43" s="207"/>
      <c r="CR43" s="207"/>
      <c r="CS43" s="207"/>
      <c r="CT43" s="207"/>
      <c r="CU43" s="207"/>
      <c r="CV43" s="207"/>
      <c r="CW43" s="207"/>
      <c r="CX43" s="207"/>
      <c r="CY43" s="207"/>
      <c r="CZ43" s="207"/>
      <c r="DA43" s="207"/>
      <c r="DB43" s="207"/>
      <c r="DC43" s="207"/>
      <c r="DD43" s="207"/>
      <c r="DE43" s="207"/>
      <c r="DF43" s="207"/>
      <c r="DG43" s="207"/>
      <c r="DH43" s="207"/>
      <c r="DI43" s="207"/>
      <c r="DJ43" s="207"/>
      <c r="DK43" s="207"/>
      <c r="DL43" s="207"/>
      <c r="DM43" s="207"/>
      <c r="DN43" s="207"/>
      <c r="DO43" s="207"/>
      <c r="DP43" s="207"/>
      <c r="DQ43" s="207"/>
      <c r="DR43" s="207"/>
      <c r="DS43" s="207"/>
      <c r="DT43" s="207"/>
      <c r="DU43" s="207"/>
      <c r="DV43" s="207"/>
      <c r="DW43" s="207"/>
      <c r="DX43" s="207"/>
      <c r="DY43" s="207"/>
      <c r="DZ43" s="207"/>
      <c r="EA43" s="207"/>
      <c r="EB43" s="207"/>
      <c r="EC43" s="207"/>
      <c r="ED43" s="207"/>
      <c r="EE43" s="207"/>
      <c r="EF43" s="207"/>
      <c r="EG43" s="207"/>
      <c r="EH43" s="207"/>
      <c r="EI43" s="207"/>
      <c r="EJ43" s="207"/>
      <c r="EK43" s="207"/>
      <c r="EL43" s="207"/>
      <c r="EM43" s="207"/>
      <c r="EN43" s="207"/>
      <c r="EO43" s="207"/>
      <c r="EP43" s="207"/>
      <c r="EQ43" s="207"/>
      <c r="ER43" s="207"/>
      <c r="ES43" s="207"/>
      <c r="ET43" s="207"/>
      <c r="EU43" s="207"/>
      <c r="EV43" s="207"/>
      <c r="EW43" s="207"/>
      <c r="EX43" s="207"/>
      <c r="EY43" s="207"/>
      <c r="EZ43" s="207"/>
      <c r="FA43" s="207"/>
      <c r="FB43" s="207"/>
      <c r="FC43" s="207"/>
      <c r="FD43" s="207"/>
      <c r="FE43" s="207"/>
      <c r="FF43" s="207"/>
      <c r="FG43" s="207"/>
      <c r="FH43" s="207"/>
      <c r="FI43" s="207"/>
      <c r="FJ43" s="207"/>
      <c r="FK43" s="207"/>
      <c r="FL43" s="207"/>
      <c r="FM43" s="207"/>
      <c r="FN43" s="207"/>
      <c r="FO43" s="207"/>
      <c r="FP43" s="207"/>
      <c r="FQ43" s="207"/>
      <c r="FR43" s="207"/>
      <c r="FS43" s="208"/>
      <c r="FT43" s="156"/>
    </row>
    <row r="44" spans="1:176" ht="15" outlineLevel="1">
      <c r="A44" s="206" t="s">
        <v>1280</v>
      </c>
      <c r="B44" s="200" t="s">
        <v>487</v>
      </c>
      <c r="C44" s="34"/>
      <c r="D44" s="34"/>
      <c r="E44" s="34"/>
      <c r="F44" s="34"/>
      <c r="G44" s="34"/>
      <c r="H44" s="35" t="s">
        <v>488</v>
      </c>
      <c r="I44" s="38"/>
      <c r="J44" s="38"/>
      <c r="K44" s="38"/>
      <c r="L44" s="38"/>
      <c r="M44" s="38"/>
      <c r="N44" s="38"/>
      <c r="O44" s="38"/>
      <c r="P44" s="38"/>
      <c r="Q44" s="38"/>
      <c r="R44" s="177">
        <f t="shared" si="9"/>
        <v>0</v>
      </c>
      <c r="S44" s="202">
        <f t="shared" si="7"/>
        <v>0</v>
      </c>
      <c r="T44" s="202">
        <f t="shared" si="8"/>
        <v>0</v>
      </c>
      <c r="U44" s="18"/>
      <c r="V44" s="206" t="str">
        <f t="shared" si="5"/>
        <v>1-35</v>
      </c>
      <c r="W44" s="203" t="str">
        <f t="shared" si="10"/>
        <v/>
      </c>
      <c r="X44" s="110"/>
      <c r="Y44" s="109"/>
      <c r="Z44" s="207"/>
      <c r="AA44" s="207"/>
      <c r="AB44" s="207"/>
      <c r="AC44" s="207"/>
      <c r="AD44" s="207"/>
      <c r="AE44" s="207"/>
      <c r="AF44" s="207"/>
      <c r="AG44" s="207"/>
      <c r="AH44" s="207"/>
      <c r="AI44" s="207"/>
      <c r="AJ44" s="207"/>
      <c r="AK44" s="207"/>
      <c r="AL44" s="207"/>
      <c r="AM44" s="207"/>
      <c r="AN44" s="207"/>
      <c r="AO44" s="207"/>
      <c r="AP44" s="207"/>
      <c r="AQ44" s="207"/>
      <c r="AR44" s="207"/>
      <c r="AS44" s="207"/>
      <c r="AT44" s="207"/>
      <c r="AU44" s="207"/>
      <c r="AV44" s="207"/>
      <c r="AW44" s="207"/>
      <c r="AX44" s="207"/>
      <c r="AY44" s="207"/>
      <c r="AZ44" s="207"/>
      <c r="BA44" s="207"/>
      <c r="BB44" s="207"/>
      <c r="BC44" s="207"/>
      <c r="BD44" s="207"/>
      <c r="BE44" s="207"/>
      <c r="BF44" s="207"/>
      <c r="BG44" s="207"/>
      <c r="BH44" s="207"/>
      <c r="BI44" s="207"/>
      <c r="BJ44" s="207"/>
      <c r="BK44" s="207"/>
      <c r="BL44" s="207"/>
      <c r="BM44" s="207"/>
      <c r="BN44" s="207"/>
      <c r="BO44" s="207"/>
      <c r="BP44" s="207"/>
      <c r="BQ44" s="207"/>
      <c r="BR44" s="207"/>
      <c r="BS44" s="207"/>
      <c r="BT44" s="207"/>
      <c r="BU44" s="207"/>
      <c r="BV44" s="207"/>
      <c r="BW44" s="207"/>
      <c r="BX44" s="207"/>
      <c r="BY44" s="207"/>
      <c r="BZ44" s="207"/>
      <c r="CA44" s="207"/>
      <c r="CB44" s="207"/>
      <c r="CC44" s="207"/>
      <c r="CD44" s="207"/>
      <c r="CE44" s="207"/>
      <c r="CF44" s="207"/>
      <c r="CG44" s="207"/>
      <c r="CH44" s="207"/>
      <c r="CI44" s="207"/>
      <c r="CJ44" s="207"/>
      <c r="CK44" s="207"/>
      <c r="CL44" s="207"/>
      <c r="CM44" s="207"/>
      <c r="CN44" s="207"/>
      <c r="CO44" s="207"/>
      <c r="CP44" s="207"/>
      <c r="CQ44" s="207"/>
      <c r="CR44" s="207"/>
      <c r="CS44" s="207"/>
      <c r="CT44" s="207"/>
      <c r="CU44" s="207"/>
      <c r="CV44" s="207"/>
      <c r="CW44" s="207"/>
      <c r="CX44" s="207"/>
      <c r="CY44" s="207"/>
      <c r="CZ44" s="207"/>
      <c r="DA44" s="207"/>
      <c r="DB44" s="207"/>
      <c r="DC44" s="207"/>
      <c r="DD44" s="207"/>
      <c r="DE44" s="207"/>
      <c r="DF44" s="207"/>
      <c r="DG44" s="207"/>
      <c r="DH44" s="207"/>
      <c r="DI44" s="207"/>
      <c r="DJ44" s="207"/>
      <c r="DK44" s="207"/>
      <c r="DL44" s="207"/>
      <c r="DM44" s="207"/>
      <c r="DN44" s="207"/>
      <c r="DO44" s="207"/>
      <c r="DP44" s="207"/>
      <c r="DQ44" s="207"/>
      <c r="DR44" s="207"/>
      <c r="DS44" s="207"/>
      <c r="DT44" s="207"/>
      <c r="DU44" s="207"/>
      <c r="DV44" s="207"/>
      <c r="DW44" s="207"/>
      <c r="DX44" s="207"/>
      <c r="DY44" s="207"/>
      <c r="DZ44" s="207"/>
      <c r="EA44" s="207"/>
      <c r="EB44" s="207"/>
      <c r="EC44" s="207"/>
      <c r="ED44" s="207"/>
      <c r="EE44" s="207"/>
      <c r="EF44" s="207"/>
      <c r="EG44" s="207"/>
      <c r="EH44" s="207"/>
      <c r="EI44" s="207"/>
      <c r="EJ44" s="207"/>
      <c r="EK44" s="207"/>
      <c r="EL44" s="207"/>
      <c r="EM44" s="207"/>
      <c r="EN44" s="207"/>
      <c r="EO44" s="207"/>
      <c r="EP44" s="207"/>
      <c r="EQ44" s="207"/>
      <c r="ER44" s="207"/>
      <c r="ES44" s="207"/>
      <c r="ET44" s="207"/>
      <c r="EU44" s="207"/>
      <c r="EV44" s="207"/>
      <c r="EW44" s="207"/>
      <c r="EX44" s="207"/>
      <c r="EY44" s="207"/>
      <c r="EZ44" s="207"/>
      <c r="FA44" s="207"/>
      <c r="FB44" s="207"/>
      <c r="FC44" s="207"/>
      <c r="FD44" s="207"/>
      <c r="FE44" s="207"/>
      <c r="FF44" s="207"/>
      <c r="FG44" s="207"/>
      <c r="FH44" s="207"/>
      <c r="FI44" s="207"/>
      <c r="FJ44" s="207"/>
      <c r="FK44" s="207"/>
      <c r="FL44" s="207"/>
      <c r="FM44" s="207"/>
      <c r="FN44" s="207"/>
      <c r="FO44" s="207"/>
      <c r="FP44" s="207"/>
      <c r="FQ44" s="207"/>
      <c r="FR44" s="207"/>
      <c r="FS44" s="208"/>
      <c r="FT44" s="156"/>
    </row>
    <row r="45" spans="1:176" ht="15" outlineLevel="1">
      <c r="A45" s="206" t="s">
        <v>1281</v>
      </c>
      <c r="B45" s="200" t="s">
        <v>487</v>
      </c>
      <c r="C45" s="34"/>
      <c r="D45" s="34"/>
      <c r="E45" s="34"/>
      <c r="F45" s="34"/>
      <c r="G45" s="34"/>
      <c r="H45" s="37" t="s">
        <v>488</v>
      </c>
      <c r="I45" s="38"/>
      <c r="J45" s="38"/>
      <c r="K45" s="38"/>
      <c r="L45" s="38"/>
      <c r="M45" s="38"/>
      <c r="N45" s="38"/>
      <c r="O45" s="38"/>
      <c r="P45" s="38"/>
      <c r="Q45" s="38"/>
      <c r="R45" s="177">
        <f t="shared" si="9"/>
        <v>0</v>
      </c>
      <c r="S45" s="202">
        <f t="shared" si="7"/>
        <v>0</v>
      </c>
      <c r="T45" s="202">
        <f t="shared" si="8"/>
        <v>0</v>
      </c>
      <c r="U45" s="18"/>
      <c r="V45" s="206" t="str">
        <f t="shared" si="5"/>
        <v>1-36</v>
      </c>
      <c r="W45" s="203" t="str">
        <f t="shared" si="10"/>
        <v/>
      </c>
      <c r="X45" s="110"/>
      <c r="Y45" s="109"/>
      <c r="Z45" s="207"/>
      <c r="AA45" s="207"/>
      <c r="AB45" s="207"/>
      <c r="AC45" s="207"/>
      <c r="AD45" s="207"/>
      <c r="AE45" s="207"/>
      <c r="AF45" s="207"/>
      <c r="AG45" s="207"/>
      <c r="AH45" s="207"/>
      <c r="AI45" s="207"/>
      <c r="AJ45" s="207"/>
      <c r="AK45" s="207"/>
      <c r="AL45" s="207"/>
      <c r="AM45" s="207"/>
      <c r="AN45" s="207"/>
      <c r="AO45" s="207"/>
      <c r="AP45" s="207"/>
      <c r="AQ45" s="207"/>
      <c r="AR45" s="207"/>
      <c r="AS45" s="207"/>
      <c r="AT45" s="207"/>
      <c r="AU45" s="207"/>
      <c r="AV45" s="207"/>
      <c r="AW45" s="207"/>
      <c r="AX45" s="207"/>
      <c r="AY45" s="207"/>
      <c r="AZ45" s="207"/>
      <c r="BA45" s="207"/>
      <c r="BB45" s="207"/>
      <c r="BC45" s="207"/>
      <c r="BD45" s="207"/>
      <c r="BE45" s="207"/>
      <c r="BF45" s="207"/>
      <c r="BG45" s="207"/>
      <c r="BH45" s="207"/>
      <c r="BI45" s="207"/>
      <c r="BJ45" s="207"/>
      <c r="BK45" s="207"/>
      <c r="BL45" s="207"/>
      <c r="BM45" s="207"/>
      <c r="BN45" s="207"/>
      <c r="BO45" s="207"/>
      <c r="BP45" s="207"/>
      <c r="BQ45" s="207"/>
      <c r="BR45" s="207"/>
      <c r="BS45" s="207"/>
      <c r="BT45" s="207"/>
      <c r="BU45" s="207"/>
      <c r="BV45" s="207"/>
      <c r="BW45" s="207"/>
      <c r="BX45" s="207"/>
      <c r="BY45" s="207"/>
      <c r="BZ45" s="207"/>
      <c r="CA45" s="207"/>
      <c r="CB45" s="207"/>
      <c r="CC45" s="207"/>
      <c r="CD45" s="207"/>
      <c r="CE45" s="207"/>
      <c r="CF45" s="207"/>
      <c r="CG45" s="207"/>
      <c r="CH45" s="207"/>
      <c r="CI45" s="207"/>
      <c r="CJ45" s="207"/>
      <c r="CK45" s="207"/>
      <c r="CL45" s="207"/>
      <c r="CM45" s="207"/>
      <c r="CN45" s="207"/>
      <c r="CO45" s="207"/>
      <c r="CP45" s="207"/>
      <c r="CQ45" s="207"/>
      <c r="CR45" s="207"/>
      <c r="CS45" s="207"/>
      <c r="CT45" s="207"/>
      <c r="CU45" s="207"/>
      <c r="CV45" s="207"/>
      <c r="CW45" s="207"/>
      <c r="CX45" s="207"/>
      <c r="CY45" s="207"/>
      <c r="CZ45" s="207"/>
      <c r="DA45" s="207"/>
      <c r="DB45" s="207"/>
      <c r="DC45" s="207"/>
      <c r="DD45" s="207"/>
      <c r="DE45" s="207"/>
      <c r="DF45" s="207"/>
      <c r="DG45" s="207"/>
      <c r="DH45" s="207"/>
      <c r="DI45" s="207"/>
      <c r="DJ45" s="207"/>
      <c r="DK45" s="207"/>
      <c r="DL45" s="207"/>
      <c r="DM45" s="207"/>
      <c r="DN45" s="207"/>
      <c r="DO45" s="207"/>
      <c r="DP45" s="207"/>
      <c r="DQ45" s="207"/>
      <c r="DR45" s="207"/>
      <c r="DS45" s="207"/>
      <c r="DT45" s="207"/>
      <c r="DU45" s="207"/>
      <c r="DV45" s="207"/>
      <c r="DW45" s="207"/>
      <c r="DX45" s="207"/>
      <c r="DY45" s="207"/>
      <c r="DZ45" s="207"/>
      <c r="EA45" s="207"/>
      <c r="EB45" s="207"/>
      <c r="EC45" s="207"/>
      <c r="ED45" s="207"/>
      <c r="EE45" s="207"/>
      <c r="EF45" s="207"/>
      <c r="EG45" s="207"/>
      <c r="EH45" s="207"/>
      <c r="EI45" s="207"/>
      <c r="EJ45" s="207"/>
      <c r="EK45" s="207"/>
      <c r="EL45" s="207"/>
      <c r="EM45" s="207"/>
      <c r="EN45" s="207"/>
      <c r="EO45" s="207"/>
      <c r="EP45" s="207"/>
      <c r="EQ45" s="207"/>
      <c r="ER45" s="207"/>
      <c r="ES45" s="207"/>
      <c r="ET45" s="207"/>
      <c r="EU45" s="207"/>
      <c r="EV45" s="207"/>
      <c r="EW45" s="207"/>
      <c r="EX45" s="207"/>
      <c r="EY45" s="207"/>
      <c r="EZ45" s="207"/>
      <c r="FA45" s="207"/>
      <c r="FB45" s="207"/>
      <c r="FC45" s="207"/>
      <c r="FD45" s="207"/>
      <c r="FE45" s="207"/>
      <c r="FF45" s="207"/>
      <c r="FG45" s="207"/>
      <c r="FH45" s="207"/>
      <c r="FI45" s="207"/>
      <c r="FJ45" s="207"/>
      <c r="FK45" s="207"/>
      <c r="FL45" s="207"/>
      <c r="FM45" s="207"/>
      <c r="FN45" s="207"/>
      <c r="FO45" s="207"/>
      <c r="FP45" s="207"/>
      <c r="FQ45" s="207"/>
      <c r="FR45" s="207"/>
      <c r="FS45" s="208"/>
      <c r="FT45" s="156"/>
    </row>
    <row r="46" spans="1:176" ht="15" outlineLevel="1">
      <c r="A46" s="206" t="s">
        <v>1282</v>
      </c>
      <c r="B46" s="200" t="s">
        <v>487</v>
      </c>
      <c r="C46" s="34"/>
      <c r="D46" s="34"/>
      <c r="E46" s="34"/>
      <c r="F46" s="34"/>
      <c r="G46" s="34"/>
      <c r="H46" s="35" t="s">
        <v>488</v>
      </c>
      <c r="I46" s="38"/>
      <c r="J46" s="38"/>
      <c r="K46" s="38"/>
      <c r="L46" s="38"/>
      <c r="M46" s="38"/>
      <c r="N46" s="38"/>
      <c r="O46" s="38"/>
      <c r="P46" s="38"/>
      <c r="Q46" s="38"/>
      <c r="R46" s="177">
        <f t="shared" si="9"/>
        <v>0</v>
      </c>
      <c r="S46" s="202">
        <f t="shared" si="7"/>
        <v>0</v>
      </c>
      <c r="T46" s="202">
        <f t="shared" si="8"/>
        <v>0</v>
      </c>
      <c r="U46" s="18"/>
      <c r="V46" s="206" t="str">
        <f t="shared" si="5"/>
        <v>1-37</v>
      </c>
      <c r="W46" s="203" t="str">
        <f t="shared" si="10"/>
        <v/>
      </c>
      <c r="X46" s="110"/>
      <c r="Y46" s="109"/>
      <c r="Z46" s="207"/>
      <c r="AA46" s="207"/>
      <c r="AB46" s="207"/>
      <c r="AC46" s="207"/>
      <c r="AD46" s="207"/>
      <c r="AE46" s="207"/>
      <c r="AF46" s="207"/>
      <c r="AG46" s="207"/>
      <c r="AH46" s="207"/>
      <c r="AI46" s="207"/>
      <c r="AJ46" s="207"/>
      <c r="AK46" s="207"/>
      <c r="AL46" s="207"/>
      <c r="AM46" s="207"/>
      <c r="AN46" s="207"/>
      <c r="AO46" s="207"/>
      <c r="AP46" s="207"/>
      <c r="AQ46" s="207"/>
      <c r="AR46" s="207"/>
      <c r="AS46" s="207"/>
      <c r="AT46" s="207"/>
      <c r="AU46" s="207"/>
      <c r="AV46" s="207"/>
      <c r="AW46" s="207"/>
      <c r="AX46" s="207"/>
      <c r="AY46" s="207"/>
      <c r="AZ46" s="207"/>
      <c r="BA46" s="207"/>
      <c r="BB46" s="207"/>
      <c r="BC46" s="207"/>
      <c r="BD46" s="207"/>
      <c r="BE46" s="207"/>
      <c r="BF46" s="207"/>
      <c r="BG46" s="207"/>
      <c r="BH46" s="207"/>
      <c r="BI46" s="207"/>
      <c r="BJ46" s="207"/>
      <c r="BK46" s="207"/>
      <c r="BL46" s="207"/>
      <c r="BM46" s="207"/>
      <c r="BN46" s="207"/>
      <c r="BO46" s="207"/>
      <c r="BP46" s="207"/>
      <c r="BQ46" s="207"/>
      <c r="BR46" s="207"/>
      <c r="BS46" s="207"/>
      <c r="BT46" s="207"/>
      <c r="BU46" s="207"/>
      <c r="BV46" s="207"/>
      <c r="BW46" s="207"/>
      <c r="BX46" s="207"/>
      <c r="BY46" s="207"/>
      <c r="BZ46" s="207"/>
      <c r="CA46" s="207"/>
      <c r="CB46" s="207"/>
      <c r="CC46" s="207"/>
      <c r="CD46" s="207"/>
      <c r="CE46" s="207"/>
      <c r="CF46" s="207"/>
      <c r="CG46" s="207"/>
      <c r="CH46" s="207"/>
      <c r="CI46" s="207"/>
      <c r="CJ46" s="207"/>
      <c r="CK46" s="207"/>
      <c r="CL46" s="207"/>
      <c r="CM46" s="207"/>
      <c r="CN46" s="207"/>
      <c r="CO46" s="207"/>
      <c r="CP46" s="207"/>
      <c r="CQ46" s="207"/>
      <c r="CR46" s="207"/>
      <c r="CS46" s="207"/>
      <c r="CT46" s="207"/>
      <c r="CU46" s="207"/>
      <c r="CV46" s="207"/>
      <c r="CW46" s="207"/>
      <c r="CX46" s="207"/>
      <c r="CY46" s="207"/>
      <c r="CZ46" s="207"/>
      <c r="DA46" s="207"/>
      <c r="DB46" s="207"/>
      <c r="DC46" s="207"/>
      <c r="DD46" s="207"/>
      <c r="DE46" s="207"/>
      <c r="DF46" s="207"/>
      <c r="DG46" s="207"/>
      <c r="DH46" s="207"/>
      <c r="DI46" s="207"/>
      <c r="DJ46" s="207"/>
      <c r="DK46" s="207"/>
      <c r="DL46" s="207"/>
      <c r="DM46" s="207"/>
      <c r="DN46" s="207"/>
      <c r="DO46" s="207"/>
      <c r="DP46" s="207"/>
      <c r="DQ46" s="207"/>
      <c r="DR46" s="207"/>
      <c r="DS46" s="207"/>
      <c r="DT46" s="207"/>
      <c r="DU46" s="207"/>
      <c r="DV46" s="207"/>
      <c r="DW46" s="207"/>
      <c r="DX46" s="207"/>
      <c r="DY46" s="207"/>
      <c r="DZ46" s="207"/>
      <c r="EA46" s="207"/>
      <c r="EB46" s="207"/>
      <c r="EC46" s="207"/>
      <c r="ED46" s="207"/>
      <c r="EE46" s="207"/>
      <c r="EF46" s="207"/>
      <c r="EG46" s="207"/>
      <c r="EH46" s="207"/>
      <c r="EI46" s="207"/>
      <c r="EJ46" s="207"/>
      <c r="EK46" s="207"/>
      <c r="EL46" s="207"/>
      <c r="EM46" s="207"/>
      <c r="EN46" s="207"/>
      <c r="EO46" s="207"/>
      <c r="EP46" s="207"/>
      <c r="EQ46" s="207"/>
      <c r="ER46" s="207"/>
      <c r="ES46" s="207"/>
      <c r="ET46" s="207"/>
      <c r="EU46" s="207"/>
      <c r="EV46" s="207"/>
      <c r="EW46" s="207"/>
      <c r="EX46" s="207"/>
      <c r="EY46" s="207"/>
      <c r="EZ46" s="207"/>
      <c r="FA46" s="207"/>
      <c r="FB46" s="207"/>
      <c r="FC46" s="207"/>
      <c r="FD46" s="207"/>
      <c r="FE46" s="207"/>
      <c r="FF46" s="207"/>
      <c r="FG46" s="207"/>
      <c r="FH46" s="207"/>
      <c r="FI46" s="207"/>
      <c r="FJ46" s="207"/>
      <c r="FK46" s="207"/>
      <c r="FL46" s="207"/>
      <c r="FM46" s="207"/>
      <c r="FN46" s="207"/>
      <c r="FO46" s="207"/>
      <c r="FP46" s="207"/>
      <c r="FQ46" s="207"/>
      <c r="FR46" s="207"/>
      <c r="FS46" s="208"/>
      <c r="FT46" s="156"/>
    </row>
    <row r="47" spans="1:176" ht="15" outlineLevel="1">
      <c r="A47" s="206" t="s">
        <v>1283</v>
      </c>
      <c r="B47" s="200" t="s">
        <v>487</v>
      </c>
      <c r="C47" s="34"/>
      <c r="D47" s="34"/>
      <c r="E47" s="34"/>
      <c r="F47" s="34"/>
      <c r="G47" s="34"/>
      <c r="H47" s="37" t="s">
        <v>488</v>
      </c>
      <c r="I47" s="38"/>
      <c r="J47" s="38"/>
      <c r="K47" s="38"/>
      <c r="L47" s="38"/>
      <c r="M47" s="38"/>
      <c r="N47" s="38"/>
      <c r="O47" s="38"/>
      <c r="P47" s="38"/>
      <c r="Q47" s="38"/>
      <c r="R47" s="177">
        <f t="shared" si="9"/>
        <v>0</v>
      </c>
      <c r="S47" s="202">
        <f t="shared" si="7"/>
        <v>0</v>
      </c>
      <c r="T47" s="202">
        <f t="shared" si="8"/>
        <v>0</v>
      </c>
      <c r="U47" s="18"/>
      <c r="V47" s="206" t="str">
        <f t="shared" si="5"/>
        <v>1-38</v>
      </c>
      <c r="W47" s="203" t="str">
        <f t="shared" si="10"/>
        <v/>
      </c>
      <c r="X47" s="110"/>
      <c r="Y47" s="109"/>
      <c r="Z47" s="207"/>
      <c r="AA47" s="207"/>
      <c r="AB47" s="207"/>
      <c r="AC47" s="207"/>
      <c r="AD47" s="207"/>
      <c r="AE47" s="207"/>
      <c r="AF47" s="207"/>
      <c r="AG47" s="207"/>
      <c r="AH47" s="207"/>
      <c r="AI47" s="207"/>
      <c r="AJ47" s="207"/>
      <c r="AK47" s="207"/>
      <c r="AL47" s="207"/>
      <c r="AM47" s="207"/>
      <c r="AN47" s="207"/>
      <c r="AO47" s="207"/>
      <c r="AP47" s="207"/>
      <c r="AQ47" s="207"/>
      <c r="AR47" s="207"/>
      <c r="AS47" s="207"/>
      <c r="AT47" s="207"/>
      <c r="AU47" s="207"/>
      <c r="AV47" s="207"/>
      <c r="AW47" s="207"/>
      <c r="AX47" s="207"/>
      <c r="AY47" s="207"/>
      <c r="AZ47" s="207"/>
      <c r="BA47" s="207"/>
      <c r="BB47" s="207"/>
      <c r="BC47" s="207"/>
      <c r="BD47" s="207"/>
      <c r="BE47" s="207"/>
      <c r="BF47" s="207"/>
      <c r="BG47" s="207"/>
      <c r="BH47" s="207"/>
      <c r="BI47" s="207"/>
      <c r="BJ47" s="207"/>
      <c r="BK47" s="207"/>
      <c r="BL47" s="207"/>
      <c r="BM47" s="207"/>
      <c r="BN47" s="207"/>
      <c r="BO47" s="207"/>
      <c r="BP47" s="207"/>
      <c r="BQ47" s="207"/>
      <c r="BR47" s="207"/>
      <c r="BS47" s="207"/>
      <c r="BT47" s="207"/>
      <c r="BU47" s="207"/>
      <c r="BV47" s="207"/>
      <c r="BW47" s="207"/>
      <c r="BX47" s="207"/>
      <c r="BY47" s="207"/>
      <c r="BZ47" s="207"/>
      <c r="CA47" s="207"/>
      <c r="CB47" s="207"/>
      <c r="CC47" s="207"/>
      <c r="CD47" s="207"/>
      <c r="CE47" s="207"/>
      <c r="CF47" s="207"/>
      <c r="CG47" s="207"/>
      <c r="CH47" s="207"/>
      <c r="CI47" s="207"/>
      <c r="CJ47" s="207"/>
      <c r="CK47" s="207"/>
      <c r="CL47" s="207"/>
      <c r="CM47" s="207"/>
      <c r="CN47" s="207"/>
      <c r="CO47" s="207"/>
      <c r="CP47" s="207"/>
      <c r="CQ47" s="207"/>
      <c r="CR47" s="207"/>
      <c r="CS47" s="207"/>
      <c r="CT47" s="207"/>
      <c r="CU47" s="207"/>
      <c r="CV47" s="207"/>
      <c r="CW47" s="207"/>
      <c r="CX47" s="207"/>
      <c r="CY47" s="207"/>
      <c r="CZ47" s="207"/>
      <c r="DA47" s="207"/>
      <c r="DB47" s="207"/>
      <c r="DC47" s="207"/>
      <c r="DD47" s="207"/>
      <c r="DE47" s="207"/>
      <c r="DF47" s="207"/>
      <c r="DG47" s="207"/>
      <c r="DH47" s="207"/>
      <c r="DI47" s="207"/>
      <c r="DJ47" s="207"/>
      <c r="DK47" s="207"/>
      <c r="DL47" s="207"/>
      <c r="DM47" s="207"/>
      <c r="DN47" s="207"/>
      <c r="DO47" s="207"/>
      <c r="DP47" s="207"/>
      <c r="DQ47" s="207"/>
      <c r="DR47" s="207"/>
      <c r="DS47" s="207"/>
      <c r="DT47" s="207"/>
      <c r="DU47" s="207"/>
      <c r="DV47" s="207"/>
      <c r="DW47" s="207"/>
      <c r="DX47" s="207"/>
      <c r="DY47" s="207"/>
      <c r="DZ47" s="207"/>
      <c r="EA47" s="207"/>
      <c r="EB47" s="207"/>
      <c r="EC47" s="207"/>
      <c r="ED47" s="207"/>
      <c r="EE47" s="207"/>
      <c r="EF47" s="207"/>
      <c r="EG47" s="207"/>
      <c r="EH47" s="207"/>
      <c r="EI47" s="207"/>
      <c r="EJ47" s="207"/>
      <c r="EK47" s="207"/>
      <c r="EL47" s="207"/>
      <c r="EM47" s="207"/>
      <c r="EN47" s="207"/>
      <c r="EO47" s="207"/>
      <c r="EP47" s="207"/>
      <c r="EQ47" s="207"/>
      <c r="ER47" s="207"/>
      <c r="ES47" s="207"/>
      <c r="ET47" s="207"/>
      <c r="EU47" s="207"/>
      <c r="EV47" s="207"/>
      <c r="EW47" s="207"/>
      <c r="EX47" s="207"/>
      <c r="EY47" s="207"/>
      <c r="EZ47" s="207"/>
      <c r="FA47" s="207"/>
      <c r="FB47" s="207"/>
      <c r="FC47" s="207"/>
      <c r="FD47" s="207"/>
      <c r="FE47" s="207"/>
      <c r="FF47" s="207"/>
      <c r="FG47" s="207"/>
      <c r="FH47" s="207"/>
      <c r="FI47" s="207"/>
      <c r="FJ47" s="207"/>
      <c r="FK47" s="207"/>
      <c r="FL47" s="207"/>
      <c r="FM47" s="207"/>
      <c r="FN47" s="207"/>
      <c r="FO47" s="207"/>
      <c r="FP47" s="207"/>
      <c r="FQ47" s="207"/>
      <c r="FR47" s="207"/>
      <c r="FS47" s="208"/>
      <c r="FT47" s="156"/>
    </row>
    <row r="48" spans="1:176" ht="15" outlineLevel="1">
      <c r="A48" s="206" t="s">
        <v>1284</v>
      </c>
      <c r="B48" s="200" t="s">
        <v>487</v>
      </c>
      <c r="C48" s="34"/>
      <c r="D48" s="34"/>
      <c r="E48" s="34"/>
      <c r="F48" s="34"/>
      <c r="G48" s="34"/>
      <c r="H48" s="35" t="s">
        <v>488</v>
      </c>
      <c r="I48" s="38"/>
      <c r="J48" s="38"/>
      <c r="K48" s="38"/>
      <c r="L48" s="38"/>
      <c r="M48" s="38"/>
      <c r="N48" s="38"/>
      <c r="O48" s="38"/>
      <c r="P48" s="38"/>
      <c r="Q48" s="38"/>
      <c r="R48" s="177">
        <f t="shared" si="9"/>
        <v>0</v>
      </c>
      <c r="S48" s="202">
        <f t="shared" si="7"/>
        <v>0</v>
      </c>
      <c r="T48" s="202">
        <f t="shared" si="8"/>
        <v>0</v>
      </c>
      <c r="U48" s="18"/>
      <c r="V48" s="206" t="str">
        <f t="shared" si="5"/>
        <v>1-39</v>
      </c>
      <c r="W48" s="203" t="str">
        <f t="shared" si="10"/>
        <v/>
      </c>
      <c r="X48" s="110"/>
      <c r="Y48" s="109"/>
      <c r="Z48" s="207"/>
      <c r="AA48" s="207"/>
      <c r="AB48" s="207"/>
      <c r="AC48" s="207"/>
      <c r="AD48" s="207"/>
      <c r="AE48" s="207"/>
      <c r="AF48" s="207"/>
      <c r="AG48" s="207"/>
      <c r="AH48" s="207"/>
      <c r="AI48" s="207"/>
      <c r="AJ48" s="207"/>
      <c r="AK48" s="207"/>
      <c r="AL48" s="207"/>
      <c r="AM48" s="207"/>
      <c r="AN48" s="207"/>
      <c r="AO48" s="207"/>
      <c r="AP48" s="207"/>
      <c r="AQ48" s="207"/>
      <c r="AR48" s="207"/>
      <c r="AS48" s="207"/>
      <c r="AT48" s="207"/>
      <c r="AU48" s="207"/>
      <c r="AV48" s="207"/>
      <c r="AW48" s="207"/>
      <c r="AX48" s="207"/>
      <c r="AY48" s="207"/>
      <c r="AZ48" s="207"/>
      <c r="BA48" s="207"/>
      <c r="BB48" s="207"/>
      <c r="BC48" s="207"/>
      <c r="BD48" s="207"/>
      <c r="BE48" s="207"/>
      <c r="BF48" s="207"/>
      <c r="BG48" s="207"/>
      <c r="BH48" s="207"/>
      <c r="BI48" s="207"/>
      <c r="BJ48" s="207"/>
      <c r="BK48" s="207"/>
      <c r="BL48" s="207"/>
      <c r="BM48" s="207"/>
      <c r="BN48" s="207"/>
      <c r="BO48" s="207"/>
      <c r="BP48" s="207"/>
      <c r="BQ48" s="207"/>
      <c r="BR48" s="207"/>
      <c r="BS48" s="207"/>
      <c r="BT48" s="207"/>
      <c r="BU48" s="207"/>
      <c r="BV48" s="207"/>
      <c r="BW48" s="207"/>
      <c r="BX48" s="207"/>
      <c r="BY48" s="207"/>
      <c r="BZ48" s="207"/>
      <c r="CA48" s="207"/>
      <c r="CB48" s="207"/>
      <c r="CC48" s="207"/>
      <c r="CD48" s="207"/>
      <c r="CE48" s="207"/>
      <c r="CF48" s="207"/>
      <c r="CG48" s="207"/>
      <c r="CH48" s="207"/>
      <c r="CI48" s="207"/>
      <c r="CJ48" s="207"/>
      <c r="CK48" s="207"/>
      <c r="CL48" s="207"/>
      <c r="CM48" s="207"/>
      <c r="CN48" s="207"/>
      <c r="CO48" s="207"/>
      <c r="CP48" s="207"/>
      <c r="CQ48" s="207"/>
      <c r="CR48" s="207"/>
      <c r="CS48" s="207"/>
      <c r="CT48" s="207"/>
      <c r="CU48" s="207"/>
      <c r="CV48" s="207"/>
      <c r="CW48" s="207"/>
      <c r="CX48" s="207"/>
      <c r="CY48" s="207"/>
      <c r="CZ48" s="207"/>
      <c r="DA48" s="207"/>
      <c r="DB48" s="207"/>
      <c r="DC48" s="207"/>
      <c r="DD48" s="207"/>
      <c r="DE48" s="207"/>
      <c r="DF48" s="207"/>
      <c r="DG48" s="207"/>
      <c r="DH48" s="207"/>
      <c r="DI48" s="207"/>
      <c r="DJ48" s="207"/>
      <c r="DK48" s="207"/>
      <c r="DL48" s="207"/>
      <c r="DM48" s="207"/>
      <c r="DN48" s="207"/>
      <c r="DO48" s="207"/>
      <c r="DP48" s="207"/>
      <c r="DQ48" s="207"/>
      <c r="DR48" s="207"/>
      <c r="DS48" s="207"/>
      <c r="DT48" s="207"/>
      <c r="DU48" s="207"/>
      <c r="DV48" s="207"/>
      <c r="DW48" s="207"/>
      <c r="DX48" s="207"/>
      <c r="DY48" s="207"/>
      <c r="DZ48" s="207"/>
      <c r="EA48" s="207"/>
      <c r="EB48" s="207"/>
      <c r="EC48" s="207"/>
      <c r="ED48" s="207"/>
      <c r="EE48" s="207"/>
      <c r="EF48" s="207"/>
      <c r="EG48" s="207"/>
      <c r="EH48" s="207"/>
      <c r="EI48" s="207"/>
      <c r="EJ48" s="207"/>
      <c r="EK48" s="207"/>
      <c r="EL48" s="207"/>
      <c r="EM48" s="207"/>
      <c r="EN48" s="207"/>
      <c r="EO48" s="207"/>
      <c r="EP48" s="207"/>
      <c r="EQ48" s="207"/>
      <c r="ER48" s="207"/>
      <c r="ES48" s="207"/>
      <c r="ET48" s="207"/>
      <c r="EU48" s="207"/>
      <c r="EV48" s="207"/>
      <c r="EW48" s="207"/>
      <c r="EX48" s="207"/>
      <c r="EY48" s="207"/>
      <c r="EZ48" s="207"/>
      <c r="FA48" s="207"/>
      <c r="FB48" s="207"/>
      <c r="FC48" s="207"/>
      <c r="FD48" s="207"/>
      <c r="FE48" s="207"/>
      <c r="FF48" s="207"/>
      <c r="FG48" s="207"/>
      <c r="FH48" s="207"/>
      <c r="FI48" s="207"/>
      <c r="FJ48" s="207"/>
      <c r="FK48" s="207"/>
      <c r="FL48" s="207"/>
      <c r="FM48" s="207"/>
      <c r="FN48" s="207"/>
      <c r="FO48" s="207"/>
      <c r="FP48" s="207"/>
      <c r="FQ48" s="207"/>
      <c r="FR48" s="207"/>
      <c r="FS48" s="208"/>
      <c r="FT48" s="156"/>
    </row>
    <row r="49" spans="1:176" ht="15" outlineLevel="1">
      <c r="A49" s="206" t="s">
        <v>1285</v>
      </c>
      <c r="B49" s="200" t="s">
        <v>487</v>
      </c>
      <c r="C49" s="34"/>
      <c r="D49" s="34"/>
      <c r="E49" s="34"/>
      <c r="F49" s="34"/>
      <c r="G49" s="34"/>
      <c r="H49" s="37" t="s">
        <v>488</v>
      </c>
      <c r="I49" s="38"/>
      <c r="J49" s="38"/>
      <c r="K49" s="38"/>
      <c r="L49" s="38"/>
      <c r="M49" s="38"/>
      <c r="N49" s="38"/>
      <c r="O49" s="38"/>
      <c r="P49" s="38"/>
      <c r="Q49" s="38"/>
      <c r="R49" s="177">
        <f t="shared" si="9"/>
        <v>0</v>
      </c>
      <c r="S49" s="202">
        <f t="shared" si="7"/>
        <v>0</v>
      </c>
      <c r="T49" s="202">
        <f t="shared" si="8"/>
        <v>0</v>
      </c>
      <c r="U49" s="18"/>
      <c r="V49" s="206" t="str">
        <f t="shared" si="5"/>
        <v>1-40</v>
      </c>
      <c r="W49" s="203" t="str">
        <f t="shared" si="10"/>
        <v/>
      </c>
      <c r="X49" s="110"/>
      <c r="Y49" s="109"/>
      <c r="Z49" s="207"/>
      <c r="AA49" s="207"/>
      <c r="AB49" s="207"/>
      <c r="AC49" s="207"/>
      <c r="AD49" s="207"/>
      <c r="AE49" s="207"/>
      <c r="AF49" s="207"/>
      <c r="AG49" s="207"/>
      <c r="AH49" s="207"/>
      <c r="AI49" s="207"/>
      <c r="AJ49" s="207"/>
      <c r="AK49" s="207"/>
      <c r="AL49" s="207"/>
      <c r="AM49" s="207"/>
      <c r="AN49" s="207"/>
      <c r="AO49" s="207"/>
      <c r="AP49" s="207"/>
      <c r="AQ49" s="207"/>
      <c r="AR49" s="207"/>
      <c r="AS49" s="207"/>
      <c r="AT49" s="207"/>
      <c r="AU49" s="207"/>
      <c r="AV49" s="207"/>
      <c r="AW49" s="207"/>
      <c r="AX49" s="207"/>
      <c r="AY49" s="207"/>
      <c r="AZ49" s="207"/>
      <c r="BA49" s="207"/>
      <c r="BB49" s="207"/>
      <c r="BC49" s="207"/>
      <c r="BD49" s="207"/>
      <c r="BE49" s="207"/>
      <c r="BF49" s="207"/>
      <c r="BG49" s="207"/>
      <c r="BH49" s="207"/>
      <c r="BI49" s="207"/>
      <c r="BJ49" s="207"/>
      <c r="BK49" s="207"/>
      <c r="BL49" s="207"/>
      <c r="BM49" s="207"/>
      <c r="BN49" s="207"/>
      <c r="BO49" s="207"/>
      <c r="BP49" s="207"/>
      <c r="BQ49" s="207"/>
      <c r="BR49" s="207"/>
      <c r="BS49" s="207"/>
      <c r="BT49" s="207"/>
      <c r="BU49" s="207"/>
      <c r="BV49" s="207"/>
      <c r="BW49" s="207"/>
      <c r="BX49" s="207"/>
      <c r="BY49" s="207"/>
      <c r="BZ49" s="207"/>
      <c r="CA49" s="207"/>
      <c r="CB49" s="207"/>
      <c r="CC49" s="207"/>
      <c r="CD49" s="207"/>
      <c r="CE49" s="207"/>
      <c r="CF49" s="207"/>
      <c r="CG49" s="207"/>
      <c r="CH49" s="207"/>
      <c r="CI49" s="207"/>
      <c r="CJ49" s="207"/>
      <c r="CK49" s="207"/>
      <c r="CL49" s="207"/>
      <c r="CM49" s="207"/>
      <c r="CN49" s="207"/>
      <c r="CO49" s="207"/>
      <c r="CP49" s="207"/>
      <c r="CQ49" s="207"/>
      <c r="CR49" s="207"/>
      <c r="CS49" s="207"/>
      <c r="CT49" s="207"/>
      <c r="CU49" s="207"/>
      <c r="CV49" s="207"/>
      <c r="CW49" s="207"/>
      <c r="CX49" s="207"/>
      <c r="CY49" s="207"/>
      <c r="CZ49" s="207"/>
      <c r="DA49" s="207"/>
      <c r="DB49" s="207"/>
      <c r="DC49" s="207"/>
      <c r="DD49" s="207"/>
      <c r="DE49" s="207"/>
      <c r="DF49" s="207"/>
      <c r="DG49" s="207"/>
      <c r="DH49" s="207"/>
      <c r="DI49" s="207"/>
      <c r="DJ49" s="207"/>
      <c r="DK49" s="207"/>
      <c r="DL49" s="207"/>
      <c r="DM49" s="207"/>
      <c r="DN49" s="207"/>
      <c r="DO49" s="207"/>
      <c r="DP49" s="207"/>
      <c r="DQ49" s="207"/>
      <c r="DR49" s="207"/>
      <c r="DS49" s="207"/>
      <c r="DT49" s="207"/>
      <c r="DU49" s="207"/>
      <c r="DV49" s="207"/>
      <c r="DW49" s="207"/>
      <c r="DX49" s="207"/>
      <c r="DY49" s="207"/>
      <c r="DZ49" s="207"/>
      <c r="EA49" s="207"/>
      <c r="EB49" s="207"/>
      <c r="EC49" s="207"/>
      <c r="ED49" s="207"/>
      <c r="EE49" s="207"/>
      <c r="EF49" s="207"/>
      <c r="EG49" s="207"/>
      <c r="EH49" s="207"/>
      <c r="EI49" s="207"/>
      <c r="EJ49" s="207"/>
      <c r="EK49" s="207"/>
      <c r="EL49" s="207"/>
      <c r="EM49" s="207"/>
      <c r="EN49" s="207"/>
      <c r="EO49" s="207"/>
      <c r="EP49" s="207"/>
      <c r="EQ49" s="207"/>
      <c r="ER49" s="207"/>
      <c r="ES49" s="207"/>
      <c r="ET49" s="207"/>
      <c r="EU49" s="207"/>
      <c r="EV49" s="207"/>
      <c r="EW49" s="207"/>
      <c r="EX49" s="207"/>
      <c r="EY49" s="207"/>
      <c r="EZ49" s="207"/>
      <c r="FA49" s="207"/>
      <c r="FB49" s="207"/>
      <c r="FC49" s="207"/>
      <c r="FD49" s="207"/>
      <c r="FE49" s="207"/>
      <c r="FF49" s="207"/>
      <c r="FG49" s="207"/>
      <c r="FH49" s="207"/>
      <c r="FI49" s="207"/>
      <c r="FJ49" s="207"/>
      <c r="FK49" s="207"/>
      <c r="FL49" s="207"/>
      <c r="FM49" s="207"/>
      <c r="FN49" s="207"/>
      <c r="FO49" s="207"/>
      <c r="FP49" s="207"/>
      <c r="FQ49" s="207"/>
      <c r="FR49" s="207"/>
      <c r="FS49" s="208"/>
      <c r="FT49" s="156"/>
    </row>
    <row r="50" spans="1:176" ht="15" outlineLevel="1">
      <c r="A50" s="206" t="s">
        <v>1286</v>
      </c>
      <c r="B50" s="200" t="s">
        <v>487</v>
      </c>
      <c r="C50" s="34"/>
      <c r="D50" s="34"/>
      <c r="E50" s="34"/>
      <c r="F50" s="34"/>
      <c r="G50" s="34"/>
      <c r="H50" s="35" t="s">
        <v>488</v>
      </c>
      <c r="I50" s="38"/>
      <c r="J50" s="38"/>
      <c r="K50" s="38"/>
      <c r="L50" s="38"/>
      <c r="M50" s="38"/>
      <c r="N50" s="38"/>
      <c r="O50" s="38"/>
      <c r="P50" s="38"/>
      <c r="Q50" s="38"/>
      <c r="R50" s="177">
        <f t="shared" si="9"/>
        <v>0</v>
      </c>
      <c r="S50" s="202">
        <f t="shared" si="7"/>
        <v>0</v>
      </c>
      <c r="T50" s="202">
        <f t="shared" si="8"/>
        <v>0</v>
      </c>
      <c r="U50" s="18"/>
      <c r="V50" s="206" t="str">
        <f t="shared" si="5"/>
        <v>1-41</v>
      </c>
      <c r="W50" s="203" t="str">
        <f t="shared" si="10"/>
        <v/>
      </c>
      <c r="X50" s="110"/>
      <c r="Y50" s="109"/>
      <c r="Z50" s="207"/>
      <c r="AA50" s="207"/>
      <c r="AB50" s="207"/>
      <c r="AC50" s="207"/>
      <c r="AD50" s="207"/>
      <c r="AE50" s="207"/>
      <c r="AF50" s="207"/>
      <c r="AG50" s="207"/>
      <c r="AH50" s="207"/>
      <c r="AI50" s="207"/>
      <c r="AJ50" s="207"/>
      <c r="AK50" s="207"/>
      <c r="AL50" s="207"/>
      <c r="AM50" s="207"/>
      <c r="AN50" s="207"/>
      <c r="AO50" s="207"/>
      <c r="AP50" s="207"/>
      <c r="AQ50" s="207"/>
      <c r="AR50" s="207"/>
      <c r="AS50" s="207"/>
      <c r="AT50" s="207"/>
      <c r="AU50" s="207"/>
      <c r="AV50" s="207"/>
      <c r="AW50" s="207"/>
      <c r="AX50" s="207"/>
      <c r="AY50" s="207"/>
      <c r="AZ50" s="207"/>
      <c r="BA50" s="207"/>
      <c r="BB50" s="207"/>
      <c r="BC50" s="207"/>
      <c r="BD50" s="207"/>
      <c r="BE50" s="207"/>
      <c r="BF50" s="207"/>
      <c r="BG50" s="207"/>
      <c r="BH50" s="207"/>
      <c r="BI50" s="207"/>
      <c r="BJ50" s="207"/>
      <c r="BK50" s="207"/>
      <c r="BL50" s="207"/>
      <c r="BM50" s="207"/>
      <c r="BN50" s="207"/>
      <c r="BO50" s="207"/>
      <c r="BP50" s="207"/>
      <c r="BQ50" s="207"/>
      <c r="BR50" s="207"/>
      <c r="BS50" s="207"/>
      <c r="BT50" s="207"/>
      <c r="BU50" s="207"/>
      <c r="BV50" s="207"/>
      <c r="BW50" s="207"/>
      <c r="BX50" s="207"/>
      <c r="BY50" s="207"/>
      <c r="BZ50" s="207"/>
      <c r="CA50" s="207"/>
      <c r="CB50" s="207"/>
      <c r="CC50" s="207"/>
      <c r="CD50" s="207"/>
      <c r="CE50" s="207"/>
      <c r="CF50" s="207"/>
      <c r="CG50" s="207"/>
      <c r="CH50" s="207"/>
      <c r="CI50" s="207"/>
      <c r="CJ50" s="207"/>
      <c r="CK50" s="207"/>
      <c r="CL50" s="207"/>
      <c r="CM50" s="207"/>
      <c r="CN50" s="207"/>
      <c r="CO50" s="207"/>
      <c r="CP50" s="207"/>
      <c r="CQ50" s="207"/>
      <c r="CR50" s="207"/>
      <c r="CS50" s="207"/>
      <c r="CT50" s="207"/>
      <c r="CU50" s="207"/>
      <c r="CV50" s="207"/>
      <c r="CW50" s="207"/>
      <c r="CX50" s="207"/>
      <c r="CY50" s="207"/>
      <c r="CZ50" s="207"/>
      <c r="DA50" s="207"/>
      <c r="DB50" s="207"/>
      <c r="DC50" s="207"/>
      <c r="DD50" s="207"/>
      <c r="DE50" s="207"/>
      <c r="DF50" s="207"/>
      <c r="DG50" s="207"/>
      <c r="DH50" s="207"/>
      <c r="DI50" s="207"/>
      <c r="DJ50" s="207"/>
      <c r="DK50" s="207"/>
      <c r="DL50" s="207"/>
      <c r="DM50" s="207"/>
      <c r="DN50" s="207"/>
      <c r="DO50" s="207"/>
      <c r="DP50" s="207"/>
      <c r="DQ50" s="207"/>
      <c r="DR50" s="207"/>
      <c r="DS50" s="207"/>
      <c r="DT50" s="207"/>
      <c r="DU50" s="207"/>
      <c r="DV50" s="207"/>
      <c r="DW50" s="207"/>
      <c r="DX50" s="207"/>
      <c r="DY50" s="207"/>
      <c r="DZ50" s="207"/>
      <c r="EA50" s="207"/>
      <c r="EB50" s="207"/>
      <c r="EC50" s="207"/>
      <c r="ED50" s="207"/>
      <c r="EE50" s="207"/>
      <c r="EF50" s="207"/>
      <c r="EG50" s="207"/>
      <c r="EH50" s="207"/>
      <c r="EI50" s="207"/>
      <c r="EJ50" s="207"/>
      <c r="EK50" s="207"/>
      <c r="EL50" s="207"/>
      <c r="EM50" s="207"/>
      <c r="EN50" s="207"/>
      <c r="EO50" s="207"/>
      <c r="EP50" s="207"/>
      <c r="EQ50" s="207"/>
      <c r="ER50" s="207"/>
      <c r="ES50" s="207"/>
      <c r="ET50" s="207"/>
      <c r="EU50" s="207"/>
      <c r="EV50" s="207"/>
      <c r="EW50" s="207"/>
      <c r="EX50" s="207"/>
      <c r="EY50" s="207"/>
      <c r="EZ50" s="207"/>
      <c r="FA50" s="207"/>
      <c r="FB50" s="207"/>
      <c r="FC50" s="207"/>
      <c r="FD50" s="207"/>
      <c r="FE50" s="207"/>
      <c r="FF50" s="207"/>
      <c r="FG50" s="207"/>
      <c r="FH50" s="207"/>
      <c r="FI50" s="207"/>
      <c r="FJ50" s="207"/>
      <c r="FK50" s="207"/>
      <c r="FL50" s="207"/>
      <c r="FM50" s="207"/>
      <c r="FN50" s="207"/>
      <c r="FO50" s="207"/>
      <c r="FP50" s="207"/>
      <c r="FQ50" s="207"/>
      <c r="FR50" s="207"/>
      <c r="FS50" s="208"/>
      <c r="FT50" s="156"/>
    </row>
    <row r="51" spans="1:176" ht="15" outlineLevel="1">
      <c r="A51" s="206" t="s">
        <v>1287</v>
      </c>
      <c r="B51" s="200" t="s">
        <v>487</v>
      </c>
      <c r="C51" s="34"/>
      <c r="D51" s="34"/>
      <c r="E51" s="34"/>
      <c r="F51" s="34"/>
      <c r="G51" s="34"/>
      <c r="H51" s="37" t="s">
        <v>488</v>
      </c>
      <c r="I51" s="38"/>
      <c r="J51" s="38"/>
      <c r="K51" s="38"/>
      <c r="L51" s="38"/>
      <c r="M51" s="38"/>
      <c r="N51" s="38"/>
      <c r="O51" s="38"/>
      <c r="P51" s="38"/>
      <c r="Q51" s="38"/>
      <c r="R51" s="177">
        <f t="shared" si="9"/>
        <v>0</v>
      </c>
      <c r="S51" s="202">
        <f t="shared" si="7"/>
        <v>0</v>
      </c>
      <c r="T51" s="202">
        <f t="shared" si="8"/>
        <v>0</v>
      </c>
      <c r="U51" s="18"/>
      <c r="V51" s="206" t="str">
        <f t="shared" si="5"/>
        <v>1-42</v>
      </c>
      <c r="W51" s="203" t="str">
        <f t="shared" si="10"/>
        <v/>
      </c>
      <c r="X51" s="110"/>
      <c r="Y51" s="109"/>
      <c r="Z51" s="207"/>
      <c r="AA51" s="207"/>
      <c r="AB51" s="207"/>
      <c r="AC51" s="207"/>
      <c r="AD51" s="207"/>
      <c r="AE51" s="207"/>
      <c r="AF51" s="207"/>
      <c r="AG51" s="207"/>
      <c r="AH51" s="207"/>
      <c r="AI51" s="207"/>
      <c r="AJ51" s="207"/>
      <c r="AK51" s="207"/>
      <c r="AL51" s="207"/>
      <c r="AM51" s="207"/>
      <c r="AN51" s="207"/>
      <c r="AO51" s="207"/>
      <c r="AP51" s="207"/>
      <c r="AQ51" s="207"/>
      <c r="AR51" s="207"/>
      <c r="AS51" s="207"/>
      <c r="AT51" s="207"/>
      <c r="AU51" s="207"/>
      <c r="AV51" s="207"/>
      <c r="AW51" s="207"/>
      <c r="AX51" s="207"/>
      <c r="AY51" s="207"/>
      <c r="AZ51" s="207"/>
      <c r="BA51" s="207"/>
      <c r="BB51" s="207"/>
      <c r="BC51" s="207"/>
      <c r="BD51" s="207"/>
      <c r="BE51" s="207"/>
      <c r="BF51" s="207"/>
      <c r="BG51" s="207"/>
      <c r="BH51" s="207"/>
      <c r="BI51" s="207"/>
      <c r="BJ51" s="207"/>
      <c r="BK51" s="207"/>
      <c r="BL51" s="207"/>
      <c r="BM51" s="207"/>
      <c r="BN51" s="207"/>
      <c r="BO51" s="207"/>
      <c r="BP51" s="207"/>
      <c r="BQ51" s="207"/>
      <c r="BR51" s="207"/>
      <c r="BS51" s="207"/>
      <c r="BT51" s="207"/>
      <c r="BU51" s="207"/>
      <c r="BV51" s="207"/>
      <c r="BW51" s="207"/>
      <c r="BX51" s="207"/>
      <c r="BY51" s="207"/>
      <c r="BZ51" s="207"/>
      <c r="CA51" s="207"/>
      <c r="CB51" s="207"/>
      <c r="CC51" s="207"/>
      <c r="CD51" s="207"/>
      <c r="CE51" s="207"/>
      <c r="CF51" s="207"/>
      <c r="CG51" s="207"/>
      <c r="CH51" s="207"/>
      <c r="CI51" s="207"/>
      <c r="CJ51" s="207"/>
      <c r="CK51" s="207"/>
      <c r="CL51" s="207"/>
      <c r="CM51" s="207"/>
      <c r="CN51" s="207"/>
      <c r="CO51" s="207"/>
      <c r="CP51" s="207"/>
      <c r="CQ51" s="207"/>
      <c r="CR51" s="207"/>
      <c r="CS51" s="207"/>
      <c r="CT51" s="207"/>
      <c r="CU51" s="207"/>
      <c r="CV51" s="207"/>
      <c r="CW51" s="207"/>
      <c r="CX51" s="207"/>
      <c r="CY51" s="207"/>
      <c r="CZ51" s="207"/>
      <c r="DA51" s="207"/>
      <c r="DB51" s="207"/>
      <c r="DC51" s="207"/>
      <c r="DD51" s="207"/>
      <c r="DE51" s="207"/>
      <c r="DF51" s="207"/>
      <c r="DG51" s="207"/>
      <c r="DH51" s="207"/>
      <c r="DI51" s="207"/>
      <c r="DJ51" s="207"/>
      <c r="DK51" s="207"/>
      <c r="DL51" s="207"/>
      <c r="DM51" s="207"/>
      <c r="DN51" s="207"/>
      <c r="DO51" s="207"/>
      <c r="DP51" s="207"/>
      <c r="DQ51" s="207"/>
      <c r="DR51" s="207"/>
      <c r="DS51" s="207"/>
      <c r="DT51" s="207"/>
      <c r="DU51" s="207"/>
      <c r="DV51" s="207"/>
      <c r="DW51" s="207"/>
      <c r="DX51" s="207"/>
      <c r="DY51" s="207"/>
      <c r="DZ51" s="207"/>
      <c r="EA51" s="207"/>
      <c r="EB51" s="207"/>
      <c r="EC51" s="207"/>
      <c r="ED51" s="207"/>
      <c r="EE51" s="207"/>
      <c r="EF51" s="207"/>
      <c r="EG51" s="207"/>
      <c r="EH51" s="207"/>
      <c r="EI51" s="207"/>
      <c r="EJ51" s="207"/>
      <c r="EK51" s="207"/>
      <c r="EL51" s="207"/>
      <c r="EM51" s="207"/>
      <c r="EN51" s="207"/>
      <c r="EO51" s="207"/>
      <c r="EP51" s="207"/>
      <c r="EQ51" s="207"/>
      <c r="ER51" s="207"/>
      <c r="ES51" s="207"/>
      <c r="ET51" s="207"/>
      <c r="EU51" s="207"/>
      <c r="EV51" s="207"/>
      <c r="EW51" s="207"/>
      <c r="EX51" s="207"/>
      <c r="EY51" s="207"/>
      <c r="EZ51" s="207"/>
      <c r="FA51" s="207"/>
      <c r="FB51" s="207"/>
      <c r="FC51" s="207"/>
      <c r="FD51" s="207"/>
      <c r="FE51" s="207"/>
      <c r="FF51" s="207"/>
      <c r="FG51" s="207"/>
      <c r="FH51" s="207"/>
      <c r="FI51" s="207"/>
      <c r="FJ51" s="207"/>
      <c r="FK51" s="207"/>
      <c r="FL51" s="207"/>
      <c r="FM51" s="207"/>
      <c r="FN51" s="207"/>
      <c r="FO51" s="207"/>
      <c r="FP51" s="207"/>
      <c r="FQ51" s="207"/>
      <c r="FR51" s="207"/>
      <c r="FS51" s="208"/>
      <c r="FT51" s="156"/>
    </row>
    <row r="52" spans="1:176" ht="15" outlineLevel="1">
      <c r="A52" s="206" t="s">
        <v>1288</v>
      </c>
      <c r="B52" s="200" t="s">
        <v>487</v>
      </c>
      <c r="C52" s="34"/>
      <c r="D52" s="34"/>
      <c r="E52" s="34"/>
      <c r="F52" s="34"/>
      <c r="G52" s="34"/>
      <c r="H52" s="35" t="s">
        <v>488</v>
      </c>
      <c r="I52" s="38"/>
      <c r="J52" s="38"/>
      <c r="K52" s="38"/>
      <c r="L52" s="38"/>
      <c r="M52" s="38"/>
      <c r="N52" s="38"/>
      <c r="O52" s="38"/>
      <c r="P52" s="38"/>
      <c r="Q52" s="38"/>
      <c r="R52" s="177">
        <f t="shared" si="9"/>
        <v>0</v>
      </c>
      <c r="S52" s="202">
        <f t="shared" si="7"/>
        <v>0</v>
      </c>
      <c r="T52" s="202">
        <f t="shared" si="8"/>
        <v>0</v>
      </c>
      <c r="U52" s="18"/>
      <c r="V52" s="206" t="str">
        <f t="shared" si="5"/>
        <v>1-43</v>
      </c>
      <c r="W52" s="203" t="str">
        <f t="shared" si="10"/>
        <v/>
      </c>
      <c r="X52" s="110"/>
      <c r="Y52" s="109"/>
      <c r="Z52" s="207"/>
      <c r="AA52" s="207"/>
      <c r="AB52" s="207"/>
      <c r="AC52" s="207"/>
      <c r="AD52" s="207"/>
      <c r="AE52" s="207"/>
      <c r="AF52" s="207"/>
      <c r="AG52" s="207"/>
      <c r="AH52" s="207"/>
      <c r="AI52" s="207"/>
      <c r="AJ52" s="207"/>
      <c r="AK52" s="207"/>
      <c r="AL52" s="207"/>
      <c r="AM52" s="207"/>
      <c r="AN52" s="207"/>
      <c r="AO52" s="207"/>
      <c r="AP52" s="207"/>
      <c r="AQ52" s="207"/>
      <c r="AR52" s="207"/>
      <c r="AS52" s="207"/>
      <c r="AT52" s="207"/>
      <c r="AU52" s="207"/>
      <c r="AV52" s="207"/>
      <c r="AW52" s="207"/>
      <c r="AX52" s="207"/>
      <c r="AY52" s="207"/>
      <c r="AZ52" s="207"/>
      <c r="BA52" s="207"/>
      <c r="BB52" s="207"/>
      <c r="BC52" s="207"/>
      <c r="BD52" s="207"/>
      <c r="BE52" s="207"/>
      <c r="BF52" s="207"/>
      <c r="BG52" s="207"/>
      <c r="BH52" s="207"/>
      <c r="BI52" s="207"/>
      <c r="BJ52" s="207"/>
      <c r="BK52" s="207"/>
      <c r="BL52" s="207"/>
      <c r="BM52" s="207"/>
      <c r="BN52" s="207"/>
      <c r="BO52" s="207"/>
      <c r="BP52" s="207"/>
      <c r="BQ52" s="207"/>
      <c r="BR52" s="207"/>
      <c r="BS52" s="207"/>
      <c r="BT52" s="207"/>
      <c r="BU52" s="207"/>
      <c r="BV52" s="207"/>
      <c r="BW52" s="207"/>
      <c r="BX52" s="207"/>
      <c r="BY52" s="207"/>
      <c r="BZ52" s="207"/>
      <c r="CA52" s="207"/>
      <c r="CB52" s="207"/>
      <c r="CC52" s="207"/>
      <c r="CD52" s="207"/>
      <c r="CE52" s="207"/>
      <c r="CF52" s="207"/>
      <c r="CG52" s="207"/>
      <c r="CH52" s="207"/>
      <c r="CI52" s="207"/>
      <c r="CJ52" s="207"/>
      <c r="CK52" s="207"/>
      <c r="CL52" s="207"/>
      <c r="CM52" s="207"/>
      <c r="CN52" s="207"/>
      <c r="CO52" s="207"/>
      <c r="CP52" s="207"/>
      <c r="CQ52" s="207"/>
      <c r="CR52" s="207"/>
      <c r="CS52" s="207"/>
      <c r="CT52" s="207"/>
      <c r="CU52" s="207"/>
      <c r="CV52" s="207"/>
      <c r="CW52" s="207"/>
      <c r="CX52" s="207"/>
      <c r="CY52" s="207"/>
      <c r="CZ52" s="207"/>
      <c r="DA52" s="207"/>
      <c r="DB52" s="207"/>
      <c r="DC52" s="207"/>
      <c r="DD52" s="207"/>
      <c r="DE52" s="207"/>
      <c r="DF52" s="207"/>
      <c r="DG52" s="207"/>
      <c r="DH52" s="207"/>
      <c r="DI52" s="207"/>
      <c r="DJ52" s="207"/>
      <c r="DK52" s="207"/>
      <c r="DL52" s="207"/>
      <c r="DM52" s="207"/>
      <c r="DN52" s="207"/>
      <c r="DO52" s="207"/>
      <c r="DP52" s="207"/>
      <c r="DQ52" s="207"/>
      <c r="DR52" s="207"/>
      <c r="DS52" s="207"/>
      <c r="DT52" s="207"/>
      <c r="DU52" s="207"/>
      <c r="DV52" s="207"/>
      <c r="DW52" s="207"/>
      <c r="DX52" s="207"/>
      <c r="DY52" s="207"/>
      <c r="DZ52" s="207"/>
      <c r="EA52" s="207"/>
      <c r="EB52" s="207"/>
      <c r="EC52" s="207"/>
      <c r="ED52" s="207"/>
      <c r="EE52" s="207"/>
      <c r="EF52" s="207"/>
      <c r="EG52" s="207"/>
      <c r="EH52" s="207"/>
      <c r="EI52" s="207"/>
      <c r="EJ52" s="207"/>
      <c r="EK52" s="207"/>
      <c r="EL52" s="207"/>
      <c r="EM52" s="207"/>
      <c r="EN52" s="207"/>
      <c r="EO52" s="207"/>
      <c r="EP52" s="207"/>
      <c r="EQ52" s="207"/>
      <c r="ER52" s="207"/>
      <c r="ES52" s="207"/>
      <c r="ET52" s="207"/>
      <c r="EU52" s="207"/>
      <c r="EV52" s="207"/>
      <c r="EW52" s="207"/>
      <c r="EX52" s="207"/>
      <c r="EY52" s="207"/>
      <c r="EZ52" s="207"/>
      <c r="FA52" s="207"/>
      <c r="FB52" s="207"/>
      <c r="FC52" s="207"/>
      <c r="FD52" s="207"/>
      <c r="FE52" s="207"/>
      <c r="FF52" s="207"/>
      <c r="FG52" s="207"/>
      <c r="FH52" s="207"/>
      <c r="FI52" s="207"/>
      <c r="FJ52" s="207"/>
      <c r="FK52" s="207"/>
      <c r="FL52" s="207"/>
      <c r="FM52" s="207"/>
      <c r="FN52" s="207"/>
      <c r="FO52" s="207"/>
      <c r="FP52" s="207"/>
      <c r="FQ52" s="207"/>
      <c r="FR52" s="207"/>
      <c r="FS52" s="208"/>
      <c r="FT52" s="156"/>
    </row>
    <row r="53" spans="1:176" ht="15" outlineLevel="1">
      <c r="A53" s="206" t="s">
        <v>1289</v>
      </c>
      <c r="B53" s="200" t="s">
        <v>487</v>
      </c>
      <c r="C53" s="34"/>
      <c r="D53" s="34"/>
      <c r="E53" s="34"/>
      <c r="F53" s="34"/>
      <c r="G53" s="34"/>
      <c r="H53" s="37" t="s">
        <v>488</v>
      </c>
      <c r="I53" s="38"/>
      <c r="J53" s="38"/>
      <c r="K53" s="38"/>
      <c r="L53" s="38"/>
      <c r="M53" s="38"/>
      <c r="N53" s="38"/>
      <c r="O53" s="38"/>
      <c r="P53" s="38"/>
      <c r="Q53" s="38"/>
      <c r="R53" s="177">
        <f t="shared" si="9"/>
        <v>0</v>
      </c>
      <c r="S53" s="202">
        <f t="shared" si="7"/>
        <v>0</v>
      </c>
      <c r="T53" s="202">
        <f t="shared" si="8"/>
        <v>0</v>
      </c>
      <c r="U53" s="18"/>
      <c r="V53" s="206" t="str">
        <f t="shared" si="5"/>
        <v>1-44</v>
      </c>
      <c r="W53" s="203" t="str">
        <f t="shared" si="10"/>
        <v/>
      </c>
      <c r="X53" s="110"/>
      <c r="Y53" s="109"/>
      <c r="Z53" s="207"/>
      <c r="AA53" s="207"/>
      <c r="AB53" s="207"/>
      <c r="AC53" s="207"/>
      <c r="AD53" s="207"/>
      <c r="AE53" s="207"/>
      <c r="AF53" s="207"/>
      <c r="AG53" s="207"/>
      <c r="AH53" s="207"/>
      <c r="AI53" s="207"/>
      <c r="AJ53" s="207"/>
      <c r="AK53" s="207"/>
      <c r="AL53" s="207"/>
      <c r="AM53" s="207"/>
      <c r="AN53" s="207"/>
      <c r="AO53" s="207"/>
      <c r="AP53" s="207"/>
      <c r="AQ53" s="207"/>
      <c r="AR53" s="207"/>
      <c r="AS53" s="207"/>
      <c r="AT53" s="207"/>
      <c r="AU53" s="207"/>
      <c r="AV53" s="207"/>
      <c r="AW53" s="207"/>
      <c r="AX53" s="207"/>
      <c r="AY53" s="207"/>
      <c r="AZ53" s="207"/>
      <c r="BA53" s="207"/>
      <c r="BB53" s="207"/>
      <c r="BC53" s="207"/>
      <c r="BD53" s="207"/>
      <c r="BE53" s="207"/>
      <c r="BF53" s="207"/>
      <c r="BG53" s="207"/>
      <c r="BH53" s="207"/>
      <c r="BI53" s="207"/>
      <c r="BJ53" s="207"/>
      <c r="BK53" s="207"/>
      <c r="BL53" s="207"/>
      <c r="BM53" s="207"/>
      <c r="BN53" s="207"/>
      <c r="BO53" s="207"/>
      <c r="BP53" s="207"/>
      <c r="BQ53" s="207"/>
      <c r="BR53" s="207"/>
      <c r="BS53" s="207"/>
      <c r="BT53" s="207"/>
      <c r="BU53" s="207"/>
      <c r="BV53" s="207"/>
      <c r="BW53" s="207"/>
      <c r="BX53" s="207"/>
      <c r="BY53" s="207"/>
      <c r="BZ53" s="207"/>
      <c r="CA53" s="207"/>
      <c r="CB53" s="207"/>
      <c r="CC53" s="207"/>
      <c r="CD53" s="207"/>
      <c r="CE53" s="207"/>
      <c r="CF53" s="207"/>
      <c r="CG53" s="207"/>
      <c r="CH53" s="207"/>
      <c r="CI53" s="207"/>
      <c r="CJ53" s="207"/>
      <c r="CK53" s="207"/>
      <c r="CL53" s="207"/>
      <c r="CM53" s="207"/>
      <c r="CN53" s="207"/>
      <c r="CO53" s="207"/>
      <c r="CP53" s="207"/>
      <c r="CQ53" s="207"/>
      <c r="CR53" s="207"/>
      <c r="CS53" s="207"/>
      <c r="CT53" s="207"/>
      <c r="CU53" s="207"/>
      <c r="CV53" s="207"/>
      <c r="CW53" s="207"/>
      <c r="CX53" s="207"/>
      <c r="CY53" s="207"/>
      <c r="CZ53" s="207"/>
      <c r="DA53" s="207"/>
      <c r="DB53" s="207"/>
      <c r="DC53" s="207"/>
      <c r="DD53" s="207"/>
      <c r="DE53" s="207"/>
      <c r="DF53" s="207"/>
      <c r="DG53" s="207"/>
      <c r="DH53" s="207"/>
      <c r="DI53" s="207"/>
      <c r="DJ53" s="207"/>
      <c r="DK53" s="207"/>
      <c r="DL53" s="207"/>
      <c r="DM53" s="207"/>
      <c r="DN53" s="207"/>
      <c r="DO53" s="207"/>
      <c r="DP53" s="207"/>
      <c r="DQ53" s="207"/>
      <c r="DR53" s="207"/>
      <c r="DS53" s="207"/>
      <c r="DT53" s="207"/>
      <c r="DU53" s="207"/>
      <c r="DV53" s="207"/>
      <c r="DW53" s="207"/>
      <c r="DX53" s="207"/>
      <c r="DY53" s="207"/>
      <c r="DZ53" s="207"/>
      <c r="EA53" s="207"/>
      <c r="EB53" s="207"/>
      <c r="EC53" s="207"/>
      <c r="ED53" s="207"/>
      <c r="EE53" s="207"/>
      <c r="EF53" s="207"/>
      <c r="EG53" s="207"/>
      <c r="EH53" s="207"/>
      <c r="EI53" s="207"/>
      <c r="EJ53" s="207"/>
      <c r="EK53" s="207"/>
      <c r="EL53" s="207"/>
      <c r="EM53" s="207"/>
      <c r="EN53" s="207"/>
      <c r="EO53" s="207"/>
      <c r="EP53" s="207"/>
      <c r="EQ53" s="207"/>
      <c r="ER53" s="207"/>
      <c r="ES53" s="207"/>
      <c r="ET53" s="207"/>
      <c r="EU53" s="207"/>
      <c r="EV53" s="207"/>
      <c r="EW53" s="207"/>
      <c r="EX53" s="207"/>
      <c r="EY53" s="207"/>
      <c r="EZ53" s="207"/>
      <c r="FA53" s="207"/>
      <c r="FB53" s="207"/>
      <c r="FC53" s="207"/>
      <c r="FD53" s="207"/>
      <c r="FE53" s="207"/>
      <c r="FF53" s="207"/>
      <c r="FG53" s="207"/>
      <c r="FH53" s="207"/>
      <c r="FI53" s="207"/>
      <c r="FJ53" s="207"/>
      <c r="FK53" s="207"/>
      <c r="FL53" s="207"/>
      <c r="FM53" s="207"/>
      <c r="FN53" s="207"/>
      <c r="FO53" s="207"/>
      <c r="FP53" s="207"/>
      <c r="FQ53" s="207"/>
      <c r="FR53" s="207"/>
      <c r="FS53" s="208"/>
      <c r="FT53" s="156"/>
    </row>
    <row r="54" spans="1:176" ht="15" outlineLevel="1">
      <c r="A54" s="206" t="s">
        <v>1290</v>
      </c>
      <c r="B54" s="200" t="s">
        <v>487</v>
      </c>
      <c r="C54" s="34"/>
      <c r="D54" s="34"/>
      <c r="E54" s="34"/>
      <c r="F54" s="34"/>
      <c r="G54" s="34"/>
      <c r="H54" s="35" t="s">
        <v>488</v>
      </c>
      <c r="I54" s="38"/>
      <c r="J54" s="38"/>
      <c r="K54" s="38"/>
      <c r="L54" s="38"/>
      <c r="M54" s="38"/>
      <c r="N54" s="38"/>
      <c r="O54" s="38"/>
      <c r="P54" s="38"/>
      <c r="Q54" s="38"/>
      <c r="R54" s="177">
        <f t="shared" si="9"/>
        <v>0</v>
      </c>
      <c r="S54" s="202">
        <f t="shared" si="7"/>
        <v>0</v>
      </c>
      <c r="T54" s="202">
        <f t="shared" si="8"/>
        <v>0</v>
      </c>
      <c r="U54" s="18"/>
      <c r="V54" s="206" t="str">
        <f t="shared" si="5"/>
        <v>1-45</v>
      </c>
      <c r="W54" s="203" t="str">
        <f t="shared" si="10"/>
        <v/>
      </c>
      <c r="X54" s="110"/>
      <c r="Y54" s="109"/>
      <c r="Z54" s="207"/>
      <c r="AA54" s="207"/>
      <c r="AB54" s="207"/>
      <c r="AC54" s="207"/>
      <c r="AD54" s="207"/>
      <c r="AE54" s="207"/>
      <c r="AF54" s="207"/>
      <c r="AG54" s="207"/>
      <c r="AH54" s="207"/>
      <c r="AI54" s="207"/>
      <c r="AJ54" s="207"/>
      <c r="AK54" s="207"/>
      <c r="AL54" s="207"/>
      <c r="AM54" s="207"/>
      <c r="AN54" s="207"/>
      <c r="AO54" s="207"/>
      <c r="AP54" s="207"/>
      <c r="AQ54" s="207"/>
      <c r="AR54" s="207"/>
      <c r="AS54" s="207"/>
      <c r="AT54" s="207"/>
      <c r="AU54" s="207"/>
      <c r="AV54" s="207"/>
      <c r="AW54" s="207"/>
      <c r="AX54" s="207"/>
      <c r="AY54" s="207"/>
      <c r="AZ54" s="207"/>
      <c r="BA54" s="207"/>
      <c r="BB54" s="207"/>
      <c r="BC54" s="207"/>
      <c r="BD54" s="207"/>
      <c r="BE54" s="207"/>
      <c r="BF54" s="207"/>
      <c r="BG54" s="207"/>
      <c r="BH54" s="207"/>
      <c r="BI54" s="207"/>
      <c r="BJ54" s="207"/>
      <c r="BK54" s="207"/>
      <c r="BL54" s="207"/>
      <c r="BM54" s="207"/>
      <c r="BN54" s="207"/>
      <c r="BO54" s="207"/>
      <c r="BP54" s="207"/>
      <c r="BQ54" s="207"/>
      <c r="BR54" s="207"/>
      <c r="BS54" s="207"/>
      <c r="BT54" s="207"/>
      <c r="BU54" s="207"/>
      <c r="BV54" s="207"/>
      <c r="BW54" s="207"/>
      <c r="BX54" s="207"/>
      <c r="BY54" s="207"/>
      <c r="BZ54" s="207"/>
      <c r="CA54" s="207"/>
      <c r="CB54" s="207"/>
      <c r="CC54" s="207"/>
      <c r="CD54" s="207"/>
      <c r="CE54" s="207"/>
      <c r="CF54" s="207"/>
      <c r="CG54" s="207"/>
      <c r="CH54" s="207"/>
      <c r="CI54" s="207"/>
      <c r="CJ54" s="207"/>
      <c r="CK54" s="207"/>
      <c r="CL54" s="207"/>
      <c r="CM54" s="207"/>
      <c r="CN54" s="207"/>
      <c r="CO54" s="207"/>
      <c r="CP54" s="207"/>
      <c r="CQ54" s="207"/>
      <c r="CR54" s="207"/>
      <c r="CS54" s="207"/>
      <c r="CT54" s="207"/>
      <c r="CU54" s="207"/>
      <c r="CV54" s="207"/>
      <c r="CW54" s="207"/>
      <c r="CX54" s="207"/>
      <c r="CY54" s="207"/>
      <c r="CZ54" s="207"/>
      <c r="DA54" s="207"/>
      <c r="DB54" s="207"/>
      <c r="DC54" s="207"/>
      <c r="DD54" s="207"/>
      <c r="DE54" s="207"/>
      <c r="DF54" s="207"/>
      <c r="DG54" s="207"/>
      <c r="DH54" s="207"/>
      <c r="DI54" s="207"/>
      <c r="DJ54" s="207"/>
      <c r="DK54" s="207"/>
      <c r="DL54" s="207"/>
      <c r="DM54" s="207"/>
      <c r="DN54" s="207"/>
      <c r="DO54" s="207"/>
      <c r="DP54" s="207"/>
      <c r="DQ54" s="207"/>
      <c r="DR54" s="207"/>
      <c r="DS54" s="207"/>
      <c r="DT54" s="207"/>
      <c r="DU54" s="207"/>
      <c r="DV54" s="207"/>
      <c r="DW54" s="207"/>
      <c r="DX54" s="207"/>
      <c r="DY54" s="207"/>
      <c r="DZ54" s="207"/>
      <c r="EA54" s="207"/>
      <c r="EB54" s="207"/>
      <c r="EC54" s="207"/>
      <c r="ED54" s="207"/>
      <c r="EE54" s="207"/>
      <c r="EF54" s="207"/>
      <c r="EG54" s="207"/>
      <c r="EH54" s="207"/>
      <c r="EI54" s="207"/>
      <c r="EJ54" s="207"/>
      <c r="EK54" s="207"/>
      <c r="EL54" s="207"/>
      <c r="EM54" s="207"/>
      <c r="EN54" s="207"/>
      <c r="EO54" s="207"/>
      <c r="EP54" s="207"/>
      <c r="EQ54" s="207"/>
      <c r="ER54" s="207"/>
      <c r="ES54" s="207"/>
      <c r="ET54" s="207"/>
      <c r="EU54" s="207"/>
      <c r="EV54" s="207"/>
      <c r="EW54" s="207"/>
      <c r="EX54" s="207"/>
      <c r="EY54" s="207"/>
      <c r="EZ54" s="207"/>
      <c r="FA54" s="207"/>
      <c r="FB54" s="207"/>
      <c r="FC54" s="207"/>
      <c r="FD54" s="207"/>
      <c r="FE54" s="207"/>
      <c r="FF54" s="207"/>
      <c r="FG54" s="207"/>
      <c r="FH54" s="207"/>
      <c r="FI54" s="207"/>
      <c r="FJ54" s="207"/>
      <c r="FK54" s="207"/>
      <c r="FL54" s="207"/>
      <c r="FM54" s="207"/>
      <c r="FN54" s="207"/>
      <c r="FO54" s="207"/>
      <c r="FP54" s="207"/>
      <c r="FQ54" s="207"/>
      <c r="FR54" s="207"/>
      <c r="FS54" s="208"/>
      <c r="FT54" s="156"/>
    </row>
    <row r="55" spans="1:176" ht="15" outlineLevel="1">
      <c r="A55" s="206" t="s">
        <v>1291</v>
      </c>
      <c r="B55" s="200" t="s">
        <v>487</v>
      </c>
      <c r="C55" s="34"/>
      <c r="D55" s="34"/>
      <c r="E55" s="34"/>
      <c r="F55" s="34"/>
      <c r="G55" s="34"/>
      <c r="H55" s="37" t="s">
        <v>488</v>
      </c>
      <c r="I55" s="38"/>
      <c r="J55" s="38"/>
      <c r="K55" s="38"/>
      <c r="L55" s="38"/>
      <c r="M55" s="38"/>
      <c r="N55" s="38"/>
      <c r="O55" s="38"/>
      <c r="P55" s="38"/>
      <c r="Q55" s="38"/>
      <c r="R55" s="177">
        <f t="shared" si="9"/>
        <v>0</v>
      </c>
      <c r="S55" s="202">
        <f t="shared" si="7"/>
        <v>0</v>
      </c>
      <c r="T55" s="202">
        <f t="shared" si="8"/>
        <v>0</v>
      </c>
      <c r="U55" s="18"/>
      <c r="V55" s="206" t="str">
        <f t="shared" si="5"/>
        <v>1-46</v>
      </c>
      <c r="W55" s="203" t="str">
        <f t="shared" si="10"/>
        <v/>
      </c>
      <c r="X55" s="110"/>
      <c r="Y55" s="109"/>
      <c r="Z55" s="207"/>
      <c r="AA55" s="207"/>
      <c r="AB55" s="207"/>
      <c r="AC55" s="207"/>
      <c r="AD55" s="207"/>
      <c r="AE55" s="207"/>
      <c r="AF55" s="207"/>
      <c r="AG55" s="207"/>
      <c r="AH55" s="207"/>
      <c r="AI55" s="207"/>
      <c r="AJ55" s="207"/>
      <c r="AK55" s="207"/>
      <c r="AL55" s="207"/>
      <c r="AM55" s="207"/>
      <c r="AN55" s="207"/>
      <c r="AO55" s="207"/>
      <c r="AP55" s="207"/>
      <c r="AQ55" s="207"/>
      <c r="AR55" s="207"/>
      <c r="AS55" s="207"/>
      <c r="AT55" s="207"/>
      <c r="AU55" s="207"/>
      <c r="AV55" s="207"/>
      <c r="AW55" s="207"/>
      <c r="AX55" s="207"/>
      <c r="AY55" s="207"/>
      <c r="AZ55" s="207"/>
      <c r="BA55" s="207"/>
      <c r="BB55" s="207"/>
      <c r="BC55" s="207"/>
      <c r="BD55" s="207"/>
      <c r="BE55" s="207"/>
      <c r="BF55" s="207"/>
      <c r="BG55" s="207"/>
      <c r="BH55" s="207"/>
      <c r="BI55" s="207"/>
      <c r="BJ55" s="207"/>
      <c r="BK55" s="207"/>
      <c r="BL55" s="207"/>
      <c r="BM55" s="207"/>
      <c r="BN55" s="207"/>
      <c r="BO55" s="207"/>
      <c r="BP55" s="207"/>
      <c r="BQ55" s="207"/>
      <c r="BR55" s="207"/>
      <c r="BS55" s="207"/>
      <c r="BT55" s="207"/>
      <c r="BU55" s="207"/>
      <c r="BV55" s="207"/>
      <c r="BW55" s="207"/>
      <c r="BX55" s="207"/>
      <c r="BY55" s="207"/>
      <c r="BZ55" s="207"/>
      <c r="CA55" s="207"/>
      <c r="CB55" s="207"/>
      <c r="CC55" s="207"/>
      <c r="CD55" s="207"/>
      <c r="CE55" s="207"/>
      <c r="CF55" s="207"/>
      <c r="CG55" s="207"/>
      <c r="CH55" s="207"/>
      <c r="CI55" s="207"/>
      <c r="CJ55" s="207"/>
      <c r="CK55" s="207"/>
      <c r="CL55" s="207"/>
      <c r="CM55" s="207"/>
      <c r="CN55" s="207"/>
      <c r="CO55" s="207"/>
      <c r="CP55" s="207"/>
      <c r="CQ55" s="207"/>
      <c r="CR55" s="207"/>
      <c r="CS55" s="207"/>
      <c r="CT55" s="207"/>
      <c r="CU55" s="207"/>
      <c r="CV55" s="207"/>
      <c r="CW55" s="207"/>
      <c r="CX55" s="207"/>
      <c r="CY55" s="207"/>
      <c r="CZ55" s="207"/>
      <c r="DA55" s="207"/>
      <c r="DB55" s="207"/>
      <c r="DC55" s="207"/>
      <c r="DD55" s="207"/>
      <c r="DE55" s="207"/>
      <c r="DF55" s="207"/>
      <c r="DG55" s="207"/>
      <c r="DH55" s="207"/>
      <c r="DI55" s="207"/>
      <c r="DJ55" s="207"/>
      <c r="DK55" s="207"/>
      <c r="DL55" s="207"/>
      <c r="DM55" s="207"/>
      <c r="DN55" s="207"/>
      <c r="DO55" s="207"/>
      <c r="DP55" s="207"/>
      <c r="DQ55" s="207"/>
      <c r="DR55" s="207"/>
      <c r="DS55" s="207"/>
      <c r="DT55" s="207"/>
      <c r="DU55" s="207"/>
      <c r="DV55" s="207"/>
      <c r="DW55" s="207"/>
      <c r="DX55" s="207"/>
      <c r="DY55" s="207"/>
      <c r="DZ55" s="207"/>
      <c r="EA55" s="207"/>
      <c r="EB55" s="207"/>
      <c r="EC55" s="207"/>
      <c r="ED55" s="207"/>
      <c r="EE55" s="207"/>
      <c r="EF55" s="207"/>
      <c r="EG55" s="207"/>
      <c r="EH55" s="207"/>
      <c r="EI55" s="207"/>
      <c r="EJ55" s="207"/>
      <c r="EK55" s="207"/>
      <c r="EL55" s="207"/>
      <c r="EM55" s="207"/>
      <c r="EN55" s="207"/>
      <c r="EO55" s="207"/>
      <c r="EP55" s="207"/>
      <c r="EQ55" s="207"/>
      <c r="ER55" s="207"/>
      <c r="ES55" s="207"/>
      <c r="ET55" s="207"/>
      <c r="EU55" s="207"/>
      <c r="EV55" s="207"/>
      <c r="EW55" s="207"/>
      <c r="EX55" s="207"/>
      <c r="EY55" s="207"/>
      <c r="EZ55" s="207"/>
      <c r="FA55" s="207"/>
      <c r="FB55" s="207"/>
      <c r="FC55" s="207"/>
      <c r="FD55" s="207"/>
      <c r="FE55" s="207"/>
      <c r="FF55" s="207"/>
      <c r="FG55" s="207"/>
      <c r="FH55" s="207"/>
      <c r="FI55" s="207"/>
      <c r="FJ55" s="207"/>
      <c r="FK55" s="207"/>
      <c r="FL55" s="207"/>
      <c r="FM55" s="207"/>
      <c r="FN55" s="207"/>
      <c r="FO55" s="207"/>
      <c r="FP55" s="207"/>
      <c r="FQ55" s="207"/>
      <c r="FR55" s="207"/>
      <c r="FS55" s="208"/>
      <c r="FT55" s="156"/>
    </row>
    <row r="56" spans="1:176" ht="15" outlineLevel="1">
      <c r="A56" s="206" t="s">
        <v>1292</v>
      </c>
      <c r="B56" s="200" t="s">
        <v>487</v>
      </c>
      <c r="C56" s="34"/>
      <c r="D56" s="34"/>
      <c r="E56" s="34"/>
      <c r="F56" s="34"/>
      <c r="G56" s="34"/>
      <c r="H56" s="35" t="s">
        <v>488</v>
      </c>
      <c r="I56" s="38"/>
      <c r="J56" s="38"/>
      <c r="K56" s="38"/>
      <c r="L56" s="38"/>
      <c r="M56" s="38"/>
      <c r="N56" s="38"/>
      <c r="O56" s="38"/>
      <c r="P56" s="38"/>
      <c r="Q56" s="38"/>
      <c r="R56" s="177">
        <f t="shared" si="9"/>
        <v>0</v>
      </c>
      <c r="S56" s="202">
        <f t="shared" si="7"/>
        <v>0</v>
      </c>
      <c r="T56" s="202">
        <f t="shared" si="8"/>
        <v>0</v>
      </c>
      <c r="U56" s="18"/>
      <c r="V56" s="206" t="str">
        <f t="shared" si="5"/>
        <v>1-47</v>
      </c>
      <c r="W56" s="203" t="str">
        <f t="shared" si="10"/>
        <v/>
      </c>
      <c r="X56" s="110"/>
      <c r="Y56" s="109"/>
      <c r="Z56" s="207"/>
      <c r="AA56" s="207"/>
      <c r="AB56" s="207"/>
      <c r="AC56" s="207"/>
      <c r="AD56" s="207"/>
      <c r="AE56" s="207"/>
      <c r="AF56" s="207"/>
      <c r="AG56" s="207"/>
      <c r="AH56" s="207"/>
      <c r="AI56" s="207"/>
      <c r="AJ56" s="207"/>
      <c r="AK56" s="207"/>
      <c r="AL56" s="207"/>
      <c r="AM56" s="207"/>
      <c r="AN56" s="207"/>
      <c r="AO56" s="207"/>
      <c r="AP56" s="207"/>
      <c r="AQ56" s="207"/>
      <c r="AR56" s="207"/>
      <c r="AS56" s="207"/>
      <c r="AT56" s="207"/>
      <c r="AU56" s="207"/>
      <c r="AV56" s="207"/>
      <c r="AW56" s="207"/>
      <c r="AX56" s="207"/>
      <c r="AY56" s="207"/>
      <c r="AZ56" s="207"/>
      <c r="BA56" s="207"/>
      <c r="BB56" s="207"/>
      <c r="BC56" s="207"/>
      <c r="BD56" s="207"/>
      <c r="BE56" s="207"/>
      <c r="BF56" s="207"/>
      <c r="BG56" s="207"/>
      <c r="BH56" s="207"/>
      <c r="BI56" s="207"/>
      <c r="BJ56" s="207"/>
      <c r="BK56" s="207"/>
      <c r="BL56" s="207"/>
      <c r="BM56" s="207"/>
      <c r="BN56" s="207"/>
      <c r="BO56" s="207"/>
      <c r="BP56" s="207"/>
      <c r="BQ56" s="207"/>
      <c r="BR56" s="207"/>
      <c r="BS56" s="207"/>
      <c r="BT56" s="207"/>
      <c r="BU56" s="207"/>
      <c r="BV56" s="207"/>
      <c r="BW56" s="207"/>
      <c r="BX56" s="207"/>
      <c r="BY56" s="207"/>
      <c r="BZ56" s="207"/>
      <c r="CA56" s="207"/>
      <c r="CB56" s="207"/>
      <c r="CC56" s="207"/>
      <c r="CD56" s="207"/>
      <c r="CE56" s="207"/>
      <c r="CF56" s="207"/>
      <c r="CG56" s="207"/>
      <c r="CH56" s="207"/>
      <c r="CI56" s="207"/>
      <c r="CJ56" s="207"/>
      <c r="CK56" s="207"/>
      <c r="CL56" s="207"/>
      <c r="CM56" s="207"/>
      <c r="CN56" s="207"/>
      <c r="CO56" s="207"/>
      <c r="CP56" s="207"/>
      <c r="CQ56" s="207"/>
      <c r="CR56" s="207"/>
      <c r="CS56" s="207"/>
      <c r="CT56" s="207"/>
      <c r="CU56" s="207"/>
      <c r="CV56" s="207"/>
      <c r="CW56" s="207"/>
      <c r="CX56" s="207"/>
      <c r="CY56" s="207"/>
      <c r="CZ56" s="207"/>
      <c r="DA56" s="207"/>
      <c r="DB56" s="207"/>
      <c r="DC56" s="207"/>
      <c r="DD56" s="207"/>
      <c r="DE56" s="207"/>
      <c r="DF56" s="207"/>
      <c r="DG56" s="207"/>
      <c r="DH56" s="207"/>
      <c r="DI56" s="207"/>
      <c r="DJ56" s="207"/>
      <c r="DK56" s="207"/>
      <c r="DL56" s="207"/>
      <c r="DM56" s="207"/>
      <c r="DN56" s="207"/>
      <c r="DO56" s="207"/>
      <c r="DP56" s="207"/>
      <c r="DQ56" s="207"/>
      <c r="DR56" s="207"/>
      <c r="DS56" s="207"/>
      <c r="DT56" s="207"/>
      <c r="DU56" s="207"/>
      <c r="DV56" s="207"/>
      <c r="DW56" s="207"/>
      <c r="DX56" s="207"/>
      <c r="DY56" s="207"/>
      <c r="DZ56" s="207"/>
      <c r="EA56" s="207"/>
      <c r="EB56" s="207"/>
      <c r="EC56" s="207"/>
      <c r="ED56" s="207"/>
      <c r="EE56" s="207"/>
      <c r="EF56" s="207"/>
      <c r="EG56" s="207"/>
      <c r="EH56" s="207"/>
      <c r="EI56" s="207"/>
      <c r="EJ56" s="207"/>
      <c r="EK56" s="207"/>
      <c r="EL56" s="207"/>
      <c r="EM56" s="207"/>
      <c r="EN56" s="207"/>
      <c r="EO56" s="207"/>
      <c r="EP56" s="207"/>
      <c r="EQ56" s="207"/>
      <c r="ER56" s="207"/>
      <c r="ES56" s="207"/>
      <c r="ET56" s="207"/>
      <c r="EU56" s="207"/>
      <c r="EV56" s="207"/>
      <c r="EW56" s="207"/>
      <c r="EX56" s="207"/>
      <c r="EY56" s="207"/>
      <c r="EZ56" s="207"/>
      <c r="FA56" s="207"/>
      <c r="FB56" s="207"/>
      <c r="FC56" s="207"/>
      <c r="FD56" s="207"/>
      <c r="FE56" s="207"/>
      <c r="FF56" s="207"/>
      <c r="FG56" s="207"/>
      <c r="FH56" s="207"/>
      <c r="FI56" s="207"/>
      <c r="FJ56" s="207"/>
      <c r="FK56" s="207"/>
      <c r="FL56" s="207"/>
      <c r="FM56" s="207"/>
      <c r="FN56" s="207"/>
      <c r="FO56" s="207"/>
      <c r="FP56" s="207"/>
      <c r="FQ56" s="207"/>
      <c r="FR56" s="207"/>
      <c r="FS56" s="208"/>
      <c r="FT56" s="156"/>
    </row>
    <row r="57" spans="1:176" ht="15" outlineLevel="1">
      <c r="A57" s="206" t="s">
        <v>1293</v>
      </c>
      <c r="B57" s="200" t="s">
        <v>487</v>
      </c>
      <c r="C57" s="34"/>
      <c r="D57" s="34"/>
      <c r="E57" s="34"/>
      <c r="F57" s="34"/>
      <c r="G57" s="34"/>
      <c r="H57" s="37" t="s">
        <v>488</v>
      </c>
      <c r="I57" s="38"/>
      <c r="J57" s="38"/>
      <c r="K57" s="38"/>
      <c r="L57" s="38"/>
      <c r="M57" s="38"/>
      <c r="N57" s="38"/>
      <c r="O57" s="38"/>
      <c r="P57" s="38"/>
      <c r="Q57" s="38"/>
      <c r="R57" s="177">
        <f t="shared" si="9"/>
        <v>0</v>
      </c>
      <c r="S57" s="202">
        <f t="shared" si="7"/>
        <v>0</v>
      </c>
      <c r="T57" s="202">
        <f t="shared" si="8"/>
        <v>0</v>
      </c>
      <c r="U57" s="18"/>
      <c r="V57" s="206" t="str">
        <f t="shared" si="5"/>
        <v>1-48</v>
      </c>
      <c r="W57" s="203" t="str">
        <f t="shared" si="10"/>
        <v/>
      </c>
      <c r="X57" s="110"/>
      <c r="Y57" s="109"/>
      <c r="Z57" s="207"/>
      <c r="AA57" s="207"/>
      <c r="AB57" s="207"/>
      <c r="AC57" s="207"/>
      <c r="AD57" s="207"/>
      <c r="AE57" s="207"/>
      <c r="AF57" s="207"/>
      <c r="AG57" s="207"/>
      <c r="AH57" s="207"/>
      <c r="AI57" s="207"/>
      <c r="AJ57" s="207"/>
      <c r="AK57" s="207"/>
      <c r="AL57" s="207"/>
      <c r="AM57" s="207"/>
      <c r="AN57" s="207"/>
      <c r="AO57" s="207"/>
      <c r="AP57" s="207"/>
      <c r="AQ57" s="207"/>
      <c r="AR57" s="207"/>
      <c r="AS57" s="207"/>
      <c r="AT57" s="207"/>
      <c r="AU57" s="207"/>
      <c r="AV57" s="207"/>
      <c r="AW57" s="207"/>
      <c r="AX57" s="207"/>
      <c r="AY57" s="207"/>
      <c r="AZ57" s="207"/>
      <c r="BA57" s="207"/>
      <c r="BB57" s="207"/>
      <c r="BC57" s="207"/>
      <c r="BD57" s="207"/>
      <c r="BE57" s="207"/>
      <c r="BF57" s="207"/>
      <c r="BG57" s="207"/>
      <c r="BH57" s="207"/>
      <c r="BI57" s="207"/>
      <c r="BJ57" s="207"/>
      <c r="BK57" s="207"/>
      <c r="BL57" s="207"/>
      <c r="BM57" s="207"/>
      <c r="BN57" s="207"/>
      <c r="BO57" s="207"/>
      <c r="BP57" s="207"/>
      <c r="BQ57" s="207"/>
      <c r="BR57" s="207"/>
      <c r="BS57" s="207"/>
      <c r="BT57" s="207"/>
      <c r="BU57" s="207"/>
      <c r="BV57" s="207"/>
      <c r="BW57" s="207"/>
      <c r="BX57" s="207"/>
      <c r="BY57" s="207"/>
      <c r="BZ57" s="207"/>
      <c r="CA57" s="207"/>
      <c r="CB57" s="207"/>
      <c r="CC57" s="207"/>
      <c r="CD57" s="207"/>
      <c r="CE57" s="207"/>
      <c r="CF57" s="207"/>
      <c r="CG57" s="207"/>
      <c r="CH57" s="207"/>
      <c r="CI57" s="207"/>
      <c r="CJ57" s="207"/>
      <c r="CK57" s="207"/>
      <c r="CL57" s="207"/>
      <c r="CM57" s="207"/>
      <c r="CN57" s="207"/>
      <c r="CO57" s="207"/>
      <c r="CP57" s="207"/>
      <c r="CQ57" s="207"/>
      <c r="CR57" s="207"/>
      <c r="CS57" s="207"/>
      <c r="CT57" s="207"/>
      <c r="CU57" s="207"/>
      <c r="CV57" s="207"/>
      <c r="CW57" s="207"/>
      <c r="CX57" s="207"/>
      <c r="CY57" s="207"/>
      <c r="CZ57" s="207"/>
      <c r="DA57" s="207"/>
      <c r="DB57" s="207"/>
      <c r="DC57" s="207"/>
      <c r="DD57" s="207"/>
      <c r="DE57" s="207"/>
      <c r="DF57" s="207"/>
      <c r="DG57" s="207"/>
      <c r="DH57" s="207"/>
      <c r="DI57" s="207"/>
      <c r="DJ57" s="207"/>
      <c r="DK57" s="207"/>
      <c r="DL57" s="207"/>
      <c r="DM57" s="207"/>
      <c r="DN57" s="207"/>
      <c r="DO57" s="207"/>
      <c r="DP57" s="207"/>
      <c r="DQ57" s="207"/>
      <c r="DR57" s="207"/>
      <c r="DS57" s="207"/>
      <c r="DT57" s="207"/>
      <c r="DU57" s="207"/>
      <c r="DV57" s="207"/>
      <c r="DW57" s="207"/>
      <c r="DX57" s="207"/>
      <c r="DY57" s="207"/>
      <c r="DZ57" s="207"/>
      <c r="EA57" s="207"/>
      <c r="EB57" s="207"/>
      <c r="EC57" s="207"/>
      <c r="ED57" s="207"/>
      <c r="EE57" s="207"/>
      <c r="EF57" s="207"/>
      <c r="EG57" s="207"/>
      <c r="EH57" s="207"/>
      <c r="EI57" s="207"/>
      <c r="EJ57" s="207"/>
      <c r="EK57" s="207"/>
      <c r="EL57" s="207"/>
      <c r="EM57" s="207"/>
      <c r="EN57" s="207"/>
      <c r="EO57" s="207"/>
      <c r="EP57" s="207"/>
      <c r="EQ57" s="207"/>
      <c r="ER57" s="207"/>
      <c r="ES57" s="207"/>
      <c r="ET57" s="207"/>
      <c r="EU57" s="207"/>
      <c r="EV57" s="207"/>
      <c r="EW57" s="207"/>
      <c r="EX57" s="207"/>
      <c r="EY57" s="207"/>
      <c r="EZ57" s="207"/>
      <c r="FA57" s="207"/>
      <c r="FB57" s="207"/>
      <c r="FC57" s="207"/>
      <c r="FD57" s="207"/>
      <c r="FE57" s="207"/>
      <c r="FF57" s="207"/>
      <c r="FG57" s="207"/>
      <c r="FH57" s="207"/>
      <c r="FI57" s="207"/>
      <c r="FJ57" s="207"/>
      <c r="FK57" s="207"/>
      <c r="FL57" s="207"/>
      <c r="FM57" s="207"/>
      <c r="FN57" s="207"/>
      <c r="FO57" s="207"/>
      <c r="FP57" s="207"/>
      <c r="FQ57" s="207"/>
      <c r="FR57" s="207"/>
      <c r="FS57" s="208"/>
      <c r="FT57" s="156"/>
    </row>
    <row r="58" spans="1:176" ht="15" outlineLevel="1">
      <c r="A58" s="206" t="s">
        <v>1294</v>
      </c>
      <c r="B58" s="200" t="s">
        <v>487</v>
      </c>
      <c r="C58" s="34"/>
      <c r="D58" s="34"/>
      <c r="E58" s="34"/>
      <c r="F58" s="34"/>
      <c r="G58" s="34"/>
      <c r="H58" s="35" t="s">
        <v>488</v>
      </c>
      <c r="I58" s="38"/>
      <c r="J58" s="38"/>
      <c r="K58" s="38"/>
      <c r="L58" s="38"/>
      <c r="M58" s="38"/>
      <c r="N58" s="38"/>
      <c r="O58" s="38"/>
      <c r="P58" s="38"/>
      <c r="Q58" s="38"/>
      <c r="R58" s="177">
        <f t="shared" si="9"/>
        <v>0</v>
      </c>
      <c r="S58" s="202">
        <f t="shared" si="7"/>
        <v>0</v>
      </c>
      <c r="T58" s="202">
        <f t="shared" si="8"/>
        <v>0</v>
      </c>
      <c r="U58" s="18"/>
      <c r="V58" s="206" t="str">
        <f t="shared" si="5"/>
        <v>1-49</v>
      </c>
      <c r="W58" s="203" t="str">
        <f t="shared" si="10"/>
        <v/>
      </c>
      <c r="X58" s="110"/>
      <c r="Y58" s="109"/>
      <c r="Z58" s="207"/>
      <c r="AA58" s="207"/>
      <c r="AB58" s="207"/>
      <c r="AC58" s="207"/>
      <c r="AD58" s="207"/>
      <c r="AE58" s="207"/>
      <c r="AF58" s="207"/>
      <c r="AG58" s="207"/>
      <c r="AH58" s="207"/>
      <c r="AI58" s="207"/>
      <c r="AJ58" s="207"/>
      <c r="AK58" s="207"/>
      <c r="AL58" s="207"/>
      <c r="AM58" s="207"/>
      <c r="AN58" s="207"/>
      <c r="AO58" s="207"/>
      <c r="AP58" s="207"/>
      <c r="AQ58" s="207"/>
      <c r="AR58" s="207"/>
      <c r="AS58" s="207"/>
      <c r="AT58" s="207"/>
      <c r="AU58" s="207"/>
      <c r="AV58" s="207"/>
      <c r="AW58" s="207"/>
      <c r="AX58" s="207"/>
      <c r="AY58" s="207"/>
      <c r="AZ58" s="207"/>
      <c r="BA58" s="207"/>
      <c r="BB58" s="207"/>
      <c r="BC58" s="207"/>
      <c r="BD58" s="207"/>
      <c r="BE58" s="207"/>
      <c r="BF58" s="207"/>
      <c r="BG58" s="207"/>
      <c r="BH58" s="207"/>
      <c r="BI58" s="207"/>
      <c r="BJ58" s="207"/>
      <c r="BK58" s="207"/>
      <c r="BL58" s="207"/>
      <c r="BM58" s="207"/>
      <c r="BN58" s="207"/>
      <c r="BO58" s="207"/>
      <c r="BP58" s="207"/>
      <c r="BQ58" s="207"/>
      <c r="BR58" s="207"/>
      <c r="BS58" s="207"/>
      <c r="BT58" s="207"/>
      <c r="BU58" s="207"/>
      <c r="BV58" s="207"/>
      <c r="BW58" s="207"/>
      <c r="BX58" s="207"/>
      <c r="BY58" s="207"/>
      <c r="BZ58" s="207"/>
      <c r="CA58" s="207"/>
      <c r="CB58" s="207"/>
      <c r="CC58" s="207"/>
      <c r="CD58" s="207"/>
      <c r="CE58" s="207"/>
      <c r="CF58" s="207"/>
      <c r="CG58" s="207"/>
      <c r="CH58" s="207"/>
      <c r="CI58" s="207"/>
      <c r="CJ58" s="207"/>
      <c r="CK58" s="207"/>
      <c r="CL58" s="207"/>
      <c r="CM58" s="207"/>
      <c r="CN58" s="207"/>
      <c r="CO58" s="207"/>
      <c r="CP58" s="207"/>
      <c r="CQ58" s="207"/>
      <c r="CR58" s="207"/>
      <c r="CS58" s="207"/>
      <c r="CT58" s="207"/>
      <c r="CU58" s="207"/>
      <c r="CV58" s="207"/>
      <c r="CW58" s="207"/>
      <c r="CX58" s="207"/>
      <c r="CY58" s="207"/>
      <c r="CZ58" s="207"/>
      <c r="DA58" s="207"/>
      <c r="DB58" s="207"/>
      <c r="DC58" s="207"/>
      <c r="DD58" s="207"/>
      <c r="DE58" s="207"/>
      <c r="DF58" s="207"/>
      <c r="DG58" s="207"/>
      <c r="DH58" s="207"/>
      <c r="DI58" s="207"/>
      <c r="DJ58" s="207"/>
      <c r="DK58" s="207"/>
      <c r="DL58" s="207"/>
      <c r="DM58" s="207"/>
      <c r="DN58" s="207"/>
      <c r="DO58" s="207"/>
      <c r="DP58" s="207"/>
      <c r="DQ58" s="207"/>
      <c r="DR58" s="207"/>
      <c r="DS58" s="207"/>
      <c r="DT58" s="207"/>
      <c r="DU58" s="207"/>
      <c r="DV58" s="207"/>
      <c r="DW58" s="207"/>
      <c r="DX58" s="207"/>
      <c r="DY58" s="207"/>
      <c r="DZ58" s="207"/>
      <c r="EA58" s="207"/>
      <c r="EB58" s="207"/>
      <c r="EC58" s="207"/>
      <c r="ED58" s="207"/>
      <c r="EE58" s="207"/>
      <c r="EF58" s="207"/>
      <c r="EG58" s="207"/>
      <c r="EH58" s="207"/>
      <c r="EI58" s="207"/>
      <c r="EJ58" s="207"/>
      <c r="EK58" s="207"/>
      <c r="EL58" s="207"/>
      <c r="EM58" s="207"/>
      <c r="EN58" s="207"/>
      <c r="EO58" s="207"/>
      <c r="EP58" s="207"/>
      <c r="EQ58" s="207"/>
      <c r="ER58" s="207"/>
      <c r="ES58" s="207"/>
      <c r="ET58" s="207"/>
      <c r="EU58" s="207"/>
      <c r="EV58" s="207"/>
      <c r="EW58" s="207"/>
      <c r="EX58" s="207"/>
      <c r="EY58" s="207"/>
      <c r="EZ58" s="207"/>
      <c r="FA58" s="207"/>
      <c r="FB58" s="207"/>
      <c r="FC58" s="207"/>
      <c r="FD58" s="207"/>
      <c r="FE58" s="207"/>
      <c r="FF58" s="207"/>
      <c r="FG58" s="207"/>
      <c r="FH58" s="207"/>
      <c r="FI58" s="207"/>
      <c r="FJ58" s="207"/>
      <c r="FK58" s="207"/>
      <c r="FL58" s="207"/>
      <c r="FM58" s="207"/>
      <c r="FN58" s="207"/>
      <c r="FO58" s="207"/>
      <c r="FP58" s="207"/>
      <c r="FQ58" s="207"/>
      <c r="FR58" s="207"/>
      <c r="FS58" s="208"/>
      <c r="FT58" s="156"/>
    </row>
    <row r="59" spans="1:176" ht="15" outlineLevel="1">
      <c r="A59" s="209" t="s">
        <v>1295</v>
      </c>
      <c r="B59" s="200" t="s">
        <v>487</v>
      </c>
      <c r="C59" s="34"/>
      <c r="D59" s="34"/>
      <c r="E59" s="34"/>
      <c r="F59" s="34"/>
      <c r="G59" s="34"/>
      <c r="H59" s="37" t="s">
        <v>488</v>
      </c>
      <c r="I59" s="39"/>
      <c r="J59" s="39"/>
      <c r="K59" s="39"/>
      <c r="L59" s="39"/>
      <c r="M59" s="39"/>
      <c r="N59" s="39"/>
      <c r="O59" s="39"/>
      <c r="P59" s="39"/>
      <c r="Q59" s="39"/>
      <c r="R59" s="210">
        <f t="shared" si="9"/>
        <v>0</v>
      </c>
      <c r="S59" s="202">
        <f t="shared" si="7"/>
        <v>0</v>
      </c>
      <c r="T59" s="202">
        <f t="shared" si="8"/>
        <v>0</v>
      </c>
      <c r="U59" s="18"/>
      <c r="V59" s="206" t="str">
        <f t="shared" si="5"/>
        <v>1-50</v>
      </c>
      <c r="W59" s="203" t="str">
        <f t="shared" si="10"/>
        <v/>
      </c>
      <c r="X59" s="110"/>
      <c r="Y59" s="109"/>
      <c r="Z59" s="207"/>
      <c r="AA59" s="207"/>
      <c r="AB59" s="207"/>
      <c r="AC59" s="207"/>
      <c r="AD59" s="207"/>
      <c r="AE59" s="207"/>
      <c r="AF59" s="207"/>
      <c r="AG59" s="207"/>
      <c r="AH59" s="207"/>
      <c r="AI59" s="207"/>
      <c r="AJ59" s="207"/>
      <c r="AK59" s="207"/>
      <c r="AL59" s="207"/>
      <c r="AM59" s="207"/>
      <c r="AN59" s="207"/>
      <c r="AO59" s="207"/>
      <c r="AP59" s="207"/>
      <c r="AQ59" s="207"/>
      <c r="AR59" s="207"/>
      <c r="AS59" s="207"/>
      <c r="AT59" s="207"/>
      <c r="AU59" s="207"/>
      <c r="AV59" s="207"/>
      <c r="AW59" s="207"/>
      <c r="AX59" s="207"/>
      <c r="AY59" s="207"/>
      <c r="AZ59" s="207"/>
      <c r="BA59" s="207"/>
      <c r="BB59" s="207"/>
      <c r="BC59" s="207"/>
      <c r="BD59" s="207"/>
      <c r="BE59" s="207"/>
      <c r="BF59" s="207"/>
      <c r="BG59" s="207"/>
      <c r="BH59" s="207"/>
      <c r="BI59" s="207"/>
      <c r="BJ59" s="207"/>
      <c r="BK59" s="207"/>
      <c r="BL59" s="207"/>
      <c r="BM59" s="207"/>
      <c r="BN59" s="207"/>
      <c r="BO59" s="207"/>
      <c r="BP59" s="207"/>
      <c r="BQ59" s="207"/>
      <c r="BR59" s="207"/>
      <c r="BS59" s="207"/>
      <c r="BT59" s="207"/>
      <c r="BU59" s="207"/>
      <c r="BV59" s="207"/>
      <c r="BW59" s="207"/>
      <c r="BX59" s="207"/>
      <c r="BY59" s="207"/>
      <c r="BZ59" s="207"/>
      <c r="CA59" s="207"/>
      <c r="CB59" s="207"/>
      <c r="CC59" s="207"/>
      <c r="CD59" s="207"/>
      <c r="CE59" s="207"/>
      <c r="CF59" s="207"/>
      <c r="CG59" s="207"/>
      <c r="CH59" s="207"/>
      <c r="CI59" s="207"/>
      <c r="CJ59" s="207"/>
      <c r="CK59" s="207"/>
      <c r="CL59" s="207"/>
      <c r="CM59" s="207"/>
      <c r="CN59" s="207"/>
      <c r="CO59" s="207"/>
      <c r="CP59" s="207"/>
      <c r="CQ59" s="207"/>
      <c r="CR59" s="207"/>
      <c r="CS59" s="207"/>
      <c r="CT59" s="207"/>
      <c r="CU59" s="207"/>
      <c r="CV59" s="207"/>
      <c r="CW59" s="207"/>
      <c r="CX59" s="207"/>
      <c r="CY59" s="207"/>
      <c r="CZ59" s="207"/>
      <c r="DA59" s="207"/>
      <c r="DB59" s="207"/>
      <c r="DC59" s="207"/>
      <c r="DD59" s="207"/>
      <c r="DE59" s="207"/>
      <c r="DF59" s="207"/>
      <c r="DG59" s="207"/>
      <c r="DH59" s="207"/>
      <c r="DI59" s="207"/>
      <c r="DJ59" s="207"/>
      <c r="DK59" s="207"/>
      <c r="DL59" s="207"/>
      <c r="DM59" s="207"/>
      <c r="DN59" s="207"/>
      <c r="DO59" s="207"/>
      <c r="DP59" s="207"/>
      <c r="DQ59" s="207"/>
      <c r="DR59" s="207"/>
      <c r="DS59" s="207"/>
      <c r="DT59" s="207"/>
      <c r="DU59" s="207"/>
      <c r="DV59" s="207"/>
      <c r="DW59" s="207"/>
      <c r="DX59" s="207"/>
      <c r="DY59" s="207"/>
      <c r="DZ59" s="207"/>
      <c r="EA59" s="207"/>
      <c r="EB59" s="207"/>
      <c r="EC59" s="207"/>
      <c r="ED59" s="207"/>
      <c r="EE59" s="207"/>
      <c r="EF59" s="207"/>
      <c r="EG59" s="207"/>
      <c r="EH59" s="207"/>
      <c r="EI59" s="207"/>
      <c r="EJ59" s="207"/>
      <c r="EK59" s="207"/>
      <c r="EL59" s="207"/>
      <c r="EM59" s="207"/>
      <c r="EN59" s="207"/>
      <c r="EO59" s="207"/>
      <c r="EP59" s="207"/>
      <c r="EQ59" s="207"/>
      <c r="ER59" s="207"/>
      <c r="ES59" s="207"/>
      <c r="ET59" s="207"/>
      <c r="EU59" s="207"/>
      <c r="EV59" s="207"/>
      <c r="EW59" s="207"/>
      <c r="EX59" s="207"/>
      <c r="EY59" s="207"/>
      <c r="EZ59" s="207"/>
      <c r="FA59" s="207"/>
      <c r="FB59" s="207"/>
      <c r="FC59" s="207"/>
      <c r="FD59" s="207"/>
      <c r="FE59" s="207"/>
      <c r="FF59" s="207"/>
      <c r="FG59" s="207"/>
      <c r="FH59" s="207"/>
      <c r="FI59" s="207"/>
      <c r="FJ59" s="207"/>
      <c r="FK59" s="207"/>
      <c r="FL59" s="207"/>
      <c r="FM59" s="207"/>
      <c r="FN59" s="207"/>
      <c r="FO59" s="207"/>
      <c r="FP59" s="207"/>
      <c r="FQ59" s="207"/>
      <c r="FR59" s="207"/>
      <c r="FS59" s="208"/>
      <c r="FT59" s="156"/>
    </row>
    <row r="60" spans="1:176" s="198" customFormat="1" ht="15">
      <c r="A60" s="193" t="s">
        <v>1188</v>
      </c>
      <c r="B60" s="211" t="s">
        <v>81</v>
      </c>
      <c r="C60" s="212"/>
      <c r="D60" s="212"/>
      <c r="E60" s="212" t="s">
        <v>222</v>
      </c>
      <c r="F60" s="212" t="s">
        <v>222</v>
      </c>
      <c r="G60" s="212" t="s">
        <v>222</v>
      </c>
      <c r="H60" s="213"/>
      <c r="I60" s="214"/>
      <c r="J60" s="214"/>
      <c r="K60" s="214"/>
      <c r="L60" s="214"/>
      <c r="M60" s="214"/>
      <c r="N60" s="214"/>
      <c r="O60" s="214"/>
      <c r="P60" s="214"/>
      <c r="Q60" s="214"/>
      <c r="R60" s="191">
        <f>SUM(R61:R110)</f>
        <v>0</v>
      </c>
      <c r="S60" s="192">
        <f>SUM(S61:S110)</f>
        <v>0</v>
      </c>
      <c r="T60" s="192">
        <f>SUM(T61:T110)</f>
        <v>0</v>
      </c>
      <c r="U60" s="18"/>
      <c r="V60" s="193" t="str">
        <f t="shared" si="5"/>
        <v>Phase:</v>
      </c>
      <c r="W60" s="194" t="str">
        <f>B60</f>
        <v>Prepare</v>
      </c>
      <c r="X60" s="195"/>
      <c r="Y60" s="195"/>
      <c r="Z60" s="196"/>
      <c r="AA60" s="196"/>
      <c r="AB60" s="196"/>
      <c r="AC60" s="196"/>
      <c r="AD60" s="196"/>
      <c r="AE60" s="196"/>
      <c r="AF60" s="196"/>
      <c r="AG60" s="196"/>
      <c r="AH60" s="196"/>
      <c r="AI60" s="196"/>
      <c r="AJ60" s="196"/>
      <c r="AK60" s="196"/>
      <c r="AL60" s="196"/>
      <c r="AM60" s="196"/>
      <c r="AN60" s="196"/>
      <c r="AO60" s="196"/>
      <c r="AP60" s="196"/>
      <c r="AQ60" s="196"/>
      <c r="AR60" s="196"/>
      <c r="AS60" s="196"/>
      <c r="AT60" s="196"/>
      <c r="AU60" s="196"/>
      <c r="AV60" s="196"/>
      <c r="AW60" s="196"/>
      <c r="AX60" s="196"/>
      <c r="AY60" s="196"/>
      <c r="AZ60" s="196"/>
      <c r="BA60" s="196"/>
      <c r="BB60" s="196"/>
      <c r="BC60" s="196"/>
      <c r="BD60" s="196"/>
      <c r="BE60" s="196"/>
      <c r="BF60" s="196"/>
      <c r="BG60" s="196"/>
      <c r="BH60" s="196"/>
      <c r="BI60" s="196"/>
      <c r="BJ60" s="196"/>
      <c r="BK60" s="196"/>
      <c r="BL60" s="196"/>
      <c r="BM60" s="196"/>
      <c r="BN60" s="196"/>
      <c r="BO60" s="196"/>
      <c r="BP60" s="196"/>
      <c r="BQ60" s="196"/>
      <c r="BR60" s="196"/>
      <c r="BS60" s="196"/>
      <c r="BT60" s="196"/>
      <c r="BU60" s="196"/>
      <c r="BV60" s="196"/>
      <c r="BW60" s="196"/>
      <c r="BX60" s="196"/>
      <c r="BY60" s="196"/>
      <c r="BZ60" s="196"/>
      <c r="CA60" s="196"/>
      <c r="CB60" s="196"/>
      <c r="CC60" s="196"/>
      <c r="CD60" s="196"/>
      <c r="CE60" s="196"/>
      <c r="CF60" s="196"/>
      <c r="CG60" s="196"/>
      <c r="CH60" s="196"/>
      <c r="CI60" s="196"/>
      <c r="CJ60" s="196"/>
      <c r="CK60" s="196"/>
      <c r="CL60" s="196"/>
      <c r="CM60" s="196"/>
      <c r="CN60" s="196"/>
      <c r="CO60" s="196"/>
      <c r="CP60" s="196"/>
      <c r="CQ60" s="196"/>
      <c r="CR60" s="196"/>
      <c r="CS60" s="196"/>
      <c r="CT60" s="196"/>
      <c r="CU60" s="196"/>
      <c r="CV60" s="196"/>
      <c r="CW60" s="196"/>
      <c r="CX60" s="196"/>
      <c r="CY60" s="196"/>
      <c r="CZ60" s="196"/>
      <c r="DA60" s="196"/>
      <c r="DB60" s="196"/>
      <c r="DC60" s="196"/>
      <c r="DD60" s="196"/>
      <c r="DE60" s="196"/>
      <c r="DF60" s="196"/>
      <c r="DG60" s="196"/>
      <c r="DH60" s="196"/>
      <c r="DI60" s="196"/>
      <c r="DJ60" s="196"/>
      <c r="DK60" s="196"/>
      <c r="DL60" s="196"/>
      <c r="DM60" s="196"/>
      <c r="DN60" s="196"/>
      <c r="DO60" s="196"/>
      <c r="DP60" s="196"/>
      <c r="DQ60" s="196"/>
      <c r="DR60" s="196"/>
      <c r="DS60" s="196"/>
      <c r="DT60" s="196"/>
      <c r="DU60" s="196"/>
      <c r="DV60" s="196"/>
      <c r="DW60" s="196"/>
      <c r="DX60" s="196"/>
      <c r="DY60" s="196"/>
      <c r="DZ60" s="196"/>
      <c r="EA60" s="196"/>
      <c r="EB60" s="196"/>
      <c r="EC60" s="196"/>
      <c r="ED60" s="196"/>
      <c r="EE60" s="196"/>
      <c r="EF60" s="196"/>
      <c r="EG60" s="196"/>
      <c r="EH60" s="196"/>
      <c r="EI60" s="196"/>
      <c r="EJ60" s="196"/>
      <c r="EK60" s="196"/>
      <c r="EL60" s="196"/>
      <c r="EM60" s="196"/>
      <c r="EN60" s="196"/>
      <c r="EO60" s="196"/>
      <c r="EP60" s="196"/>
      <c r="EQ60" s="196"/>
      <c r="ER60" s="196"/>
      <c r="ES60" s="196"/>
      <c r="ET60" s="196"/>
      <c r="EU60" s="196"/>
      <c r="EV60" s="196"/>
      <c r="EW60" s="196"/>
      <c r="EX60" s="196"/>
      <c r="EY60" s="196"/>
      <c r="EZ60" s="196"/>
      <c r="FA60" s="196"/>
      <c r="FB60" s="196"/>
      <c r="FC60" s="196"/>
      <c r="FD60" s="196"/>
      <c r="FE60" s="196"/>
      <c r="FF60" s="196"/>
      <c r="FG60" s="196"/>
      <c r="FH60" s="196"/>
      <c r="FI60" s="196"/>
      <c r="FJ60" s="196"/>
      <c r="FK60" s="196"/>
      <c r="FL60" s="196"/>
      <c r="FM60" s="196"/>
      <c r="FN60" s="196"/>
      <c r="FO60" s="196"/>
      <c r="FP60" s="196"/>
      <c r="FQ60" s="196"/>
      <c r="FR60" s="196"/>
      <c r="FS60" s="196"/>
      <c r="FT60" s="197"/>
    </row>
    <row r="61" spans="1:176" ht="105" outlineLevel="1">
      <c r="A61" s="199" t="s">
        <v>1296</v>
      </c>
      <c r="B61" s="200" t="s">
        <v>81</v>
      </c>
      <c r="C61" s="34" t="s">
        <v>1297</v>
      </c>
      <c r="D61" s="34" t="s">
        <v>1298</v>
      </c>
      <c r="E61" s="34"/>
      <c r="F61" s="34" t="s">
        <v>1299</v>
      </c>
      <c r="G61" s="34" t="s">
        <v>1300</v>
      </c>
      <c r="H61" s="35" t="s">
        <v>488</v>
      </c>
      <c r="I61" s="36"/>
      <c r="J61" s="36"/>
      <c r="K61" s="36"/>
      <c r="L61" s="36"/>
      <c r="M61" s="36"/>
      <c r="N61" s="36"/>
      <c r="O61" s="36"/>
      <c r="P61" s="36"/>
      <c r="Q61" s="36"/>
      <c r="R61" s="201">
        <f t="shared" ref="R61:R92" si="11">SUM(I61:M61)</f>
        <v>0</v>
      </c>
      <c r="S61" s="202">
        <f>(I61*$I$4)+(J61*$J$4)+(K61*$K$4)+(L61*$L$4)+(M61*$M$4)+(N61*$N$4)+(O61*$O$4)+(P61*$P$4)+(Q61*$Q$4)</f>
        <v>0</v>
      </c>
      <c r="T61" s="202">
        <f>IF(H61="Billable",(I61*$I$5)+(J61*$J$5)+(K61*$K$5)+(L61*$L$5)+(M61*$M$5)+(N61*$N$5)+(O61*$O$5)+(P61*$P$5)+(Q61*$Q$5),0)</f>
        <v>0</v>
      </c>
      <c r="U61" s="18"/>
      <c r="V61" s="206" t="str">
        <f t="shared" si="5"/>
        <v>2-1</v>
      </c>
      <c r="W61" s="215" t="str">
        <f t="shared" ref="W61:W92" si="12">IF(ISBLANK(C61),"",C61)</f>
        <v>Prepare for and plan workshop</v>
      </c>
      <c r="X61" s="110"/>
      <c r="Y61" s="109"/>
      <c r="Z61" s="207"/>
      <c r="AA61" s="207"/>
      <c r="AB61" s="207"/>
      <c r="AC61" s="207"/>
      <c r="AD61" s="207"/>
      <c r="AE61" s="207"/>
      <c r="AF61" s="207"/>
      <c r="AG61" s="207"/>
      <c r="AH61" s="207"/>
      <c r="AI61" s="207"/>
      <c r="AJ61" s="207"/>
      <c r="AK61" s="207"/>
      <c r="AL61" s="207"/>
      <c r="AM61" s="207"/>
      <c r="AN61" s="207"/>
      <c r="AO61" s="207"/>
      <c r="AP61" s="207"/>
      <c r="AQ61" s="207"/>
      <c r="AR61" s="207"/>
      <c r="AS61" s="207"/>
      <c r="AT61" s="207"/>
      <c r="AU61" s="207"/>
      <c r="AV61" s="207"/>
      <c r="AW61" s="207"/>
      <c r="AX61" s="207"/>
      <c r="AY61" s="207"/>
      <c r="AZ61" s="207"/>
      <c r="BA61" s="207"/>
      <c r="BB61" s="207"/>
      <c r="BC61" s="207"/>
      <c r="BD61" s="207"/>
      <c r="BE61" s="207"/>
      <c r="BF61" s="207"/>
      <c r="BG61" s="207"/>
      <c r="BH61" s="207"/>
      <c r="BI61" s="207"/>
      <c r="BJ61" s="207"/>
      <c r="BK61" s="207"/>
      <c r="BL61" s="207"/>
      <c r="BM61" s="207"/>
      <c r="BN61" s="207"/>
      <c r="BO61" s="207"/>
      <c r="BP61" s="207"/>
      <c r="BQ61" s="207"/>
      <c r="BR61" s="207"/>
      <c r="BS61" s="207"/>
      <c r="BT61" s="207"/>
      <c r="BU61" s="207"/>
      <c r="BV61" s="207"/>
      <c r="BW61" s="207"/>
      <c r="BX61" s="207"/>
      <c r="BY61" s="207"/>
      <c r="BZ61" s="207"/>
      <c r="CA61" s="207"/>
      <c r="CB61" s="207"/>
      <c r="CC61" s="207"/>
      <c r="CD61" s="207"/>
      <c r="CE61" s="207"/>
      <c r="CF61" s="207"/>
      <c r="CG61" s="207"/>
      <c r="CH61" s="207"/>
      <c r="CI61" s="207"/>
      <c r="CJ61" s="207"/>
      <c r="CK61" s="207"/>
      <c r="CL61" s="207"/>
      <c r="CM61" s="207"/>
      <c r="CN61" s="207"/>
      <c r="CO61" s="207"/>
      <c r="CP61" s="207"/>
      <c r="CQ61" s="207"/>
      <c r="CR61" s="207"/>
      <c r="CS61" s="207"/>
      <c r="CT61" s="207"/>
      <c r="CU61" s="207"/>
      <c r="CV61" s="207"/>
      <c r="CW61" s="207"/>
      <c r="CX61" s="207"/>
      <c r="CY61" s="207"/>
      <c r="CZ61" s="207"/>
      <c r="DA61" s="207"/>
      <c r="DB61" s="207"/>
      <c r="DC61" s="207"/>
      <c r="DD61" s="207"/>
      <c r="DE61" s="207"/>
      <c r="DF61" s="207"/>
      <c r="DG61" s="207"/>
      <c r="DH61" s="207"/>
      <c r="DI61" s="207"/>
      <c r="DJ61" s="207"/>
      <c r="DK61" s="207"/>
      <c r="DL61" s="207"/>
      <c r="DM61" s="207"/>
      <c r="DN61" s="207"/>
      <c r="DO61" s="207"/>
      <c r="DP61" s="207"/>
      <c r="DQ61" s="207"/>
      <c r="DR61" s="207"/>
      <c r="DS61" s="207"/>
      <c r="DT61" s="207"/>
      <c r="DU61" s="207"/>
      <c r="DV61" s="207"/>
      <c r="DW61" s="207"/>
      <c r="DX61" s="207"/>
      <c r="DY61" s="207"/>
      <c r="DZ61" s="207"/>
      <c r="EA61" s="207"/>
      <c r="EB61" s="207"/>
      <c r="EC61" s="207"/>
      <c r="ED61" s="207"/>
      <c r="EE61" s="207"/>
      <c r="EF61" s="207"/>
      <c r="EG61" s="207"/>
      <c r="EH61" s="207"/>
      <c r="EI61" s="207"/>
      <c r="EJ61" s="207"/>
      <c r="EK61" s="207"/>
      <c r="EL61" s="207"/>
      <c r="EM61" s="207"/>
      <c r="EN61" s="207"/>
      <c r="EO61" s="207"/>
      <c r="EP61" s="207"/>
      <c r="EQ61" s="207"/>
      <c r="ER61" s="207"/>
      <c r="ES61" s="207"/>
      <c r="ET61" s="207"/>
      <c r="EU61" s="207"/>
      <c r="EV61" s="207"/>
      <c r="EW61" s="207"/>
      <c r="EX61" s="207"/>
      <c r="EY61" s="207"/>
      <c r="EZ61" s="207"/>
      <c r="FA61" s="207"/>
      <c r="FB61" s="207"/>
      <c r="FC61" s="207"/>
      <c r="FD61" s="207"/>
      <c r="FE61" s="207"/>
      <c r="FF61" s="207"/>
      <c r="FG61" s="207"/>
      <c r="FH61" s="207"/>
      <c r="FI61" s="207"/>
      <c r="FJ61" s="207"/>
      <c r="FK61" s="207"/>
      <c r="FL61" s="207"/>
      <c r="FM61" s="207"/>
      <c r="FN61" s="207"/>
      <c r="FO61" s="207"/>
      <c r="FP61" s="207"/>
      <c r="FQ61" s="207"/>
      <c r="FR61" s="207"/>
      <c r="FS61" s="208"/>
      <c r="FT61" s="156"/>
    </row>
    <row r="62" spans="1:176" ht="75" outlineLevel="1">
      <c r="A62" s="206" t="s">
        <v>1301</v>
      </c>
      <c r="B62" s="200" t="s">
        <v>81</v>
      </c>
      <c r="C62" s="34" t="s">
        <v>1302</v>
      </c>
      <c r="D62" s="34" t="s">
        <v>1303</v>
      </c>
      <c r="E62" s="34"/>
      <c r="F62" s="34"/>
      <c r="G62" s="34"/>
      <c r="H62" s="35" t="s">
        <v>488</v>
      </c>
      <c r="I62" s="38"/>
      <c r="J62" s="38"/>
      <c r="K62" s="38"/>
      <c r="L62" s="38"/>
      <c r="M62" s="38"/>
      <c r="N62" s="38"/>
      <c r="O62" s="38"/>
      <c r="P62" s="38"/>
      <c r="Q62" s="38"/>
      <c r="R62" s="177">
        <f t="shared" si="11"/>
        <v>0</v>
      </c>
      <c r="S62" s="202">
        <f t="shared" ref="S62:S110" si="13">(I62*$I$4)+(J62*$J$4)+(K62*$K$4)+(L62*$L$4)+(M62*$M$4)+(N62*$N$4)+(O62*$O$4)+(P62*$P$4)+(Q62*$Q$4)</f>
        <v>0</v>
      </c>
      <c r="T62" s="202">
        <f t="shared" ref="T62:T110" si="14">IF(H62="Billable",(I62*$I$5)+(J62*$J$5)+(K62*$K$5)+(L62*$L$5)+(M62*$M$5)+(N62*$N$5)+(O62*$O$5)+(P62*$P$5)+(Q62*$Q$5),0)</f>
        <v>0</v>
      </c>
      <c r="U62" s="18"/>
      <c r="V62" s="206" t="str">
        <f t="shared" si="5"/>
        <v>2-2</v>
      </c>
      <c r="W62" s="215" t="str">
        <f t="shared" si="12"/>
        <v>Conduct CMO workshop</v>
      </c>
      <c r="X62" s="110"/>
      <c r="Y62" s="109"/>
      <c r="Z62" s="207"/>
      <c r="AA62" s="207"/>
      <c r="AB62" s="207"/>
      <c r="AC62" s="207"/>
      <c r="AD62" s="207"/>
      <c r="AE62" s="207"/>
      <c r="AF62" s="207"/>
      <c r="AG62" s="207"/>
      <c r="AH62" s="207"/>
      <c r="AI62" s="207"/>
      <c r="AJ62" s="207"/>
      <c r="AK62" s="207"/>
      <c r="AL62" s="207"/>
      <c r="AM62" s="207"/>
      <c r="AN62" s="207"/>
      <c r="AO62" s="207"/>
      <c r="AP62" s="207"/>
      <c r="AQ62" s="207"/>
      <c r="AR62" s="207"/>
      <c r="AS62" s="207"/>
      <c r="AT62" s="207"/>
      <c r="AU62" s="207"/>
      <c r="AV62" s="207"/>
      <c r="AW62" s="207"/>
      <c r="AX62" s="207"/>
      <c r="AY62" s="207"/>
      <c r="AZ62" s="207"/>
      <c r="BA62" s="207"/>
      <c r="BB62" s="207"/>
      <c r="BC62" s="207"/>
      <c r="BD62" s="207"/>
      <c r="BE62" s="207"/>
      <c r="BF62" s="207"/>
      <c r="BG62" s="207"/>
      <c r="BH62" s="207"/>
      <c r="BI62" s="207"/>
      <c r="BJ62" s="207"/>
      <c r="BK62" s="207"/>
      <c r="BL62" s="207"/>
      <c r="BM62" s="207"/>
      <c r="BN62" s="207"/>
      <c r="BO62" s="207"/>
      <c r="BP62" s="207"/>
      <c r="BQ62" s="207"/>
      <c r="BR62" s="207"/>
      <c r="BS62" s="207"/>
      <c r="BT62" s="207"/>
      <c r="BU62" s="207"/>
      <c r="BV62" s="207"/>
      <c r="BW62" s="207"/>
      <c r="BX62" s="207"/>
      <c r="BY62" s="207"/>
      <c r="BZ62" s="207"/>
      <c r="CA62" s="207"/>
      <c r="CB62" s="207"/>
      <c r="CC62" s="207"/>
      <c r="CD62" s="207"/>
      <c r="CE62" s="207"/>
      <c r="CF62" s="207"/>
      <c r="CG62" s="207"/>
      <c r="CH62" s="207"/>
      <c r="CI62" s="207"/>
      <c r="CJ62" s="207"/>
      <c r="CK62" s="207"/>
      <c r="CL62" s="207"/>
      <c r="CM62" s="207"/>
      <c r="CN62" s="207"/>
      <c r="CO62" s="207"/>
      <c r="CP62" s="207"/>
      <c r="CQ62" s="207"/>
      <c r="CR62" s="207"/>
      <c r="CS62" s="207"/>
      <c r="CT62" s="207"/>
      <c r="CU62" s="207"/>
      <c r="CV62" s="207"/>
      <c r="CW62" s="207"/>
      <c r="CX62" s="207"/>
      <c r="CY62" s="207"/>
      <c r="CZ62" s="207"/>
      <c r="DA62" s="207"/>
      <c r="DB62" s="207"/>
      <c r="DC62" s="207"/>
      <c r="DD62" s="207"/>
      <c r="DE62" s="207"/>
      <c r="DF62" s="207"/>
      <c r="DG62" s="207"/>
      <c r="DH62" s="207"/>
      <c r="DI62" s="207"/>
      <c r="DJ62" s="207"/>
      <c r="DK62" s="207"/>
      <c r="DL62" s="207"/>
      <c r="DM62" s="207"/>
      <c r="DN62" s="207"/>
      <c r="DO62" s="207"/>
      <c r="DP62" s="207"/>
      <c r="DQ62" s="207"/>
      <c r="DR62" s="207"/>
      <c r="DS62" s="207"/>
      <c r="DT62" s="207"/>
      <c r="DU62" s="207"/>
      <c r="DV62" s="207"/>
      <c r="DW62" s="207"/>
      <c r="DX62" s="207"/>
      <c r="DY62" s="207"/>
      <c r="DZ62" s="207"/>
      <c r="EA62" s="207"/>
      <c r="EB62" s="207"/>
      <c r="EC62" s="207"/>
      <c r="ED62" s="207"/>
      <c r="EE62" s="207"/>
      <c r="EF62" s="207"/>
      <c r="EG62" s="207"/>
      <c r="EH62" s="207"/>
      <c r="EI62" s="207"/>
      <c r="EJ62" s="207"/>
      <c r="EK62" s="207"/>
      <c r="EL62" s="207"/>
      <c r="EM62" s="207"/>
      <c r="EN62" s="207"/>
      <c r="EO62" s="207"/>
      <c r="EP62" s="207"/>
      <c r="EQ62" s="207"/>
      <c r="ER62" s="207"/>
      <c r="ES62" s="207"/>
      <c r="ET62" s="207"/>
      <c r="EU62" s="207"/>
      <c r="EV62" s="207"/>
      <c r="EW62" s="207"/>
      <c r="EX62" s="207"/>
      <c r="EY62" s="207"/>
      <c r="EZ62" s="207"/>
      <c r="FA62" s="207"/>
      <c r="FB62" s="207"/>
      <c r="FC62" s="207"/>
      <c r="FD62" s="207"/>
      <c r="FE62" s="207"/>
      <c r="FF62" s="207"/>
      <c r="FG62" s="207"/>
      <c r="FH62" s="207"/>
      <c r="FI62" s="207"/>
      <c r="FJ62" s="207"/>
      <c r="FK62" s="207"/>
      <c r="FL62" s="207"/>
      <c r="FM62" s="207"/>
      <c r="FN62" s="207"/>
      <c r="FO62" s="207"/>
      <c r="FP62" s="207"/>
      <c r="FQ62" s="207"/>
      <c r="FR62" s="207"/>
      <c r="FS62" s="208"/>
      <c r="FT62" s="156"/>
    </row>
    <row r="63" spans="1:176" ht="105" outlineLevel="1">
      <c r="A63" s="206" t="s">
        <v>1304</v>
      </c>
      <c r="B63" s="200" t="s">
        <v>81</v>
      </c>
      <c r="C63" s="34" t="s">
        <v>1305</v>
      </c>
      <c r="D63" s="34" t="s">
        <v>1306</v>
      </c>
      <c r="E63" s="34"/>
      <c r="F63" s="34"/>
      <c r="G63" s="34"/>
      <c r="H63" s="35" t="s">
        <v>488</v>
      </c>
      <c r="I63" s="38"/>
      <c r="J63" s="38"/>
      <c r="K63" s="38"/>
      <c r="L63" s="38"/>
      <c r="M63" s="38"/>
      <c r="N63" s="38"/>
      <c r="O63" s="38"/>
      <c r="P63" s="38"/>
      <c r="Q63" s="38"/>
      <c r="R63" s="177">
        <f t="shared" si="11"/>
        <v>0</v>
      </c>
      <c r="S63" s="202">
        <f t="shared" si="13"/>
        <v>0</v>
      </c>
      <c r="T63" s="202">
        <f t="shared" si="14"/>
        <v>0</v>
      </c>
      <c r="U63" s="18"/>
      <c r="V63" s="206" t="str">
        <f t="shared" si="5"/>
        <v>2-3</v>
      </c>
      <c r="W63" s="215" t="str">
        <f t="shared" si="12"/>
        <v>Conduct FMO workshop</v>
      </c>
      <c r="X63" s="110"/>
      <c r="Y63" s="109"/>
      <c r="Z63" s="207"/>
      <c r="AA63" s="207"/>
      <c r="AB63" s="207"/>
      <c r="AC63" s="207"/>
      <c r="AD63" s="207"/>
      <c r="AE63" s="207"/>
      <c r="AF63" s="207"/>
      <c r="AG63" s="207"/>
      <c r="AH63" s="207"/>
      <c r="AI63" s="207"/>
      <c r="AJ63" s="207"/>
      <c r="AK63" s="207"/>
      <c r="AL63" s="207"/>
      <c r="AM63" s="207"/>
      <c r="AN63" s="207"/>
      <c r="AO63" s="207"/>
      <c r="AP63" s="207"/>
      <c r="AQ63" s="207"/>
      <c r="AR63" s="207"/>
      <c r="AS63" s="207"/>
      <c r="AT63" s="207"/>
      <c r="AU63" s="207"/>
      <c r="AV63" s="207"/>
      <c r="AW63" s="207"/>
      <c r="AX63" s="207"/>
      <c r="AY63" s="207"/>
      <c r="AZ63" s="207"/>
      <c r="BA63" s="207"/>
      <c r="BB63" s="207"/>
      <c r="BC63" s="207"/>
      <c r="BD63" s="207"/>
      <c r="BE63" s="207"/>
      <c r="BF63" s="207"/>
      <c r="BG63" s="207"/>
      <c r="BH63" s="207"/>
      <c r="BI63" s="207"/>
      <c r="BJ63" s="207"/>
      <c r="BK63" s="207"/>
      <c r="BL63" s="207"/>
      <c r="BM63" s="207"/>
      <c r="BN63" s="207"/>
      <c r="BO63" s="207"/>
      <c r="BP63" s="207"/>
      <c r="BQ63" s="207"/>
      <c r="BR63" s="207"/>
      <c r="BS63" s="207"/>
      <c r="BT63" s="207"/>
      <c r="BU63" s="207"/>
      <c r="BV63" s="207"/>
      <c r="BW63" s="207"/>
      <c r="BX63" s="207"/>
      <c r="BY63" s="207"/>
      <c r="BZ63" s="207"/>
      <c r="CA63" s="207"/>
      <c r="CB63" s="207"/>
      <c r="CC63" s="207"/>
      <c r="CD63" s="207"/>
      <c r="CE63" s="207"/>
      <c r="CF63" s="207"/>
      <c r="CG63" s="207"/>
      <c r="CH63" s="207"/>
      <c r="CI63" s="207"/>
      <c r="CJ63" s="207"/>
      <c r="CK63" s="207"/>
      <c r="CL63" s="207"/>
      <c r="CM63" s="207"/>
      <c r="CN63" s="207"/>
      <c r="CO63" s="207"/>
      <c r="CP63" s="207"/>
      <c r="CQ63" s="207"/>
      <c r="CR63" s="207"/>
      <c r="CS63" s="207"/>
      <c r="CT63" s="207"/>
      <c r="CU63" s="207"/>
      <c r="CV63" s="207"/>
      <c r="CW63" s="207"/>
      <c r="CX63" s="207"/>
      <c r="CY63" s="207"/>
      <c r="CZ63" s="207"/>
      <c r="DA63" s="207"/>
      <c r="DB63" s="207"/>
      <c r="DC63" s="207"/>
      <c r="DD63" s="207"/>
      <c r="DE63" s="207"/>
      <c r="DF63" s="207"/>
      <c r="DG63" s="207"/>
      <c r="DH63" s="207"/>
      <c r="DI63" s="207"/>
      <c r="DJ63" s="207"/>
      <c r="DK63" s="207"/>
      <c r="DL63" s="207"/>
      <c r="DM63" s="207"/>
      <c r="DN63" s="207"/>
      <c r="DO63" s="207"/>
      <c r="DP63" s="207"/>
      <c r="DQ63" s="207"/>
      <c r="DR63" s="207"/>
      <c r="DS63" s="207"/>
      <c r="DT63" s="207"/>
      <c r="DU63" s="207"/>
      <c r="DV63" s="207"/>
      <c r="DW63" s="207"/>
      <c r="DX63" s="207"/>
      <c r="DY63" s="207"/>
      <c r="DZ63" s="207"/>
      <c r="EA63" s="207"/>
      <c r="EB63" s="207"/>
      <c r="EC63" s="207"/>
      <c r="ED63" s="207"/>
      <c r="EE63" s="207"/>
      <c r="EF63" s="207"/>
      <c r="EG63" s="207"/>
      <c r="EH63" s="207"/>
      <c r="EI63" s="207"/>
      <c r="EJ63" s="207"/>
      <c r="EK63" s="207"/>
      <c r="EL63" s="207"/>
      <c r="EM63" s="207"/>
      <c r="EN63" s="207"/>
      <c r="EO63" s="207"/>
      <c r="EP63" s="207"/>
      <c r="EQ63" s="207"/>
      <c r="ER63" s="207"/>
      <c r="ES63" s="207"/>
      <c r="ET63" s="207"/>
      <c r="EU63" s="207"/>
      <c r="EV63" s="207"/>
      <c r="EW63" s="207"/>
      <c r="EX63" s="207"/>
      <c r="EY63" s="207"/>
      <c r="EZ63" s="207"/>
      <c r="FA63" s="207"/>
      <c r="FB63" s="207"/>
      <c r="FC63" s="207"/>
      <c r="FD63" s="207"/>
      <c r="FE63" s="207"/>
      <c r="FF63" s="207"/>
      <c r="FG63" s="207"/>
      <c r="FH63" s="207"/>
      <c r="FI63" s="207"/>
      <c r="FJ63" s="207"/>
      <c r="FK63" s="207"/>
      <c r="FL63" s="207"/>
      <c r="FM63" s="207"/>
      <c r="FN63" s="207"/>
      <c r="FO63" s="207"/>
      <c r="FP63" s="207"/>
      <c r="FQ63" s="207"/>
      <c r="FR63" s="207"/>
      <c r="FS63" s="208"/>
      <c r="FT63" s="156"/>
    </row>
    <row r="64" spans="1:176" ht="45" outlineLevel="1">
      <c r="A64" s="206" t="s">
        <v>1307</v>
      </c>
      <c r="B64" s="200" t="s">
        <v>81</v>
      </c>
      <c r="C64" s="34" t="s">
        <v>1308</v>
      </c>
      <c r="D64" s="34" t="s">
        <v>1309</v>
      </c>
      <c r="E64" s="34"/>
      <c r="F64" s="34"/>
      <c r="G64" s="34"/>
      <c r="H64" s="35" t="s">
        <v>488</v>
      </c>
      <c r="I64" s="38"/>
      <c r="J64" s="38"/>
      <c r="K64" s="38"/>
      <c r="L64" s="38"/>
      <c r="M64" s="38"/>
      <c r="N64" s="38"/>
      <c r="O64" s="38"/>
      <c r="P64" s="38"/>
      <c r="Q64" s="38"/>
      <c r="R64" s="177">
        <f t="shared" si="11"/>
        <v>0</v>
      </c>
      <c r="S64" s="202">
        <f t="shared" si="13"/>
        <v>0</v>
      </c>
      <c r="T64" s="202">
        <f t="shared" si="14"/>
        <v>0</v>
      </c>
      <c r="U64" s="18"/>
      <c r="V64" s="206" t="str">
        <f t="shared" si="5"/>
        <v>2-4</v>
      </c>
      <c r="W64" s="215" t="str">
        <f t="shared" si="12"/>
        <v>Mock up solution</v>
      </c>
      <c r="X64" s="110"/>
      <c r="Y64" s="109"/>
      <c r="Z64" s="207"/>
      <c r="AA64" s="207"/>
      <c r="AB64" s="207"/>
      <c r="AC64" s="207"/>
      <c r="AD64" s="207"/>
      <c r="AE64" s="207"/>
      <c r="AF64" s="207"/>
      <c r="AG64" s="207"/>
      <c r="AH64" s="207"/>
      <c r="AI64" s="207"/>
      <c r="AJ64" s="207"/>
      <c r="AK64" s="207"/>
      <c r="AL64" s="207"/>
      <c r="AM64" s="207"/>
      <c r="AN64" s="207"/>
      <c r="AO64" s="207"/>
      <c r="AP64" s="207"/>
      <c r="AQ64" s="207"/>
      <c r="AR64" s="207"/>
      <c r="AS64" s="207"/>
      <c r="AT64" s="207"/>
      <c r="AU64" s="207"/>
      <c r="AV64" s="207"/>
      <c r="AW64" s="207"/>
      <c r="AX64" s="207"/>
      <c r="AY64" s="207"/>
      <c r="AZ64" s="207"/>
      <c r="BA64" s="207"/>
      <c r="BB64" s="207"/>
      <c r="BC64" s="207"/>
      <c r="BD64" s="207"/>
      <c r="BE64" s="207"/>
      <c r="BF64" s="207"/>
      <c r="BG64" s="207"/>
      <c r="BH64" s="207"/>
      <c r="BI64" s="207"/>
      <c r="BJ64" s="207"/>
      <c r="BK64" s="207"/>
      <c r="BL64" s="207"/>
      <c r="BM64" s="207"/>
      <c r="BN64" s="207"/>
      <c r="BO64" s="207"/>
      <c r="BP64" s="207"/>
      <c r="BQ64" s="207"/>
      <c r="BR64" s="207"/>
      <c r="BS64" s="207"/>
      <c r="BT64" s="207"/>
      <c r="BU64" s="207"/>
      <c r="BV64" s="207"/>
      <c r="BW64" s="207"/>
      <c r="BX64" s="207"/>
      <c r="BY64" s="207"/>
      <c r="BZ64" s="207"/>
      <c r="CA64" s="207"/>
      <c r="CB64" s="207"/>
      <c r="CC64" s="207"/>
      <c r="CD64" s="207"/>
      <c r="CE64" s="207"/>
      <c r="CF64" s="207"/>
      <c r="CG64" s="207"/>
      <c r="CH64" s="207"/>
      <c r="CI64" s="207"/>
      <c r="CJ64" s="207"/>
      <c r="CK64" s="207"/>
      <c r="CL64" s="207"/>
      <c r="CM64" s="207"/>
      <c r="CN64" s="207"/>
      <c r="CO64" s="207"/>
      <c r="CP64" s="207"/>
      <c r="CQ64" s="207"/>
      <c r="CR64" s="207"/>
      <c r="CS64" s="207"/>
      <c r="CT64" s="207"/>
      <c r="CU64" s="207"/>
      <c r="CV64" s="207"/>
      <c r="CW64" s="207"/>
      <c r="CX64" s="207"/>
      <c r="CY64" s="207"/>
      <c r="CZ64" s="207"/>
      <c r="DA64" s="207"/>
      <c r="DB64" s="207"/>
      <c r="DC64" s="207"/>
      <c r="DD64" s="207"/>
      <c r="DE64" s="207"/>
      <c r="DF64" s="207"/>
      <c r="DG64" s="207"/>
      <c r="DH64" s="207"/>
      <c r="DI64" s="207"/>
      <c r="DJ64" s="207"/>
      <c r="DK64" s="207"/>
      <c r="DL64" s="207"/>
      <c r="DM64" s="207"/>
      <c r="DN64" s="207"/>
      <c r="DO64" s="207"/>
      <c r="DP64" s="207"/>
      <c r="DQ64" s="207"/>
      <c r="DR64" s="207"/>
      <c r="DS64" s="207"/>
      <c r="DT64" s="207"/>
      <c r="DU64" s="207"/>
      <c r="DV64" s="207"/>
      <c r="DW64" s="207"/>
      <c r="DX64" s="207"/>
      <c r="DY64" s="207"/>
      <c r="DZ64" s="207"/>
      <c r="EA64" s="207"/>
      <c r="EB64" s="207"/>
      <c r="EC64" s="207"/>
      <c r="ED64" s="207"/>
      <c r="EE64" s="207"/>
      <c r="EF64" s="207"/>
      <c r="EG64" s="207"/>
      <c r="EH64" s="207"/>
      <c r="EI64" s="207"/>
      <c r="EJ64" s="207"/>
      <c r="EK64" s="207"/>
      <c r="EL64" s="207"/>
      <c r="EM64" s="207"/>
      <c r="EN64" s="207"/>
      <c r="EO64" s="207"/>
      <c r="EP64" s="207"/>
      <c r="EQ64" s="207"/>
      <c r="ER64" s="207"/>
      <c r="ES64" s="207"/>
      <c r="ET64" s="207"/>
      <c r="EU64" s="207"/>
      <c r="EV64" s="207"/>
      <c r="EW64" s="207"/>
      <c r="EX64" s="207"/>
      <c r="EY64" s="207"/>
      <c r="EZ64" s="207"/>
      <c r="FA64" s="207"/>
      <c r="FB64" s="207"/>
      <c r="FC64" s="207"/>
      <c r="FD64" s="207"/>
      <c r="FE64" s="207"/>
      <c r="FF64" s="207"/>
      <c r="FG64" s="207"/>
      <c r="FH64" s="207"/>
      <c r="FI64" s="207"/>
      <c r="FJ64" s="207"/>
      <c r="FK64" s="207"/>
      <c r="FL64" s="207"/>
      <c r="FM64" s="207"/>
      <c r="FN64" s="207"/>
      <c r="FO64" s="207"/>
      <c r="FP64" s="207"/>
      <c r="FQ64" s="207"/>
      <c r="FR64" s="207"/>
      <c r="FS64" s="208"/>
      <c r="FT64" s="156"/>
    </row>
    <row r="65" spans="1:176" ht="120" outlineLevel="1">
      <c r="A65" s="206" t="s">
        <v>1310</v>
      </c>
      <c r="B65" s="200" t="s">
        <v>81</v>
      </c>
      <c r="C65" s="34" t="s">
        <v>1311</v>
      </c>
      <c r="D65" s="34" t="s">
        <v>1312</v>
      </c>
      <c r="E65" s="34" t="s">
        <v>1133</v>
      </c>
      <c r="F65" s="34"/>
      <c r="G65" s="34"/>
      <c r="H65" s="35" t="s">
        <v>488</v>
      </c>
      <c r="I65" s="38"/>
      <c r="J65" s="38"/>
      <c r="K65" s="38"/>
      <c r="L65" s="38"/>
      <c r="M65" s="38"/>
      <c r="N65" s="38"/>
      <c r="O65" s="38"/>
      <c r="P65" s="38"/>
      <c r="Q65" s="38"/>
      <c r="R65" s="177">
        <f t="shared" si="11"/>
        <v>0</v>
      </c>
      <c r="S65" s="202">
        <f t="shared" si="13"/>
        <v>0</v>
      </c>
      <c r="T65" s="202">
        <f t="shared" si="14"/>
        <v>0</v>
      </c>
      <c r="U65" s="18"/>
      <c r="V65" s="206" t="str">
        <f t="shared" si="5"/>
        <v>2-5</v>
      </c>
      <c r="W65" s="215" t="str">
        <f t="shared" si="12"/>
        <v>Develop draft Design Approach document</v>
      </c>
      <c r="X65" s="110"/>
      <c r="Y65" s="109"/>
      <c r="Z65" s="207"/>
      <c r="AA65" s="207"/>
      <c r="AB65" s="207"/>
      <c r="AC65" s="207"/>
      <c r="AD65" s="207"/>
      <c r="AE65" s="207"/>
      <c r="AF65" s="207"/>
      <c r="AG65" s="207"/>
      <c r="AH65" s="207"/>
      <c r="AI65" s="207"/>
      <c r="AJ65" s="207"/>
      <c r="AK65" s="207"/>
      <c r="AL65" s="207"/>
      <c r="AM65" s="207"/>
      <c r="AN65" s="207"/>
      <c r="AO65" s="207"/>
      <c r="AP65" s="207"/>
      <c r="AQ65" s="207"/>
      <c r="AR65" s="207"/>
      <c r="AS65" s="207"/>
      <c r="AT65" s="207"/>
      <c r="AU65" s="207"/>
      <c r="AV65" s="207"/>
      <c r="AW65" s="207"/>
      <c r="AX65" s="207"/>
      <c r="AY65" s="207"/>
      <c r="AZ65" s="207"/>
      <c r="BA65" s="207"/>
      <c r="BB65" s="207"/>
      <c r="BC65" s="207"/>
      <c r="BD65" s="207"/>
      <c r="BE65" s="207"/>
      <c r="BF65" s="207"/>
      <c r="BG65" s="207"/>
      <c r="BH65" s="207"/>
      <c r="BI65" s="207"/>
      <c r="BJ65" s="207"/>
      <c r="BK65" s="207"/>
      <c r="BL65" s="207"/>
      <c r="BM65" s="207"/>
      <c r="BN65" s="207"/>
      <c r="BO65" s="207"/>
      <c r="BP65" s="207"/>
      <c r="BQ65" s="207"/>
      <c r="BR65" s="207"/>
      <c r="BS65" s="207"/>
      <c r="BT65" s="207"/>
      <c r="BU65" s="207"/>
      <c r="BV65" s="207"/>
      <c r="BW65" s="207"/>
      <c r="BX65" s="207"/>
      <c r="BY65" s="207"/>
      <c r="BZ65" s="207"/>
      <c r="CA65" s="207"/>
      <c r="CB65" s="207"/>
      <c r="CC65" s="207"/>
      <c r="CD65" s="207"/>
      <c r="CE65" s="207"/>
      <c r="CF65" s="207"/>
      <c r="CG65" s="207"/>
      <c r="CH65" s="207"/>
      <c r="CI65" s="207"/>
      <c r="CJ65" s="207"/>
      <c r="CK65" s="207"/>
      <c r="CL65" s="207"/>
      <c r="CM65" s="207"/>
      <c r="CN65" s="207"/>
      <c r="CO65" s="207"/>
      <c r="CP65" s="207"/>
      <c r="CQ65" s="207"/>
      <c r="CR65" s="207"/>
      <c r="CS65" s="207"/>
      <c r="CT65" s="207"/>
      <c r="CU65" s="207"/>
      <c r="CV65" s="207"/>
      <c r="CW65" s="207"/>
      <c r="CX65" s="207"/>
      <c r="CY65" s="207"/>
      <c r="CZ65" s="207"/>
      <c r="DA65" s="207"/>
      <c r="DB65" s="207"/>
      <c r="DC65" s="207"/>
      <c r="DD65" s="207"/>
      <c r="DE65" s="207"/>
      <c r="DF65" s="207"/>
      <c r="DG65" s="207"/>
      <c r="DH65" s="207"/>
      <c r="DI65" s="207"/>
      <c r="DJ65" s="207"/>
      <c r="DK65" s="207"/>
      <c r="DL65" s="207"/>
      <c r="DM65" s="207"/>
      <c r="DN65" s="207"/>
      <c r="DO65" s="207"/>
      <c r="DP65" s="207"/>
      <c r="DQ65" s="207"/>
      <c r="DR65" s="207"/>
      <c r="DS65" s="207"/>
      <c r="DT65" s="207"/>
      <c r="DU65" s="207"/>
      <c r="DV65" s="207"/>
      <c r="DW65" s="207"/>
      <c r="DX65" s="207"/>
      <c r="DY65" s="207"/>
      <c r="DZ65" s="207"/>
      <c r="EA65" s="207"/>
      <c r="EB65" s="207"/>
      <c r="EC65" s="207"/>
      <c r="ED65" s="207"/>
      <c r="EE65" s="207"/>
      <c r="EF65" s="207"/>
      <c r="EG65" s="207"/>
      <c r="EH65" s="207"/>
      <c r="EI65" s="207"/>
      <c r="EJ65" s="207"/>
      <c r="EK65" s="207"/>
      <c r="EL65" s="207"/>
      <c r="EM65" s="207"/>
      <c r="EN65" s="207"/>
      <c r="EO65" s="207"/>
      <c r="EP65" s="207"/>
      <c r="EQ65" s="207"/>
      <c r="ER65" s="207"/>
      <c r="ES65" s="207"/>
      <c r="ET65" s="207"/>
      <c r="EU65" s="207"/>
      <c r="EV65" s="207"/>
      <c r="EW65" s="207"/>
      <c r="EX65" s="207"/>
      <c r="EY65" s="207"/>
      <c r="EZ65" s="207"/>
      <c r="FA65" s="207"/>
      <c r="FB65" s="207"/>
      <c r="FC65" s="207"/>
      <c r="FD65" s="207"/>
      <c r="FE65" s="207"/>
      <c r="FF65" s="207"/>
      <c r="FG65" s="207"/>
      <c r="FH65" s="207"/>
      <c r="FI65" s="207"/>
      <c r="FJ65" s="207"/>
      <c r="FK65" s="207"/>
      <c r="FL65" s="207"/>
      <c r="FM65" s="207"/>
      <c r="FN65" s="207"/>
      <c r="FO65" s="207"/>
      <c r="FP65" s="207"/>
      <c r="FQ65" s="207"/>
      <c r="FR65" s="207"/>
      <c r="FS65" s="208"/>
      <c r="FT65" s="156"/>
    </row>
    <row r="66" spans="1:176" ht="15" outlineLevel="1">
      <c r="A66" s="206" t="s">
        <v>1313</v>
      </c>
      <c r="B66" s="200" t="s">
        <v>81</v>
      </c>
      <c r="C66" s="34" t="s">
        <v>1314</v>
      </c>
      <c r="D66" s="34" t="s">
        <v>1315</v>
      </c>
      <c r="E66" s="34"/>
      <c r="F66" s="34"/>
      <c r="G66" s="34"/>
      <c r="H66" s="35" t="s">
        <v>488</v>
      </c>
      <c r="I66" s="38"/>
      <c r="J66" s="38"/>
      <c r="K66" s="38"/>
      <c r="L66" s="38"/>
      <c r="M66" s="38"/>
      <c r="N66" s="38"/>
      <c r="O66" s="38"/>
      <c r="P66" s="38"/>
      <c r="Q66" s="38"/>
      <c r="R66" s="177">
        <f t="shared" si="11"/>
        <v>0</v>
      </c>
      <c r="S66" s="202">
        <f t="shared" si="13"/>
        <v>0</v>
      </c>
      <c r="T66" s="202">
        <f t="shared" si="14"/>
        <v>0</v>
      </c>
      <c r="U66" s="18"/>
      <c r="V66" s="206" t="str">
        <f t="shared" si="5"/>
        <v>2-6</v>
      </c>
      <c r="W66" s="215" t="str">
        <f t="shared" si="12"/>
        <v>Support development of draft user stories</v>
      </c>
      <c r="X66" s="110"/>
      <c r="Y66" s="109"/>
      <c r="Z66" s="207"/>
      <c r="AA66" s="207"/>
      <c r="AB66" s="207"/>
      <c r="AC66" s="207"/>
      <c r="AD66" s="207"/>
      <c r="AE66" s="207"/>
      <c r="AF66" s="207"/>
      <c r="AG66" s="207"/>
      <c r="AH66" s="207"/>
      <c r="AI66" s="207"/>
      <c r="AJ66" s="207"/>
      <c r="AK66" s="207"/>
      <c r="AL66" s="207"/>
      <c r="AM66" s="207"/>
      <c r="AN66" s="207"/>
      <c r="AO66" s="207"/>
      <c r="AP66" s="207"/>
      <c r="AQ66" s="207"/>
      <c r="AR66" s="207"/>
      <c r="AS66" s="207"/>
      <c r="AT66" s="207"/>
      <c r="AU66" s="207"/>
      <c r="AV66" s="207"/>
      <c r="AW66" s="207"/>
      <c r="AX66" s="207"/>
      <c r="AY66" s="207"/>
      <c r="AZ66" s="207"/>
      <c r="BA66" s="207"/>
      <c r="BB66" s="207"/>
      <c r="BC66" s="207"/>
      <c r="BD66" s="207"/>
      <c r="BE66" s="207"/>
      <c r="BF66" s="207"/>
      <c r="BG66" s="207"/>
      <c r="BH66" s="207"/>
      <c r="BI66" s="207"/>
      <c r="BJ66" s="207"/>
      <c r="BK66" s="207"/>
      <c r="BL66" s="207"/>
      <c r="BM66" s="207"/>
      <c r="BN66" s="207"/>
      <c r="BO66" s="207"/>
      <c r="BP66" s="207"/>
      <c r="BQ66" s="207"/>
      <c r="BR66" s="207"/>
      <c r="BS66" s="207"/>
      <c r="BT66" s="207"/>
      <c r="BU66" s="207"/>
      <c r="BV66" s="207"/>
      <c r="BW66" s="207"/>
      <c r="BX66" s="207"/>
      <c r="BY66" s="207"/>
      <c r="BZ66" s="207"/>
      <c r="CA66" s="207"/>
      <c r="CB66" s="207"/>
      <c r="CC66" s="207"/>
      <c r="CD66" s="207"/>
      <c r="CE66" s="207"/>
      <c r="CF66" s="207"/>
      <c r="CG66" s="207"/>
      <c r="CH66" s="207"/>
      <c r="CI66" s="207"/>
      <c r="CJ66" s="207"/>
      <c r="CK66" s="207"/>
      <c r="CL66" s="207"/>
      <c r="CM66" s="207"/>
      <c r="CN66" s="207"/>
      <c r="CO66" s="207"/>
      <c r="CP66" s="207"/>
      <c r="CQ66" s="207"/>
      <c r="CR66" s="207"/>
      <c r="CS66" s="207"/>
      <c r="CT66" s="207"/>
      <c r="CU66" s="207"/>
      <c r="CV66" s="207"/>
      <c r="CW66" s="207"/>
      <c r="CX66" s="207"/>
      <c r="CY66" s="207"/>
      <c r="CZ66" s="207"/>
      <c r="DA66" s="207"/>
      <c r="DB66" s="207"/>
      <c r="DC66" s="207"/>
      <c r="DD66" s="207"/>
      <c r="DE66" s="207"/>
      <c r="DF66" s="207"/>
      <c r="DG66" s="207"/>
      <c r="DH66" s="207"/>
      <c r="DI66" s="207"/>
      <c r="DJ66" s="207"/>
      <c r="DK66" s="207"/>
      <c r="DL66" s="207"/>
      <c r="DM66" s="207"/>
      <c r="DN66" s="207"/>
      <c r="DO66" s="207"/>
      <c r="DP66" s="207"/>
      <c r="DQ66" s="207"/>
      <c r="DR66" s="207"/>
      <c r="DS66" s="207"/>
      <c r="DT66" s="207"/>
      <c r="DU66" s="207"/>
      <c r="DV66" s="207"/>
      <c r="DW66" s="207"/>
      <c r="DX66" s="207"/>
      <c r="DY66" s="207"/>
      <c r="DZ66" s="207"/>
      <c r="EA66" s="207"/>
      <c r="EB66" s="207"/>
      <c r="EC66" s="207"/>
      <c r="ED66" s="207"/>
      <c r="EE66" s="207"/>
      <c r="EF66" s="207"/>
      <c r="EG66" s="207"/>
      <c r="EH66" s="207"/>
      <c r="EI66" s="207"/>
      <c r="EJ66" s="207"/>
      <c r="EK66" s="207"/>
      <c r="EL66" s="207"/>
      <c r="EM66" s="207"/>
      <c r="EN66" s="207"/>
      <c r="EO66" s="207"/>
      <c r="EP66" s="207"/>
      <c r="EQ66" s="207"/>
      <c r="ER66" s="207"/>
      <c r="ES66" s="207"/>
      <c r="ET66" s="207"/>
      <c r="EU66" s="207"/>
      <c r="EV66" s="207"/>
      <c r="EW66" s="207"/>
      <c r="EX66" s="207"/>
      <c r="EY66" s="207"/>
      <c r="EZ66" s="207"/>
      <c r="FA66" s="207"/>
      <c r="FB66" s="207"/>
      <c r="FC66" s="207"/>
      <c r="FD66" s="207"/>
      <c r="FE66" s="207"/>
      <c r="FF66" s="207"/>
      <c r="FG66" s="207"/>
      <c r="FH66" s="207"/>
      <c r="FI66" s="207"/>
      <c r="FJ66" s="207"/>
      <c r="FK66" s="207"/>
      <c r="FL66" s="207"/>
      <c r="FM66" s="207"/>
      <c r="FN66" s="207"/>
      <c r="FO66" s="207"/>
      <c r="FP66" s="207"/>
      <c r="FQ66" s="207"/>
      <c r="FR66" s="207"/>
      <c r="FS66" s="208"/>
      <c r="FT66" s="156"/>
    </row>
    <row r="67" spans="1:176" ht="15" outlineLevel="1">
      <c r="A67" s="206" t="s">
        <v>1316</v>
      </c>
      <c r="B67" s="200" t="s">
        <v>81</v>
      </c>
      <c r="C67" s="34"/>
      <c r="D67" s="34"/>
      <c r="E67" s="34"/>
      <c r="F67" s="34"/>
      <c r="G67" s="34"/>
      <c r="H67" s="35" t="s">
        <v>488</v>
      </c>
      <c r="I67" s="38"/>
      <c r="J67" s="38"/>
      <c r="K67" s="38"/>
      <c r="L67" s="38"/>
      <c r="M67" s="38"/>
      <c r="N67" s="38"/>
      <c r="O67" s="38"/>
      <c r="P67" s="38"/>
      <c r="Q67" s="38"/>
      <c r="R67" s="177">
        <f t="shared" si="11"/>
        <v>0</v>
      </c>
      <c r="S67" s="202">
        <f t="shared" si="13"/>
        <v>0</v>
      </c>
      <c r="T67" s="202">
        <f t="shared" si="14"/>
        <v>0</v>
      </c>
      <c r="U67" s="18"/>
      <c r="V67" s="206" t="str">
        <f t="shared" si="5"/>
        <v>2-7</v>
      </c>
      <c r="W67" s="215" t="str">
        <f t="shared" si="12"/>
        <v/>
      </c>
      <c r="X67" s="110"/>
      <c r="Y67" s="109"/>
      <c r="Z67" s="207"/>
      <c r="AA67" s="207"/>
      <c r="AB67" s="207"/>
      <c r="AC67" s="207"/>
      <c r="AD67" s="207"/>
      <c r="AE67" s="207"/>
      <c r="AF67" s="207"/>
      <c r="AG67" s="207"/>
      <c r="AH67" s="207"/>
      <c r="AI67" s="207"/>
      <c r="AJ67" s="207"/>
      <c r="AK67" s="207"/>
      <c r="AL67" s="207"/>
      <c r="AM67" s="207"/>
      <c r="AN67" s="207"/>
      <c r="AO67" s="207"/>
      <c r="AP67" s="207"/>
      <c r="AQ67" s="207"/>
      <c r="AR67" s="207"/>
      <c r="AS67" s="207"/>
      <c r="AT67" s="207"/>
      <c r="AU67" s="207"/>
      <c r="AV67" s="207"/>
      <c r="AW67" s="207"/>
      <c r="AX67" s="207"/>
      <c r="AY67" s="207"/>
      <c r="AZ67" s="207"/>
      <c r="BA67" s="207"/>
      <c r="BB67" s="207"/>
      <c r="BC67" s="207"/>
      <c r="BD67" s="207"/>
      <c r="BE67" s="207"/>
      <c r="BF67" s="207"/>
      <c r="BG67" s="207"/>
      <c r="BH67" s="207"/>
      <c r="BI67" s="207"/>
      <c r="BJ67" s="207"/>
      <c r="BK67" s="207"/>
      <c r="BL67" s="207"/>
      <c r="BM67" s="207"/>
      <c r="BN67" s="207"/>
      <c r="BO67" s="207"/>
      <c r="BP67" s="207"/>
      <c r="BQ67" s="207"/>
      <c r="BR67" s="207"/>
      <c r="BS67" s="207"/>
      <c r="BT67" s="207"/>
      <c r="BU67" s="207"/>
      <c r="BV67" s="207"/>
      <c r="BW67" s="207"/>
      <c r="BX67" s="207"/>
      <c r="BY67" s="207"/>
      <c r="BZ67" s="207"/>
      <c r="CA67" s="207"/>
      <c r="CB67" s="207"/>
      <c r="CC67" s="207"/>
      <c r="CD67" s="207"/>
      <c r="CE67" s="207"/>
      <c r="CF67" s="207"/>
      <c r="CG67" s="207"/>
      <c r="CH67" s="207"/>
      <c r="CI67" s="207"/>
      <c r="CJ67" s="207"/>
      <c r="CK67" s="207"/>
      <c r="CL67" s="207"/>
      <c r="CM67" s="207"/>
      <c r="CN67" s="207"/>
      <c r="CO67" s="207"/>
      <c r="CP67" s="207"/>
      <c r="CQ67" s="207"/>
      <c r="CR67" s="207"/>
      <c r="CS67" s="207"/>
      <c r="CT67" s="207"/>
      <c r="CU67" s="207"/>
      <c r="CV67" s="207"/>
      <c r="CW67" s="207"/>
      <c r="CX67" s="207"/>
      <c r="CY67" s="207"/>
      <c r="CZ67" s="207"/>
      <c r="DA67" s="207"/>
      <c r="DB67" s="207"/>
      <c r="DC67" s="207"/>
      <c r="DD67" s="207"/>
      <c r="DE67" s="207"/>
      <c r="DF67" s="207"/>
      <c r="DG67" s="207"/>
      <c r="DH67" s="207"/>
      <c r="DI67" s="207"/>
      <c r="DJ67" s="207"/>
      <c r="DK67" s="207"/>
      <c r="DL67" s="207"/>
      <c r="DM67" s="207"/>
      <c r="DN67" s="207"/>
      <c r="DO67" s="207"/>
      <c r="DP67" s="207"/>
      <c r="DQ67" s="207"/>
      <c r="DR67" s="207"/>
      <c r="DS67" s="207"/>
      <c r="DT67" s="207"/>
      <c r="DU67" s="207"/>
      <c r="DV67" s="207"/>
      <c r="DW67" s="207"/>
      <c r="DX67" s="207"/>
      <c r="DY67" s="207"/>
      <c r="DZ67" s="207"/>
      <c r="EA67" s="207"/>
      <c r="EB67" s="207"/>
      <c r="EC67" s="207"/>
      <c r="ED67" s="207"/>
      <c r="EE67" s="207"/>
      <c r="EF67" s="207"/>
      <c r="EG67" s="207"/>
      <c r="EH67" s="207"/>
      <c r="EI67" s="207"/>
      <c r="EJ67" s="207"/>
      <c r="EK67" s="207"/>
      <c r="EL67" s="207"/>
      <c r="EM67" s="207"/>
      <c r="EN67" s="207"/>
      <c r="EO67" s="207"/>
      <c r="EP67" s="207"/>
      <c r="EQ67" s="207"/>
      <c r="ER67" s="207"/>
      <c r="ES67" s="207"/>
      <c r="ET67" s="207"/>
      <c r="EU67" s="207"/>
      <c r="EV67" s="207"/>
      <c r="EW67" s="207"/>
      <c r="EX67" s="207"/>
      <c r="EY67" s="207"/>
      <c r="EZ67" s="207"/>
      <c r="FA67" s="207"/>
      <c r="FB67" s="207"/>
      <c r="FC67" s="207"/>
      <c r="FD67" s="207"/>
      <c r="FE67" s="207"/>
      <c r="FF67" s="207"/>
      <c r="FG67" s="207"/>
      <c r="FH67" s="207"/>
      <c r="FI67" s="207"/>
      <c r="FJ67" s="207"/>
      <c r="FK67" s="207"/>
      <c r="FL67" s="207"/>
      <c r="FM67" s="207"/>
      <c r="FN67" s="207"/>
      <c r="FO67" s="207"/>
      <c r="FP67" s="207"/>
      <c r="FQ67" s="207"/>
      <c r="FR67" s="207"/>
      <c r="FS67" s="208"/>
      <c r="FT67" s="156"/>
    </row>
    <row r="68" spans="1:176" ht="15" outlineLevel="1">
      <c r="A68" s="206" t="s">
        <v>1317</v>
      </c>
      <c r="B68" s="200" t="s">
        <v>81</v>
      </c>
      <c r="C68" s="34"/>
      <c r="D68" s="34"/>
      <c r="E68" s="34"/>
      <c r="F68" s="34"/>
      <c r="G68" s="34"/>
      <c r="H68" s="35" t="s">
        <v>488</v>
      </c>
      <c r="I68" s="38"/>
      <c r="J68" s="38"/>
      <c r="K68" s="38"/>
      <c r="L68" s="38"/>
      <c r="M68" s="38"/>
      <c r="N68" s="38"/>
      <c r="O68" s="38"/>
      <c r="P68" s="38"/>
      <c r="Q68" s="38"/>
      <c r="R68" s="177">
        <f t="shared" si="11"/>
        <v>0</v>
      </c>
      <c r="S68" s="202">
        <f t="shared" si="13"/>
        <v>0</v>
      </c>
      <c r="T68" s="202">
        <f t="shared" si="14"/>
        <v>0</v>
      </c>
      <c r="U68" s="18"/>
      <c r="V68" s="206" t="str">
        <f t="shared" si="5"/>
        <v>2-8</v>
      </c>
      <c r="W68" s="215" t="str">
        <f t="shared" si="12"/>
        <v/>
      </c>
      <c r="X68" s="110"/>
      <c r="Y68" s="109"/>
      <c r="Z68" s="207"/>
      <c r="AA68" s="207"/>
      <c r="AB68" s="207"/>
      <c r="AC68" s="207"/>
      <c r="AD68" s="207"/>
      <c r="AE68" s="207"/>
      <c r="AF68" s="207"/>
      <c r="AG68" s="207"/>
      <c r="AH68" s="207"/>
      <c r="AI68" s="207"/>
      <c r="AJ68" s="207"/>
      <c r="AK68" s="207"/>
      <c r="AL68" s="207"/>
      <c r="AM68" s="207"/>
      <c r="AN68" s="207"/>
      <c r="AO68" s="207"/>
      <c r="AP68" s="207"/>
      <c r="AQ68" s="207"/>
      <c r="AR68" s="207"/>
      <c r="AS68" s="207"/>
      <c r="AT68" s="207"/>
      <c r="AU68" s="207"/>
      <c r="AV68" s="207"/>
      <c r="AW68" s="207"/>
      <c r="AX68" s="207"/>
      <c r="AY68" s="207"/>
      <c r="AZ68" s="207"/>
      <c r="BA68" s="207"/>
      <c r="BB68" s="207"/>
      <c r="BC68" s="207"/>
      <c r="BD68" s="207"/>
      <c r="BE68" s="207"/>
      <c r="BF68" s="207"/>
      <c r="BG68" s="207"/>
      <c r="BH68" s="207"/>
      <c r="BI68" s="207"/>
      <c r="BJ68" s="207"/>
      <c r="BK68" s="207"/>
      <c r="BL68" s="207"/>
      <c r="BM68" s="207"/>
      <c r="BN68" s="207"/>
      <c r="BO68" s="207"/>
      <c r="BP68" s="207"/>
      <c r="BQ68" s="207"/>
      <c r="BR68" s="207"/>
      <c r="BS68" s="207"/>
      <c r="BT68" s="207"/>
      <c r="BU68" s="207"/>
      <c r="BV68" s="207"/>
      <c r="BW68" s="207"/>
      <c r="BX68" s="207"/>
      <c r="BY68" s="207"/>
      <c r="BZ68" s="207"/>
      <c r="CA68" s="207"/>
      <c r="CB68" s="207"/>
      <c r="CC68" s="207"/>
      <c r="CD68" s="207"/>
      <c r="CE68" s="207"/>
      <c r="CF68" s="207"/>
      <c r="CG68" s="207"/>
      <c r="CH68" s="207"/>
      <c r="CI68" s="207"/>
      <c r="CJ68" s="207"/>
      <c r="CK68" s="207"/>
      <c r="CL68" s="207"/>
      <c r="CM68" s="207"/>
      <c r="CN68" s="207"/>
      <c r="CO68" s="207"/>
      <c r="CP68" s="207"/>
      <c r="CQ68" s="207"/>
      <c r="CR68" s="207"/>
      <c r="CS68" s="207"/>
      <c r="CT68" s="207"/>
      <c r="CU68" s="207"/>
      <c r="CV68" s="207"/>
      <c r="CW68" s="207"/>
      <c r="CX68" s="207"/>
      <c r="CY68" s="207"/>
      <c r="CZ68" s="207"/>
      <c r="DA68" s="207"/>
      <c r="DB68" s="207"/>
      <c r="DC68" s="207"/>
      <c r="DD68" s="207"/>
      <c r="DE68" s="207"/>
      <c r="DF68" s="207"/>
      <c r="DG68" s="207"/>
      <c r="DH68" s="207"/>
      <c r="DI68" s="207"/>
      <c r="DJ68" s="207"/>
      <c r="DK68" s="207"/>
      <c r="DL68" s="207"/>
      <c r="DM68" s="207"/>
      <c r="DN68" s="207"/>
      <c r="DO68" s="207"/>
      <c r="DP68" s="207"/>
      <c r="DQ68" s="207"/>
      <c r="DR68" s="207"/>
      <c r="DS68" s="207"/>
      <c r="DT68" s="207"/>
      <c r="DU68" s="207"/>
      <c r="DV68" s="207"/>
      <c r="DW68" s="207"/>
      <c r="DX68" s="207"/>
      <c r="DY68" s="207"/>
      <c r="DZ68" s="207"/>
      <c r="EA68" s="207"/>
      <c r="EB68" s="207"/>
      <c r="EC68" s="207"/>
      <c r="ED68" s="207"/>
      <c r="EE68" s="207"/>
      <c r="EF68" s="207"/>
      <c r="EG68" s="207"/>
      <c r="EH68" s="207"/>
      <c r="EI68" s="207"/>
      <c r="EJ68" s="207"/>
      <c r="EK68" s="207"/>
      <c r="EL68" s="207"/>
      <c r="EM68" s="207"/>
      <c r="EN68" s="207"/>
      <c r="EO68" s="207"/>
      <c r="EP68" s="207"/>
      <c r="EQ68" s="207"/>
      <c r="ER68" s="207"/>
      <c r="ES68" s="207"/>
      <c r="ET68" s="207"/>
      <c r="EU68" s="207"/>
      <c r="EV68" s="207"/>
      <c r="EW68" s="207"/>
      <c r="EX68" s="207"/>
      <c r="EY68" s="207"/>
      <c r="EZ68" s="207"/>
      <c r="FA68" s="207"/>
      <c r="FB68" s="207"/>
      <c r="FC68" s="207"/>
      <c r="FD68" s="207"/>
      <c r="FE68" s="207"/>
      <c r="FF68" s="207"/>
      <c r="FG68" s="207"/>
      <c r="FH68" s="207"/>
      <c r="FI68" s="207"/>
      <c r="FJ68" s="207"/>
      <c r="FK68" s="207"/>
      <c r="FL68" s="207"/>
      <c r="FM68" s="207"/>
      <c r="FN68" s="207"/>
      <c r="FO68" s="207"/>
      <c r="FP68" s="207"/>
      <c r="FQ68" s="207"/>
      <c r="FR68" s="207"/>
      <c r="FS68" s="208"/>
      <c r="FT68" s="156"/>
    </row>
    <row r="69" spans="1:176" ht="15" outlineLevel="1">
      <c r="A69" s="206" t="s">
        <v>1318</v>
      </c>
      <c r="B69" s="200" t="s">
        <v>81</v>
      </c>
      <c r="C69" s="34"/>
      <c r="D69" s="34"/>
      <c r="E69" s="34"/>
      <c r="F69" s="34"/>
      <c r="G69" s="34"/>
      <c r="H69" s="35" t="s">
        <v>488</v>
      </c>
      <c r="I69" s="38"/>
      <c r="J69" s="38"/>
      <c r="K69" s="38"/>
      <c r="L69" s="38"/>
      <c r="M69" s="38"/>
      <c r="N69" s="38"/>
      <c r="O69" s="38"/>
      <c r="P69" s="38"/>
      <c r="Q69" s="38"/>
      <c r="R69" s="177">
        <f t="shared" si="11"/>
        <v>0</v>
      </c>
      <c r="S69" s="202">
        <f t="shared" si="13"/>
        <v>0</v>
      </c>
      <c r="T69" s="202">
        <f t="shared" si="14"/>
        <v>0</v>
      </c>
      <c r="U69" s="18"/>
      <c r="V69" s="206" t="str">
        <f t="shared" si="5"/>
        <v>2-9</v>
      </c>
      <c r="W69" s="215" t="str">
        <f t="shared" si="12"/>
        <v/>
      </c>
      <c r="X69" s="110"/>
      <c r="Y69" s="109"/>
      <c r="Z69" s="207"/>
      <c r="AA69" s="207"/>
      <c r="AB69" s="207"/>
      <c r="AC69" s="207"/>
      <c r="AD69" s="207"/>
      <c r="AE69" s="207"/>
      <c r="AF69" s="207"/>
      <c r="AG69" s="207"/>
      <c r="AH69" s="207"/>
      <c r="AI69" s="207"/>
      <c r="AJ69" s="207"/>
      <c r="AK69" s="207"/>
      <c r="AL69" s="207"/>
      <c r="AM69" s="207"/>
      <c r="AN69" s="207"/>
      <c r="AO69" s="207"/>
      <c r="AP69" s="207"/>
      <c r="AQ69" s="207"/>
      <c r="AR69" s="207"/>
      <c r="AS69" s="207"/>
      <c r="AT69" s="207"/>
      <c r="AU69" s="207"/>
      <c r="AV69" s="207"/>
      <c r="AW69" s="207"/>
      <c r="AX69" s="207"/>
      <c r="AY69" s="207"/>
      <c r="AZ69" s="207"/>
      <c r="BA69" s="207"/>
      <c r="BB69" s="207"/>
      <c r="BC69" s="207"/>
      <c r="BD69" s="207"/>
      <c r="BE69" s="207"/>
      <c r="BF69" s="207"/>
      <c r="BG69" s="207"/>
      <c r="BH69" s="207"/>
      <c r="BI69" s="207"/>
      <c r="BJ69" s="207"/>
      <c r="BK69" s="207"/>
      <c r="BL69" s="207"/>
      <c r="BM69" s="207"/>
      <c r="BN69" s="207"/>
      <c r="BO69" s="207"/>
      <c r="BP69" s="207"/>
      <c r="BQ69" s="207"/>
      <c r="BR69" s="207"/>
      <c r="BS69" s="207"/>
      <c r="BT69" s="207"/>
      <c r="BU69" s="207"/>
      <c r="BV69" s="207"/>
      <c r="BW69" s="207"/>
      <c r="BX69" s="207"/>
      <c r="BY69" s="207"/>
      <c r="BZ69" s="207"/>
      <c r="CA69" s="207"/>
      <c r="CB69" s="207"/>
      <c r="CC69" s="207"/>
      <c r="CD69" s="207"/>
      <c r="CE69" s="207"/>
      <c r="CF69" s="207"/>
      <c r="CG69" s="207"/>
      <c r="CH69" s="207"/>
      <c r="CI69" s="207"/>
      <c r="CJ69" s="207"/>
      <c r="CK69" s="207"/>
      <c r="CL69" s="207"/>
      <c r="CM69" s="207"/>
      <c r="CN69" s="207"/>
      <c r="CO69" s="207"/>
      <c r="CP69" s="207"/>
      <c r="CQ69" s="207"/>
      <c r="CR69" s="207"/>
      <c r="CS69" s="207"/>
      <c r="CT69" s="207"/>
      <c r="CU69" s="207"/>
      <c r="CV69" s="207"/>
      <c r="CW69" s="207"/>
      <c r="CX69" s="207"/>
      <c r="CY69" s="207"/>
      <c r="CZ69" s="207"/>
      <c r="DA69" s="207"/>
      <c r="DB69" s="207"/>
      <c r="DC69" s="207"/>
      <c r="DD69" s="207"/>
      <c r="DE69" s="207"/>
      <c r="DF69" s="207"/>
      <c r="DG69" s="207"/>
      <c r="DH69" s="207"/>
      <c r="DI69" s="207"/>
      <c r="DJ69" s="207"/>
      <c r="DK69" s="207"/>
      <c r="DL69" s="207"/>
      <c r="DM69" s="207"/>
      <c r="DN69" s="207"/>
      <c r="DO69" s="207"/>
      <c r="DP69" s="207"/>
      <c r="DQ69" s="207"/>
      <c r="DR69" s="207"/>
      <c r="DS69" s="207"/>
      <c r="DT69" s="207"/>
      <c r="DU69" s="207"/>
      <c r="DV69" s="207"/>
      <c r="DW69" s="207"/>
      <c r="DX69" s="207"/>
      <c r="DY69" s="207"/>
      <c r="DZ69" s="207"/>
      <c r="EA69" s="207"/>
      <c r="EB69" s="207"/>
      <c r="EC69" s="207"/>
      <c r="ED69" s="207"/>
      <c r="EE69" s="207"/>
      <c r="EF69" s="207"/>
      <c r="EG69" s="207"/>
      <c r="EH69" s="207"/>
      <c r="EI69" s="207"/>
      <c r="EJ69" s="207"/>
      <c r="EK69" s="207"/>
      <c r="EL69" s="207"/>
      <c r="EM69" s="207"/>
      <c r="EN69" s="207"/>
      <c r="EO69" s="207"/>
      <c r="EP69" s="207"/>
      <c r="EQ69" s="207"/>
      <c r="ER69" s="207"/>
      <c r="ES69" s="207"/>
      <c r="ET69" s="207"/>
      <c r="EU69" s="207"/>
      <c r="EV69" s="207"/>
      <c r="EW69" s="207"/>
      <c r="EX69" s="207"/>
      <c r="EY69" s="207"/>
      <c r="EZ69" s="207"/>
      <c r="FA69" s="207"/>
      <c r="FB69" s="207"/>
      <c r="FC69" s="207"/>
      <c r="FD69" s="207"/>
      <c r="FE69" s="207"/>
      <c r="FF69" s="207"/>
      <c r="FG69" s="207"/>
      <c r="FH69" s="207"/>
      <c r="FI69" s="207"/>
      <c r="FJ69" s="207"/>
      <c r="FK69" s="207"/>
      <c r="FL69" s="207"/>
      <c r="FM69" s="207"/>
      <c r="FN69" s="207"/>
      <c r="FO69" s="207"/>
      <c r="FP69" s="207"/>
      <c r="FQ69" s="207"/>
      <c r="FR69" s="207"/>
      <c r="FS69" s="208"/>
      <c r="FT69" s="156"/>
    </row>
    <row r="70" spans="1:176" ht="15" outlineLevel="1">
      <c r="A70" s="206" t="s">
        <v>1319</v>
      </c>
      <c r="B70" s="200" t="s">
        <v>81</v>
      </c>
      <c r="C70" s="34"/>
      <c r="D70" s="34"/>
      <c r="E70" s="34"/>
      <c r="F70" s="34"/>
      <c r="G70" s="34"/>
      <c r="H70" s="35" t="s">
        <v>488</v>
      </c>
      <c r="I70" s="38"/>
      <c r="J70" s="38"/>
      <c r="K70" s="38"/>
      <c r="L70" s="38"/>
      <c r="M70" s="38"/>
      <c r="N70" s="38"/>
      <c r="O70" s="38"/>
      <c r="P70" s="38"/>
      <c r="Q70" s="38"/>
      <c r="R70" s="177">
        <f t="shared" si="11"/>
        <v>0</v>
      </c>
      <c r="S70" s="202">
        <f t="shared" si="13"/>
        <v>0</v>
      </c>
      <c r="T70" s="202">
        <f t="shared" si="14"/>
        <v>0</v>
      </c>
      <c r="U70" s="18"/>
      <c r="V70" s="206" t="str">
        <f t="shared" si="5"/>
        <v>2-10</v>
      </c>
      <c r="W70" s="215" t="str">
        <f t="shared" si="12"/>
        <v/>
      </c>
      <c r="X70" s="110"/>
      <c r="Y70" s="109"/>
      <c r="Z70" s="207"/>
      <c r="AA70" s="207"/>
      <c r="AB70" s="207"/>
      <c r="AC70" s="207"/>
      <c r="AD70" s="207"/>
      <c r="AE70" s="207"/>
      <c r="AF70" s="207"/>
      <c r="AG70" s="207"/>
      <c r="AH70" s="207"/>
      <c r="AI70" s="207"/>
      <c r="AJ70" s="207"/>
      <c r="AK70" s="207"/>
      <c r="AL70" s="207"/>
      <c r="AM70" s="207"/>
      <c r="AN70" s="207"/>
      <c r="AO70" s="207"/>
      <c r="AP70" s="207"/>
      <c r="AQ70" s="207"/>
      <c r="AR70" s="207"/>
      <c r="AS70" s="207"/>
      <c r="AT70" s="207"/>
      <c r="AU70" s="207"/>
      <c r="AV70" s="207"/>
      <c r="AW70" s="207"/>
      <c r="AX70" s="207"/>
      <c r="AY70" s="207"/>
      <c r="AZ70" s="207"/>
      <c r="BA70" s="207"/>
      <c r="BB70" s="207"/>
      <c r="BC70" s="207"/>
      <c r="BD70" s="207"/>
      <c r="BE70" s="207"/>
      <c r="BF70" s="207"/>
      <c r="BG70" s="207"/>
      <c r="BH70" s="207"/>
      <c r="BI70" s="207"/>
      <c r="BJ70" s="207"/>
      <c r="BK70" s="207"/>
      <c r="BL70" s="207"/>
      <c r="BM70" s="207"/>
      <c r="BN70" s="207"/>
      <c r="BO70" s="207"/>
      <c r="BP70" s="207"/>
      <c r="BQ70" s="207"/>
      <c r="BR70" s="207"/>
      <c r="BS70" s="207"/>
      <c r="BT70" s="207"/>
      <c r="BU70" s="207"/>
      <c r="BV70" s="207"/>
      <c r="BW70" s="207"/>
      <c r="BX70" s="207"/>
      <c r="BY70" s="207"/>
      <c r="BZ70" s="207"/>
      <c r="CA70" s="207"/>
      <c r="CB70" s="207"/>
      <c r="CC70" s="207"/>
      <c r="CD70" s="207"/>
      <c r="CE70" s="207"/>
      <c r="CF70" s="207"/>
      <c r="CG70" s="207"/>
      <c r="CH70" s="207"/>
      <c r="CI70" s="207"/>
      <c r="CJ70" s="207"/>
      <c r="CK70" s="207"/>
      <c r="CL70" s="207"/>
      <c r="CM70" s="207"/>
      <c r="CN70" s="207"/>
      <c r="CO70" s="207"/>
      <c r="CP70" s="207"/>
      <c r="CQ70" s="207"/>
      <c r="CR70" s="207"/>
      <c r="CS70" s="207"/>
      <c r="CT70" s="207"/>
      <c r="CU70" s="207"/>
      <c r="CV70" s="207"/>
      <c r="CW70" s="207"/>
      <c r="CX70" s="207"/>
      <c r="CY70" s="207"/>
      <c r="CZ70" s="207"/>
      <c r="DA70" s="207"/>
      <c r="DB70" s="207"/>
      <c r="DC70" s="207"/>
      <c r="DD70" s="207"/>
      <c r="DE70" s="207"/>
      <c r="DF70" s="207"/>
      <c r="DG70" s="207"/>
      <c r="DH70" s="207"/>
      <c r="DI70" s="207"/>
      <c r="DJ70" s="207"/>
      <c r="DK70" s="207"/>
      <c r="DL70" s="207"/>
      <c r="DM70" s="207"/>
      <c r="DN70" s="207"/>
      <c r="DO70" s="207"/>
      <c r="DP70" s="207"/>
      <c r="DQ70" s="207"/>
      <c r="DR70" s="207"/>
      <c r="DS70" s="207"/>
      <c r="DT70" s="207"/>
      <c r="DU70" s="207"/>
      <c r="DV70" s="207"/>
      <c r="DW70" s="207"/>
      <c r="DX70" s="207"/>
      <c r="DY70" s="207"/>
      <c r="DZ70" s="207"/>
      <c r="EA70" s="207"/>
      <c r="EB70" s="207"/>
      <c r="EC70" s="207"/>
      <c r="ED70" s="207"/>
      <c r="EE70" s="207"/>
      <c r="EF70" s="207"/>
      <c r="EG70" s="207"/>
      <c r="EH70" s="207"/>
      <c r="EI70" s="207"/>
      <c r="EJ70" s="207"/>
      <c r="EK70" s="207"/>
      <c r="EL70" s="207"/>
      <c r="EM70" s="207"/>
      <c r="EN70" s="207"/>
      <c r="EO70" s="207"/>
      <c r="EP70" s="207"/>
      <c r="EQ70" s="207"/>
      <c r="ER70" s="207"/>
      <c r="ES70" s="207"/>
      <c r="ET70" s="207"/>
      <c r="EU70" s="207"/>
      <c r="EV70" s="207"/>
      <c r="EW70" s="207"/>
      <c r="EX70" s="207"/>
      <c r="EY70" s="207"/>
      <c r="EZ70" s="207"/>
      <c r="FA70" s="207"/>
      <c r="FB70" s="207"/>
      <c r="FC70" s="207"/>
      <c r="FD70" s="207"/>
      <c r="FE70" s="207"/>
      <c r="FF70" s="207"/>
      <c r="FG70" s="207"/>
      <c r="FH70" s="207"/>
      <c r="FI70" s="207"/>
      <c r="FJ70" s="207"/>
      <c r="FK70" s="207"/>
      <c r="FL70" s="207"/>
      <c r="FM70" s="207"/>
      <c r="FN70" s="207"/>
      <c r="FO70" s="207"/>
      <c r="FP70" s="207"/>
      <c r="FQ70" s="207"/>
      <c r="FR70" s="207"/>
      <c r="FS70" s="208"/>
      <c r="FT70" s="156"/>
    </row>
    <row r="71" spans="1:176" ht="15" outlineLevel="1">
      <c r="A71" s="206" t="s">
        <v>1320</v>
      </c>
      <c r="B71" s="200" t="s">
        <v>81</v>
      </c>
      <c r="C71" s="34"/>
      <c r="D71" s="34"/>
      <c r="E71" s="34"/>
      <c r="F71" s="34"/>
      <c r="G71" s="34"/>
      <c r="H71" s="35" t="s">
        <v>488</v>
      </c>
      <c r="I71" s="38"/>
      <c r="J71" s="38"/>
      <c r="K71" s="38"/>
      <c r="L71" s="38"/>
      <c r="M71" s="38"/>
      <c r="N71" s="38"/>
      <c r="O71" s="38"/>
      <c r="P71" s="38"/>
      <c r="Q71" s="38"/>
      <c r="R71" s="177">
        <f t="shared" si="11"/>
        <v>0</v>
      </c>
      <c r="S71" s="202">
        <f t="shared" si="13"/>
        <v>0</v>
      </c>
      <c r="T71" s="202">
        <f t="shared" si="14"/>
        <v>0</v>
      </c>
      <c r="U71" s="18"/>
      <c r="V71" s="206" t="str">
        <f t="shared" si="5"/>
        <v>2-11</v>
      </c>
      <c r="W71" s="215" t="str">
        <f t="shared" si="12"/>
        <v/>
      </c>
      <c r="X71" s="110"/>
      <c r="Y71" s="109"/>
      <c r="Z71" s="207"/>
      <c r="AA71" s="207"/>
      <c r="AB71" s="207"/>
      <c r="AC71" s="207"/>
      <c r="AD71" s="207"/>
      <c r="AE71" s="207"/>
      <c r="AF71" s="207"/>
      <c r="AG71" s="207"/>
      <c r="AH71" s="207"/>
      <c r="AI71" s="207"/>
      <c r="AJ71" s="207"/>
      <c r="AK71" s="207"/>
      <c r="AL71" s="207"/>
      <c r="AM71" s="207"/>
      <c r="AN71" s="207"/>
      <c r="AO71" s="207"/>
      <c r="AP71" s="207"/>
      <c r="AQ71" s="207"/>
      <c r="AR71" s="207"/>
      <c r="AS71" s="207"/>
      <c r="AT71" s="207"/>
      <c r="AU71" s="207"/>
      <c r="AV71" s="207"/>
      <c r="AW71" s="207"/>
      <c r="AX71" s="207"/>
      <c r="AY71" s="207"/>
      <c r="AZ71" s="207"/>
      <c r="BA71" s="207"/>
      <c r="BB71" s="207"/>
      <c r="BC71" s="207"/>
      <c r="BD71" s="207"/>
      <c r="BE71" s="207"/>
      <c r="BF71" s="207"/>
      <c r="BG71" s="207"/>
      <c r="BH71" s="207"/>
      <c r="BI71" s="207"/>
      <c r="BJ71" s="207"/>
      <c r="BK71" s="207"/>
      <c r="BL71" s="207"/>
      <c r="BM71" s="207"/>
      <c r="BN71" s="207"/>
      <c r="BO71" s="207"/>
      <c r="BP71" s="207"/>
      <c r="BQ71" s="207"/>
      <c r="BR71" s="207"/>
      <c r="BS71" s="207"/>
      <c r="BT71" s="207"/>
      <c r="BU71" s="207"/>
      <c r="BV71" s="207"/>
      <c r="BW71" s="207"/>
      <c r="BX71" s="207"/>
      <c r="BY71" s="207"/>
      <c r="BZ71" s="207"/>
      <c r="CA71" s="207"/>
      <c r="CB71" s="207"/>
      <c r="CC71" s="207"/>
      <c r="CD71" s="207"/>
      <c r="CE71" s="207"/>
      <c r="CF71" s="207"/>
      <c r="CG71" s="207"/>
      <c r="CH71" s="207"/>
      <c r="CI71" s="207"/>
      <c r="CJ71" s="207"/>
      <c r="CK71" s="207"/>
      <c r="CL71" s="207"/>
      <c r="CM71" s="207"/>
      <c r="CN71" s="207"/>
      <c r="CO71" s="207"/>
      <c r="CP71" s="207"/>
      <c r="CQ71" s="207"/>
      <c r="CR71" s="207"/>
      <c r="CS71" s="207"/>
      <c r="CT71" s="207"/>
      <c r="CU71" s="207"/>
      <c r="CV71" s="207"/>
      <c r="CW71" s="207"/>
      <c r="CX71" s="207"/>
      <c r="CY71" s="207"/>
      <c r="CZ71" s="207"/>
      <c r="DA71" s="207"/>
      <c r="DB71" s="207"/>
      <c r="DC71" s="207"/>
      <c r="DD71" s="207"/>
      <c r="DE71" s="207"/>
      <c r="DF71" s="207"/>
      <c r="DG71" s="207"/>
      <c r="DH71" s="207"/>
      <c r="DI71" s="207"/>
      <c r="DJ71" s="207"/>
      <c r="DK71" s="207"/>
      <c r="DL71" s="207"/>
      <c r="DM71" s="207"/>
      <c r="DN71" s="207"/>
      <c r="DO71" s="207"/>
      <c r="DP71" s="207"/>
      <c r="DQ71" s="207"/>
      <c r="DR71" s="207"/>
      <c r="DS71" s="207"/>
      <c r="DT71" s="207"/>
      <c r="DU71" s="207"/>
      <c r="DV71" s="207"/>
      <c r="DW71" s="207"/>
      <c r="DX71" s="207"/>
      <c r="DY71" s="207"/>
      <c r="DZ71" s="207"/>
      <c r="EA71" s="207"/>
      <c r="EB71" s="207"/>
      <c r="EC71" s="207"/>
      <c r="ED71" s="207"/>
      <c r="EE71" s="207"/>
      <c r="EF71" s="207"/>
      <c r="EG71" s="207"/>
      <c r="EH71" s="207"/>
      <c r="EI71" s="207"/>
      <c r="EJ71" s="207"/>
      <c r="EK71" s="207"/>
      <c r="EL71" s="207"/>
      <c r="EM71" s="207"/>
      <c r="EN71" s="207"/>
      <c r="EO71" s="207"/>
      <c r="EP71" s="207"/>
      <c r="EQ71" s="207"/>
      <c r="ER71" s="207"/>
      <c r="ES71" s="207"/>
      <c r="ET71" s="207"/>
      <c r="EU71" s="207"/>
      <c r="EV71" s="207"/>
      <c r="EW71" s="207"/>
      <c r="EX71" s="207"/>
      <c r="EY71" s="207"/>
      <c r="EZ71" s="207"/>
      <c r="FA71" s="207"/>
      <c r="FB71" s="207"/>
      <c r="FC71" s="207"/>
      <c r="FD71" s="207"/>
      <c r="FE71" s="207"/>
      <c r="FF71" s="207"/>
      <c r="FG71" s="207"/>
      <c r="FH71" s="207"/>
      <c r="FI71" s="207"/>
      <c r="FJ71" s="207"/>
      <c r="FK71" s="207"/>
      <c r="FL71" s="207"/>
      <c r="FM71" s="207"/>
      <c r="FN71" s="207"/>
      <c r="FO71" s="207"/>
      <c r="FP71" s="207"/>
      <c r="FQ71" s="207"/>
      <c r="FR71" s="207"/>
      <c r="FS71" s="208"/>
      <c r="FT71" s="156"/>
    </row>
    <row r="72" spans="1:176" ht="15" outlineLevel="1">
      <c r="A72" s="206" t="s">
        <v>1321</v>
      </c>
      <c r="B72" s="200" t="s">
        <v>81</v>
      </c>
      <c r="C72" s="34"/>
      <c r="D72" s="34"/>
      <c r="E72" s="34"/>
      <c r="F72" s="34"/>
      <c r="G72" s="34"/>
      <c r="H72" s="35" t="s">
        <v>488</v>
      </c>
      <c r="I72" s="38"/>
      <c r="J72" s="38"/>
      <c r="K72" s="38"/>
      <c r="L72" s="38"/>
      <c r="M72" s="38"/>
      <c r="N72" s="38"/>
      <c r="O72" s="38"/>
      <c r="P72" s="38"/>
      <c r="Q72" s="38"/>
      <c r="R72" s="177">
        <f t="shared" si="11"/>
        <v>0</v>
      </c>
      <c r="S72" s="202">
        <f t="shared" si="13"/>
        <v>0</v>
      </c>
      <c r="T72" s="202">
        <f t="shared" si="14"/>
        <v>0</v>
      </c>
      <c r="U72" s="18"/>
      <c r="V72" s="206" t="str">
        <f t="shared" si="5"/>
        <v>2-12</v>
      </c>
      <c r="W72" s="215" t="str">
        <f t="shared" si="12"/>
        <v/>
      </c>
      <c r="X72" s="110"/>
      <c r="Y72" s="109"/>
      <c r="Z72" s="207"/>
      <c r="AA72" s="207"/>
      <c r="AB72" s="207"/>
      <c r="AC72" s="207"/>
      <c r="AD72" s="207"/>
      <c r="AE72" s="207"/>
      <c r="AF72" s="207"/>
      <c r="AG72" s="207"/>
      <c r="AH72" s="207"/>
      <c r="AI72" s="207"/>
      <c r="AJ72" s="207"/>
      <c r="AK72" s="207"/>
      <c r="AL72" s="207"/>
      <c r="AM72" s="207"/>
      <c r="AN72" s="207"/>
      <c r="AO72" s="207"/>
      <c r="AP72" s="207"/>
      <c r="AQ72" s="207"/>
      <c r="AR72" s="207"/>
      <c r="AS72" s="207"/>
      <c r="AT72" s="207"/>
      <c r="AU72" s="207"/>
      <c r="AV72" s="207"/>
      <c r="AW72" s="207"/>
      <c r="AX72" s="207"/>
      <c r="AY72" s="207"/>
      <c r="AZ72" s="207"/>
      <c r="BA72" s="207"/>
      <c r="BB72" s="207"/>
      <c r="BC72" s="207"/>
      <c r="BD72" s="207"/>
      <c r="BE72" s="207"/>
      <c r="BF72" s="207"/>
      <c r="BG72" s="207"/>
      <c r="BH72" s="207"/>
      <c r="BI72" s="207"/>
      <c r="BJ72" s="207"/>
      <c r="BK72" s="207"/>
      <c r="BL72" s="207"/>
      <c r="BM72" s="207"/>
      <c r="BN72" s="207"/>
      <c r="BO72" s="207"/>
      <c r="BP72" s="207"/>
      <c r="BQ72" s="207"/>
      <c r="BR72" s="207"/>
      <c r="BS72" s="207"/>
      <c r="BT72" s="207"/>
      <c r="BU72" s="207"/>
      <c r="BV72" s="207"/>
      <c r="BW72" s="207"/>
      <c r="BX72" s="207"/>
      <c r="BY72" s="207"/>
      <c r="BZ72" s="207"/>
      <c r="CA72" s="207"/>
      <c r="CB72" s="207"/>
      <c r="CC72" s="207"/>
      <c r="CD72" s="207"/>
      <c r="CE72" s="207"/>
      <c r="CF72" s="207"/>
      <c r="CG72" s="207"/>
      <c r="CH72" s="207"/>
      <c r="CI72" s="207"/>
      <c r="CJ72" s="207"/>
      <c r="CK72" s="207"/>
      <c r="CL72" s="207"/>
      <c r="CM72" s="207"/>
      <c r="CN72" s="207"/>
      <c r="CO72" s="207"/>
      <c r="CP72" s="207"/>
      <c r="CQ72" s="207"/>
      <c r="CR72" s="207"/>
      <c r="CS72" s="207"/>
      <c r="CT72" s="207"/>
      <c r="CU72" s="207"/>
      <c r="CV72" s="207"/>
      <c r="CW72" s="207"/>
      <c r="CX72" s="207"/>
      <c r="CY72" s="207"/>
      <c r="CZ72" s="207"/>
      <c r="DA72" s="207"/>
      <c r="DB72" s="207"/>
      <c r="DC72" s="207"/>
      <c r="DD72" s="207"/>
      <c r="DE72" s="207"/>
      <c r="DF72" s="207"/>
      <c r="DG72" s="207"/>
      <c r="DH72" s="207"/>
      <c r="DI72" s="207"/>
      <c r="DJ72" s="207"/>
      <c r="DK72" s="207"/>
      <c r="DL72" s="207"/>
      <c r="DM72" s="207"/>
      <c r="DN72" s="207"/>
      <c r="DO72" s="207"/>
      <c r="DP72" s="207"/>
      <c r="DQ72" s="207"/>
      <c r="DR72" s="207"/>
      <c r="DS72" s="207"/>
      <c r="DT72" s="207"/>
      <c r="DU72" s="207"/>
      <c r="DV72" s="207"/>
      <c r="DW72" s="207"/>
      <c r="DX72" s="207"/>
      <c r="DY72" s="207"/>
      <c r="DZ72" s="207"/>
      <c r="EA72" s="207"/>
      <c r="EB72" s="207"/>
      <c r="EC72" s="207"/>
      <c r="ED72" s="207"/>
      <c r="EE72" s="207"/>
      <c r="EF72" s="207"/>
      <c r="EG72" s="207"/>
      <c r="EH72" s="207"/>
      <c r="EI72" s="207"/>
      <c r="EJ72" s="207"/>
      <c r="EK72" s="207"/>
      <c r="EL72" s="207"/>
      <c r="EM72" s="207"/>
      <c r="EN72" s="207"/>
      <c r="EO72" s="207"/>
      <c r="EP72" s="207"/>
      <c r="EQ72" s="207"/>
      <c r="ER72" s="207"/>
      <c r="ES72" s="207"/>
      <c r="ET72" s="207"/>
      <c r="EU72" s="207"/>
      <c r="EV72" s="207"/>
      <c r="EW72" s="207"/>
      <c r="EX72" s="207"/>
      <c r="EY72" s="207"/>
      <c r="EZ72" s="207"/>
      <c r="FA72" s="207"/>
      <c r="FB72" s="207"/>
      <c r="FC72" s="207"/>
      <c r="FD72" s="207"/>
      <c r="FE72" s="207"/>
      <c r="FF72" s="207"/>
      <c r="FG72" s="207"/>
      <c r="FH72" s="207"/>
      <c r="FI72" s="207"/>
      <c r="FJ72" s="207"/>
      <c r="FK72" s="207"/>
      <c r="FL72" s="207"/>
      <c r="FM72" s="207"/>
      <c r="FN72" s="207"/>
      <c r="FO72" s="207"/>
      <c r="FP72" s="207"/>
      <c r="FQ72" s="207"/>
      <c r="FR72" s="207"/>
      <c r="FS72" s="208"/>
      <c r="FT72" s="156"/>
    </row>
    <row r="73" spans="1:176" ht="15" outlineLevel="1">
      <c r="A73" s="206" t="s">
        <v>1322</v>
      </c>
      <c r="B73" s="200" t="s">
        <v>81</v>
      </c>
      <c r="C73" s="34"/>
      <c r="D73" s="34"/>
      <c r="E73" s="34"/>
      <c r="F73" s="34"/>
      <c r="G73" s="34"/>
      <c r="H73" s="35" t="s">
        <v>488</v>
      </c>
      <c r="I73" s="38"/>
      <c r="J73" s="38"/>
      <c r="K73" s="38"/>
      <c r="L73" s="38"/>
      <c r="M73" s="38"/>
      <c r="N73" s="38"/>
      <c r="O73" s="38"/>
      <c r="P73" s="38"/>
      <c r="Q73" s="38"/>
      <c r="R73" s="177">
        <f t="shared" si="11"/>
        <v>0</v>
      </c>
      <c r="S73" s="202">
        <f t="shared" si="13"/>
        <v>0</v>
      </c>
      <c r="T73" s="202">
        <f t="shared" si="14"/>
        <v>0</v>
      </c>
      <c r="U73" s="18"/>
      <c r="V73" s="206" t="str">
        <f t="shared" si="5"/>
        <v>2-13</v>
      </c>
      <c r="W73" s="215" t="str">
        <f t="shared" si="12"/>
        <v/>
      </c>
      <c r="X73" s="110"/>
      <c r="Y73" s="109"/>
      <c r="Z73" s="207"/>
      <c r="AA73" s="207"/>
      <c r="AB73" s="207"/>
      <c r="AC73" s="207"/>
      <c r="AD73" s="207"/>
      <c r="AE73" s="207"/>
      <c r="AF73" s="207"/>
      <c r="AG73" s="207"/>
      <c r="AH73" s="207"/>
      <c r="AI73" s="207"/>
      <c r="AJ73" s="207"/>
      <c r="AK73" s="207"/>
      <c r="AL73" s="207"/>
      <c r="AM73" s="207"/>
      <c r="AN73" s="207"/>
      <c r="AO73" s="207"/>
      <c r="AP73" s="207"/>
      <c r="AQ73" s="207"/>
      <c r="AR73" s="207"/>
      <c r="AS73" s="207"/>
      <c r="AT73" s="207"/>
      <c r="AU73" s="207"/>
      <c r="AV73" s="207"/>
      <c r="AW73" s="207"/>
      <c r="AX73" s="207"/>
      <c r="AY73" s="207"/>
      <c r="AZ73" s="207"/>
      <c r="BA73" s="207"/>
      <c r="BB73" s="207"/>
      <c r="BC73" s="207"/>
      <c r="BD73" s="207"/>
      <c r="BE73" s="207"/>
      <c r="BF73" s="207"/>
      <c r="BG73" s="207"/>
      <c r="BH73" s="207"/>
      <c r="BI73" s="207"/>
      <c r="BJ73" s="207"/>
      <c r="BK73" s="207"/>
      <c r="BL73" s="207"/>
      <c r="BM73" s="207"/>
      <c r="BN73" s="207"/>
      <c r="BO73" s="207"/>
      <c r="BP73" s="207"/>
      <c r="BQ73" s="207"/>
      <c r="BR73" s="207"/>
      <c r="BS73" s="207"/>
      <c r="BT73" s="207"/>
      <c r="BU73" s="207"/>
      <c r="BV73" s="207"/>
      <c r="BW73" s="207"/>
      <c r="BX73" s="207"/>
      <c r="BY73" s="207"/>
      <c r="BZ73" s="207"/>
      <c r="CA73" s="207"/>
      <c r="CB73" s="207"/>
      <c r="CC73" s="207"/>
      <c r="CD73" s="207"/>
      <c r="CE73" s="207"/>
      <c r="CF73" s="207"/>
      <c r="CG73" s="207"/>
      <c r="CH73" s="207"/>
      <c r="CI73" s="207"/>
      <c r="CJ73" s="207"/>
      <c r="CK73" s="207"/>
      <c r="CL73" s="207"/>
      <c r="CM73" s="207"/>
      <c r="CN73" s="207"/>
      <c r="CO73" s="207"/>
      <c r="CP73" s="207"/>
      <c r="CQ73" s="207"/>
      <c r="CR73" s="207"/>
      <c r="CS73" s="207"/>
      <c r="CT73" s="207"/>
      <c r="CU73" s="207"/>
      <c r="CV73" s="207"/>
      <c r="CW73" s="207"/>
      <c r="CX73" s="207"/>
      <c r="CY73" s="207"/>
      <c r="CZ73" s="207"/>
      <c r="DA73" s="207"/>
      <c r="DB73" s="207"/>
      <c r="DC73" s="207"/>
      <c r="DD73" s="207"/>
      <c r="DE73" s="207"/>
      <c r="DF73" s="207"/>
      <c r="DG73" s="207"/>
      <c r="DH73" s="207"/>
      <c r="DI73" s="207"/>
      <c r="DJ73" s="207"/>
      <c r="DK73" s="207"/>
      <c r="DL73" s="207"/>
      <c r="DM73" s="207"/>
      <c r="DN73" s="207"/>
      <c r="DO73" s="207"/>
      <c r="DP73" s="207"/>
      <c r="DQ73" s="207"/>
      <c r="DR73" s="207"/>
      <c r="DS73" s="207"/>
      <c r="DT73" s="207"/>
      <c r="DU73" s="207"/>
      <c r="DV73" s="207"/>
      <c r="DW73" s="207"/>
      <c r="DX73" s="207"/>
      <c r="DY73" s="207"/>
      <c r="DZ73" s="207"/>
      <c r="EA73" s="207"/>
      <c r="EB73" s="207"/>
      <c r="EC73" s="207"/>
      <c r="ED73" s="207"/>
      <c r="EE73" s="207"/>
      <c r="EF73" s="207"/>
      <c r="EG73" s="207"/>
      <c r="EH73" s="207"/>
      <c r="EI73" s="207"/>
      <c r="EJ73" s="207"/>
      <c r="EK73" s="207"/>
      <c r="EL73" s="207"/>
      <c r="EM73" s="207"/>
      <c r="EN73" s="207"/>
      <c r="EO73" s="207"/>
      <c r="EP73" s="207"/>
      <c r="EQ73" s="207"/>
      <c r="ER73" s="207"/>
      <c r="ES73" s="207"/>
      <c r="ET73" s="207"/>
      <c r="EU73" s="207"/>
      <c r="EV73" s="207"/>
      <c r="EW73" s="207"/>
      <c r="EX73" s="207"/>
      <c r="EY73" s="207"/>
      <c r="EZ73" s="207"/>
      <c r="FA73" s="207"/>
      <c r="FB73" s="207"/>
      <c r="FC73" s="207"/>
      <c r="FD73" s="207"/>
      <c r="FE73" s="207"/>
      <c r="FF73" s="207"/>
      <c r="FG73" s="207"/>
      <c r="FH73" s="207"/>
      <c r="FI73" s="207"/>
      <c r="FJ73" s="207"/>
      <c r="FK73" s="207"/>
      <c r="FL73" s="207"/>
      <c r="FM73" s="207"/>
      <c r="FN73" s="207"/>
      <c r="FO73" s="207"/>
      <c r="FP73" s="207"/>
      <c r="FQ73" s="207"/>
      <c r="FR73" s="207"/>
      <c r="FS73" s="208"/>
      <c r="FT73" s="156"/>
    </row>
    <row r="74" spans="1:176" ht="15" outlineLevel="1">
      <c r="A74" s="206" t="s">
        <v>1323</v>
      </c>
      <c r="B74" s="200" t="s">
        <v>81</v>
      </c>
      <c r="C74" s="34"/>
      <c r="D74" s="34"/>
      <c r="E74" s="34"/>
      <c r="F74" s="34"/>
      <c r="G74" s="34"/>
      <c r="H74" s="35" t="s">
        <v>488</v>
      </c>
      <c r="I74" s="38"/>
      <c r="J74" s="38"/>
      <c r="K74" s="38"/>
      <c r="L74" s="38"/>
      <c r="M74" s="38"/>
      <c r="N74" s="38"/>
      <c r="O74" s="38"/>
      <c r="P74" s="38"/>
      <c r="Q74" s="38"/>
      <c r="R74" s="177">
        <f t="shared" si="11"/>
        <v>0</v>
      </c>
      <c r="S74" s="202">
        <f t="shared" si="13"/>
        <v>0</v>
      </c>
      <c r="T74" s="202">
        <f t="shared" si="14"/>
        <v>0</v>
      </c>
      <c r="U74" s="18"/>
      <c r="V74" s="206" t="str">
        <f t="shared" ref="V74:V137" si="15">A74</f>
        <v>2-14</v>
      </c>
      <c r="W74" s="215" t="str">
        <f t="shared" si="12"/>
        <v/>
      </c>
      <c r="X74" s="110"/>
      <c r="Y74" s="109"/>
      <c r="Z74" s="207"/>
      <c r="AA74" s="207"/>
      <c r="AB74" s="207"/>
      <c r="AC74" s="207"/>
      <c r="AD74" s="207"/>
      <c r="AE74" s="207"/>
      <c r="AF74" s="207"/>
      <c r="AG74" s="207"/>
      <c r="AH74" s="207"/>
      <c r="AI74" s="207"/>
      <c r="AJ74" s="207"/>
      <c r="AK74" s="207"/>
      <c r="AL74" s="207"/>
      <c r="AM74" s="207"/>
      <c r="AN74" s="207"/>
      <c r="AO74" s="207"/>
      <c r="AP74" s="207"/>
      <c r="AQ74" s="207"/>
      <c r="AR74" s="207"/>
      <c r="AS74" s="207"/>
      <c r="AT74" s="207"/>
      <c r="AU74" s="207"/>
      <c r="AV74" s="207"/>
      <c r="AW74" s="207"/>
      <c r="AX74" s="207"/>
      <c r="AY74" s="207"/>
      <c r="AZ74" s="207"/>
      <c r="BA74" s="207"/>
      <c r="BB74" s="207"/>
      <c r="BC74" s="207"/>
      <c r="BD74" s="207"/>
      <c r="BE74" s="207"/>
      <c r="BF74" s="207"/>
      <c r="BG74" s="207"/>
      <c r="BH74" s="207"/>
      <c r="BI74" s="207"/>
      <c r="BJ74" s="207"/>
      <c r="BK74" s="207"/>
      <c r="BL74" s="207"/>
      <c r="BM74" s="207"/>
      <c r="BN74" s="207"/>
      <c r="BO74" s="207"/>
      <c r="BP74" s="207"/>
      <c r="BQ74" s="207"/>
      <c r="BR74" s="207"/>
      <c r="BS74" s="207"/>
      <c r="BT74" s="207"/>
      <c r="BU74" s="207"/>
      <c r="BV74" s="207"/>
      <c r="BW74" s="207"/>
      <c r="BX74" s="207"/>
      <c r="BY74" s="207"/>
      <c r="BZ74" s="207"/>
      <c r="CA74" s="207"/>
      <c r="CB74" s="207"/>
      <c r="CC74" s="207"/>
      <c r="CD74" s="207"/>
      <c r="CE74" s="207"/>
      <c r="CF74" s="207"/>
      <c r="CG74" s="207"/>
      <c r="CH74" s="207"/>
      <c r="CI74" s="207"/>
      <c r="CJ74" s="207"/>
      <c r="CK74" s="207"/>
      <c r="CL74" s="207"/>
      <c r="CM74" s="207"/>
      <c r="CN74" s="207"/>
      <c r="CO74" s="207"/>
      <c r="CP74" s="207"/>
      <c r="CQ74" s="207"/>
      <c r="CR74" s="207"/>
      <c r="CS74" s="207"/>
      <c r="CT74" s="207"/>
      <c r="CU74" s="207"/>
      <c r="CV74" s="207"/>
      <c r="CW74" s="207"/>
      <c r="CX74" s="207"/>
      <c r="CY74" s="207"/>
      <c r="CZ74" s="207"/>
      <c r="DA74" s="207"/>
      <c r="DB74" s="207"/>
      <c r="DC74" s="207"/>
      <c r="DD74" s="207"/>
      <c r="DE74" s="207"/>
      <c r="DF74" s="207"/>
      <c r="DG74" s="207"/>
      <c r="DH74" s="207"/>
      <c r="DI74" s="207"/>
      <c r="DJ74" s="207"/>
      <c r="DK74" s="207"/>
      <c r="DL74" s="207"/>
      <c r="DM74" s="207"/>
      <c r="DN74" s="207"/>
      <c r="DO74" s="207"/>
      <c r="DP74" s="207"/>
      <c r="DQ74" s="207"/>
      <c r="DR74" s="207"/>
      <c r="DS74" s="207"/>
      <c r="DT74" s="207"/>
      <c r="DU74" s="207"/>
      <c r="DV74" s="207"/>
      <c r="DW74" s="207"/>
      <c r="DX74" s="207"/>
      <c r="DY74" s="207"/>
      <c r="DZ74" s="207"/>
      <c r="EA74" s="207"/>
      <c r="EB74" s="207"/>
      <c r="EC74" s="207"/>
      <c r="ED74" s="207"/>
      <c r="EE74" s="207"/>
      <c r="EF74" s="207"/>
      <c r="EG74" s="207"/>
      <c r="EH74" s="207"/>
      <c r="EI74" s="207"/>
      <c r="EJ74" s="207"/>
      <c r="EK74" s="207"/>
      <c r="EL74" s="207"/>
      <c r="EM74" s="207"/>
      <c r="EN74" s="207"/>
      <c r="EO74" s="207"/>
      <c r="EP74" s="207"/>
      <c r="EQ74" s="207"/>
      <c r="ER74" s="207"/>
      <c r="ES74" s="207"/>
      <c r="ET74" s="207"/>
      <c r="EU74" s="207"/>
      <c r="EV74" s="207"/>
      <c r="EW74" s="207"/>
      <c r="EX74" s="207"/>
      <c r="EY74" s="207"/>
      <c r="EZ74" s="207"/>
      <c r="FA74" s="207"/>
      <c r="FB74" s="207"/>
      <c r="FC74" s="207"/>
      <c r="FD74" s="207"/>
      <c r="FE74" s="207"/>
      <c r="FF74" s="207"/>
      <c r="FG74" s="207"/>
      <c r="FH74" s="207"/>
      <c r="FI74" s="207"/>
      <c r="FJ74" s="207"/>
      <c r="FK74" s="207"/>
      <c r="FL74" s="207"/>
      <c r="FM74" s="207"/>
      <c r="FN74" s="207"/>
      <c r="FO74" s="207"/>
      <c r="FP74" s="207"/>
      <c r="FQ74" s="207"/>
      <c r="FR74" s="207"/>
      <c r="FS74" s="208"/>
      <c r="FT74" s="156"/>
    </row>
    <row r="75" spans="1:176" ht="15" outlineLevel="1">
      <c r="A75" s="206" t="s">
        <v>1324</v>
      </c>
      <c r="B75" s="200" t="s">
        <v>81</v>
      </c>
      <c r="C75" s="34"/>
      <c r="D75" s="34"/>
      <c r="E75" s="34"/>
      <c r="F75" s="34"/>
      <c r="G75" s="34"/>
      <c r="H75" s="35" t="s">
        <v>488</v>
      </c>
      <c r="I75" s="38"/>
      <c r="J75" s="38"/>
      <c r="K75" s="38"/>
      <c r="L75" s="38"/>
      <c r="M75" s="38"/>
      <c r="N75" s="38"/>
      <c r="O75" s="38"/>
      <c r="P75" s="38"/>
      <c r="Q75" s="38"/>
      <c r="R75" s="177">
        <f t="shared" si="11"/>
        <v>0</v>
      </c>
      <c r="S75" s="202">
        <f t="shared" si="13"/>
        <v>0</v>
      </c>
      <c r="T75" s="202">
        <f t="shared" si="14"/>
        <v>0</v>
      </c>
      <c r="U75" s="18"/>
      <c r="V75" s="206" t="str">
        <f t="shared" si="15"/>
        <v>2-15</v>
      </c>
      <c r="W75" s="215" t="str">
        <f t="shared" si="12"/>
        <v/>
      </c>
      <c r="X75" s="110"/>
      <c r="Y75" s="109"/>
      <c r="Z75" s="207"/>
      <c r="AA75" s="207"/>
      <c r="AB75" s="207"/>
      <c r="AC75" s="207"/>
      <c r="AD75" s="207"/>
      <c r="AE75" s="207"/>
      <c r="AF75" s="207"/>
      <c r="AG75" s="207"/>
      <c r="AH75" s="207"/>
      <c r="AI75" s="207"/>
      <c r="AJ75" s="207"/>
      <c r="AK75" s="207"/>
      <c r="AL75" s="207"/>
      <c r="AM75" s="207"/>
      <c r="AN75" s="207"/>
      <c r="AO75" s="207"/>
      <c r="AP75" s="207"/>
      <c r="AQ75" s="207"/>
      <c r="AR75" s="207"/>
      <c r="AS75" s="207"/>
      <c r="AT75" s="207"/>
      <c r="AU75" s="207"/>
      <c r="AV75" s="207"/>
      <c r="AW75" s="207"/>
      <c r="AX75" s="207"/>
      <c r="AY75" s="207"/>
      <c r="AZ75" s="207"/>
      <c r="BA75" s="207"/>
      <c r="BB75" s="207"/>
      <c r="BC75" s="207"/>
      <c r="BD75" s="207"/>
      <c r="BE75" s="207"/>
      <c r="BF75" s="207"/>
      <c r="BG75" s="207"/>
      <c r="BH75" s="207"/>
      <c r="BI75" s="207"/>
      <c r="BJ75" s="207"/>
      <c r="BK75" s="207"/>
      <c r="BL75" s="207"/>
      <c r="BM75" s="207"/>
      <c r="BN75" s="207"/>
      <c r="BO75" s="207"/>
      <c r="BP75" s="207"/>
      <c r="BQ75" s="207"/>
      <c r="BR75" s="207"/>
      <c r="BS75" s="207"/>
      <c r="BT75" s="207"/>
      <c r="BU75" s="207"/>
      <c r="BV75" s="207"/>
      <c r="BW75" s="207"/>
      <c r="BX75" s="207"/>
      <c r="BY75" s="207"/>
      <c r="BZ75" s="207"/>
      <c r="CA75" s="207"/>
      <c r="CB75" s="207"/>
      <c r="CC75" s="207"/>
      <c r="CD75" s="207"/>
      <c r="CE75" s="207"/>
      <c r="CF75" s="207"/>
      <c r="CG75" s="207"/>
      <c r="CH75" s="207"/>
      <c r="CI75" s="207"/>
      <c r="CJ75" s="207"/>
      <c r="CK75" s="207"/>
      <c r="CL75" s="207"/>
      <c r="CM75" s="207"/>
      <c r="CN75" s="207"/>
      <c r="CO75" s="207"/>
      <c r="CP75" s="207"/>
      <c r="CQ75" s="207"/>
      <c r="CR75" s="207"/>
      <c r="CS75" s="207"/>
      <c r="CT75" s="207"/>
      <c r="CU75" s="207"/>
      <c r="CV75" s="207"/>
      <c r="CW75" s="207"/>
      <c r="CX75" s="207"/>
      <c r="CY75" s="207"/>
      <c r="CZ75" s="207"/>
      <c r="DA75" s="207"/>
      <c r="DB75" s="207"/>
      <c r="DC75" s="207"/>
      <c r="DD75" s="207"/>
      <c r="DE75" s="207"/>
      <c r="DF75" s="207"/>
      <c r="DG75" s="207"/>
      <c r="DH75" s="207"/>
      <c r="DI75" s="207"/>
      <c r="DJ75" s="207"/>
      <c r="DK75" s="207"/>
      <c r="DL75" s="207"/>
      <c r="DM75" s="207"/>
      <c r="DN75" s="207"/>
      <c r="DO75" s="207"/>
      <c r="DP75" s="207"/>
      <c r="DQ75" s="207"/>
      <c r="DR75" s="207"/>
      <c r="DS75" s="207"/>
      <c r="DT75" s="207"/>
      <c r="DU75" s="207"/>
      <c r="DV75" s="207"/>
      <c r="DW75" s="207"/>
      <c r="DX75" s="207"/>
      <c r="DY75" s="207"/>
      <c r="DZ75" s="207"/>
      <c r="EA75" s="207"/>
      <c r="EB75" s="207"/>
      <c r="EC75" s="207"/>
      <c r="ED75" s="207"/>
      <c r="EE75" s="207"/>
      <c r="EF75" s="207"/>
      <c r="EG75" s="207"/>
      <c r="EH75" s="207"/>
      <c r="EI75" s="207"/>
      <c r="EJ75" s="207"/>
      <c r="EK75" s="207"/>
      <c r="EL75" s="207"/>
      <c r="EM75" s="207"/>
      <c r="EN75" s="207"/>
      <c r="EO75" s="207"/>
      <c r="EP75" s="207"/>
      <c r="EQ75" s="207"/>
      <c r="ER75" s="207"/>
      <c r="ES75" s="207"/>
      <c r="ET75" s="207"/>
      <c r="EU75" s="207"/>
      <c r="EV75" s="207"/>
      <c r="EW75" s="207"/>
      <c r="EX75" s="207"/>
      <c r="EY75" s="207"/>
      <c r="EZ75" s="207"/>
      <c r="FA75" s="207"/>
      <c r="FB75" s="207"/>
      <c r="FC75" s="207"/>
      <c r="FD75" s="207"/>
      <c r="FE75" s="207"/>
      <c r="FF75" s="207"/>
      <c r="FG75" s="207"/>
      <c r="FH75" s="207"/>
      <c r="FI75" s="207"/>
      <c r="FJ75" s="207"/>
      <c r="FK75" s="207"/>
      <c r="FL75" s="207"/>
      <c r="FM75" s="207"/>
      <c r="FN75" s="207"/>
      <c r="FO75" s="207"/>
      <c r="FP75" s="207"/>
      <c r="FQ75" s="207"/>
      <c r="FR75" s="207"/>
      <c r="FS75" s="208"/>
      <c r="FT75" s="156"/>
    </row>
    <row r="76" spans="1:176" ht="15" outlineLevel="1">
      <c r="A76" s="206" t="s">
        <v>1325</v>
      </c>
      <c r="B76" s="200" t="s">
        <v>81</v>
      </c>
      <c r="C76" s="34"/>
      <c r="D76" s="34"/>
      <c r="E76" s="34"/>
      <c r="F76" s="34"/>
      <c r="G76" s="34"/>
      <c r="H76" s="35" t="s">
        <v>488</v>
      </c>
      <c r="I76" s="38"/>
      <c r="J76" s="38"/>
      <c r="K76" s="38"/>
      <c r="L76" s="38"/>
      <c r="M76" s="38"/>
      <c r="N76" s="38"/>
      <c r="O76" s="38"/>
      <c r="P76" s="38"/>
      <c r="Q76" s="38"/>
      <c r="R76" s="177">
        <f t="shared" si="11"/>
        <v>0</v>
      </c>
      <c r="S76" s="202">
        <f t="shared" si="13"/>
        <v>0</v>
      </c>
      <c r="T76" s="202">
        <f t="shared" si="14"/>
        <v>0</v>
      </c>
      <c r="U76" s="18"/>
      <c r="V76" s="206" t="str">
        <f t="shared" si="15"/>
        <v>2-16</v>
      </c>
      <c r="W76" s="215" t="str">
        <f t="shared" si="12"/>
        <v/>
      </c>
      <c r="X76" s="110"/>
      <c r="Y76" s="109"/>
      <c r="Z76" s="207"/>
      <c r="AA76" s="207"/>
      <c r="AB76" s="207"/>
      <c r="AC76" s="207"/>
      <c r="AD76" s="207"/>
      <c r="AE76" s="207"/>
      <c r="AF76" s="207"/>
      <c r="AG76" s="207"/>
      <c r="AH76" s="207"/>
      <c r="AI76" s="207"/>
      <c r="AJ76" s="207"/>
      <c r="AK76" s="207"/>
      <c r="AL76" s="207"/>
      <c r="AM76" s="207"/>
      <c r="AN76" s="207"/>
      <c r="AO76" s="207"/>
      <c r="AP76" s="207"/>
      <c r="AQ76" s="207"/>
      <c r="AR76" s="207"/>
      <c r="AS76" s="207"/>
      <c r="AT76" s="207"/>
      <c r="AU76" s="207"/>
      <c r="AV76" s="207"/>
      <c r="AW76" s="207"/>
      <c r="AX76" s="207"/>
      <c r="AY76" s="207"/>
      <c r="AZ76" s="207"/>
      <c r="BA76" s="207"/>
      <c r="BB76" s="207"/>
      <c r="BC76" s="207"/>
      <c r="BD76" s="207"/>
      <c r="BE76" s="207"/>
      <c r="BF76" s="207"/>
      <c r="BG76" s="207"/>
      <c r="BH76" s="207"/>
      <c r="BI76" s="207"/>
      <c r="BJ76" s="207"/>
      <c r="BK76" s="207"/>
      <c r="BL76" s="207"/>
      <c r="BM76" s="207"/>
      <c r="BN76" s="207"/>
      <c r="BO76" s="207"/>
      <c r="BP76" s="207"/>
      <c r="BQ76" s="207"/>
      <c r="BR76" s="207"/>
      <c r="BS76" s="207"/>
      <c r="BT76" s="207"/>
      <c r="BU76" s="207"/>
      <c r="BV76" s="207"/>
      <c r="BW76" s="207"/>
      <c r="BX76" s="207"/>
      <c r="BY76" s="207"/>
      <c r="BZ76" s="207"/>
      <c r="CA76" s="207"/>
      <c r="CB76" s="207"/>
      <c r="CC76" s="207"/>
      <c r="CD76" s="207"/>
      <c r="CE76" s="207"/>
      <c r="CF76" s="207"/>
      <c r="CG76" s="207"/>
      <c r="CH76" s="207"/>
      <c r="CI76" s="207"/>
      <c r="CJ76" s="207"/>
      <c r="CK76" s="207"/>
      <c r="CL76" s="207"/>
      <c r="CM76" s="207"/>
      <c r="CN76" s="207"/>
      <c r="CO76" s="207"/>
      <c r="CP76" s="207"/>
      <c r="CQ76" s="207"/>
      <c r="CR76" s="207"/>
      <c r="CS76" s="207"/>
      <c r="CT76" s="207"/>
      <c r="CU76" s="207"/>
      <c r="CV76" s="207"/>
      <c r="CW76" s="207"/>
      <c r="CX76" s="207"/>
      <c r="CY76" s="207"/>
      <c r="CZ76" s="207"/>
      <c r="DA76" s="207"/>
      <c r="DB76" s="207"/>
      <c r="DC76" s="207"/>
      <c r="DD76" s="207"/>
      <c r="DE76" s="207"/>
      <c r="DF76" s="207"/>
      <c r="DG76" s="207"/>
      <c r="DH76" s="207"/>
      <c r="DI76" s="207"/>
      <c r="DJ76" s="207"/>
      <c r="DK76" s="207"/>
      <c r="DL76" s="207"/>
      <c r="DM76" s="207"/>
      <c r="DN76" s="207"/>
      <c r="DO76" s="207"/>
      <c r="DP76" s="207"/>
      <c r="DQ76" s="207"/>
      <c r="DR76" s="207"/>
      <c r="DS76" s="207"/>
      <c r="DT76" s="207"/>
      <c r="DU76" s="207"/>
      <c r="DV76" s="207"/>
      <c r="DW76" s="207"/>
      <c r="DX76" s="207"/>
      <c r="DY76" s="207"/>
      <c r="DZ76" s="207"/>
      <c r="EA76" s="207"/>
      <c r="EB76" s="207"/>
      <c r="EC76" s="207"/>
      <c r="ED76" s="207"/>
      <c r="EE76" s="207"/>
      <c r="EF76" s="207"/>
      <c r="EG76" s="207"/>
      <c r="EH76" s="207"/>
      <c r="EI76" s="207"/>
      <c r="EJ76" s="207"/>
      <c r="EK76" s="207"/>
      <c r="EL76" s="207"/>
      <c r="EM76" s="207"/>
      <c r="EN76" s="207"/>
      <c r="EO76" s="207"/>
      <c r="EP76" s="207"/>
      <c r="EQ76" s="207"/>
      <c r="ER76" s="207"/>
      <c r="ES76" s="207"/>
      <c r="ET76" s="207"/>
      <c r="EU76" s="207"/>
      <c r="EV76" s="207"/>
      <c r="EW76" s="207"/>
      <c r="EX76" s="207"/>
      <c r="EY76" s="207"/>
      <c r="EZ76" s="207"/>
      <c r="FA76" s="207"/>
      <c r="FB76" s="207"/>
      <c r="FC76" s="207"/>
      <c r="FD76" s="207"/>
      <c r="FE76" s="207"/>
      <c r="FF76" s="207"/>
      <c r="FG76" s="207"/>
      <c r="FH76" s="207"/>
      <c r="FI76" s="207"/>
      <c r="FJ76" s="207"/>
      <c r="FK76" s="207"/>
      <c r="FL76" s="207"/>
      <c r="FM76" s="207"/>
      <c r="FN76" s="207"/>
      <c r="FO76" s="207"/>
      <c r="FP76" s="207"/>
      <c r="FQ76" s="207"/>
      <c r="FR76" s="207"/>
      <c r="FS76" s="208"/>
      <c r="FT76" s="156"/>
    </row>
    <row r="77" spans="1:176" ht="15" outlineLevel="1">
      <c r="A77" s="206" t="s">
        <v>1326</v>
      </c>
      <c r="B77" s="200" t="s">
        <v>81</v>
      </c>
      <c r="C77" s="34"/>
      <c r="D77" s="34"/>
      <c r="E77" s="34"/>
      <c r="F77" s="34"/>
      <c r="G77" s="34"/>
      <c r="H77" s="35" t="s">
        <v>488</v>
      </c>
      <c r="I77" s="38"/>
      <c r="J77" s="38"/>
      <c r="K77" s="38"/>
      <c r="L77" s="38"/>
      <c r="M77" s="38"/>
      <c r="N77" s="38"/>
      <c r="O77" s="38"/>
      <c r="P77" s="38"/>
      <c r="Q77" s="38"/>
      <c r="R77" s="177">
        <f t="shared" si="11"/>
        <v>0</v>
      </c>
      <c r="S77" s="202">
        <f t="shared" si="13"/>
        <v>0</v>
      </c>
      <c r="T77" s="202">
        <f t="shared" si="14"/>
        <v>0</v>
      </c>
      <c r="U77" s="18"/>
      <c r="V77" s="206" t="str">
        <f t="shared" si="15"/>
        <v>2-17</v>
      </c>
      <c r="W77" s="215" t="str">
        <f t="shared" si="12"/>
        <v/>
      </c>
      <c r="X77" s="110"/>
      <c r="Y77" s="109"/>
      <c r="Z77" s="207"/>
      <c r="AA77" s="207"/>
      <c r="AB77" s="207"/>
      <c r="AC77" s="207"/>
      <c r="AD77" s="207"/>
      <c r="AE77" s="207"/>
      <c r="AF77" s="207"/>
      <c r="AG77" s="207"/>
      <c r="AH77" s="207"/>
      <c r="AI77" s="207"/>
      <c r="AJ77" s="207"/>
      <c r="AK77" s="207"/>
      <c r="AL77" s="207"/>
      <c r="AM77" s="207"/>
      <c r="AN77" s="207"/>
      <c r="AO77" s="207"/>
      <c r="AP77" s="207"/>
      <c r="AQ77" s="207"/>
      <c r="AR77" s="207"/>
      <c r="AS77" s="207"/>
      <c r="AT77" s="207"/>
      <c r="AU77" s="207"/>
      <c r="AV77" s="207"/>
      <c r="AW77" s="207"/>
      <c r="AX77" s="207"/>
      <c r="AY77" s="207"/>
      <c r="AZ77" s="207"/>
      <c r="BA77" s="207"/>
      <c r="BB77" s="207"/>
      <c r="BC77" s="207"/>
      <c r="BD77" s="207"/>
      <c r="BE77" s="207"/>
      <c r="BF77" s="207"/>
      <c r="BG77" s="207"/>
      <c r="BH77" s="207"/>
      <c r="BI77" s="207"/>
      <c r="BJ77" s="207"/>
      <c r="BK77" s="207"/>
      <c r="BL77" s="207"/>
      <c r="BM77" s="207"/>
      <c r="BN77" s="207"/>
      <c r="BO77" s="207"/>
      <c r="BP77" s="207"/>
      <c r="BQ77" s="207"/>
      <c r="BR77" s="207"/>
      <c r="BS77" s="207"/>
      <c r="BT77" s="207"/>
      <c r="BU77" s="207"/>
      <c r="BV77" s="207"/>
      <c r="BW77" s="207"/>
      <c r="BX77" s="207"/>
      <c r="BY77" s="207"/>
      <c r="BZ77" s="207"/>
      <c r="CA77" s="207"/>
      <c r="CB77" s="207"/>
      <c r="CC77" s="207"/>
      <c r="CD77" s="207"/>
      <c r="CE77" s="207"/>
      <c r="CF77" s="207"/>
      <c r="CG77" s="207"/>
      <c r="CH77" s="207"/>
      <c r="CI77" s="207"/>
      <c r="CJ77" s="207"/>
      <c r="CK77" s="207"/>
      <c r="CL77" s="207"/>
      <c r="CM77" s="207"/>
      <c r="CN77" s="207"/>
      <c r="CO77" s="207"/>
      <c r="CP77" s="207"/>
      <c r="CQ77" s="207"/>
      <c r="CR77" s="207"/>
      <c r="CS77" s="207"/>
      <c r="CT77" s="207"/>
      <c r="CU77" s="207"/>
      <c r="CV77" s="207"/>
      <c r="CW77" s="207"/>
      <c r="CX77" s="207"/>
      <c r="CY77" s="207"/>
      <c r="CZ77" s="207"/>
      <c r="DA77" s="207"/>
      <c r="DB77" s="207"/>
      <c r="DC77" s="207"/>
      <c r="DD77" s="207"/>
      <c r="DE77" s="207"/>
      <c r="DF77" s="207"/>
      <c r="DG77" s="207"/>
      <c r="DH77" s="207"/>
      <c r="DI77" s="207"/>
      <c r="DJ77" s="207"/>
      <c r="DK77" s="207"/>
      <c r="DL77" s="207"/>
      <c r="DM77" s="207"/>
      <c r="DN77" s="207"/>
      <c r="DO77" s="207"/>
      <c r="DP77" s="207"/>
      <c r="DQ77" s="207"/>
      <c r="DR77" s="207"/>
      <c r="DS77" s="207"/>
      <c r="DT77" s="207"/>
      <c r="DU77" s="207"/>
      <c r="DV77" s="207"/>
      <c r="DW77" s="207"/>
      <c r="DX77" s="207"/>
      <c r="DY77" s="207"/>
      <c r="DZ77" s="207"/>
      <c r="EA77" s="207"/>
      <c r="EB77" s="207"/>
      <c r="EC77" s="207"/>
      <c r="ED77" s="207"/>
      <c r="EE77" s="207"/>
      <c r="EF77" s="207"/>
      <c r="EG77" s="207"/>
      <c r="EH77" s="207"/>
      <c r="EI77" s="207"/>
      <c r="EJ77" s="207"/>
      <c r="EK77" s="207"/>
      <c r="EL77" s="207"/>
      <c r="EM77" s="207"/>
      <c r="EN77" s="207"/>
      <c r="EO77" s="207"/>
      <c r="EP77" s="207"/>
      <c r="EQ77" s="207"/>
      <c r="ER77" s="207"/>
      <c r="ES77" s="207"/>
      <c r="ET77" s="207"/>
      <c r="EU77" s="207"/>
      <c r="EV77" s="207"/>
      <c r="EW77" s="207"/>
      <c r="EX77" s="207"/>
      <c r="EY77" s="207"/>
      <c r="EZ77" s="207"/>
      <c r="FA77" s="207"/>
      <c r="FB77" s="207"/>
      <c r="FC77" s="207"/>
      <c r="FD77" s="207"/>
      <c r="FE77" s="207"/>
      <c r="FF77" s="207"/>
      <c r="FG77" s="207"/>
      <c r="FH77" s="207"/>
      <c r="FI77" s="207"/>
      <c r="FJ77" s="207"/>
      <c r="FK77" s="207"/>
      <c r="FL77" s="207"/>
      <c r="FM77" s="207"/>
      <c r="FN77" s="207"/>
      <c r="FO77" s="207"/>
      <c r="FP77" s="207"/>
      <c r="FQ77" s="207"/>
      <c r="FR77" s="207"/>
      <c r="FS77" s="208"/>
      <c r="FT77" s="156"/>
    </row>
    <row r="78" spans="1:176" ht="15" outlineLevel="1">
      <c r="A78" s="206" t="s">
        <v>1327</v>
      </c>
      <c r="B78" s="200" t="s">
        <v>81</v>
      </c>
      <c r="C78" s="34"/>
      <c r="D78" s="34"/>
      <c r="E78" s="34"/>
      <c r="F78" s="34"/>
      <c r="G78" s="34"/>
      <c r="H78" s="35" t="s">
        <v>488</v>
      </c>
      <c r="I78" s="38"/>
      <c r="J78" s="38"/>
      <c r="K78" s="38"/>
      <c r="L78" s="38"/>
      <c r="M78" s="38"/>
      <c r="N78" s="38"/>
      <c r="O78" s="38"/>
      <c r="P78" s="38"/>
      <c r="Q78" s="38"/>
      <c r="R78" s="177">
        <f t="shared" si="11"/>
        <v>0</v>
      </c>
      <c r="S78" s="202">
        <f t="shared" si="13"/>
        <v>0</v>
      </c>
      <c r="T78" s="202">
        <f t="shared" si="14"/>
        <v>0</v>
      </c>
      <c r="U78" s="18"/>
      <c r="V78" s="206" t="str">
        <f t="shared" si="15"/>
        <v>2-18</v>
      </c>
      <c r="W78" s="215" t="str">
        <f t="shared" si="12"/>
        <v/>
      </c>
      <c r="X78" s="110"/>
      <c r="Y78" s="109"/>
      <c r="Z78" s="207"/>
      <c r="AA78" s="207"/>
      <c r="AB78" s="207"/>
      <c r="AC78" s="207"/>
      <c r="AD78" s="207"/>
      <c r="AE78" s="207"/>
      <c r="AF78" s="207"/>
      <c r="AG78" s="207"/>
      <c r="AH78" s="207"/>
      <c r="AI78" s="207"/>
      <c r="AJ78" s="207"/>
      <c r="AK78" s="207"/>
      <c r="AL78" s="207"/>
      <c r="AM78" s="207"/>
      <c r="AN78" s="207"/>
      <c r="AO78" s="207"/>
      <c r="AP78" s="207"/>
      <c r="AQ78" s="207"/>
      <c r="AR78" s="207"/>
      <c r="AS78" s="207"/>
      <c r="AT78" s="207"/>
      <c r="AU78" s="207"/>
      <c r="AV78" s="207"/>
      <c r="AW78" s="207"/>
      <c r="AX78" s="207"/>
      <c r="AY78" s="207"/>
      <c r="AZ78" s="207"/>
      <c r="BA78" s="207"/>
      <c r="BB78" s="207"/>
      <c r="BC78" s="207"/>
      <c r="BD78" s="207"/>
      <c r="BE78" s="207"/>
      <c r="BF78" s="207"/>
      <c r="BG78" s="207"/>
      <c r="BH78" s="207"/>
      <c r="BI78" s="207"/>
      <c r="BJ78" s="207"/>
      <c r="BK78" s="207"/>
      <c r="BL78" s="207"/>
      <c r="BM78" s="207"/>
      <c r="BN78" s="207"/>
      <c r="BO78" s="207"/>
      <c r="BP78" s="207"/>
      <c r="BQ78" s="207"/>
      <c r="BR78" s="207"/>
      <c r="BS78" s="207"/>
      <c r="BT78" s="207"/>
      <c r="BU78" s="207"/>
      <c r="BV78" s="207"/>
      <c r="BW78" s="207"/>
      <c r="BX78" s="207"/>
      <c r="BY78" s="207"/>
      <c r="BZ78" s="207"/>
      <c r="CA78" s="207"/>
      <c r="CB78" s="207"/>
      <c r="CC78" s="207"/>
      <c r="CD78" s="207"/>
      <c r="CE78" s="207"/>
      <c r="CF78" s="207"/>
      <c r="CG78" s="207"/>
      <c r="CH78" s="207"/>
      <c r="CI78" s="207"/>
      <c r="CJ78" s="207"/>
      <c r="CK78" s="207"/>
      <c r="CL78" s="207"/>
      <c r="CM78" s="207"/>
      <c r="CN78" s="207"/>
      <c r="CO78" s="207"/>
      <c r="CP78" s="207"/>
      <c r="CQ78" s="207"/>
      <c r="CR78" s="207"/>
      <c r="CS78" s="207"/>
      <c r="CT78" s="207"/>
      <c r="CU78" s="207"/>
      <c r="CV78" s="207"/>
      <c r="CW78" s="207"/>
      <c r="CX78" s="207"/>
      <c r="CY78" s="207"/>
      <c r="CZ78" s="207"/>
      <c r="DA78" s="207"/>
      <c r="DB78" s="207"/>
      <c r="DC78" s="207"/>
      <c r="DD78" s="207"/>
      <c r="DE78" s="207"/>
      <c r="DF78" s="207"/>
      <c r="DG78" s="207"/>
      <c r="DH78" s="207"/>
      <c r="DI78" s="207"/>
      <c r="DJ78" s="207"/>
      <c r="DK78" s="207"/>
      <c r="DL78" s="207"/>
      <c r="DM78" s="207"/>
      <c r="DN78" s="207"/>
      <c r="DO78" s="207"/>
      <c r="DP78" s="207"/>
      <c r="DQ78" s="207"/>
      <c r="DR78" s="207"/>
      <c r="DS78" s="207"/>
      <c r="DT78" s="207"/>
      <c r="DU78" s="207"/>
      <c r="DV78" s="207"/>
      <c r="DW78" s="207"/>
      <c r="DX78" s="207"/>
      <c r="DY78" s="207"/>
      <c r="DZ78" s="207"/>
      <c r="EA78" s="207"/>
      <c r="EB78" s="207"/>
      <c r="EC78" s="207"/>
      <c r="ED78" s="207"/>
      <c r="EE78" s="207"/>
      <c r="EF78" s="207"/>
      <c r="EG78" s="207"/>
      <c r="EH78" s="207"/>
      <c r="EI78" s="207"/>
      <c r="EJ78" s="207"/>
      <c r="EK78" s="207"/>
      <c r="EL78" s="207"/>
      <c r="EM78" s="207"/>
      <c r="EN78" s="207"/>
      <c r="EO78" s="207"/>
      <c r="EP78" s="207"/>
      <c r="EQ78" s="207"/>
      <c r="ER78" s="207"/>
      <c r="ES78" s="207"/>
      <c r="ET78" s="207"/>
      <c r="EU78" s="207"/>
      <c r="EV78" s="207"/>
      <c r="EW78" s="207"/>
      <c r="EX78" s="207"/>
      <c r="EY78" s="207"/>
      <c r="EZ78" s="207"/>
      <c r="FA78" s="207"/>
      <c r="FB78" s="207"/>
      <c r="FC78" s="207"/>
      <c r="FD78" s="207"/>
      <c r="FE78" s="207"/>
      <c r="FF78" s="207"/>
      <c r="FG78" s="207"/>
      <c r="FH78" s="207"/>
      <c r="FI78" s="207"/>
      <c r="FJ78" s="207"/>
      <c r="FK78" s="207"/>
      <c r="FL78" s="207"/>
      <c r="FM78" s="207"/>
      <c r="FN78" s="207"/>
      <c r="FO78" s="207"/>
      <c r="FP78" s="207"/>
      <c r="FQ78" s="207"/>
      <c r="FR78" s="207"/>
      <c r="FS78" s="208"/>
      <c r="FT78" s="156"/>
    </row>
    <row r="79" spans="1:176" ht="15" outlineLevel="1">
      <c r="A79" s="206" t="s">
        <v>1328</v>
      </c>
      <c r="B79" s="200" t="s">
        <v>81</v>
      </c>
      <c r="C79" s="34"/>
      <c r="D79" s="34"/>
      <c r="E79" s="34"/>
      <c r="F79" s="34"/>
      <c r="G79" s="34"/>
      <c r="H79" s="35" t="s">
        <v>488</v>
      </c>
      <c r="I79" s="38"/>
      <c r="J79" s="38"/>
      <c r="K79" s="38"/>
      <c r="L79" s="38"/>
      <c r="M79" s="38"/>
      <c r="N79" s="38"/>
      <c r="O79" s="38"/>
      <c r="P79" s="38"/>
      <c r="Q79" s="38"/>
      <c r="R79" s="177">
        <f t="shared" si="11"/>
        <v>0</v>
      </c>
      <c r="S79" s="202">
        <f t="shared" si="13"/>
        <v>0</v>
      </c>
      <c r="T79" s="202">
        <f t="shared" si="14"/>
        <v>0</v>
      </c>
      <c r="U79" s="18"/>
      <c r="V79" s="206" t="str">
        <f t="shared" si="15"/>
        <v>2-19</v>
      </c>
      <c r="W79" s="215" t="str">
        <f t="shared" si="12"/>
        <v/>
      </c>
      <c r="X79" s="110"/>
      <c r="Y79" s="109"/>
      <c r="Z79" s="207"/>
      <c r="AA79" s="207"/>
      <c r="AB79" s="207"/>
      <c r="AC79" s="207"/>
      <c r="AD79" s="207"/>
      <c r="AE79" s="207"/>
      <c r="AF79" s="207"/>
      <c r="AG79" s="207"/>
      <c r="AH79" s="207"/>
      <c r="AI79" s="207"/>
      <c r="AJ79" s="207"/>
      <c r="AK79" s="207"/>
      <c r="AL79" s="207"/>
      <c r="AM79" s="207"/>
      <c r="AN79" s="207"/>
      <c r="AO79" s="207"/>
      <c r="AP79" s="207"/>
      <c r="AQ79" s="207"/>
      <c r="AR79" s="207"/>
      <c r="AS79" s="207"/>
      <c r="AT79" s="207"/>
      <c r="AU79" s="207"/>
      <c r="AV79" s="207"/>
      <c r="AW79" s="207"/>
      <c r="AX79" s="207"/>
      <c r="AY79" s="207"/>
      <c r="AZ79" s="207"/>
      <c r="BA79" s="207"/>
      <c r="BB79" s="207"/>
      <c r="BC79" s="207"/>
      <c r="BD79" s="207"/>
      <c r="BE79" s="207"/>
      <c r="BF79" s="207"/>
      <c r="BG79" s="207"/>
      <c r="BH79" s="207"/>
      <c r="BI79" s="207"/>
      <c r="BJ79" s="207"/>
      <c r="BK79" s="207"/>
      <c r="BL79" s="207"/>
      <c r="BM79" s="207"/>
      <c r="BN79" s="207"/>
      <c r="BO79" s="207"/>
      <c r="BP79" s="207"/>
      <c r="BQ79" s="207"/>
      <c r="BR79" s="207"/>
      <c r="BS79" s="207"/>
      <c r="BT79" s="207"/>
      <c r="BU79" s="207"/>
      <c r="BV79" s="207"/>
      <c r="BW79" s="207"/>
      <c r="BX79" s="207"/>
      <c r="BY79" s="207"/>
      <c r="BZ79" s="207"/>
      <c r="CA79" s="207"/>
      <c r="CB79" s="207"/>
      <c r="CC79" s="207"/>
      <c r="CD79" s="207"/>
      <c r="CE79" s="207"/>
      <c r="CF79" s="207"/>
      <c r="CG79" s="207"/>
      <c r="CH79" s="207"/>
      <c r="CI79" s="207"/>
      <c r="CJ79" s="207"/>
      <c r="CK79" s="207"/>
      <c r="CL79" s="207"/>
      <c r="CM79" s="207"/>
      <c r="CN79" s="207"/>
      <c r="CO79" s="207"/>
      <c r="CP79" s="207"/>
      <c r="CQ79" s="207"/>
      <c r="CR79" s="207"/>
      <c r="CS79" s="207"/>
      <c r="CT79" s="207"/>
      <c r="CU79" s="207"/>
      <c r="CV79" s="207"/>
      <c r="CW79" s="207"/>
      <c r="CX79" s="207"/>
      <c r="CY79" s="207"/>
      <c r="CZ79" s="207"/>
      <c r="DA79" s="207"/>
      <c r="DB79" s="207"/>
      <c r="DC79" s="207"/>
      <c r="DD79" s="207"/>
      <c r="DE79" s="207"/>
      <c r="DF79" s="207"/>
      <c r="DG79" s="207"/>
      <c r="DH79" s="207"/>
      <c r="DI79" s="207"/>
      <c r="DJ79" s="207"/>
      <c r="DK79" s="207"/>
      <c r="DL79" s="207"/>
      <c r="DM79" s="207"/>
      <c r="DN79" s="207"/>
      <c r="DO79" s="207"/>
      <c r="DP79" s="207"/>
      <c r="DQ79" s="207"/>
      <c r="DR79" s="207"/>
      <c r="DS79" s="207"/>
      <c r="DT79" s="207"/>
      <c r="DU79" s="207"/>
      <c r="DV79" s="207"/>
      <c r="DW79" s="207"/>
      <c r="DX79" s="207"/>
      <c r="DY79" s="207"/>
      <c r="DZ79" s="207"/>
      <c r="EA79" s="207"/>
      <c r="EB79" s="207"/>
      <c r="EC79" s="207"/>
      <c r="ED79" s="207"/>
      <c r="EE79" s="207"/>
      <c r="EF79" s="207"/>
      <c r="EG79" s="207"/>
      <c r="EH79" s="207"/>
      <c r="EI79" s="207"/>
      <c r="EJ79" s="207"/>
      <c r="EK79" s="207"/>
      <c r="EL79" s="207"/>
      <c r="EM79" s="207"/>
      <c r="EN79" s="207"/>
      <c r="EO79" s="207"/>
      <c r="EP79" s="207"/>
      <c r="EQ79" s="207"/>
      <c r="ER79" s="207"/>
      <c r="ES79" s="207"/>
      <c r="ET79" s="207"/>
      <c r="EU79" s="207"/>
      <c r="EV79" s="207"/>
      <c r="EW79" s="207"/>
      <c r="EX79" s="207"/>
      <c r="EY79" s="207"/>
      <c r="EZ79" s="207"/>
      <c r="FA79" s="207"/>
      <c r="FB79" s="207"/>
      <c r="FC79" s="207"/>
      <c r="FD79" s="207"/>
      <c r="FE79" s="207"/>
      <c r="FF79" s="207"/>
      <c r="FG79" s="207"/>
      <c r="FH79" s="207"/>
      <c r="FI79" s="207"/>
      <c r="FJ79" s="207"/>
      <c r="FK79" s="207"/>
      <c r="FL79" s="207"/>
      <c r="FM79" s="207"/>
      <c r="FN79" s="207"/>
      <c r="FO79" s="207"/>
      <c r="FP79" s="207"/>
      <c r="FQ79" s="207"/>
      <c r="FR79" s="207"/>
      <c r="FS79" s="208"/>
      <c r="FT79" s="156"/>
    </row>
    <row r="80" spans="1:176" ht="15" outlineLevel="1">
      <c r="A80" s="206" t="s">
        <v>1329</v>
      </c>
      <c r="B80" s="200" t="s">
        <v>81</v>
      </c>
      <c r="C80" s="34"/>
      <c r="D80" s="34"/>
      <c r="E80" s="34"/>
      <c r="F80" s="34"/>
      <c r="G80" s="34"/>
      <c r="H80" s="35" t="s">
        <v>488</v>
      </c>
      <c r="I80" s="38"/>
      <c r="J80" s="38"/>
      <c r="K80" s="38"/>
      <c r="L80" s="38"/>
      <c r="M80" s="38"/>
      <c r="N80" s="38"/>
      <c r="O80" s="38"/>
      <c r="P80" s="38"/>
      <c r="Q80" s="38"/>
      <c r="R80" s="177">
        <f t="shared" si="11"/>
        <v>0</v>
      </c>
      <c r="S80" s="202">
        <f t="shared" si="13"/>
        <v>0</v>
      </c>
      <c r="T80" s="202">
        <f t="shared" si="14"/>
        <v>0</v>
      </c>
      <c r="U80" s="18"/>
      <c r="V80" s="206" t="str">
        <f t="shared" si="15"/>
        <v>2-20</v>
      </c>
      <c r="W80" s="215" t="str">
        <f t="shared" si="12"/>
        <v/>
      </c>
      <c r="X80" s="110"/>
      <c r="Y80" s="109"/>
      <c r="Z80" s="207"/>
      <c r="AA80" s="207"/>
      <c r="AB80" s="207"/>
      <c r="AC80" s="207"/>
      <c r="AD80" s="207"/>
      <c r="AE80" s="207"/>
      <c r="AF80" s="207"/>
      <c r="AG80" s="207"/>
      <c r="AH80" s="207"/>
      <c r="AI80" s="207"/>
      <c r="AJ80" s="207"/>
      <c r="AK80" s="207"/>
      <c r="AL80" s="207"/>
      <c r="AM80" s="207"/>
      <c r="AN80" s="207"/>
      <c r="AO80" s="207"/>
      <c r="AP80" s="207"/>
      <c r="AQ80" s="207"/>
      <c r="AR80" s="207"/>
      <c r="AS80" s="207"/>
      <c r="AT80" s="207"/>
      <c r="AU80" s="207"/>
      <c r="AV80" s="207"/>
      <c r="AW80" s="207"/>
      <c r="AX80" s="207"/>
      <c r="AY80" s="207"/>
      <c r="AZ80" s="207"/>
      <c r="BA80" s="207"/>
      <c r="BB80" s="207"/>
      <c r="BC80" s="207"/>
      <c r="BD80" s="207"/>
      <c r="BE80" s="207"/>
      <c r="BF80" s="207"/>
      <c r="BG80" s="207"/>
      <c r="BH80" s="207"/>
      <c r="BI80" s="207"/>
      <c r="BJ80" s="207"/>
      <c r="BK80" s="207"/>
      <c r="BL80" s="207"/>
      <c r="BM80" s="207"/>
      <c r="BN80" s="207"/>
      <c r="BO80" s="207"/>
      <c r="BP80" s="207"/>
      <c r="BQ80" s="207"/>
      <c r="BR80" s="207"/>
      <c r="BS80" s="207"/>
      <c r="BT80" s="207"/>
      <c r="BU80" s="207"/>
      <c r="BV80" s="207"/>
      <c r="BW80" s="207"/>
      <c r="BX80" s="207"/>
      <c r="BY80" s="207"/>
      <c r="BZ80" s="207"/>
      <c r="CA80" s="207"/>
      <c r="CB80" s="207"/>
      <c r="CC80" s="207"/>
      <c r="CD80" s="207"/>
      <c r="CE80" s="207"/>
      <c r="CF80" s="207"/>
      <c r="CG80" s="207"/>
      <c r="CH80" s="207"/>
      <c r="CI80" s="207"/>
      <c r="CJ80" s="207"/>
      <c r="CK80" s="207"/>
      <c r="CL80" s="207"/>
      <c r="CM80" s="207"/>
      <c r="CN80" s="207"/>
      <c r="CO80" s="207"/>
      <c r="CP80" s="207"/>
      <c r="CQ80" s="207"/>
      <c r="CR80" s="207"/>
      <c r="CS80" s="207"/>
      <c r="CT80" s="207"/>
      <c r="CU80" s="207"/>
      <c r="CV80" s="207"/>
      <c r="CW80" s="207"/>
      <c r="CX80" s="207"/>
      <c r="CY80" s="207"/>
      <c r="CZ80" s="207"/>
      <c r="DA80" s="207"/>
      <c r="DB80" s="207"/>
      <c r="DC80" s="207"/>
      <c r="DD80" s="207"/>
      <c r="DE80" s="207"/>
      <c r="DF80" s="207"/>
      <c r="DG80" s="207"/>
      <c r="DH80" s="207"/>
      <c r="DI80" s="207"/>
      <c r="DJ80" s="207"/>
      <c r="DK80" s="207"/>
      <c r="DL80" s="207"/>
      <c r="DM80" s="207"/>
      <c r="DN80" s="207"/>
      <c r="DO80" s="207"/>
      <c r="DP80" s="207"/>
      <c r="DQ80" s="207"/>
      <c r="DR80" s="207"/>
      <c r="DS80" s="207"/>
      <c r="DT80" s="207"/>
      <c r="DU80" s="207"/>
      <c r="DV80" s="207"/>
      <c r="DW80" s="207"/>
      <c r="DX80" s="207"/>
      <c r="DY80" s="207"/>
      <c r="DZ80" s="207"/>
      <c r="EA80" s="207"/>
      <c r="EB80" s="207"/>
      <c r="EC80" s="207"/>
      <c r="ED80" s="207"/>
      <c r="EE80" s="207"/>
      <c r="EF80" s="207"/>
      <c r="EG80" s="207"/>
      <c r="EH80" s="207"/>
      <c r="EI80" s="207"/>
      <c r="EJ80" s="207"/>
      <c r="EK80" s="207"/>
      <c r="EL80" s="207"/>
      <c r="EM80" s="207"/>
      <c r="EN80" s="207"/>
      <c r="EO80" s="207"/>
      <c r="EP80" s="207"/>
      <c r="EQ80" s="207"/>
      <c r="ER80" s="207"/>
      <c r="ES80" s="207"/>
      <c r="ET80" s="207"/>
      <c r="EU80" s="207"/>
      <c r="EV80" s="207"/>
      <c r="EW80" s="207"/>
      <c r="EX80" s="207"/>
      <c r="EY80" s="207"/>
      <c r="EZ80" s="207"/>
      <c r="FA80" s="207"/>
      <c r="FB80" s="207"/>
      <c r="FC80" s="207"/>
      <c r="FD80" s="207"/>
      <c r="FE80" s="207"/>
      <c r="FF80" s="207"/>
      <c r="FG80" s="207"/>
      <c r="FH80" s="207"/>
      <c r="FI80" s="207"/>
      <c r="FJ80" s="207"/>
      <c r="FK80" s="207"/>
      <c r="FL80" s="207"/>
      <c r="FM80" s="207"/>
      <c r="FN80" s="207"/>
      <c r="FO80" s="207"/>
      <c r="FP80" s="207"/>
      <c r="FQ80" s="207"/>
      <c r="FR80" s="207"/>
      <c r="FS80" s="208"/>
      <c r="FT80" s="156"/>
    </row>
    <row r="81" spans="1:176" ht="15" outlineLevel="1">
      <c r="A81" s="206" t="s">
        <v>1330</v>
      </c>
      <c r="B81" s="200" t="s">
        <v>81</v>
      </c>
      <c r="C81" s="34"/>
      <c r="D81" s="34"/>
      <c r="E81" s="34"/>
      <c r="F81" s="34"/>
      <c r="G81" s="34"/>
      <c r="H81" s="35" t="s">
        <v>488</v>
      </c>
      <c r="I81" s="38"/>
      <c r="J81" s="38"/>
      <c r="K81" s="38"/>
      <c r="L81" s="38"/>
      <c r="M81" s="38"/>
      <c r="N81" s="38"/>
      <c r="O81" s="38"/>
      <c r="P81" s="38"/>
      <c r="Q81" s="38"/>
      <c r="R81" s="177">
        <f t="shared" si="11"/>
        <v>0</v>
      </c>
      <c r="S81" s="202">
        <f t="shared" si="13"/>
        <v>0</v>
      </c>
      <c r="T81" s="202">
        <f t="shared" si="14"/>
        <v>0</v>
      </c>
      <c r="U81" s="18"/>
      <c r="V81" s="206" t="str">
        <f t="shared" si="15"/>
        <v>2-21</v>
      </c>
      <c r="W81" s="215" t="str">
        <f t="shared" si="12"/>
        <v/>
      </c>
      <c r="X81" s="110"/>
      <c r="Y81" s="109"/>
      <c r="Z81" s="207"/>
      <c r="AA81" s="207"/>
      <c r="AB81" s="207"/>
      <c r="AC81" s="207"/>
      <c r="AD81" s="207"/>
      <c r="AE81" s="207"/>
      <c r="AF81" s="207"/>
      <c r="AG81" s="207"/>
      <c r="AH81" s="207"/>
      <c r="AI81" s="207"/>
      <c r="AJ81" s="207"/>
      <c r="AK81" s="207"/>
      <c r="AL81" s="207"/>
      <c r="AM81" s="207"/>
      <c r="AN81" s="207"/>
      <c r="AO81" s="207"/>
      <c r="AP81" s="207"/>
      <c r="AQ81" s="207"/>
      <c r="AR81" s="207"/>
      <c r="AS81" s="207"/>
      <c r="AT81" s="207"/>
      <c r="AU81" s="207"/>
      <c r="AV81" s="207"/>
      <c r="AW81" s="207"/>
      <c r="AX81" s="207"/>
      <c r="AY81" s="207"/>
      <c r="AZ81" s="207"/>
      <c r="BA81" s="207"/>
      <c r="BB81" s="207"/>
      <c r="BC81" s="207"/>
      <c r="BD81" s="207"/>
      <c r="BE81" s="207"/>
      <c r="BF81" s="207"/>
      <c r="BG81" s="207"/>
      <c r="BH81" s="207"/>
      <c r="BI81" s="207"/>
      <c r="BJ81" s="207"/>
      <c r="BK81" s="207"/>
      <c r="BL81" s="207"/>
      <c r="BM81" s="207"/>
      <c r="BN81" s="207"/>
      <c r="BO81" s="207"/>
      <c r="BP81" s="207"/>
      <c r="BQ81" s="207"/>
      <c r="BR81" s="207"/>
      <c r="BS81" s="207"/>
      <c r="BT81" s="207"/>
      <c r="BU81" s="207"/>
      <c r="BV81" s="207"/>
      <c r="BW81" s="207"/>
      <c r="BX81" s="207"/>
      <c r="BY81" s="207"/>
      <c r="BZ81" s="207"/>
      <c r="CA81" s="207"/>
      <c r="CB81" s="207"/>
      <c r="CC81" s="207"/>
      <c r="CD81" s="207"/>
      <c r="CE81" s="207"/>
      <c r="CF81" s="207"/>
      <c r="CG81" s="207"/>
      <c r="CH81" s="207"/>
      <c r="CI81" s="207"/>
      <c r="CJ81" s="207"/>
      <c r="CK81" s="207"/>
      <c r="CL81" s="207"/>
      <c r="CM81" s="207"/>
      <c r="CN81" s="207"/>
      <c r="CO81" s="207"/>
      <c r="CP81" s="207"/>
      <c r="CQ81" s="207"/>
      <c r="CR81" s="207"/>
      <c r="CS81" s="207"/>
      <c r="CT81" s="207"/>
      <c r="CU81" s="207"/>
      <c r="CV81" s="207"/>
      <c r="CW81" s="207"/>
      <c r="CX81" s="207"/>
      <c r="CY81" s="207"/>
      <c r="CZ81" s="207"/>
      <c r="DA81" s="207"/>
      <c r="DB81" s="207"/>
      <c r="DC81" s="207"/>
      <c r="DD81" s="207"/>
      <c r="DE81" s="207"/>
      <c r="DF81" s="207"/>
      <c r="DG81" s="207"/>
      <c r="DH81" s="207"/>
      <c r="DI81" s="207"/>
      <c r="DJ81" s="207"/>
      <c r="DK81" s="207"/>
      <c r="DL81" s="207"/>
      <c r="DM81" s="207"/>
      <c r="DN81" s="207"/>
      <c r="DO81" s="207"/>
      <c r="DP81" s="207"/>
      <c r="DQ81" s="207"/>
      <c r="DR81" s="207"/>
      <c r="DS81" s="207"/>
      <c r="DT81" s="207"/>
      <c r="DU81" s="207"/>
      <c r="DV81" s="207"/>
      <c r="DW81" s="207"/>
      <c r="DX81" s="207"/>
      <c r="DY81" s="207"/>
      <c r="DZ81" s="207"/>
      <c r="EA81" s="207"/>
      <c r="EB81" s="207"/>
      <c r="EC81" s="207"/>
      <c r="ED81" s="207"/>
      <c r="EE81" s="207"/>
      <c r="EF81" s="207"/>
      <c r="EG81" s="207"/>
      <c r="EH81" s="207"/>
      <c r="EI81" s="207"/>
      <c r="EJ81" s="207"/>
      <c r="EK81" s="207"/>
      <c r="EL81" s="207"/>
      <c r="EM81" s="207"/>
      <c r="EN81" s="207"/>
      <c r="EO81" s="207"/>
      <c r="EP81" s="207"/>
      <c r="EQ81" s="207"/>
      <c r="ER81" s="207"/>
      <c r="ES81" s="207"/>
      <c r="ET81" s="207"/>
      <c r="EU81" s="207"/>
      <c r="EV81" s="207"/>
      <c r="EW81" s="207"/>
      <c r="EX81" s="207"/>
      <c r="EY81" s="207"/>
      <c r="EZ81" s="207"/>
      <c r="FA81" s="207"/>
      <c r="FB81" s="207"/>
      <c r="FC81" s="207"/>
      <c r="FD81" s="207"/>
      <c r="FE81" s="207"/>
      <c r="FF81" s="207"/>
      <c r="FG81" s="207"/>
      <c r="FH81" s="207"/>
      <c r="FI81" s="207"/>
      <c r="FJ81" s="207"/>
      <c r="FK81" s="207"/>
      <c r="FL81" s="207"/>
      <c r="FM81" s="207"/>
      <c r="FN81" s="207"/>
      <c r="FO81" s="207"/>
      <c r="FP81" s="207"/>
      <c r="FQ81" s="207"/>
      <c r="FR81" s="207"/>
      <c r="FS81" s="208"/>
      <c r="FT81" s="156"/>
    </row>
    <row r="82" spans="1:176" ht="15" outlineLevel="1">
      <c r="A82" s="206" t="s">
        <v>1331</v>
      </c>
      <c r="B82" s="200" t="s">
        <v>81</v>
      </c>
      <c r="C82" s="34"/>
      <c r="D82" s="34"/>
      <c r="E82" s="34"/>
      <c r="F82" s="34"/>
      <c r="G82" s="34"/>
      <c r="H82" s="35" t="s">
        <v>488</v>
      </c>
      <c r="I82" s="38"/>
      <c r="J82" s="38"/>
      <c r="K82" s="38"/>
      <c r="L82" s="38"/>
      <c r="M82" s="38"/>
      <c r="N82" s="38"/>
      <c r="O82" s="38"/>
      <c r="P82" s="38"/>
      <c r="Q82" s="38"/>
      <c r="R82" s="177">
        <f t="shared" si="11"/>
        <v>0</v>
      </c>
      <c r="S82" s="202">
        <f t="shared" si="13"/>
        <v>0</v>
      </c>
      <c r="T82" s="202">
        <f t="shared" si="14"/>
        <v>0</v>
      </c>
      <c r="U82" s="18"/>
      <c r="V82" s="206" t="str">
        <f t="shared" si="15"/>
        <v>2-22</v>
      </c>
      <c r="W82" s="215" t="str">
        <f t="shared" si="12"/>
        <v/>
      </c>
      <c r="X82" s="110"/>
      <c r="Y82" s="109"/>
      <c r="Z82" s="207"/>
      <c r="AA82" s="207"/>
      <c r="AB82" s="207"/>
      <c r="AC82" s="207"/>
      <c r="AD82" s="207"/>
      <c r="AE82" s="207"/>
      <c r="AF82" s="207"/>
      <c r="AG82" s="207"/>
      <c r="AH82" s="207"/>
      <c r="AI82" s="207"/>
      <c r="AJ82" s="207"/>
      <c r="AK82" s="207"/>
      <c r="AL82" s="207"/>
      <c r="AM82" s="207"/>
      <c r="AN82" s="207"/>
      <c r="AO82" s="207"/>
      <c r="AP82" s="207"/>
      <c r="AQ82" s="207"/>
      <c r="AR82" s="207"/>
      <c r="AS82" s="207"/>
      <c r="AT82" s="207"/>
      <c r="AU82" s="207"/>
      <c r="AV82" s="207"/>
      <c r="AW82" s="207"/>
      <c r="AX82" s="207"/>
      <c r="AY82" s="207"/>
      <c r="AZ82" s="207"/>
      <c r="BA82" s="207"/>
      <c r="BB82" s="207"/>
      <c r="BC82" s="207"/>
      <c r="BD82" s="207"/>
      <c r="BE82" s="207"/>
      <c r="BF82" s="207"/>
      <c r="BG82" s="207"/>
      <c r="BH82" s="207"/>
      <c r="BI82" s="207"/>
      <c r="BJ82" s="207"/>
      <c r="BK82" s="207"/>
      <c r="BL82" s="207"/>
      <c r="BM82" s="207"/>
      <c r="BN82" s="207"/>
      <c r="BO82" s="207"/>
      <c r="BP82" s="207"/>
      <c r="BQ82" s="207"/>
      <c r="BR82" s="207"/>
      <c r="BS82" s="207"/>
      <c r="BT82" s="207"/>
      <c r="BU82" s="207"/>
      <c r="BV82" s="207"/>
      <c r="BW82" s="207"/>
      <c r="BX82" s="207"/>
      <c r="BY82" s="207"/>
      <c r="BZ82" s="207"/>
      <c r="CA82" s="207"/>
      <c r="CB82" s="207"/>
      <c r="CC82" s="207"/>
      <c r="CD82" s="207"/>
      <c r="CE82" s="207"/>
      <c r="CF82" s="207"/>
      <c r="CG82" s="207"/>
      <c r="CH82" s="207"/>
      <c r="CI82" s="207"/>
      <c r="CJ82" s="207"/>
      <c r="CK82" s="207"/>
      <c r="CL82" s="207"/>
      <c r="CM82" s="207"/>
      <c r="CN82" s="207"/>
      <c r="CO82" s="207"/>
      <c r="CP82" s="207"/>
      <c r="CQ82" s="207"/>
      <c r="CR82" s="207"/>
      <c r="CS82" s="207"/>
      <c r="CT82" s="207"/>
      <c r="CU82" s="207"/>
      <c r="CV82" s="207"/>
      <c r="CW82" s="207"/>
      <c r="CX82" s="207"/>
      <c r="CY82" s="207"/>
      <c r="CZ82" s="207"/>
      <c r="DA82" s="207"/>
      <c r="DB82" s="207"/>
      <c r="DC82" s="207"/>
      <c r="DD82" s="207"/>
      <c r="DE82" s="207"/>
      <c r="DF82" s="207"/>
      <c r="DG82" s="207"/>
      <c r="DH82" s="207"/>
      <c r="DI82" s="207"/>
      <c r="DJ82" s="207"/>
      <c r="DK82" s="207"/>
      <c r="DL82" s="207"/>
      <c r="DM82" s="207"/>
      <c r="DN82" s="207"/>
      <c r="DO82" s="207"/>
      <c r="DP82" s="207"/>
      <c r="DQ82" s="207"/>
      <c r="DR82" s="207"/>
      <c r="DS82" s="207"/>
      <c r="DT82" s="207"/>
      <c r="DU82" s="207"/>
      <c r="DV82" s="207"/>
      <c r="DW82" s="207"/>
      <c r="DX82" s="207"/>
      <c r="DY82" s="207"/>
      <c r="DZ82" s="207"/>
      <c r="EA82" s="207"/>
      <c r="EB82" s="207"/>
      <c r="EC82" s="207"/>
      <c r="ED82" s="207"/>
      <c r="EE82" s="207"/>
      <c r="EF82" s="207"/>
      <c r="EG82" s="207"/>
      <c r="EH82" s="207"/>
      <c r="EI82" s="207"/>
      <c r="EJ82" s="207"/>
      <c r="EK82" s="207"/>
      <c r="EL82" s="207"/>
      <c r="EM82" s="207"/>
      <c r="EN82" s="207"/>
      <c r="EO82" s="207"/>
      <c r="EP82" s="207"/>
      <c r="EQ82" s="207"/>
      <c r="ER82" s="207"/>
      <c r="ES82" s="207"/>
      <c r="ET82" s="207"/>
      <c r="EU82" s="207"/>
      <c r="EV82" s="207"/>
      <c r="EW82" s="207"/>
      <c r="EX82" s="207"/>
      <c r="EY82" s="207"/>
      <c r="EZ82" s="207"/>
      <c r="FA82" s="207"/>
      <c r="FB82" s="207"/>
      <c r="FC82" s="207"/>
      <c r="FD82" s="207"/>
      <c r="FE82" s="207"/>
      <c r="FF82" s="207"/>
      <c r="FG82" s="207"/>
      <c r="FH82" s="207"/>
      <c r="FI82" s="207"/>
      <c r="FJ82" s="207"/>
      <c r="FK82" s="207"/>
      <c r="FL82" s="207"/>
      <c r="FM82" s="207"/>
      <c r="FN82" s="207"/>
      <c r="FO82" s="207"/>
      <c r="FP82" s="207"/>
      <c r="FQ82" s="207"/>
      <c r="FR82" s="207"/>
      <c r="FS82" s="208"/>
      <c r="FT82" s="156"/>
    </row>
    <row r="83" spans="1:176" ht="15" outlineLevel="1">
      <c r="A83" s="206" t="s">
        <v>1332</v>
      </c>
      <c r="B83" s="200" t="s">
        <v>81</v>
      </c>
      <c r="C83" s="34"/>
      <c r="D83" s="34"/>
      <c r="E83" s="34"/>
      <c r="F83" s="34"/>
      <c r="G83" s="34"/>
      <c r="H83" s="35" t="s">
        <v>488</v>
      </c>
      <c r="I83" s="38"/>
      <c r="J83" s="38"/>
      <c r="K83" s="38"/>
      <c r="L83" s="38"/>
      <c r="M83" s="38"/>
      <c r="N83" s="38"/>
      <c r="O83" s="38"/>
      <c r="P83" s="38"/>
      <c r="Q83" s="38"/>
      <c r="R83" s="177">
        <f t="shared" si="11"/>
        <v>0</v>
      </c>
      <c r="S83" s="202">
        <f t="shared" si="13"/>
        <v>0</v>
      </c>
      <c r="T83" s="202">
        <f t="shared" si="14"/>
        <v>0</v>
      </c>
      <c r="U83" s="18"/>
      <c r="V83" s="206" t="str">
        <f t="shared" si="15"/>
        <v>2-23</v>
      </c>
      <c r="W83" s="215" t="str">
        <f t="shared" si="12"/>
        <v/>
      </c>
      <c r="X83" s="110"/>
      <c r="Y83" s="109"/>
      <c r="Z83" s="207"/>
      <c r="AA83" s="207"/>
      <c r="AB83" s="207"/>
      <c r="AC83" s="207"/>
      <c r="AD83" s="207"/>
      <c r="AE83" s="207"/>
      <c r="AF83" s="207"/>
      <c r="AG83" s="207"/>
      <c r="AH83" s="207"/>
      <c r="AI83" s="207"/>
      <c r="AJ83" s="207"/>
      <c r="AK83" s="207"/>
      <c r="AL83" s="207"/>
      <c r="AM83" s="207"/>
      <c r="AN83" s="207"/>
      <c r="AO83" s="207"/>
      <c r="AP83" s="207"/>
      <c r="AQ83" s="207"/>
      <c r="AR83" s="207"/>
      <c r="AS83" s="207"/>
      <c r="AT83" s="207"/>
      <c r="AU83" s="207"/>
      <c r="AV83" s="207"/>
      <c r="AW83" s="207"/>
      <c r="AX83" s="207"/>
      <c r="AY83" s="207"/>
      <c r="AZ83" s="207"/>
      <c r="BA83" s="207"/>
      <c r="BB83" s="207"/>
      <c r="BC83" s="207"/>
      <c r="BD83" s="207"/>
      <c r="BE83" s="207"/>
      <c r="BF83" s="207"/>
      <c r="BG83" s="207"/>
      <c r="BH83" s="207"/>
      <c r="BI83" s="207"/>
      <c r="BJ83" s="207"/>
      <c r="BK83" s="207"/>
      <c r="BL83" s="207"/>
      <c r="BM83" s="207"/>
      <c r="BN83" s="207"/>
      <c r="BO83" s="207"/>
      <c r="BP83" s="207"/>
      <c r="BQ83" s="207"/>
      <c r="BR83" s="207"/>
      <c r="BS83" s="207"/>
      <c r="BT83" s="207"/>
      <c r="BU83" s="207"/>
      <c r="BV83" s="207"/>
      <c r="BW83" s="207"/>
      <c r="BX83" s="207"/>
      <c r="BY83" s="207"/>
      <c r="BZ83" s="207"/>
      <c r="CA83" s="207"/>
      <c r="CB83" s="207"/>
      <c r="CC83" s="207"/>
      <c r="CD83" s="207"/>
      <c r="CE83" s="207"/>
      <c r="CF83" s="207"/>
      <c r="CG83" s="207"/>
      <c r="CH83" s="207"/>
      <c r="CI83" s="207"/>
      <c r="CJ83" s="207"/>
      <c r="CK83" s="207"/>
      <c r="CL83" s="207"/>
      <c r="CM83" s="207"/>
      <c r="CN83" s="207"/>
      <c r="CO83" s="207"/>
      <c r="CP83" s="207"/>
      <c r="CQ83" s="207"/>
      <c r="CR83" s="207"/>
      <c r="CS83" s="207"/>
      <c r="CT83" s="207"/>
      <c r="CU83" s="207"/>
      <c r="CV83" s="207"/>
      <c r="CW83" s="207"/>
      <c r="CX83" s="207"/>
      <c r="CY83" s="207"/>
      <c r="CZ83" s="207"/>
      <c r="DA83" s="207"/>
      <c r="DB83" s="207"/>
      <c r="DC83" s="207"/>
      <c r="DD83" s="207"/>
      <c r="DE83" s="207"/>
      <c r="DF83" s="207"/>
      <c r="DG83" s="207"/>
      <c r="DH83" s="207"/>
      <c r="DI83" s="207"/>
      <c r="DJ83" s="207"/>
      <c r="DK83" s="207"/>
      <c r="DL83" s="207"/>
      <c r="DM83" s="207"/>
      <c r="DN83" s="207"/>
      <c r="DO83" s="207"/>
      <c r="DP83" s="207"/>
      <c r="DQ83" s="207"/>
      <c r="DR83" s="207"/>
      <c r="DS83" s="207"/>
      <c r="DT83" s="207"/>
      <c r="DU83" s="207"/>
      <c r="DV83" s="207"/>
      <c r="DW83" s="207"/>
      <c r="DX83" s="207"/>
      <c r="DY83" s="207"/>
      <c r="DZ83" s="207"/>
      <c r="EA83" s="207"/>
      <c r="EB83" s="207"/>
      <c r="EC83" s="207"/>
      <c r="ED83" s="207"/>
      <c r="EE83" s="207"/>
      <c r="EF83" s="207"/>
      <c r="EG83" s="207"/>
      <c r="EH83" s="207"/>
      <c r="EI83" s="207"/>
      <c r="EJ83" s="207"/>
      <c r="EK83" s="207"/>
      <c r="EL83" s="207"/>
      <c r="EM83" s="207"/>
      <c r="EN83" s="207"/>
      <c r="EO83" s="207"/>
      <c r="EP83" s="207"/>
      <c r="EQ83" s="207"/>
      <c r="ER83" s="207"/>
      <c r="ES83" s="207"/>
      <c r="ET83" s="207"/>
      <c r="EU83" s="207"/>
      <c r="EV83" s="207"/>
      <c r="EW83" s="207"/>
      <c r="EX83" s="207"/>
      <c r="EY83" s="207"/>
      <c r="EZ83" s="207"/>
      <c r="FA83" s="207"/>
      <c r="FB83" s="207"/>
      <c r="FC83" s="207"/>
      <c r="FD83" s="207"/>
      <c r="FE83" s="207"/>
      <c r="FF83" s="207"/>
      <c r="FG83" s="207"/>
      <c r="FH83" s="207"/>
      <c r="FI83" s="207"/>
      <c r="FJ83" s="207"/>
      <c r="FK83" s="207"/>
      <c r="FL83" s="207"/>
      <c r="FM83" s="207"/>
      <c r="FN83" s="207"/>
      <c r="FO83" s="207"/>
      <c r="FP83" s="207"/>
      <c r="FQ83" s="207"/>
      <c r="FR83" s="207"/>
      <c r="FS83" s="208"/>
      <c r="FT83" s="156"/>
    </row>
    <row r="84" spans="1:176" ht="15" outlineLevel="1">
      <c r="A84" s="206" t="s">
        <v>1333</v>
      </c>
      <c r="B84" s="200" t="s">
        <v>81</v>
      </c>
      <c r="C84" s="34"/>
      <c r="D84" s="34"/>
      <c r="E84" s="34"/>
      <c r="F84" s="34"/>
      <c r="G84" s="34"/>
      <c r="H84" s="35" t="s">
        <v>488</v>
      </c>
      <c r="I84" s="38"/>
      <c r="J84" s="38"/>
      <c r="K84" s="38"/>
      <c r="L84" s="38"/>
      <c r="M84" s="38"/>
      <c r="N84" s="38"/>
      <c r="O84" s="38"/>
      <c r="P84" s="38"/>
      <c r="Q84" s="38"/>
      <c r="R84" s="177">
        <f t="shared" si="11"/>
        <v>0</v>
      </c>
      <c r="S84" s="202">
        <f t="shared" si="13"/>
        <v>0</v>
      </c>
      <c r="T84" s="202">
        <f t="shared" si="14"/>
        <v>0</v>
      </c>
      <c r="U84" s="18"/>
      <c r="V84" s="206" t="str">
        <f t="shared" si="15"/>
        <v>2-24</v>
      </c>
      <c r="W84" s="215" t="str">
        <f t="shared" si="12"/>
        <v/>
      </c>
      <c r="X84" s="110"/>
      <c r="Y84" s="109"/>
      <c r="Z84" s="207"/>
      <c r="AA84" s="207"/>
      <c r="AB84" s="207"/>
      <c r="AC84" s="207"/>
      <c r="AD84" s="207"/>
      <c r="AE84" s="207"/>
      <c r="AF84" s="207"/>
      <c r="AG84" s="207"/>
      <c r="AH84" s="207"/>
      <c r="AI84" s="207"/>
      <c r="AJ84" s="207"/>
      <c r="AK84" s="207"/>
      <c r="AL84" s="207"/>
      <c r="AM84" s="207"/>
      <c r="AN84" s="207"/>
      <c r="AO84" s="207"/>
      <c r="AP84" s="207"/>
      <c r="AQ84" s="207"/>
      <c r="AR84" s="207"/>
      <c r="AS84" s="207"/>
      <c r="AT84" s="207"/>
      <c r="AU84" s="207"/>
      <c r="AV84" s="207"/>
      <c r="AW84" s="207"/>
      <c r="AX84" s="207"/>
      <c r="AY84" s="207"/>
      <c r="AZ84" s="207"/>
      <c r="BA84" s="207"/>
      <c r="BB84" s="207"/>
      <c r="BC84" s="207"/>
      <c r="BD84" s="207"/>
      <c r="BE84" s="207"/>
      <c r="BF84" s="207"/>
      <c r="BG84" s="207"/>
      <c r="BH84" s="207"/>
      <c r="BI84" s="207"/>
      <c r="BJ84" s="207"/>
      <c r="BK84" s="207"/>
      <c r="BL84" s="207"/>
      <c r="BM84" s="207"/>
      <c r="BN84" s="207"/>
      <c r="BO84" s="207"/>
      <c r="BP84" s="207"/>
      <c r="BQ84" s="207"/>
      <c r="BR84" s="207"/>
      <c r="BS84" s="207"/>
      <c r="BT84" s="207"/>
      <c r="BU84" s="207"/>
      <c r="BV84" s="207"/>
      <c r="BW84" s="207"/>
      <c r="BX84" s="207"/>
      <c r="BY84" s="207"/>
      <c r="BZ84" s="207"/>
      <c r="CA84" s="207"/>
      <c r="CB84" s="207"/>
      <c r="CC84" s="207"/>
      <c r="CD84" s="207"/>
      <c r="CE84" s="207"/>
      <c r="CF84" s="207"/>
      <c r="CG84" s="207"/>
      <c r="CH84" s="207"/>
      <c r="CI84" s="207"/>
      <c r="CJ84" s="207"/>
      <c r="CK84" s="207"/>
      <c r="CL84" s="207"/>
      <c r="CM84" s="207"/>
      <c r="CN84" s="207"/>
      <c r="CO84" s="207"/>
      <c r="CP84" s="207"/>
      <c r="CQ84" s="207"/>
      <c r="CR84" s="207"/>
      <c r="CS84" s="207"/>
      <c r="CT84" s="207"/>
      <c r="CU84" s="207"/>
      <c r="CV84" s="207"/>
      <c r="CW84" s="207"/>
      <c r="CX84" s="207"/>
      <c r="CY84" s="207"/>
      <c r="CZ84" s="207"/>
      <c r="DA84" s="207"/>
      <c r="DB84" s="207"/>
      <c r="DC84" s="207"/>
      <c r="DD84" s="207"/>
      <c r="DE84" s="207"/>
      <c r="DF84" s="207"/>
      <c r="DG84" s="207"/>
      <c r="DH84" s="207"/>
      <c r="DI84" s="207"/>
      <c r="DJ84" s="207"/>
      <c r="DK84" s="207"/>
      <c r="DL84" s="207"/>
      <c r="DM84" s="207"/>
      <c r="DN84" s="207"/>
      <c r="DO84" s="207"/>
      <c r="DP84" s="207"/>
      <c r="DQ84" s="207"/>
      <c r="DR84" s="207"/>
      <c r="DS84" s="207"/>
      <c r="DT84" s="207"/>
      <c r="DU84" s="207"/>
      <c r="DV84" s="207"/>
      <c r="DW84" s="207"/>
      <c r="DX84" s="207"/>
      <c r="DY84" s="207"/>
      <c r="DZ84" s="207"/>
      <c r="EA84" s="207"/>
      <c r="EB84" s="207"/>
      <c r="EC84" s="207"/>
      <c r="ED84" s="207"/>
      <c r="EE84" s="207"/>
      <c r="EF84" s="207"/>
      <c r="EG84" s="207"/>
      <c r="EH84" s="207"/>
      <c r="EI84" s="207"/>
      <c r="EJ84" s="207"/>
      <c r="EK84" s="207"/>
      <c r="EL84" s="207"/>
      <c r="EM84" s="207"/>
      <c r="EN84" s="207"/>
      <c r="EO84" s="207"/>
      <c r="EP84" s="207"/>
      <c r="EQ84" s="207"/>
      <c r="ER84" s="207"/>
      <c r="ES84" s="207"/>
      <c r="ET84" s="207"/>
      <c r="EU84" s="207"/>
      <c r="EV84" s="207"/>
      <c r="EW84" s="207"/>
      <c r="EX84" s="207"/>
      <c r="EY84" s="207"/>
      <c r="EZ84" s="207"/>
      <c r="FA84" s="207"/>
      <c r="FB84" s="207"/>
      <c r="FC84" s="207"/>
      <c r="FD84" s="207"/>
      <c r="FE84" s="207"/>
      <c r="FF84" s="207"/>
      <c r="FG84" s="207"/>
      <c r="FH84" s="207"/>
      <c r="FI84" s="207"/>
      <c r="FJ84" s="207"/>
      <c r="FK84" s="207"/>
      <c r="FL84" s="207"/>
      <c r="FM84" s="207"/>
      <c r="FN84" s="207"/>
      <c r="FO84" s="207"/>
      <c r="FP84" s="207"/>
      <c r="FQ84" s="207"/>
      <c r="FR84" s="207"/>
      <c r="FS84" s="208"/>
      <c r="FT84" s="156"/>
    </row>
    <row r="85" spans="1:176" ht="15" outlineLevel="1">
      <c r="A85" s="206" t="s">
        <v>1334</v>
      </c>
      <c r="B85" s="200" t="s">
        <v>81</v>
      </c>
      <c r="C85" s="34"/>
      <c r="D85" s="34"/>
      <c r="E85" s="34"/>
      <c r="F85" s="34"/>
      <c r="G85" s="34"/>
      <c r="H85" s="35" t="s">
        <v>488</v>
      </c>
      <c r="I85" s="38"/>
      <c r="J85" s="38"/>
      <c r="K85" s="38"/>
      <c r="L85" s="38"/>
      <c r="M85" s="38"/>
      <c r="N85" s="38"/>
      <c r="O85" s="38"/>
      <c r="P85" s="38"/>
      <c r="Q85" s="38"/>
      <c r="R85" s="177">
        <f t="shared" si="11"/>
        <v>0</v>
      </c>
      <c r="S85" s="202">
        <f t="shared" si="13"/>
        <v>0</v>
      </c>
      <c r="T85" s="202">
        <f t="shared" si="14"/>
        <v>0</v>
      </c>
      <c r="U85" s="18"/>
      <c r="V85" s="206" t="str">
        <f t="shared" si="15"/>
        <v>2-25</v>
      </c>
      <c r="W85" s="215" t="str">
        <f t="shared" si="12"/>
        <v/>
      </c>
      <c r="X85" s="110"/>
      <c r="Y85" s="109"/>
      <c r="Z85" s="207"/>
      <c r="AA85" s="207"/>
      <c r="AB85" s="207"/>
      <c r="AC85" s="207"/>
      <c r="AD85" s="207"/>
      <c r="AE85" s="207"/>
      <c r="AF85" s="207"/>
      <c r="AG85" s="207"/>
      <c r="AH85" s="207"/>
      <c r="AI85" s="207"/>
      <c r="AJ85" s="207"/>
      <c r="AK85" s="207"/>
      <c r="AL85" s="207"/>
      <c r="AM85" s="207"/>
      <c r="AN85" s="207"/>
      <c r="AO85" s="207"/>
      <c r="AP85" s="207"/>
      <c r="AQ85" s="207"/>
      <c r="AR85" s="207"/>
      <c r="AS85" s="207"/>
      <c r="AT85" s="207"/>
      <c r="AU85" s="207"/>
      <c r="AV85" s="207"/>
      <c r="AW85" s="207"/>
      <c r="AX85" s="207"/>
      <c r="AY85" s="207"/>
      <c r="AZ85" s="207"/>
      <c r="BA85" s="207"/>
      <c r="BB85" s="207"/>
      <c r="BC85" s="207"/>
      <c r="BD85" s="207"/>
      <c r="BE85" s="207"/>
      <c r="BF85" s="207"/>
      <c r="BG85" s="207"/>
      <c r="BH85" s="207"/>
      <c r="BI85" s="207"/>
      <c r="BJ85" s="207"/>
      <c r="BK85" s="207"/>
      <c r="BL85" s="207"/>
      <c r="BM85" s="207"/>
      <c r="BN85" s="207"/>
      <c r="BO85" s="207"/>
      <c r="BP85" s="207"/>
      <c r="BQ85" s="207"/>
      <c r="BR85" s="207"/>
      <c r="BS85" s="207"/>
      <c r="BT85" s="207"/>
      <c r="BU85" s="207"/>
      <c r="BV85" s="207"/>
      <c r="BW85" s="207"/>
      <c r="BX85" s="207"/>
      <c r="BY85" s="207"/>
      <c r="BZ85" s="207"/>
      <c r="CA85" s="207"/>
      <c r="CB85" s="207"/>
      <c r="CC85" s="207"/>
      <c r="CD85" s="207"/>
      <c r="CE85" s="207"/>
      <c r="CF85" s="207"/>
      <c r="CG85" s="207"/>
      <c r="CH85" s="207"/>
      <c r="CI85" s="207"/>
      <c r="CJ85" s="207"/>
      <c r="CK85" s="207"/>
      <c r="CL85" s="207"/>
      <c r="CM85" s="207"/>
      <c r="CN85" s="207"/>
      <c r="CO85" s="207"/>
      <c r="CP85" s="207"/>
      <c r="CQ85" s="207"/>
      <c r="CR85" s="207"/>
      <c r="CS85" s="207"/>
      <c r="CT85" s="207"/>
      <c r="CU85" s="207"/>
      <c r="CV85" s="207"/>
      <c r="CW85" s="207"/>
      <c r="CX85" s="207"/>
      <c r="CY85" s="207"/>
      <c r="CZ85" s="207"/>
      <c r="DA85" s="207"/>
      <c r="DB85" s="207"/>
      <c r="DC85" s="207"/>
      <c r="DD85" s="207"/>
      <c r="DE85" s="207"/>
      <c r="DF85" s="207"/>
      <c r="DG85" s="207"/>
      <c r="DH85" s="207"/>
      <c r="DI85" s="207"/>
      <c r="DJ85" s="207"/>
      <c r="DK85" s="207"/>
      <c r="DL85" s="207"/>
      <c r="DM85" s="207"/>
      <c r="DN85" s="207"/>
      <c r="DO85" s="207"/>
      <c r="DP85" s="207"/>
      <c r="DQ85" s="207"/>
      <c r="DR85" s="207"/>
      <c r="DS85" s="207"/>
      <c r="DT85" s="207"/>
      <c r="DU85" s="207"/>
      <c r="DV85" s="207"/>
      <c r="DW85" s="207"/>
      <c r="DX85" s="207"/>
      <c r="DY85" s="207"/>
      <c r="DZ85" s="207"/>
      <c r="EA85" s="207"/>
      <c r="EB85" s="207"/>
      <c r="EC85" s="207"/>
      <c r="ED85" s="207"/>
      <c r="EE85" s="207"/>
      <c r="EF85" s="207"/>
      <c r="EG85" s="207"/>
      <c r="EH85" s="207"/>
      <c r="EI85" s="207"/>
      <c r="EJ85" s="207"/>
      <c r="EK85" s="207"/>
      <c r="EL85" s="207"/>
      <c r="EM85" s="207"/>
      <c r="EN85" s="207"/>
      <c r="EO85" s="207"/>
      <c r="EP85" s="207"/>
      <c r="EQ85" s="207"/>
      <c r="ER85" s="207"/>
      <c r="ES85" s="207"/>
      <c r="ET85" s="207"/>
      <c r="EU85" s="207"/>
      <c r="EV85" s="207"/>
      <c r="EW85" s="207"/>
      <c r="EX85" s="207"/>
      <c r="EY85" s="207"/>
      <c r="EZ85" s="207"/>
      <c r="FA85" s="207"/>
      <c r="FB85" s="207"/>
      <c r="FC85" s="207"/>
      <c r="FD85" s="207"/>
      <c r="FE85" s="207"/>
      <c r="FF85" s="207"/>
      <c r="FG85" s="207"/>
      <c r="FH85" s="207"/>
      <c r="FI85" s="207"/>
      <c r="FJ85" s="207"/>
      <c r="FK85" s="207"/>
      <c r="FL85" s="207"/>
      <c r="FM85" s="207"/>
      <c r="FN85" s="207"/>
      <c r="FO85" s="207"/>
      <c r="FP85" s="207"/>
      <c r="FQ85" s="207"/>
      <c r="FR85" s="207"/>
      <c r="FS85" s="208"/>
      <c r="FT85" s="156"/>
    </row>
    <row r="86" spans="1:176" ht="15" outlineLevel="1">
      <c r="A86" s="206" t="s">
        <v>1335</v>
      </c>
      <c r="B86" s="200" t="s">
        <v>81</v>
      </c>
      <c r="C86" s="34"/>
      <c r="D86" s="34"/>
      <c r="E86" s="34"/>
      <c r="F86" s="34"/>
      <c r="G86" s="34"/>
      <c r="H86" s="35" t="s">
        <v>488</v>
      </c>
      <c r="I86" s="38"/>
      <c r="J86" s="38"/>
      <c r="K86" s="38"/>
      <c r="L86" s="38"/>
      <c r="M86" s="38"/>
      <c r="N86" s="38"/>
      <c r="O86" s="38"/>
      <c r="P86" s="38"/>
      <c r="Q86" s="38"/>
      <c r="R86" s="177">
        <f t="shared" si="11"/>
        <v>0</v>
      </c>
      <c r="S86" s="202">
        <f t="shared" si="13"/>
        <v>0</v>
      </c>
      <c r="T86" s="202">
        <f t="shared" si="14"/>
        <v>0</v>
      </c>
      <c r="U86" s="18"/>
      <c r="V86" s="206" t="str">
        <f t="shared" si="15"/>
        <v>2-26</v>
      </c>
      <c r="W86" s="215" t="str">
        <f t="shared" si="12"/>
        <v/>
      </c>
      <c r="X86" s="110"/>
      <c r="Y86" s="109"/>
      <c r="Z86" s="207"/>
      <c r="AA86" s="207"/>
      <c r="AB86" s="207"/>
      <c r="AC86" s="207"/>
      <c r="AD86" s="207"/>
      <c r="AE86" s="207"/>
      <c r="AF86" s="207"/>
      <c r="AG86" s="207"/>
      <c r="AH86" s="207"/>
      <c r="AI86" s="207"/>
      <c r="AJ86" s="207"/>
      <c r="AK86" s="207"/>
      <c r="AL86" s="207"/>
      <c r="AM86" s="207"/>
      <c r="AN86" s="207"/>
      <c r="AO86" s="207"/>
      <c r="AP86" s="207"/>
      <c r="AQ86" s="207"/>
      <c r="AR86" s="207"/>
      <c r="AS86" s="207"/>
      <c r="AT86" s="207"/>
      <c r="AU86" s="207"/>
      <c r="AV86" s="207"/>
      <c r="AW86" s="207"/>
      <c r="AX86" s="207"/>
      <c r="AY86" s="207"/>
      <c r="AZ86" s="207"/>
      <c r="BA86" s="207"/>
      <c r="BB86" s="207"/>
      <c r="BC86" s="207"/>
      <c r="BD86" s="207"/>
      <c r="BE86" s="207"/>
      <c r="BF86" s="207"/>
      <c r="BG86" s="207"/>
      <c r="BH86" s="207"/>
      <c r="BI86" s="207"/>
      <c r="BJ86" s="207"/>
      <c r="BK86" s="207"/>
      <c r="BL86" s="207"/>
      <c r="BM86" s="207"/>
      <c r="BN86" s="207"/>
      <c r="BO86" s="207"/>
      <c r="BP86" s="207"/>
      <c r="BQ86" s="207"/>
      <c r="BR86" s="207"/>
      <c r="BS86" s="207"/>
      <c r="BT86" s="207"/>
      <c r="BU86" s="207"/>
      <c r="BV86" s="207"/>
      <c r="BW86" s="207"/>
      <c r="BX86" s="207"/>
      <c r="BY86" s="207"/>
      <c r="BZ86" s="207"/>
      <c r="CA86" s="207"/>
      <c r="CB86" s="207"/>
      <c r="CC86" s="207"/>
      <c r="CD86" s="207"/>
      <c r="CE86" s="207"/>
      <c r="CF86" s="207"/>
      <c r="CG86" s="207"/>
      <c r="CH86" s="207"/>
      <c r="CI86" s="207"/>
      <c r="CJ86" s="207"/>
      <c r="CK86" s="207"/>
      <c r="CL86" s="207"/>
      <c r="CM86" s="207"/>
      <c r="CN86" s="207"/>
      <c r="CO86" s="207"/>
      <c r="CP86" s="207"/>
      <c r="CQ86" s="207"/>
      <c r="CR86" s="207"/>
      <c r="CS86" s="207"/>
      <c r="CT86" s="207"/>
      <c r="CU86" s="207"/>
      <c r="CV86" s="207"/>
      <c r="CW86" s="207"/>
      <c r="CX86" s="207"/>
      <c r="CY86" s="207"/>
      <c r="CZ86" s="207"/>
      <c r="DA86" s="207"/>
      <c r="DB86" s="207"/>
      <c r="DC86" s="207"/>
      <c r="DD86" s="207"/>
      <c r="DE86" s="207"/>
      <c r="DF86" s="207"/>
      <c r="DG86" s="207"/>
      <c r="DH86" s="207"/>
      <c r="DI86" s="207"/>
      <c r="DJ86" s="207"/>
      <c r="DK86" s="207"/>
      <c r="DL86" s="207"/>
      <c r="DM86" s="207"/>
      <c r="DN86" s="207"/>
      <c r="DO86" s="207"/>
      <c r="DP86" s="207"/>
      <c r="DQ86" s="207"/>
      <c r="DR86" s="207"/>
      <c r="DS86" s="207"/>
      <c r="DT86" s="207"/>
      <c r="DU86" s="207"/>
      <c r="DV86" s="207"/>
      <c r="DW86" s="207"/>
      <c r="DX86" s="207"/>
      <c r="DY86" s="207"/>
      <c r="DZ86" s="207"/>
      <c r="EA86" s="207"/>
      <c r="EB86" s="207"/>
      <c r="EC86" s="207"/>
      <c r="ED86" s="207"/>
      <c r="EE86" s="207"/>
      <c r="EF86" s="207"/>
      <c r="EG86" s="207"/>
      <c r="EH86" s="207"/>
      <c r="EI86" s="207"/>
      <c r="EJ86" s="207"/>
      <c r="EK86" s="207"/>
      <c r="EL86" s="207"/>
      <c r="EM86" s="207"/>
      <c r="EN86" s="207"/>
      <c r="EO86" s="207"/>
      <c r="EP86" s="207"/>
      <c r="EQ86" s="207"/>
      <c r="ER86" s="207"/>
      <c r="ES86" s="207"/>
      <c r="ET86" s="207"/>
      <c r="EU86" s="207"/>
      <c r="EV86" s="207"/>
      <c r="EW86" s="207"/>
      <c r="EX86" s="207"/>
      <c r="EY86" s="207"/>
      <c r="EZ86" s="207"/>
      <c r="FA86" s="207"/>
      <c r="FB86" s="207"/>
      <c r="FC86" s="207"/>
      <c r="FD86" s="207"/>
      <c r="FE86" s="207"/>
      <c r="FF86" s="207"/>
      <c r="FG86" s="207"/>
      <c r="FH86" s="207"/>
      <c r="FI86" s="207"/>
      <c r="FJ86" s="207"/>
      <c r="FK86" s="207"/>
      <c r="FL86" s="207"/>
      <c r="FM86" s="207"/>
      <c r="FN86" s="207"/>
      <c r="FO86" s="207"/>
      <c r="FP86" s="207"/>
      <c r="FQ86" s="207"/>
      <c r="FR86" s="207"/>
      <c r="FS86" s="208"/>
      <c r="FT86" s="156"/>
    </row>
    <row r="87" spans="1:176" ht="15" outlineLevel="1">
      <c r="A87" s="206" t="s">
        <v>1336</v>
      </c>
      <c r="B87" s="200" t="s">
        <v>81</v>
      </c>
      <c r="C87" s="34"/>
      <c r="D87" s="34"/>
      <c r="E87" s="34"/>
      <c r="F87" s="34"/>
      <c r="G87" s="34"/>
      <c r="H87" s="35" t="s">
        <v>488</v>
      </c>
      <c r="I87" s="38"/>
      <c r="J87" s="38"/>
      <c r="K87" s="38"/>
      <c r="L87" s="38"/>
      <c r="M87" s="38"/>
      <c r="N87" s="38"/>
      <c r="O87" s="38"/>
      <c r="P87" s="38"/>
      <c r="Q87" s="38"/>
      <c r="R87" s="177">
        <f t="shared" si="11"/>
        <v>0</v>
      </c>
      <c r="S87" s="202">
        <f t="shared" si="13"/>
        <v>0</v>
      </c>
      <c r="T87" s="202">
        <f t="shared" si="14"/>
        <v>0</v>
      </c>
      <c r="U87" s="18"/>
      <c r="V87" s="206" t="str">
        <f t="shared" si="15"/>
        <v>2-27</v>
      </c>
      <c r="W87" s="215" t="str">
        <f t="shared" si="12"/>
        <v/>
      </c>
      <c r="X87" s="110"/>
      <c r="Y87" s="109"/>
      <c r="Z87" s="207"/>
      <c r="AA87" s="207"/>
      <c r="AB87" s="207"/>
      <c r="AC87" s="207"/>
      <c r="AD87" s="207"/>
      <c r="AE87" s="207"/>
      <c r="AF87" s="207"/>
      <c r="AG87" s="207"/>
      <c r="AH87" s="207"/>
      <c r="AI87" s="207"/>
      <c r="AJ87" s="207"/>
      <c r="AK87" s="207"/>
      <c r="AL87" s="207"/>
      <c r="AM87" s="207"/>
      <c r="AN87" s="207"/>
      <c r="AO87" s="207"/>
      <c r="AP87" s="207"/>
      <c r="AQ87" s="207"/>
      <c r="AR87" s="207"/>
      <c r="AS87" s="207"/>
      <c r="AT87" s="207"/>
      <c r="AU87" s="207"/>
      <c r="AV87" s="207"/>
      <c r="AW87" s="207"/>
      <c r="AX87" s="207"/>
      <c r="AY87" s="207"/>
      <c r="AZ87" s="207"/>
      <c r="BA87" s="207"/>
      <c r="BB87" s="207"/>
      <c r="BC87" s="207"/>
      <c r="BD87" s="207"/>
      <c r="BE87" s="207"/>
      <c r="BF87" s="207"/>
      <c r="BG87" s="207"/>
      <c r="BH87" s="207"/>
      <c r="BI87" s="207"/>
      <c r="BJ87" s="207"/>
      <c r="BK87" s="207"/>
      <c r="BL87" s="207"/>
      <c r="BM87" s="207"/>
      <c r="BN87" s="207"/>
      <c r="BO87" s="207"/>
      <c r="BP87" s="207"/>
      <c r="BQ87" s="207"/>
      <c r="BR87" s="207"/>
      <c r="BS87" s="207"/>
      <c r="BT87" s="207"/>
      <c r="BU87" s="207"/>
      <c r="BV87" s="207"/>
      <c r="BW87" s="207"/>
      <c r="BX87" s="207"/>
      <c r="BY87" s="207"/>
      <c r="BZ87" s="207"/>
      <c r="CA87" s="207"/>
      <c r="CB87" s="207"/>
      <c r="CC87" s="207"/>
      <c r="CD87" s="207"/>
      <c r="CE87" s="207"/>
      <c r="CF87" s="207"/>
      <c r="CG87" s="207"/>
      <c r="CH87" s="207"/>
      <c r="CI87" s="207"/>
      <c r="CJ87" s="207"/>
      <c r="CK87" s="207"/>
      <c r="CL87" s="207"/>
      <c r="CM87" s="207"/>
      <c r="CN87" s="207"/>
      <c r="CO87" s="207"/>
      <c r="CP87" s="207"/>
      <c r="CQ87" s="207"/>
      <c r="CR87" s="207"/>
      <c r="CS87" s="207"/>
      <c r="CT87" s="207"/>
      <c r="CU87" s="207"/>
      <c r="CV87" s="207"/>
      <c r="CW87" s="207"/>
      <c r="CX87" s="207"/>
      <c r="CY87" s="207"/>
      <c r="CZ87" s="207"/>
      <c r="DA87" s="207"/>
      <c r="DB87" s="207"/>
      <c r="DC87" s="207"/>
      <c r="DD87" s="207"/>
      <c r="DE87" s="207"/>
      <c r="DF87" s="207"/>
      <c r="DG87" s="207"/>
      <c r="DH87" s="207"/>
      <c r="DI87" s="207"/>
      <c r="DJ87" s="207"/>
      <c r="DK87" s="207"/>
      <c r="DL87" s="207"/>
      <c r="DM87" s="207"/>
      <c r="DN87" s="207"/>
      <c r="DO87" s="207"/>
      <c r="DP87" s="207"/>
      <c r="DQ87" s="207"/>
      <c r="DR87" s="207"/>
      <c r="DS87" s="207"/>
      <c r="DT87" s="207"/>
      <c r="DU87" s="207"/>
      <c r="DV87" s="207"/>
      <c r="DW87" s="207"/>
      <c r="DX87" s="207"/>
      <c r="DY87" s="207"/>
      <c r="DZ87" s="207"/>
      <c r="EA87" s="207"/>
      <c r="EB87" s="207"/>
      <c r="EC87" s="207"/>
      <c r="ED87" s="207"/>
      <c r="EE87" s="207"/>
      <c r="EF87" s="207"/>
      <c r="EG87" s="207"/>
      <c r="EH87" s="207"/>
      <c r="EI87" s="207"/>
      <c r="EJ87" s="207"/>
      <c r="EK87" s="207"/>
      <c r="EL87" s="207"/>
      <c r="EM87" s="207"/>
      <c r="EN87" s="207"/>
      <c r="EO87" s="207"/>
      <c r="EP87" s="207"/>
      <c r="EQ87" s="207"/>
      <c r="ER87" s="207"/>
      <c r="ES87" s="207"/>
      <c r="ET87" s="207"/>
      <c r="EU87" s="207"/>
      <c r="EV87" s="207"/>
      <c r="EW87" s="207"/>
      <c r="EX87" s="207"/>
      <c r="EY87" s="207"/>
      <c r="EZ87" s="207"/>
      <c r="FA87" s="207"/>
      <c r="FB87" s="207"/>
      <c r="FC87" s="207"/>
      <c r="FD87" s="207"/>
      <c r="FE87" s="207"/>
      <c r="FF87" s="207"/>
      <c r="FG87" s="207"/>
      <c r="FH87" s="207"/>
      <c r="FI87" s="207"/>
      <c r="FJ87" s="207"/>
      <c r="FK87" s="207"/>
      <c r="FL87" s="207"/>
      <c r="FM87" s="207"/>
      <c r="FN87" s="207"/>
      <c r="FO87" s="207"/>
      <c r="FP87" s="207"/>
      <c r="FQ87" s="207"/>
      <c r="FR87" s="207"/>
      <c r="FS87" s="208"/>
      <c r="FT87" s="156"/>
    </row>
    <row r="88" spans="1:176" ht="15" outlineLevel="1">
      <c r="A88" s="206" t="s">
        <v>1337</v>
      </c>
      <c r="B88" s="200" t="s">
        <v>81</v>
      </c>
      <c r="C88" s="34"/>
      <c r="D88" s="34"/>
      <c r="E88" s="34"/>
      <c r="F88" s="34"/>
      <c r="G88" s="34"/>
      <c r="H88" s="35" t="s">
        <v>488</v>
      </c>
      <c r="I88" s="38"/>
      <c r="J88" s="38"/>
      <c r="K88" s="38"/>
      <c r="L88" s="38"/>
      <c r="M88" s="38"/>
      <c r="N88" s="38"/>
      <c r="O88" s="38"/>
      <c r="P88" s="38"/>
      <c r="Q88" s="38"/>
      <c r="R88" s="177">
        <f t="shared" si="11"/>
        <v>0</v>
      </c>
      <c r="S88" s="202">
        <f t="shared" si="13"/>
        <v>0</v>
      </c>
      <c r="T88" s="202">
        <f t="shared" si="14"/>
        <v>0</v>
      </c>
      <c r="U88" s="18"/>
      <c r="V88" s="206" t="str">
        <f t="shared" si="15"/>
        <v>2-28</v>
      </c>
      <c r="W88" s="215" t="str">
        <f t="shared" si="12"/>
        <v/>
      </c>
      <c r="X88" s="110"/>
      <c r="Y88" s="109"/>
      <c r="Z88" s="207"/>
      <c r="AA88" s="207"/>
      <c r="AB88" s="207"/>
      <c r="AC88" s="207"/>
      <c r="AD88" s="207"/>
      <c r="AE88" s="207"/>
      <c r="AF88" s="207"/>
      <c r="AG88" s="207"/>
      <c r="AH88" s="207"/>
      <c r="AI88" s="207"/>
      <c r="AJ88" s="207"/>
      <c r="AK88" s="207"/>
      <c r="AL88" s="207"/>
      <c r="AM88" s="207"/>
      <c r="AN88" s="207"/>
      <c r="AO88" s="207"/>
      <c r="AP88" s="207"/>
      <c r="AQ88" s="207"/>
      <c r="AR88" s="207"/>
      <c r="AS88" s="207"/>
      <c r="AT88" s="207"/>
      <c r="AU88" s="207"/>
      <c r="AV88" s="207"/>
      <c r="AW88" s="207"/>
      <c r="AX88" s="207"/>
      <c r="AY88" s="207"/>
      <c r="AZ88" s="207"/>
      <c r="BA88" s="207"/>
      <c r="BB88" s="207"/>
      <c r="BC88" s="207"/>
      <c r="BD88" s="207"/>
      <c r="BE88" s="207"/>
      <c r="BF88" s="207"/>
      <c r="BG88" s="207"/>
      <c r="BH88" s="207"/>
      <c r="BI88" s="207"/>
      <c r="BJ88" s="207"/>
      <c r="BK88" s="207"/>
      <c r="BL88" s="207"/>
      <c r="BM88" s="207"/>
      <c r="BN88" s="207"/>
      <c r="BO88" s="207"/>
      <c r="BP88" s="207"/>
      <c r="BQ88" s="207"/>
      <c r="BR88" s="207"/>
      <c r="BS88" s="207"/>
      <c r="BT88" s="207"/>
      <c r="BU88" s="207"/>
      <c r="BV88" s="207"/>
      <c r="BW88" s="207"/>
      <c r="BX88" s="207"/>
      <c r="BY88" s="207"/>
      <c r="BZ88" s="207"/>
      <c r="CA88" s="207"/>
      <c r="CB88" s="207"/>
      <c r="CC88" s="207"/>
      <c r="CD88" s="207"/>
      <c r="CE88" s="207"/>
      <c r="CF88" s="207"/>
      <c r="CG88" s="207"/>
      <c r="CH88" s="207"/>
      <c r="CI88" s="207"/>
      <c r="CJ88" s="207"/>
      <c r="CK88" s="207"/>
      <c r="CL88" s="207"/>
      <c r="CM88" s="207"/>
      <c r="CN88" s="207"/>
      <c r="CO88" s="207"/>
      <c r="CP88" s="207"/>
      <c r="CQ88" s="207"/>
      <c r="CR88" s="207"/>
      <c r="CS88" s="207"/>
      <c r="CT88" s="207"/>
      <c r="CU88" s="207"/>
      <c r="CV88" s="207"/>
      <c r="CW88" s="207"/>
      <c r="CX88" s="207"/>
      <c r="CY88" s="207"/>
      <c r="CZ88" s="207"/>
      <c r="DA88" s="207"/>
      <c r="DB88" s="207"/>
      <c r="DC88" s="207"/>
      <c r="DD88" s="207"/>
      <c r="DE88" s="207"/>
      <c r="DF88" s="207"/>
      <c r="DG88" s="207"/>
      <c r="DH88" s="207"/>
      <c r="DI88" s="207"/>
      <c r="DJ88" s="207"/>
      <c r="DK88" s="207"/>
      <c r="DL88" s="207"/>
      <c r="DM88" s="207"/>
      <c r="DN88" s="207"/>
      <c r="DO88" s="207"/>
      <c r="DP88" s="207"/>
      <c r="DQ88" s="207"/>
      <c r="DR88" s="207"/>
      <c r="DS88" s="207"/>
      <c r="DT88" s="207"/>
      <c r="DU88" s="207"/>
      <c r="DV88" s="207"/>
      <c r="DW88" s="207"/>
      <c r="DX88" s="207"/>
      <c r="DY88" s="207"/>
      <c r="DZ88" s="207"/>
      <c r="EA88" s="207"/>
      <c r="EB88" s="207"/>
      <c r="EC88" s="207"/>
      <c r="ED88" s="207"/>
      <c r="EE88" s="207"/>
      <c r="EF88" s="207"/>
      <c r="EG88" s="207"/>
      <c r="EH88" s="207"/>
      <c r="EI88" s="207"/>
      <c r="EJ88" s="207"/>
      <c r="EK88" s="207"/>
      <c r="EL88" s="207"/>
      <c r="EM88" s="207"/>
      <c r="EN88" s="207"/>
      <c r="EO88" s="207"/>
      <c r="EP88" s="207"/>
      <c r="EQ88" s="207"/>
      <c r="ER88" s="207"/>
      <c r="ES88" s="207"/>
      <c r="ET88" s="207"/>
      <c r="EU88" s="207"/>
      <c r="EV88" s="207"/>
      <c r="EW88" s="207"/>
      <c r="EX88" s="207"/>
      <c r="EY88" s="207"/>
      <c r="EZ88" s="207"/>
      <c r="FA88" s="207"/>
      <c r="FB88" s="207"/>
      <c r="FC88" s="207"/>
      <c r="FD88" s="207"/>
      <c r="FE88" s="207"/>
      <c r="FF88" s="207"/>
      <c r="FG88" s="207"/>
      <c r="FH88" s="207"/>
      <c r="FI88" s="207"/>
      <c r="FJ88" s="207"/>
      <c r="FK88" s="207"/>
      <c r="FL88" s="207"/>
      <c r="FM88" s="207"/>
      <c r="FN88" s="207"/>
      <c r="FO88" s="207"/>
      <c r="FP88" s="207"/>
      <c r="FQ88" s="207"/>
      <c r="FR88" s="207"/>
      <c r="FS88" s="208"/>
      <c r="FT88" s="156"/>
    </row>
    <row r="89" spans="1:176" ht="15" outlineLevel="1">
      <c r="A89" s="206" t="s">
        <v>1338</v>
      </c>
      <c r="B89" s="200" t="s">
        <v>81</v>
      </c>
      <c r="C89" s="34"/>
      <c r="D89" s="34"/>
      <c r="E89" s="34"/>
      <c r="F89" s="34"/>
      <c r="G89" s="34"/>
      <c r="H89" s="35" t="s">
        <v>488</v>
      </c>
      <c r="I89" s="38"/>
      <c r="J89" s="38"/>
      <c r="K89" s="38"/>
      <c r="L89" s="38"/>
      <c r="M89" s="38"/>
      <c r="N89" s="38"/>
      <c r="O89" s="38"/>
      <c r="P89" s="38"/>
      <c r="Q89" s="38"/>
      <c r="R89" s="177">
        <f t="shared" si="11"/>
        <v>0</v>
      </c>
      <c r="S89" s="202">
        <f t="shared" si="13"/>
        <v>0</v>
      </c>
      <c r="T89" s="202">
        <f t="shared" si="14"/>
        <v>0</v>
      </c>
      <c r="U89" s="18"/>
      <c r="V89" s="206" t="str">
        <f t="shared" si="15"/>
        <v>2-29</v>
      </c>
      <c r="W89" s="215" t="str">
        <f t="shared" si="12"/>
        <v/>
      </c>
      <c r="X89" s="110"/>
      <c r="Y89" s="109"/>
      <c r="Z89" s="207"/>
      <c r="AA89" s="207"/>
      <c r="AB89" s="207"/>
      <c r="AC89" s="207"/>
      <c r="AD89" s="207"/>
      <c r="AE89" s="207"/>
      <c r="AF89" s="207"/>
      <c r="AG89" s="207"/>
      <c r="AH89" s="207"/>
      <c r="AI89" s="207"/>
      <c r="AJ89" s="207"/>
      <c r="AK89" s="207"/>
      <c r="AL89" s="207"/>
      <c r="AM89" s="207"/>
      <c r="AN89" s="207"/>
      <c r="AO89" s="207"/>
      <c r="AP89" s="207"/>
      <c r="AQ89" s="207"/>
      <c r="AR89" s="207"/>
      <c r="AS89" s="207"/>
      <c r="AT89" s="207"/>
      <c r="AU89" s="207"/>
      <c r="AV89" s="207"/>
      <c r="AW89" s="207"/>
      <c r="AX89" s="207"/>
      <c r="AY89" s="207"/>
      <c r="AZ89" s="207"/>
      <c r="BA89" s="207"/>
      <c r="BB89" s="207"/>
      <c r="BC89" s="207"/>
      <c r="BD89" s="207"/>
      <c r="BE89" s="207"/>
      <c r="BF89" s="207"/>
      <c r="BG89" s="207"/>
      <c r="BH89" s="207"/>
      <c r="BI89" s="207"/>
      <c r="BJ89" s="207"/>
      <c r="BK89" s="207"/>
      <c r="BL89" s="207"/>
      <c r="BM89" s="207"/>
      <c r="BN89" s="207"/>
      <c r="BO89" s="207"/>
      <c r="BP89" s="207"/>
      <c r="BQ89" s="207"/>
      <c r="BR89" s="207"/>
      <c r="BS89" s="207"/>
      <c r="BT89" s="207"/>
      <c r="BU89" s="207"/>
      <c r="BV89" s="207"/>
      <c r="BW89" s="207"/>
      <c r="BX89" s="207"/>
      <c r="BY89" s="207"/>
      <c r="BZ89" s="207"/>
      <c r="CA89" s="207"/>
      <c r="CB89" s="207"/>
      <c r="CC89" s="207"/>
      <c r="CD89" s="207"/>
      <c r="CE89" s="207"/>
      <c r="CF89" s="207"/>
      <c r="CG89" s="207"/>
      <c r="CH89" s="207"/>
      <c r="CI89" s="207"/>
      <c r="CJ89" s="207"/>
      <c r="CK89" s="207"/>
      <c r="CL89" s="207"/>
      <c r="CM89" s="207"/>
      <c r="CN89" s="207"/>
      <c r="CO89" s="207"/>
      <c r="CP89" s="207"/>
      <c r="CQ89" s="207"/>
      <c r="CR89" s="207"/>
      <c r="CS89" s="207"/>
      <c r="CT89" s="207"/>
      <c r="CU89" s="207"/>
      <c r="CV89" s="207"/>
      <c r="CW89" s="207"/>
      <c r="CX89" s="207"/>
      <c r="CY89" s="207"/>
      <c r="CZ89" s="207"/>
      <c r="DA89" s="207"/>
      <c r="DB89" s="207"/>
      <c r="DC89" s="207"/>
      <c r="DD89" s="207"/>
      <c r="DE89" s="207"/>
      <c r="DF89" s="207"/>
      <c r="DG89" s="207"/>
      <c r="DH89" s="207"/>
      <c r="DI89" s="207"/>
      <c r="DJ89" s="207"/>
      <c r="DK89" s="207"/>
      <c r="DL89" s="207"/>
      <c r="DM89" s="207"/>
      <c r="DN89" s="207"/>
      <c r="DO89" s="207"/>
      <c r="DP89" s="207"/>
      <c r="DQ89" s="207"/>
      <c r="DR89" s="207"/>
      <c r="DS89" s="207"/>
      <c r="DT89" s="207"/>
      <c r="DU89" s="207"/>
      <c r="DV89" s="207"/>
      <c r="DW89" s="207"/>
      <c r="DX89" s="207"/>
      <c r="DY89" s="207"/>
      <c r="DZ89" s="207"/>
      <c r="EA89" s="207"/>
      <c r="EB89" s="207"/>
      <c r="EC89" s="207"/>
      <c r="ED89" s="207"/>
      <c r="EE89" s="207"/>
      <c r="EF89" s="207"/>
      <c r="EG89" s="207"/>
      <c r="EH89" s="207"/>
      <c r="EI89" s="207"/>
      <c r="EJ89" s="207"/>
      <c r="EK89" s="207"/>
      <c r="EL89" s="207"/>
      <c r="EM89" s="207"/>
      <c r="EN89" s="207"/>
      <c r="EO89" s="207"/>
      <c r="EP89" s="207"/>
      <c r="EQ89" s="207"/>
      <c r="ER89" s="207"/>
      <c r="ES89" s="207"/>
      <c r="ET89" s="207"/>
      <c r="EU89" s="207"/>
      <c r="EV89" s="207"/>
      <c r="EW89" s="207"/>
      <c r="EX89" s="207"/>
      <c r="EY89" s="207"/>
      <c r="EZ89" s="207"/>
      <c r="FA89" s="207"/>
      <c r="FB89" s="207"/>
      <c r="FC89" s="207"/>
      <c r="FD89" s="207"/>
      <c r="FE89" s="207"/>
      <c r="FF89" s="207"/>
      <c r="FG89" s="207"/>
      <c r="FH89" s="207"/>
      <c r="FI89" s="207"/>
      <c r="FJ89" s="207"/>
      <c r="FK89" s="207"/>
      <c r="FL89" s="207"/>
      <c r="FM89" s="207"/>
      <c r="FN89" s="207"/>
      <c r="FO89" s="207"/>
      <c r="FP89" s="207"/>
      <c r="FQ89" s="207"/>
      <c r="FR89" s="207"/>
      <c r="FS89" s="208"/>
      <c r="FT89" s="156"/>
    </row>
    <row r="90" spans="1:176" ht="15" outlineLevel="1">
      <c r="A90" s="206" t="s">
        <v>1339</v>
      </c>
      <c r="B90" s="200" t="s">
        <v>81</v>
      </c>
      <c r="C90" s="34"/>
      <c r="D90" s="34"/>
      <c r="E90" s="34"/>
      <c r="F90" s="34"/>
      <c r="G90" s="34"/>
      <c r="H90" s="35" t="s">
        <v>488</v>
      </c>
      <c r="I90" s="38"/>
      <c r="J90" s="38"/>
      <c r="K90" s="38"/>
      <c r="L90" s="38"/>
      <c r="M90" s="38"/>
      <c r="N90" s="38"/>
      <c r="O90" s="38"/>
      <c r="P90" s="38"/>
      <c r="Q90" s="38"/>
      <c r="R90" s="177">
        <f t="shared" si="11"/>
        <v>0</v>
      </c>
      <c r="S90" s="202">
        <f t="shared" si="13"/>
        <v>0</v>
      </c>
      <c r="T90" s="202">
        <f t="shared" si="14"/>
        <v>0</v>
      </c>
      <c r="U90" s="18"/>
      <c r="V90" s="206" t="str">
        <f t="shared" si="15"/>
        <v>2-30</v>
      </c>
      <c r="W90" s="215" t="str">
        <f t="shared" si="12"/>
        <v/>
      </c>
      <c r="X90" s="110"/>
      <c r="Y90" s="109"/>
      <c r="Z90" s="207"/>
      <c r="AA90" s="207"/>
      <c r="AB90" s="207"/>
      <c r="AC90" s="207"/>
      <c r="AD90" s="207"/>
      <c r="AE90" s="207"/>
      <c r="AF90" s="207"/>
      <c r="AG90" s="207"/>
      <c r="AH90" s="207"/>
      <c r="AI90" s="207"/>
      <c r="AJ90" s="207"/>
      <c r="AK90" s="207"/>
      <c r="AL90" s="207"/>
      <c r="AM90" s="207"/>
      <c r="AN90" s="207"/>
      <c r="AO90" s="207"/>
      <c r="AP90" s="207"/>
      <c r="AQ90" s="207"/>
      <c r="AR90" s="207"/>
      <c r="AS90" s="207"/>
      <c r="AT90" s="207"/>
      <c r="AU90" s="207"/>
      <c r="AV90" s="207"/>
      <c r="AW90" s="207"/>
      <c r="AX90" s="207"/>
      <c r="AY90" s="207"/>
      <c r="AZ90" s="207"/>
      <c r="BA90" s="207"/>
      <c r="BB90" s="207"/>
      <c r="BC90" s="207"/>
      <c r="BD90" s="207"/>
      <c r="BE90" s="207"/>
      <c r="BF90" s="207"/>
      <c r="BG90" s="207"/>
      <c r="BH90" s="207"/>
      <c r="BI90" s="207"/>
      <c r="BJ90" s="207"/>
      <c r="BK90" s="207"/>
      <c r="BL90" s="207"/>
      <c r="BM90" s="207"/>
      <c r="BN90" s="207"/>
      <c r="BO90" s="207"/>
      <c r="BP90" s="207"/>
      <c r="BQ90" s="207"/>
      <c r="BR90" s="207"/>
      <c r="BS90" s="207"/>
      <c r="BT90" s="207"/>
      <c r="BU90" s="207"/>
      <c r="BV90" s="207"/>
      <c r="BW90" s="207"/>
      <c r="BX90" s="207"/>
      <c r="BY90" s="207"/>
      <c r="BZ90" s="207"/>
      <c r="CA90" s="207"/>
      <c r="CB90" s="207"/>
      <c r="CC90" s="207"/>
      <c r="CD90" s="207"/>
      <c r="CE90" s="207"/>
      <c r="CF90" s="207"/>
      <c r="CG90" s="207"/>
      <c r="CH90" s="207"/>
      <c r="CI90" s="207"/>
      <c r="CJ90" s="207"/>
      <c r="CK90" s="207"/>
      <c r="CL90" s="207"/>
      <c r="CM90" s="207"/>
      <c r="CN90" s="207"/>
      <c r="CO90" s="207"/>
      <c r="CP90" s="207"/>
      <c r="CQ90" s="207"/>
      <c r="CR90" s="207"/>
      <c r="CS90" s="207"/>
      <c r="CT90" s="207"/>
      <c r="CU90" s="207"/>
      <c r="CV90" s="207"/>
      <c r="CW90" s="207"/>
      <c r="CX90" s="207"/>
      <c r="CY90" s="207"/>
      <c r="CZ90" s="207"/>
      <c r="DA90" s="207"/>
      <c r="DB90" s="207"/>
      <c r="DC90" s="207"/>
      <c r="DD90" s="207"/>
      <c r="DE90" s="207"/>
      <c r="DF90" s="207"/>
      <c r="DG90" s="207"/>
      <c r="DH90" s="207"/>
      <c r="DI90" s="207"/>
      <c r="DJ90" s="207"/>
      <c r="DK90" s="207"/>
      <c r="DL90" s="207"/>
      <c r="DM90" s="207"/>
      <c r="DN90" s="207"/>
      <c r="DO90" s="207"/>
      <c r="DP90" s="207"/>
      <c r="DQ90" s="207"/>
      <c r="DR90" s="207"/>
      <c r="DS90" s="207"/>
      <c r="DT90" s="207"/>
      <c r="DU90" s="207"/>
      <c r="DV90" s="207"/>
      <c r="DW90" s="207"/>
      <c r="DX90" s="207"/>
      <c r="DY90" s="207"/>
      <c r="DZ90" s="207"/>
      <c r="EA90" s="207"/>
      <c r="EB90" s="207"/>
      <c r="EC90" s="207"/>
      <c r="ED90" s="207"/>
      <c r="EE90" s="207"/>
      <c r="EF90" s="207"/>
      <c r="EG90" s="207"/>
      <c r="EH90" s="207"/>
      <c r="EI90" s="207"/>
      <c r="EJ90" s="207"/>
      <c r="EK90" s="207"/>
      <c r="EL90" s="207"/>
      <c r="EM90" s="207"/>
      <c r="EN90" s="207"/>
      <c r="EO90" s="207"/>
      <c r="EP90" s="207"/>
      <c r="EQ90" s="207"/>
      <c r="ER90" s="207"/>
      <c r="ES90" s="207"/>
      <c r="ET90" s="207"/>
      <c r="EU90" s="207"/>
      <c r="EV90" s="207"/>
      <c r="EW90" s="207"/>
      <c r="EX90" s="207"/>
      <c r="EY90" s="207"/>
      <c r="EZ90" s="207"/>
      <c r="FA90" s="207"/>
      <c r="FB90" s="207"/>
      <c r="FC90" s="207"/>
      <c r="FD90" s="207"/>
      <c r="FE90" s="207"/>
      <c r="FF90" s="207"/>
      <c r="FG90" s="207"/>
      <c r="FH90" s="207"/>
      <c r="FI90" s="207"/>
      <c r="FJ90" s="207"/>
      <c r="FK90" s="207"/>
      <c r="FL90" s="207"/>
      <c r="FM90" s="207"/>
      <c r="FN90" s="207"/>
      <c r="FO90" s="207"/>
      <c r="FP90" s="207"/>
      <c r="FQ90" s="207"/>
      <c r="FR90" s="207"/>
      <c r="FS90" s="208"/>
      <c r="FT90" s="156"/>
    </row>
    <row r="91" spans="1:176" ht="15" outlineLevel="1">
      <c r="A91" s="206" t="s">
        <v>1340</v>
      </c>
      <c r="B91" s="200" t="s">
        <v>81</v>
      </c>
      <c r="C91" s="34"/>
      <c r="D91" s="34"/>
      <c r="E91" s="34"/>
      <c r="F91" s="34"/>
      <c r="G91" s="34"/>
      <c r="H91" s="35" t="s">
        <v>488</v>
      </c>
      <c r="I91" s="38"/>
      <c r="J91" s="38"/>
      <c r="K91" s="38"/>
      <c r="L91" s="38"/>
      <c r="M91" s="38"/>
      <c r="N91" s="38"/>
      <c r="O91" s="38"/>
      <c r="P91" s="38"/>
      <c r="Q91" s="38"/>
      <c r="R91" s="177">
        <f t="shared" si="11"/>
        <v>0</v>
      </c>
      <c r="S91" s="202">
        <f t="shared" si="13"/>
        <v>0</v>
      </c>
      <c r="T91" s="202">
        <f t="shared" si="14"/>
        <v>0</v>
      </c>
      <c r="U91" s="18"/>
      <c r="V91" s="206" t="str">
        <f t="shared" si="15"/>
        <v>2-31</v>
      </c>
      <c r="W91" s="215" t="str">
        <f t="shared" si="12"/>
        <v/>
      </c>
      <c r="X91" s="110"/>
      <c r="Y91" s="109"/>
      <c r="Z91" s="207"/>
      <c r="AA91" s="207"/>
      <c r="AB91" s="207"/>
      <c r="AC91" s="207"/>
      <c r="AD91" s="207"/>
      <c r="AE91" s="207"/>
      <c r="AF91" s="207"/>
      <c r="AG91" s="207"/>
      <c r="AH91" s="207"/>
      <c r="AI91" s="207"/>
      <c r="AJ91" s="207"/>
      <c r="AK91" s="207"/>
      <c r="AL91" s="207"/>
      <c r="AM91" s="207"/>
      <c r="AN91" s="207"/>
      <c r="AO91" s="207"/>
      <c r="AP91" s="207"/>
      <c r="AQ91" s="207"/>
      <c r="AR91" s="207"/>
      <c r="AS91" s="207"/>
      <c r="AT91" s="207"/>
      <c r="AU91" s="207"/>
      <c r="AV91" s="207"/>
      <c r="AW91" s="207"/>
      <c r="AX91" s="207"/>
      <c r="AY91" s="207"/>
      <c r="AZ91" s="207"/>
      <c r="BA91" s="207"/>
      <c r="BB91" s="207"/>
      <c r="BC91" s="207"/>
      <c r="BD91" s="207"/>
      <c r="BE91" s="207"/>
      <c r="BF91" s="207"/>
      <c r="BG91" s="207"/>
      <c r="BH91" s="207"/>
      <c r="BI91" s="207"/>
      <c r="BJ91" s="207"/>
      <c r="BK91" s="207"/>
      <c r="BL91" s="207"/>
      <c r="BM91" s="207"/>
      <c r="BN91" s="207"/>
      <c r="BO91" s="207"/>
      <c r="BP91" s="207"/>
      <c r="BQ91" s="207"/>
      <c r="BR91" s="207"/>
      <c r="BS91" s="207"/>
      <c r="BT91" s="207"/>
      <c r="BU91" s="207"/>
      <c r="BV91" s="207"/>
      <c r="BW91" s="207"/>
      <c r="BX91" s="207"/>
      <c r="BY91" s="207"/>
      <c r="BZ91" s="207"/>
      <c r="CA91" s="207"/>
      <c r="CB91" s="207"/>
      <c r="CC91" s="207"/>
      <c r="CD91" s="207"/>
      <c r="CE91" s="207"/>
      <c r="CF91" s="207"/>
      <c r="CG91" s="207"/>
      <c r="CH91" s="207"/>
      <c r="CI91" s="207"/>
      <c r="CJ91" s="207"/>
      <c r="CK91" s="207"/>
      <c r="CL91" s="207"/>
      <c r="CM91" s="207"/>
      <c r="CN91" s="207"/>
      <c r="CO91" s="207"/>
      <c r="CP91" s="207"/>
      <c r="CQ91" s="207"/>
      <c r="CR91" s="207"/>
      <c r="CS91" s="207"/>
      <c r="CT91" s="207"/>
      <c r="CU91" s="207"/>
      <c r="CV91" s="207"/>
      <c r="CW91" s="207"/>
      <c r="CX91" s="207"/>
      <c r="CY91" s="207"/>
      <c r="CZ91" s="207"/>
      <c r="DA91" s="207"/>
      <c r="DB91" s="207"/>
      <c r="DC91" s="207"/>
      <c r="DD91" s="207"/>
      <c r="DE91" s="207"/>
      <c r="DF91" s="207"/>
      <c r="DG91" s="207"/>
      <c r="DH91" s="207"/>
      <c r="DI91" s="207"/>
      <c r="DJ91" s="207"/>
      <c r="DK91" s="207"/>
      <c r="DL91" s="207"/>
      <c r="DM91" s="207"/>
      <c r="DN91" s="207"/>
      <c r="DO91" s="207"/>
      <c r="DP91" s="207"/>
      <c r="DQ91" s="207"/>
      <c r="DR91" s="207"/>
      <c r="DS91" s="207"/>
      <c r="DT91" s="207"/>
      <c r="DU91" s="207"/>
      <c r="DV91" s="207"/>
      <c r="DW91" s="207"/>
      <c r="DX91" s="207"/>
      <c r="DY91" s="207"/>
      <c r="DZ91" s="207"/>
      <c r="EA91" s="207"/>
      <c r="EB91" s="207"/>
      <c r="EC91" s="207"/>
      <c r="ED91" s="207"/>
      <c r="EE91" s="207"/>
      <c r="EF91" s="207"/>
      <c r="EG91" s="207"/>
      <c r="EH91" s="207"/>
      <c r="EI91" s="207"/>
      <c r="EJ91" s="207"/>
      <c r="EK91" s="207"/>
      <c r="EL91" s="207"/>
      <c r="EM91" s="207"/>
      <c r="EN91" s="207"/>
      <c r="EO91" s="207"/>
      <c r="EP91" s="207"/>
      <c r="EQ91" s="207"/>
      <c r="ER91" s="207"/>
      <c r="ES91" s="207"/>
      <c r="ET91" s="207"/>
      <c r="EU91" s="207"/>
      <c r="EV91" s="207"/>
      <c r="EW91" s="207"/>
      <c r="EX91" s="207"/>
      <c r="EY91" s="207"/>
      <c r="EZ91" s="207"/>
      <c r="FA91" s="207"/>
      <c r="FB91" s="207"/>
      <c r="FC91" s="207"/>
      <c r="FD91" s="207"/>
      <c r="FE91" s="207"/>
      <c r="FF91" s="207"/>
      <c r="FG91" s="207"/>
      <c r="FH91" s="207"/>
      <c r="FI91" s="207"/>
      <c r="FJ91" s="207"/>
      <c r="FK91" s="207"/>
      <c r="FL91" s="207"/>
      <c r="FM91" s="207"/>
      <c r="FN91" s="207"/>
      <c r="FO91" s="207"/>
      <c r="FP91" s="207"/>
      <c r="FQ91" s="207"/>
      <c r="FR91" s="207"/>
      <c r="FS91" s="208"/>
      <c r="FT91" s="156"/>
    </row>
    <row r="92" spans="1:176" ht="15" outlineLevel="1">
      <c r="A92" s="206" t="s">
        <v>1341</v>
      </c>
      <c r="B92" s="200" t="s">
        <v>81</v>
      </c>
      <c r="C92" s="34"/>
      <c r="D92" s="34"/>
      <c r="E92" s="34"/>
      <c r="F92" s="34"/>
      <c r="G92" s="34"/>
      <c r="H92" s="35" t="s">
        <v>488</v>
      </c>
      <c r="I92" s="38"/>
      <c r="J92" s="38"/>
      <c r="K92" s="38"/>
      <c r="L92" s="38"/>
      <c r="M92" s="38"/>
      <c r="N92" s="38"/>
      <c r="O92" s="38"/>
      <c r="P92" s="38"/>
      <c r="Q92" s="38"/>
      <c r="R92" s="177">
        <f t="shared" si="11"/>
        <v>0</v>
      </c>
      <c r="S92" s="202">
        <f t="shared" si="13"/>
        <v>0</v>
      </c>
      <c r="T92" s="202">
        <f t="shared" si="14"/>
        <v>0</v>
      </c>
      <c r="U92" s="18"/>
      <c r="V92" s="206" t="str">
        <f t="shared" si="15"/>
        <v>2-32</v>
      </c>
      <c r="W92" s="215" t="str">
        <f t="shared" si="12"/>
        <v/>
      </c>
      <c r="X92" s="110"/>
      <c r="Y92" s="109"/>
      <c r="Z92" s="207"/>
      <c r="AA92" s="207"/>
      <c r="AB92" s="207"/>
      <c r="AC92" s="207"/>
      <c r="AD92" s="207"/>
      <c r="AE92" s="207"/>
      <c r="AF92" s="207"/>
      <c r="AG92" s="207"/>
      <c r="AH92" s="207"/>
      <c r="AI92" s="207"/>
      <c r="AJ92" s="207"/>
      <c r="AK92" s="207"/>
      <c r="AL92" s="207"/>
      <c r="AM92" s="207"/>
      <c r="AN92" s="207"/>
      <c r="AO92" s="207"/>
      <c r="AP92" s="207"/>
      <c r="AQ92" s="207"/>
      <c r="AR92" s="207"/>
      <c r="AS92" s="207"/>
      <c r="AT92" s="207"/>
      <c r="AU92" s="207"/>
      <c r="AV92" s="207"/>
      <c r="AW92" s="207"/>
      <c r="AX92" s="207"/>
      <c r="AY92" s="207"/>
      <c r="AZ92" s="207"/>
      <c r="BA92" s="207"/>
      <c r="BB92" s="207"/>
      <c r="BC92" s="207"/>
      <c r="BD92" s="207"/>
      <c r="BE92" s="207"/>
      <c r="BF92" s="207"/>
      <c r="BG92" s="207"/>
      <c r="BH92" s="207"/>
      <c r="BI92" s="207"/>
      <c r="BJ92" s="207"/>
      <c r="BK92" s="207"/>
      <c r="BL92" s="207"/>
      <c r="BM92" s="207"/>
      <c r="BN92" s="207"/>
      <c r="BO92" s="207"/>
      <c r="BP92" s="207"/>
      <c r="BQ92" s="207"/>
      <c r="BR92" s="207"/>
      <c r="BS92" s="207"/>
      <c r="BT92" s="207"/>
      <c r="BU92" s="207"/>
      <c r="BV92" s="207"/>
      <c r="BW92" s="207"/>
      <c r="BX92" s="207"/>
      <c r="BY92" s="207"/>
      <c r="BZ92" s="207"/>
      <c r="CA92" s="207"/>
      <c r="CB92" s="207"/>
      <c r="CC92" s="207"/>
      <c r="CD92" s="207"/>
      <c r="CE92" s="207"/>
      <c r="CF92" s="207"/>
      <c r="CG92" s="207"/>
      <c r="CH92" s="207"/>
      <c r="CI92" s="207"/>
      <c r="CJ92" s="207"/>
      <c r="CK92" s="207"/>
      <c r="CL92" s="207"/>
      <c r="CM92" s="207"/>
      <c r="CN92" s="207"/>
      <c r="CO92" s="207"/>
      <c r="CP92" s="207"/>
      <c r="CQ92" s="207"/>
      <c r="CR92" s="207"/>
      <c r="CS92" s="207"/>
      <c r="CT92" s="207"/>
      <c r="CU92" s="207"/>
      <c r="CV92" s="207"/>
      <c r="CW92" s="207"/>
      <c r="CX92" s="207"/>
      <c r="CY92" s="207"/>
      <c r="CZ92" s="207"/>
      <c r="DA92" s="207"/>
      <c r="DB92" s="207"/>
      <c r="DC92" s="207"/>
      <c r="DD92" s="207"/>
      <c r="DE92" s="207"/>
      <c r="DF92" s="207"/>
      <c r="DG92" s="207"/>
      <c r="DH92" s="207"/>
      <c r="DI92" s="207"/>
      <c r="DJ92" s="207"/>
      <c r="DK92" s="207"/>
      <c r="DL92" s="207"/>
      <c r="DM92" s="207"/>
      <c r="DN92" s="207"/>
      <c r="DO92" s="207"/>
      <c r="DP92" s="207"/>
      <c r="DQ92" s="207"/>
      <c r="DR92" s="207"/>
      <c r="DS92" s="207"/>
      <c r="DT92" s="207"/>
      <c r="DU92" s="207"/>
      <c r="DV92" s="207"/>
      <c r="DW92" s="207"/>
      <c r="DX92" s="207"/>
      <c r="DY92" s="207"/>
      <c r="DZ92" s="207"/>
      <c r="EA92" s="207"/>
      <c r="EB92" s="207"/>
      <c r="EC92" s="207"/>
      <c r="ED92" s="207"/>
      <c r="EE92" s="207"/>
      <c r="EF92" s="207"/>
      <c r="EG92" s="207"/>
      <c r="EH92" s="207"/>
      <c r="EI92" s="207"/>
      <c r="EJ92" s="207"/>
      <c r="EK92" s="207"/>
      <c r="EL92" s="207"/>
      <c r="EM92" s="207"/>
      <c r="EN92" s="207"/>
      <c r="EO92" s="207"/>
      <c r="EP92" s="207"/>
      <c r="EQ92" s="207"/>
      <c r="ER92" s="207"/>
      <c r="ES92" s="207"/>
      <c r="ET92" s="207"/>
      <c r="EU92" s="207"/>
      <c r="EV92" s="207"/>
      <c r="EW92" s="207"/>
      <c r="EX92" s="207"/>
      <c r="EY92" s="207"/>
      <c r="EZ92" s="207"/>
      <c r="FA92" s="207"/>
      <c r="FB92" s="207"/>
      <c r="FC92" s="207"/>
      <c r="FD92" s="207"/>
      <c r="FE92" s="207"/>
      <c r="FF92" s="207"/>
      <c r="FG92" s="207"/>
      <c r="FH92" s="207"/>
      <c r="FI92" s="207"/>
      <c r="FJ92" s="207"/>
      <c r="FK92" s="207"/>
      <c r="FL92" s="207"/>
      <c r="FM92" s="207"/>
      <c r="FN92" s="207"/>
      <c r="FO92" s="207"/>
      <c r="FP92" s="207"/>
      <c r="FQ92" s="207"/>
      <c r="FR92" s="207"/>
      <c r="FS92" s="208"/>
      <c r="FT92" s="156"/>
    </row>
    <row r="93" spans="1:176" ht="15" outlineLevel="1">
      <c r="A93" s="206" t="s">
        <v>1342</v>
      </c>
      <c r="B93" s="200" t="s">
        <v>81</v>
      </c>
      <c r="C93" s="34"/>
      <c r="D93" s="34"/>
      <c r="E93" s="34"/>
      <c r="F93" s="34"/>
      <c r="G93" s="34"/>
      <c r="H93" s="35" t="s">
        <v>488</v>
      </c>
      <c r="I93" s="38"/>
      <c r="J93" s="38"/>
      <c r="K93" s="38"/>
      <c r="L93" s="38"/>
      <c r="M93" s="38"/>
      <c r="N93" s="38"/>
      <c r="O93" s="38"/>
      <c r="P93" s="38"/>
      <c r="Q93" s="38"/>
      <c r="R93" s="177">
        <f t="shared" ref="R93:R110" si="16">SUM(I93:M93)</f>
        <v>0</v>
      </c>
      <c r="S93" s="202">
        <f t="shared" si="13"/>
        <v>0</v>
      </c>
      <c r="T93" s="202">
        <f t="shared" si="14"/>
        <v>0</v>
      </c>
      <c r="U93" s="18"/>
      <c r="V93" s="206" t="str">
        <f t="shared" si="15"/>
        <v>2-33</v>
      </c>
      <c r="W93" s="215" t="str">
        <f t="shared" ref="W93:W110" si="17">IF(ISBLANK(C93),"",C93)</f>
        <v/>
      </c>
      <c r="X93" s="110"/>
      <c r="Y93" s="109"/>
      <c r="Z93" s="207"/>
      <c r="AA93" s="207"/>
      <c r="AB93" s="207"/>
      <c r="AC93" s="207"/>
      <c r="AD93" s="207"/>
      <c r="AE93" s="207"/>
      <c r="AF93" s="207"/>
      <c r="AG93" s="207"/>
      <c r="AH93" s="207"/>
      <c r="AI93" s="207"/>
      <c r="AJ93" s="207"/>
      <c r="AK93" s="207"/>
      <c r="AL93" s="207"/>
      <c r="AM93" s="207"/>
      <c r="AN93" s="207"/>
      <c r="AO93" s="207"/>
      <c r="AP93" s="207"/>
      <c r="AQ93" s="207"/>
      <c r="AR93" s="207"/>
      <c r="AS93" s="207"/>
      <c r="AT93" s="207"/>
      <c r="AU93" s="207"/>
      <c r="AV93" s="207"/>
      <c r="AW93" s="207"/>
      <c r="AX93" s="207"/>
      <c r="AY93" s="207"/>
      <c r="AZ93" s="207"/>
      <c r="BA93" s="207"/>
      <c r="BB93" s="207"/>
      <c r="BC93" s="207"/>
      <c r="BD93" s="207"/>
      <c r="BE93" s="207"/>
      <c r="BF93" s="207"/>
      <c r="BG93" s="207"/>
      <c r="BH93" s="207"/>
      <c r="BI93" s="207"/>
      <c r="BJ93" s="207"/>
      <c r="BK93" s="207"/>
      <c r="BL93" s="207"/>
      <c r="BM93" s="207"/>
      <c r="BN93" s="207"/>
      <c r="BO93" s="207"/>
      <c r="BP93" s="207"/>
      <c r="BQ93" s="207"/>
      <c r="BR93" s="207"/>
      <c r="BS93" s="207"/>
      <c r="BT93" s="207"/>
      <c r="BU93" s="207"/>
      <c r="BV93" s="207"/>
      <c r="BW93" s="207"/>
      <c r="BX93" s="207"/>
      <c r="BY93" s="207"/>
      <c r="BZ93" s="207"/>
      <c r="CA93" s="207"/>
      <c r="CB93" s="207"/>
      <c r="CC93" s="207"/>
      <c r="CD93" s="207"/>
      <c r="CE93" s="207"/>
      <c r="CF93" s="207"/>
      <c r="CG93" s="207"/>
      <c r="CH93" s="207"/>
      <c r="CI93" s="207"/>
      <c r="CJ93" s="207"/>
      <c r="CK93" s="207"/>
      <c r="CL93" s="207"/>
      <c r="CM93" s="207"/>
      <c r="CN93" s="207"/>
      <c r="CO93" s="207"/>
      <c r="CP93" s="207"/>
      <c r="CQ93" s="207"/>
      <c r="CR93" s="207"/>
      <c r="CS93" s="207"/>
      <c r="CT93" s="207"/>
      <c r="CU93" s="207"/>
      <c r="CV93" s="207"/>
      <c r="CW93" s="207"/>
      <c r="CX93" s="207"/>
      <c r="CY93" s="207"/>
      <c r="CZ93" s="207"/>
      <c r="DA93" s="207"/>
      <c r="DB93" s="207"/>
      <c r="DC93" s="207"/>
      <c r="DD93" s="207"/>
      <c r="DE93" s="207"/>
      <c r="DF93" s="207"/>
      <c r="DG93" s="207"/>
      <c r="DH93" s="207"/>
      <c r="DI93" s="207"/>
      <c r="DJ93" s="207"/>
      <c r="DK93" s="207"/>
      <c r="DL93" s="207"/>
      <c r="DM93" s="207"/>
      <c r="DN93" s="207"/>
      <c r="DO93" s="207"/>
      <c r="DP93" s="207"/>
      <c r="DQ93" s="207"/>
      <c r="DR93" s="207"/>
      <c r="DS93" s="207"/>
      <c r="DT93" s="207"/>
      <c r="DU93" s="207"/>
      <c r="DV93" s="207"/>
      <c r="DW93" s="207"/>
      <c r="DX93" s="207"/>
      <c r="DY93" s="207"/>
      <c r="DZ93" s="207"/>
      <c r="EA93" s="207"/>
      <c r="EB93" s="207"/>
      <c r="EC93" s="207"/>
      <c r="ED93" s="207"/>
      <c r="EE93" s="207"/>
      <c r="EF93" s="207"/>
      <c r="EG93" s="207"/>
      <c r="EH93" s="207"/>
      <c r="EI93" s="207"/>
      <c r="EJ93" s="207"/>
      <c r="EK93" s="207"/>
      <c r="EL93" s="207"/>
      <c r="EM93" s="207"/>
      <c r="EN93" s="207"/>
      <c r="EO93" s="207"/>
      <c r="EP93" s="207"/>
      <c r="EQ93" s="207"/>
      <c r="ER93" s="207"/>
      <c r="ES93" s="207"/>
      <c r="ET93" s="207"/>
      <c r="EU93" s="207"/>
      <c r="EV93" s="207"/>
      <c r="EW93" s="207"/>
      <c r="EX93" s="207"/>
      <c r="EY93" s="207"/>
      <c r="EZ93" s="207"/>
      <c r="FA93" s="207"/>
      <c r="FB93" s="207"/>
      <c r="FC93" s="207"/>
      <c r="FD93" s="207"/>
      <c r="FE93" s="207"/>
      <c r="FF93" s="207"/>
      <c r="FG93" s="207"/>
      <c r="FH93" s="207"/>
      <c r="FI93" s="207"/>
      <c r="FJ93" s="207"/>
      <c r="FK93" s="207"/>
      <c r="FL93" s="207"/>
      <c r="FM93" s="207"/>
      <c r="FN93" s="207"/>
      <c r="FO93" s="207"/>
      <c r="FP93" s="207"/>
      <c r="FQ93" s="207"/>
      <c r="FR93" s="207"/>
      <c r="FS93" s="208"/>
      <c r="FT93" s="156"/>
    </row>
    <row r="94" spans="1:176" ht="15" outlineLevel="1">
      <c r="A94" s="206" t="s">
        <v>1343</v>
      </c>
      <c r="B94" s="200" t="s">
        <v>81</v>
      </c>
      <c r="C94" s="34"/>
      <c r="D94" s="34"/>
      <c r="E94" s="34"/>
      <c r="F94" s="34"/>
      <c r="G94" s="34"/>
      <c r="H94" s="35" t="s">
        <v>488</v>
      </c>
      <c r="I94" s="38"/>
      <c r="J94" s="38"/>
      <c r="K94" s="38"/>
      <c r="L94" s="38"/>
      <c r="M94" s="38"/>
      <c r="N94" s="38"/>
      <c r="O94" s="38"/>
      <c r="P94" s="38"/>
      <c r="Q94" s="38"/>
      <c r="R94" s="177">
        <f t="shared" si="16"/>
        <v>0</v>
      </c>
      <c r="S94" s="202">
        <f t="shared" si="13"/>
        <v>0</v>
      </c>
      <c r="T94" s="202">
        <f t="shared" si="14"/>
        <v>0</v>
      </c>
      <c r="U94" s="18"/>
      <c r="V94" s="206" t="str">
        <f t="shared" si="15"/>
        <v>2-34</v>
      </c>
      <c r="W94" s="215" t="str">
        <f t="shared" si="17"/>
        <v/>
      </c>
      <c r="X94" s="110"/>
      <c r="Y94" s="109"/>
      <c r="Z94" s="207"/>
      <c r="AA94" s="207"/>
      <c r="AB94" s="207"/>
      <c r="AC94" s="207"/>
      <c r="AD94" s="207"/>
      <c r="AE94" s="207"/>
      <c r="AF94" s="207"/>
      <c r="AG94" s="207"/>
      <c r="AH94" s="207"/>
      <c r="AI94" s="207"/>
      <c r="AJ94" s="207"/>
      <c r="AK94" s="207"/>
      <c r="AL94" s="207"/>
      <c r="AM94" s="207"/>
      <c r="AN94" s="207"/>
      <c r="AO94" s="207"/>
      <c r="AP94" s="207"/>
      <c r="AQ94" s="207"/>
      <c r="AR94" s="207"/>
      <c r="AS94" s="207"/>
      <c r="AT94" s="207"/>
      <c r="AU94" s="207"/>
      <c r="AV94" s="207"/>
      <c r="AW94" s="207"/>
      <c r="AX94" s="207"/>
      <c r="AY94" s="207"/>
      <c r="AZ94" s="207"/>
      <c r="BA94" s="207"/>
      <c r="BB94" s="207"/>
      <c r="BC94" s="207"/>
      <c r="BD94" s="207"/>
      <c r="BE94" s="207"/>
      <c r="BF94" s="207"/>
      <c r="BG94" s="207"/>
      <c r="BH94" s="207"/>
      <c r="BI94" s="207"/>
      <c r="BJ94" s="207"/>
      <c r="BK94" s="207"/>
      <c r="BL94" s="207"/>
      <c r="BM94" s="207"/>
      <c r="BN94" s="207"/>
      <c r="BO94" s="207"/>
      <c r="BP94" s="207"/>
      <c r="BQ94" s="207"/>
      <c r="BR94" s="207"/>
      <c r="BS94" s="207"/>
      <c r="BT94" s="207"/>
      <c r="BU94" s="207"/>
      <c r="BV94" s="207"/>
      <c r="BW94" s="207"/>
      <c r="BX94" s="207"/>
      <c r="BY94" s="207"/>
      <c r="BZ94" s="207"/>
      <c r="CA94" s="207"/>
      <c r="CB94" s="207"/>
      <c r="CC94" s="207"/>
      <c r="CD94" s="207"/>
      <c r="CE94" s="207"/>
      <c r="CF94" s="207"/>
      <c r="CG94" s="207"/>
      <c r="CH94" s="207"/>
      <c r="CI94" s="207"/>
      <c r="CJ94" s="207"/>
      <c r="CK94" s="207"/>
      <c r="CL94" s="207"/>
      <c r="CM94" s="207"/>
      <c r="CN94" s="207"/>
      <c r="CO94" s="207"/>
      <c r="CP94" s="207"/>
      <c r="CQ94" s="207"/>
      <c r="CR94" s="207"/>
      <c r="CS94" s="207"/>
      <c r="CT94" s="207"/>
      <c r="CU94" s="207"/>
      <c r="CV94" s="207"/>
      <c r="CW94" s="207"/>
      <c r="CX94" s="207"/>
      <c r="CY94" s="207"/>
      <c r="CZ94" s="207"/>
      <c r="DA94" s="207"/>
      <c r="DB94" s="207"/>
      <c r="DC94" s="207"/>
      <c r="DD94" s="207"/>
      <c r="DE94" s="207"/>
      <c r="DF94" s="207"/>
      <c r="DG94" s="207"/>
      <c r="DH94" s="207"/>
      <c r="DI94" s="207"/>
      <c r="DJ94" s="207"/>
      <c r="DK94" s="207"/>
      <c r="DL94" s="207"/>
      <c r="DM94" s="207"/>
      <c r="DN94" s="207"/>
      <c r="DO94" s="207"/>
      <c r="DP94" s="207"/>
      <c r="DQ94" s="207"/>
      <c r="DR94" s="207"/>
      <c r="DS94" s="207"/>
      <c r="DT94" s="207"/>
      <c r="DU94" s="207"/>
      <c r="DV94" s="207"/>
      <c r="DW94" s="207"/>
      <c r="DX94" s="207"/>
      <c r="DY94" s="207"/>
      <c r="DZ94" s="207"/>
      <c r="EA94" s="207"/>
      <c r="EB94" s="207"/>
      <c r="EC94" s="207"/>
      <c r="ED94" s="207"/>
      <c r="EE94" s="207"/>
      <c r="EF94" s="207"/>
      <c r="EG94" s="207"/>
      <c r="EH94" s="207"/>
      <c r="EI94" s="207"/>
      <c r="EJ94" s="207"/>
      <c r="EK94" s="207"/>
      <c r="EL94" s="207"/>
      <c r="EM94" s="207"/>
      <c r="EN94" s="207"/>
      <c r="EO94" s="207"/>
      <c r="EP94" s="207"/>
      <c r="EQ94" s="207"/>
      <c r="ER94" s="207"/>
      <c r="ES94" s="207"/>
      <c r="ET94" s="207"/>
      <c r="EU94" s="207"/>
      <c r="EV94" s="207"/>
      <c r="EW94" s="207"/>
      <c r="EX94" s="207"/>
      <c r="EY94" s="207"/>
      <c r="EZ94" s="207"/>
      <c r="FA94" s="207"/>
      <c r="FB94" s="207"/>
      <c r="FC94" s="207"/>
      <c r="FD94" s="207"/>
      <c r="FE94" s="207"/>
      <c r="FF94" s="207"/>
      <c r="FG94" s="207"/>
      <c r="FH94" s="207"/>
      <c r="FI94" s="207"/>
      <c r="FJ94" s="207"/>
      <c r="FK94" s="207"/>
      <c r="FL94" s="207"/>
      <c r="FM94" s="207"/>
      <c r="FN94" s="207"/>
      <c r="FO94" s="207"/>
      <c r="FP94" s="207"/>
      <c r="FQ94" s="207"/>
      <c r="FR94" s="207"/>
      <c r="FS94" s="208"/>
      <c r="FT94" s="156"/>
    </row>
    <row r="95" spans="1:176" ht="15" outlineLevel="1">
      <c r="A95" s="206" t="s">
        <v>1344</v>
      </c>
      <c r="B95" s="200" t="s">
        <v>81</v>
      </c>
      <c r="C95" s="34"/>
      <c r="D95" s="34"/>
      <c r="E95" s="34"/>
      <c r="F95" s="34"/>
      <c r="G95" s="34"/>
      <c r="H95" s="35" t="s">
        <v>488</v>
      </c>
      <c r="I95" s="38"/>
      <c r="J95" s="38"/>
      <c r="K95" s="38"/>
      <c r="L95" s="38"/>
      <c r="M95" s="38"/>
      <c r="N95" s="38"/>
      <c r="O95" s="38"/>
      <c r="P95" s="38"/>
      <c r="Q95" s="38"/>
      <c r="R95" s="177">
        <f t="shared" si="16"/>
        <v>0</v>
      </c>
      <c r="S95" s="202">
        <f t="shared" si="13"/>
        <v>0</v>
      </c>
      <c r="T95" s="202">
        <f t="shared" si="14"/>
        <v>0</v>
      </c>
      <c r="U95" s="18"/>
      <c r="V95" s="206" t="str">
        <f t="shared" si="15"/>
        <v>2-35</v>
      </c>
      <c r="W95" s="215" t="str">
        <f t="shared" si="17"/>
        <v/>
      </c>
      <c r="X95" s="110"/>
      <c r="Y95" s="109"/>
      <c r="Z95" s="207"/>
      <c r="AA95" s="207"/>
      <c r="AB95" s="207"/>
      <c r="AC95" s="207"/>
      <c r="AD95" s="207"/>
      <c r="AE95" s="207"/>
      <c r="AF95" s="207"/>
      <c r="AG95" s="207"/>
      <c r="AH95" s="207"/>
      <c r="AI95" s="207"/>
      <c r="AJ95" s="207"/>
      <c r="AK95" s="207"/>
      <c r="AL95" s="207"/>
      <c r="AM95" s="207"/>
      <c r="AN95" s="207"/>
      <c r="AO95" s="207"/>
      <c r="AP95" s="207"/>
      <c r="AQ95" s="207"/>
      <c r="AR95" s="207"/>
      <c r="AS95" s="207"/>
      <c r="AT95" s="207"/>
      <c r="AU95" s="207"/>
      <c r="AV95" s="207"/>
      <c r="AW95" s="207"/>
      <c r="AX95" s="207"/>
      <c r="AY95" s="207"/>
      <c r="AZ95" s="207"/>
      <c r="BA95" s="207"/>
      <c r="BB95" s="207"/>
      <c r="BC95" s="207"/>
      <c r="BD95" s="207"/>
      <c r="BE95" s="207"/>
      <c r="BF95" s="207"/>
      <c r="BG95" s="207"/>
      <c r="BH95" s="207"/>
      <c r="BI95" s="207"/>
      <c r="BJ95" s="207"/>
      <c r="BK95" s="207"/>
      <c r="BL95" s="207"/>
      <c r="BM95" s="207"/>
      <c r="BN95" s="207"/>
      <c r="BO95" s="207"/>
      <c r="BP95" s="207"/>
      <c r="BQ95" s="207"/>
      <c r="BR95" s="207"/>
      <c r="BS95" s="207"/>
      <c r="BT95" s="207"/>
      <c r="BU95" s="207"/>
      <c r="BV95" s="207"/>
      <c r="BW95" s="207"/>
      <c r="BX95" s="207"/>
      <c r="BY95" s="207"/>
      <c r="BZ95" s="207"/>
      <c r="CA95" s="207"/>
      <c r="CB95" s="207"/>
      <c r="CC95" s="207"/>
      <c r="CD95" s="207"/>
      <c r="CE95" s="207"/>
      <c r="CF95" s="207"/>
      <c r="CG95" s="207"/>
      <c r="CH95" s="207"/>
      <c r="CI95" s="207"/>
      <c r="CJ95" s="207"/>
      <c r="CK95" s="207"/>
      <c r="CL95" s="207"/>
      <c r="CM95" s="207"/>
      <c r="CN95" s="207"/>
      <c r="CO95" s="207"/>
      <c r="CP95" s="207"/>
      <c r="CQ95" s="207"/>
      <c r="CR95" s="207"/>
      <c r="CS95" s="207"/>
      <c r="CT95" s="207"/>
      <c r="CU95" s="207"/>
      <c r="CV95" s="207"/>
      <c r="CW95" s="207"/>
      <c r="CX95" s="207"/>
      <c r="CY95" s="207"/>
      <c r="CZ95" s="207"/>
      <c r="DA95" s="207"/>
      <c r="DB95" s="207"/>
      <c r="DC95" s="207"/>
      <c r="DD95" s="207"/>
      <c r="DE95" s="207"/>
      <c r="DF95" s="207"/>
      <c r="DG95" s="207"/>
      <c r="DH95" s="207"/>
      <c r="DI95" s="207"/>
      <c r="DJ95" s="207"/>
      <c r="DK95" s="207"/>
      <c r="DL95" s="207"/>
      <c r="DM95" s="207"/>
      <c r="DN95" s="207"/>
      <c r="DO95" s="207"/>
      <c r="DP95" s="207"/>
      <c r="DQ95" s="207"/>
      <c r="DR95" s="207"/>
      <c r="DS95" s="207"/>
      <c r="DT95" s="207"/>
      <c r="DU95" s="207"/>
      <c r="DV95" s="207"/>
      <c r="DW95" s="207"/>
      <c r="DX95" s="207"/>
      <c r="DY95" s="207"/>
      <c r="DZ95" s="207"/>
      <c r="EA95" s="207"/>
      <c r="EB95" s="207"/>
      <c r="EC95" s="207"/>
      <c r="ED95" s="207"/>
      <c r="EE95" s="207"/>
      <c r="EF95" s="207"/>
      <c r="EG95" s="207"/>
      <c r="EH95" s="207"/>
      <c r="EI95" s="207"/>
      <c r="EJ95" s="207"/>
      <c r="EK95" s="207"/>
      <c r="EL95" s="207"/>
      <c r="EM95" s="207"/>
      <c r="EN95" s="207"/>
      <c r="EO95" s="207"/>
      <c r="EP95" s="207"/>
      <c r="EQ95" s="207"/>
      <c r="ER95" s="207"/>
      <c r="ES95" s="207"/>
      <c r="ET95" s="207"/>
      <c r="EU95" s="207"/>
      <c r="EV95" s="207"/>
      <c r="EW95" s="207"/>
      <c r="EX95" s="207"/>
      <c r="EY95" s="207"/>
      <c r="EZ95" s="207"/>
      <c r="FA95" s="207"/>
      <c r="FB95" s="207"/>
      <c r="FC95" s="207"/>
      <c r="FD95" s="207"/>
      <c r="FE95" s="207"/>
      <c r="FF95" s="207"/>
      <c r="FG95" s="207"/>
      <c r="FH95" s="207"/>
      <c r="FI95" s="207"/>
      <c r="FJ95" s="207"/>
      <c r="FK95" s="207"/>
      <c r="FL95" s="207"/>
      <c r="FM95" s="207"/>
      <c r="FN95" s="207"/>
      <c r="FO95" s="207"/>
      <c r="FP95" s="207"/>
      <c r="FQ95" s="207"/>
      <c r="FR95" s="207"/>
      <c r="FS95" s="208"/>
      <c r="FT95" s="156"/>
    </row>
    <row r="96" spans="1:176" ht="15" outlineLevel="1">
      <c r="A96" s="206" t="s">
        <v>1345</v>
      </c>
      <c r="B96" s="200" t="s">
        <v>81</v>
      </c>
      <c r="C96" s="34"/>
      <c r="D96" s="34"/>
      <c r="E96" s="34"/>
      <c r="F96" s="34"/>
      <c r="G96" s="34"/>
      <c r="H96" s="35" t="s">
        <v>488</v>
      </c>
      <c r="I96" s="38"/>
      <c r="J96" s="38"/>
      <c r="K96" s="38"/>
      <c r="L96" s="38"/>
      <c r="M96" s="38"/>
      <c r="N96" s="38"/>
      <c r="O96" s="38"/>
      <c r="P96" s="38"/>
      <c r="Q96" s="38"/>
      <c r="R96" s="177">
        <f t="shared" si="16"/>
        <v>0</v>
      </c>
      <c r="S96" s="202">
        <f t="shared" si="13"/>
        <v>0</v>
      </c>
      <c r="T96" s="202">
        <f t="shared" si="14"/>
        <v>0</v>
      </c>
      <c r="U96" s="18"/>
      <c r="V96" s="206" t="str">
        <f t="shared" si="15"/>
        <v>2-36</v>
      </c>
      <c r="W96" s="215" t="str">
        <f t="shared" si="17"/>
        <v/>
      </c>
      <c r="X96" s="110"/>
      <c r="Y96" s="109"/>
      <c r="Z96" s="207"/>
      <c r="AA96" s="207"/>
      <c r="AB96" s="207"/>
      <c r="AC96" s="207"/>
      <c r="AD96" s="207"/>
      <c r="AE96" s="207"/>
      <c r="AF96" s="207"/>
      <c r="AG96" s="207"/>
      <c r="AH96" s="207"/>
      <c r="AI96" s="207"/>
      <c r="AJ96" s="207"/>
      <c r="AK96" s="207"/>
      <c r="AL96" s="207"/>
      <c r="AM96" s="207"/>
      <c r="AN96" s="207"/>
      <c r="AO96" s="207"/>
      <c r="AP96" s="207"/>
      <c r="AQ96" s="207"/>
      <c r="AR96" s="207"/>
      <c r="AS96" s="207"/>
      <c r="AT96" s="207"/>
      <c r="AU96" s="207"/>
      <c r="AV96" s="207"/>
      <c r="AW96" s="207"/>
      <c r="AX96" s="207"/>
      <c r="AY96" s="207"/>
      <c r="AZ96" s="207"/>
      <c r="BA96" s="207"/>
      <c r="BB96" s="207"/>
      <c r="BC96" s="207"/>
      <c r="BD96" s="207"/>
      <c r="BE96" s="207"/>
      <c r="BF96" s="207"/>
      <c r="BG96" s="207"/>
      <c r="BH96" s="207"/>
      <c r="BI96" s="207"/>
      <c r="BJ96" s="207"/>
      <c r="BK96" s="207"/>
      <c r="BL96" s="207"/>
      <c r="BM96" s="207"/>
      <c r="BN96" s="207"/>
      <c r="BO96" s="207"/>
      <c r="BP96" s="207"/>
      <c r="BQ96" s="207"/>
      <c r="BR96" s="207"/>
      <c r="BS96" s="207"/>
      <c r="BT96" s="207"/>
      <c r="BU96" s="207"/>
      <c r="BV96" s="207"/>
      <c r="BW96" s="207"/>
      <c r="BX96" s="207"/>
      <c r="BY96" s="207"/>
      <c r="BZ96" s="207"/>
      <c r="CA96" s="207"/>
      <c r="CB96" s="207"/>
      <c r="CC96" s="207"/>
      <c r="CD96" s="207"/>
      <c r="CE96" s="207"/>
      <c r="CF96" s="207"/>
      <c r="CG96" s="207"/>
      <c r="CH96" s="207"/>
      <c r="CI96" s="207"/>
      <c r="CJ96" s="207"/>
      <c r="CK96" s="207"/>
      <c r="CL96" s="207"/>
      <c r="CM96" s="207"/>
      <c r="CN96" s="207"/>
      <c r="CO96" s="207"/>
      <c r="CP96" s="207"/>
      <c r="CQ96" s="207"/>
      <c r="CR96" s="207"/>
      <c r="CS96" s="207"/>
      <c r="CT96" s="207"/>
      <c r="CU96" s="207"/>
      <c r="CV96" s="207"/>
      <c r="CW96" s="207"/>
      <c r="CX96" s="207"/>
      <c r="CY96" s="207"/>
      <c r="CZ96" s="207"/>
      <c r="DA96" s="207"/>
      <c r="DB96" s="207"/>
      <c r="DC96" s="207"/>
      <c r="DD96" s="207"/>
      <c r="DE96" s="207"/>
      <c r="DF96" s="207"/>
      <c r="DG96" s="207"/>
      <c r="DH96" s="207"/>
      <c r="DI96" s="207"/>
      <c r="DJ96" s="207"/>
      <c r="DK96" s="207"/>
      <c r="DL96" s="207"/>
      <c r="DM96" s="207"/>
      <c r="DN96" s="207"/>
      <c r="DO96" s="207"/>
      <c r="DP96" s="207"/>
      <c r="DQ96" s="207"/>
      <c r="DR96" s="207"/>
      <c r="DS96" s="207"/>
      <c r="DT96" s="207"/>
      <c r="DU96" s="207"/>
      <c r="DV96" s="207"/>
      <c r="DW96" s="207"/>
      <c r="DX96" s="207"/>
      <c r="DY96" s="207"/>
      <c r="DZ96" s="207"/>
      <c r="EA96" s="207"/>
      <c r="EB96" s="207"/>
      <c r="EC96" s="207"/>
      <c r="ED96" s="207"/>
      <c r="EE96" s="207"/>
      <c r="EF96" s="207"/>
      <c r="EG96" s="207"/>
      <c r="EH96" s="207"/>
      <c r="EI96" s="207"/>
      <c r="EJ96" s="207"/>
      <c r="EK96" s="207"/>
      <c r="EL96" s="207"/>
      <c r="EM96" s="207"/>
      <c r="EN96" s="207"/>
      <c r="EO96" s="207"/>
      <c r="EP96" s="207"/>
      <c r="EQ96" s="207"/>
      <c r="ER96" s="207"/>
      <c r="ES96" s="207"/>
      <c r="ET96" s="207"/>
      <c r="EU96" s="207"/>
      <c r="EV96" s="207"/>
      <c r="EW96" s="207"/>
      <c r="EX96" s="207"/>
      <c r="EY96" s="207"/>
      <c r="EZ96" s="207"/>
      <c r="FA96" s="207"/>
      <c r="FB96" s="207"/>
      <c r="FC96" s="207"/>
      <c r="FD96" s="207"/>
      <c r="FE96" s="207"/>
      <c r="FF96" s="207"/>
      <c r="FG96" s="207"/>
      <c r="FH96" s="207"/>
      <c r="FI96" s="207"/>
      <c r="FJ96" s="207"/>
      <c r="FK96" s="207"/>
      <c r="FL96" s="207"/>
      <c r="FM96" s="207"/>
      <c r="FN96" s="207"/>
      <c r="FO96" s="207"/>
      <c r="FP96" s="207"/>
      <c r="FQ96" s="207"/>
      <c r="FR96" s="207"/>
      <c r="FS96" s="208"/>
      <c r="FT96" s="156"/>
    </row>
    <row r="97" spans="1:176" ht="15" outlineLevel="1">
      <c r="A97" s="206" t="s">
        <v>1346</v>
      </c>
      <c r="B97" s="200" t="s">
        <v>81</v>
      </c>
      <c r="C97" s="34"/>
      <c r="D97" s="34"/>
      <c r="E97" s="34"/>
      <c r="F97" s="34"/>
      <c r="G97" s="34"/>
      <c r="H97" s="35" t="s">
        <v>488</v>
      </c>
      <c r="I97" s="38"/>
      <c r="J97" s="38"/>
      <c r="K97" s="38"/>
      <c r="L97" s="38"/>
      <c r="M97" s="38"/>
      <c r="N97" s="38"/>
      <c r="O97" s="38"/>
      <c r="P97" s="38"/>
      <c r="Q97" s="38"/>
      <c r="R97" s="177">
        <f t="shared" si="16"/>
        <v>0</v>
      </c>
      <c r="S97" s="202">
        <f t="shared" si="13"/>
        <v>0</v>
      </c>
      <c r="T97" s="202">
        <f t="shared" si="14"/>
        <v>0</v>
      </c>
      <c r="U97" s="18"/>
      <c r="V97" s="206" t="str">
        <f t="shared" si="15"/>
        <v>2-37</v>
      </c>
      <c r="W97" s="215" t="str">
        <f t="shared" si="17"/>
        <v/>
      </c>
      <c r="X97" s="110"/>
      <c r="Y97" s="109"/>
      <c r="Z97" s="207"/>
      <c r="AA97" s="207"/>
      <c r="AB97" s="207"/>
      <c r="AC97" s="207"/>
      <c r="AD97" s="207"/>
      <c r="AE97" s="207"/>
      <c r="AF97" s="207"/>
      <c r="AG97" s="207"/>
      <c r="AH97" s="207"/>
      <c r="AI97" s="207"/>
      <c r="AJ97" s="207"/>
      <c r="AK97" s="207"/>
      <c r="AL97" s="207"/>
      <c r="AM97" s="207"/>
      <c r="AN97" s="207"/>
      <c r="AO97" s="207"/>
      <c r="AP97" s="207"/>
      <c r="AQ97" s="207"/>
      <c r="AR97" s="207"/>
      <c r="AS97" s="207"/>
      <c r="AT97" s="207"/>
      <c r="AU97" s="207"/>
      <c r="AV97" s="207"/>
      <c r="AW97" s="207"/>
      <c r="AX97" s="207"/>
      <c r="AY97" s="207"/>
      <c r="AZ97" s="207"/>
      <c r="BA97" s="207"/>
      <c r="BB97" s="207"/>
      <c r="BC97" s="207"/>
      <c r="BD97" s="207"/>
      <c r="BE97" s="207"/>
      <c r="BF97" s="207"/>
      <c r="BG97" s="207"/>
      <c r="BH97" s="207"/>
      <c r="BI97" s="207"/>
      <c r="BJ97" s="207"/>
      <c r="BK97" s="207"/>
      <c r="BL97" s="207"/>
      <c r="BM97" s="207"/>
      <c r="BN97" s="207"/>
      <c r="BO97" s="207"/>
      <c r="BP97" s="207"/>
      <c r="BQ97" s="207"/>
      <c r="BR97" s="207"/>
      <c r="BS97" s="207"/>
      <c r="BT97" s="207"/>
      <c r="BU97" s="207"/>
      <c r="BV97" s="207"/>
      <c r="BW97" s="207"/>
      <c r="BX97" s="207"/>
      <c r="BY97" s="207"/>
      <c r="BZ97" s="207"/>
      <c r="CA97" s="207"/>
      <c r="CB97" s="207"/>
      <c r="CC97" s="207"/>
      <c r="CD97" s="207"/>
      <c r="CE97" s="207"/>
      <c r="CF97" s="207"/>
      <c r="CG97" s="207"/>
      <c r="CH97" s="207"/>
      <c r="CI97" s="207"/>
      <c r="CJ97" s="207"/>
      <c r="CK97" s="207"/>
      <c r="CL97" s="207"/>
      <c r="CM97" s="207"/>
      <c r="CN97" s="207"/>
      <c r="CO97" s="207"/>
      <c r="CP97" s="207"/>
      <c r="CQ97" s="207"/>
      <c r="CR97" s="207"/>
      <c r="CS97" s="207"/>
      <c r="CT97" s="207"/>
      <c r="CU97" s="207"/>
      <c r="CV97" s="207"/>
      <c r="CW97" s="207"/>
      <c r="CX97" s="207"/>
      <c r="CY97" s="207"/>
      <c r="CZ97" s="207"/>
      <c r="DA97" s="207"/>
      <c r="DB97" s="207"/>
      <c r="DC97" s="207"/>
      <c r="DD97" s="207"/>
      <c r="DE97" s="207"/>
      <c r="DF97" s="207"/>
      <c r="DG97" s="207"/>
      <c r="DH97" s="207"/>
      <c r="DI97" s="207"/>
      <c r="DJ97" s="207"/>
      <c r="DK97" s="207"/>
      <c r="DL97" s="207"/>
      <c r="DM97" s="207"/>
      <c r="DN97" s="207"/>
      <c r="DO97" s="207"/>
      <c r="DP97" s="207"/>
      <c r="DQ97" s="207"/>
      <c r="DR97" s="207"/>
      <c r="DS97" s="207"/>
      <c r="DT97" s="207"/>
      <c r="DU97" s="207"/>
      <c r="DV97" s="207"/>
      <c r="DW97" s="207"/>
      <c r="DX97" s="207"/>
      <c r="DY97" s="207"/>
      <c r="DZ97" s="207"/>
      <c r="EA97" s="207"/>
      <c r="EB97" s="207"/>
      <c r="EC97" s="207"/>
      <c r="ED97" s="207"/>
      <c r="EE97" s="207"/>
      <c r="EF97" s="207"/>
      <c r="EG97" s="207"/>
      <c r="EH97" s="207"/>
      <c r="EI97" s="207"/>
      <c r="EJ97" s="207"/>
      <c r="EK97" s="207"/>
      <c r="EL97" s="207"/>
      <c r="EM97" s="207"/>
      <c r="EN97" s="207"/>
      <c r="EO97" s="207"/>
      <c r="EP97" s="207"/>
      <c r="EQ97" s="207"/>
      <c r="ER97" s="207"/>
      <c r="ES97" s="207"/>
      <c r="ET97" s="207"/>
      <c r="EU97" s="207"/>
      <c r="EV97" s="207"/>
      <c r="EW97" s="207"/>
      <c r="EX97" s="207"/>
      <c r="EY97" s="207"/>
      <c r="EZ97" s="207"/>
      <c r="FA97" s="207"/>
      <c r="FB97" s="207"/>
      <c r="FC97" s="207"/>
      <c r="FD97" s="207"/>
      <c r="FE97" s="207"/>
      <c r="FF97" s="207"/>
      <c r="FG97" s="207"/>
      <c r="FH97" s="207"/>
      <c r="FI97" s="207"/>
      <c r="FJ97" s="207"/>
      <c r="FK97" s="207"/>
      <c r="FL97" s="207"/>
      <c r="FM97" s="207"/>
      <c r="FN97" s="207"/>
      <c r="FO97" s="207"/>
      <c r="FP97" s="207"/>
      <c r="FQ97" s="207"/>
      <c r="FR97" s="207"/>
      <c r="FS97" s="208"/>
      <c r="FT97" s="156"/>
    </row>
    <row r="98" spans="1:176" ht="15" outlineLevel="1">
      <c r="A98" s="206" t="s">
        <v>1347</v>
      </c>
      <c r="B98" s="200" t="s">
        <v>81</v>
      </c>
      <c r="C98" s="34"/>
      <c r="D98" s="34"/>
      <c r="E98" s="34"/>
      <c r="F98" s="34"/>
      <c r="G98" s="34"/>
      <c r="H98" s="35" t="s">
        <v>488</v>
      </c>
      <c r="I98" s="38"/>
      <c r="J98" s="38"/>
      <c r="K98" s="38"/>
      <c r="L98" s="38"/>
      <c r="M98" s="38"/>
      <c r="N98" s="38"/>
      <c r="O98" s="38"/>
      <c r="P98" s="38"/>
      <c r="Q98" s="38"/>
      <c r="R98" s="177">
        <f t="shared" si="16"/>
        <v>0</v>
      </c>
      <c r="S98" s="202">
        <f t="shared" si="13"/>
        <v>0</v>
      </c>
      <c r="T98" s="202">
        <f t="shared" si="14"/>
        <v>0</v>
      </c>
      <c r="U98" s="18"/>
      <c r="V98" s="206" t="str">
        <f t="shared" si="15"/>
        <v>2-38</v>
      </c>
      <c r="W98" s="215" t="str">
        <f t="shared" si="17"/>
        <v/>
      </c>
      <c r="X98" s="110"/>
      <c r="Y98" s="109"/>
      <c r="Z98" s="207"/>
      <c r="AA98" s="207"/>
      <c r="AB98" s="207"/>
      <c r="AC98" s="207"/>
      <c r="AD98" s="207"/>
      <c r="AE98" s="207"/>
      <c r="AF98" s="207"/>
      <c r="AG98" s="207"/>
      <c r="AH98" s="207"/>
      <c r="AI98" s="207"/>
      <c r="AJ98" s="207"/>
      <c r="AK98" s="207"/>
      <c r="AL98" s="207"/>
      <c r="AM98" s="207"/>
      <c r="AN98" s="207"/>
      <c r="AO98" s="207"/>
      <c r="AP98" s="207"/>
      <c r="AQ98" s="207"/>
      <c r="AR98" s="207"/>
      <c r="AS98" s="207"/>
      <c r="AT98" s="207"/>
      <c r="AU98" s="207"/>
      <c r="AV98" s="207"/>
      <c r="AW98" s="207"/>
      <c r="AX98" s="207"/>
      <c r="AY98" s="207"/>
      <c r="AZ98" s="207"/>
      <c r="BA98" s="207"/>
      <c r="BB98" s="207"/>
      <c r="BC98" s="207"/>
      <c r="BD98" s="207"/>
      <c r="BE98" s="207"/>
      <c r="BF98" s="207"/>
      <c r="BG98" s="207"/>
      <c r="BH98" s="207"/>
      <c r="BI98" s="207"/>
      <c r="BJ98" s="207"/>
      <c r="BK98" s="207"/>
      <c r="BL98" s="207"/>
      <c r="BM98" s="207"/>
      <c r="BN98" s="207"/>
      <c r="BO98" s="207"/>
      <c r="BP98" s="207"/>
      <c r="BQ98" s="207"/>
      <c r="BR98" s="207"/>
      <c r="BS98" s="207"/>
      <c r="BT98" s="207"/>
      <c r="BU98" s="207"/>
      <c r="BV98" s="207"/>
      <c r="BW98" s="207"/>
      <c r="BX98" s="207"/>
      <c r="BY98" s="207"/>
      <c r="BZ98" s="207"/>
      <c r="CA98" s="207"/>
      <c r="CB98" s="207"/>
      <c r="CC98" s="207"/>
      <c r="CD98" s="207"/>
      <c r="CE98" s="207"/>
      <c r="CF98" s="207"/>
      <c r="CG98" s="207"/>
      <c r="CH98" s="207"/>
      <c r="CI98" s="207"/>
      <c r="CJ98" s="207"/>
      <c r="CK98" s="207"/>
      <c r="CL98" s="207"/>
      <c r="CM98" s="207"/>
      <c r="CN98" s="207"/>
      <c r="CO98" s="207"/>
      <c r="CP98" s="207"/>
      <c r="CQ98" s="207"/>
      <c r="CR98" s="207"/>
      <c r="CS98" s="207"/>
      <c r="CT98" s="207"/>
      <c r="CU98" s="207"/>
      <c r="CV98" s="207"/>
      <c r="CW98" s="207"/>
      <c r="CX98" s="207"/>
      <c r="CY98" s="207"/>
      <c r="CZ98" s="207"/>
      <c r="DA98" s="207"/>
      <c r="DB98" s="207"/>
      <c r="DC98" s="207"/>
      <c r="DD98" s="207"/>
      <c r="DE98" s="207"/>
      <c r="DF98" s="207"/>
      <c r="DG98" s="207"/>
      <c r="DH98" s="207"/>
      <c r="DI98" s="207"/>
      <c r="DJ98" s="207"/>
      <c r="DK98" s="207"/>
      <c r="DL98" s="207"/>
      <c r="DM98" s="207"/>
      <c r="DN98" s="207"/>
      <c r="DO98" s="207"/>
      <c r="DP98" s="207"/>
      <c r="DQ98" s="207"/>
      <c r="DR98" s="207"/>
      <c r="DS98" s="207"/>
      <c r="DT98" s="207"/>
      <c r="DU98" s="207"/>
      <c r="DV98" s="207"/>
      <c r="DW98" s="207"/>
      <c r="DX98" s="207"/>
      <c r="DY98" s="207"/>
      <c r="DZ98" s="207"/>
      <c r="EA98" s="207"/>
      <c r="EB98" s="207"/>
      <c r="EC98" s="207"/>
      <c r="ED98" s="207"/>
      <c r="EE98" s="207"/>
      <c r="EF98" s="207"/>
      <c r="EG98" s="207"/>
      <c r="EH98" s="207"/>
      <c r="EI98" s="207"/>
      <c r="EJ98" s="207"/>
      <c r="EK98" s="207"/>
      <c r="EL98" s="207"/>
      <c r="EM98" s="207"/>
      <c r="EN98" s="207"/>
      <c r="EO98" s="207"/>
      <c r="EP98" s="207"/>
      <c r="EQ98" s="207"/>
      <c r="ER98" s="207"/>
      <c r="ES98" s="207"/>
      <c r="ET98" s="207"/>
      <c r="EU98" s="207"/>
      <c r="EV98" s="207"/>
      <c r="EW98" s="207"/>
      <c r="EX98" s="207"/>
      <c r="EY98" s="207"/>
      <c r="EZ98" s="207"/>
      <c r="FA98" s="207"/>
      <c r="FB98" s="207"/>
      <c r="FC98" s="207"/>
      <c r="FD98" s="207"/>
      <c r="FE98" s="207"/>
      <c r="FF98" s="207"/>
      <c r="FG98" s="207"/>
      <c r="FH98" s="207"/>
      <c r="FI98" s="207"/>
      <c r="FJ98" s="207"/>
      <c r="FK98" s="207"/>
      <c r="FL98" s="207"/>
      <c r="FM98" s="207"/>
      <c r="FN98" s="207"/>
      <c r="FO98" s="207"/>
      <c r="FP98" s="207"/>
      <c r="FQ98" s="207"/>
      <c r="FR98" s="207"/>
      <c r="FS98" s="208"/>
      <c r="FT98" s="156"/>
    </row>
    <row r="99" spans="1:176" ht="15" outlineLevel="1">
      <c r="A99" s="206" t="s">
        <v>1348</v>
      </c>
      <c r="B99" s="200" t="s">
        <v>81</v>
      </c>
      <c r="C99" s="34"/>
      <c r="D99" s="34"/>
      <c r="E99" s="34"/>
      <c r="F99" s="34"/>
      <c r="G99" s="34"/>
      <c r="H99" s="35" t="s">
        <v>488</v>
      </c>
      <c r="I99" s="38"/>
      <c r="J99" s="38"/>
      <c r="K99" s="38"/>
      <c r="L99" s="38"/>
      <c r="M99" s="38"/>
      <c r="N99" s="38"/>
      <c r="O99" s="38"/>
      <c r="P99" s="38"/>
      <c r="Q99" s="38"/>
      <c r="R99" s="177">
        <f t="shared" si="16"/>
        <v>0</v>
      </c>
      <c r="S99" s="202">
        <f t="shared" si="13"/>
        <v>0</v>
      </c>
      <c r="T99" s="202">
        <f t="shared" si="14"/>
        <v>0</v>
      </c>
      <c r="U99" s="18"/>
      <c r="V99" s="206" t="str">
        <f t="shared" si="15"/>
        <v>2-39</v>
      </c>
      <c r="W99" s="215" t="str">
        <f t="shared" si="17"/>
        <v/>
      </c>
      <c r="X99" s="110"/>
      <c r="Y99" s="109"/>
      <c r="Z99" s="207"/>
      <c r="AA99" s="207"/>
      <c r="AB99" s="207"/>
      <c r="AC99" s="207"/>
      <c r="AD99" s="207"/>
      <c r="AE99" s="207"/>
      <c r="AF99" s="207"/>
      <c r="AG99" s="207"/>
      <c r="AH99" s="207"/>
      <c r="AI99" s="207"/>
      <c r="AJ99" s="207"/>
      <c r="AK99" s="207"/>
      <c r="AL99" s="207"/>
      <c r="AM99" s="207"/>
      <c r="AN99" s="207"/>
      <c r="AO99" s="207"/>
      <c r="AP99" s="207"/>
      <c r="AQ99" s="207"/>
      <c r="AR99" s="207"/>
      <c r="AS99" s="207"/>
      <c r="AT99" s="207"/>
      <c r="AU99" s="207"/>
      <c r="AV99" s="207"/>
      <c r="AW99" s="207"/>
      <c r="AX99" s="207"/>
      <c r="AY99" s="207"/>
      <c r="AZ99" s="207"/>
      <c r="BA99" s="207"/>
      <c r="BB99" s="207"/>
      <c r="BC99" s="207"/>
      <c r="BD99" s="207"/>
      <c r="BE99" s="207"/>
      <c r="BF99" s="207"/>
      <c r="BG99" s="207"/>
      <c r="BH99" s="207"/>
      <c r="BI99" s="207"/>
      <c r="BJ99" s="207"/>
      <c r="BK99" s="207"/>
      <c r="BL99" s="207"/>
      <c r="BM99" s="207"/>
      <c r="BN99" s="207"/>
      <c r="BO99" s="207"/>
      <c r="BP99" s="207"/>
      <c r="BQ99" s="207"/>
      <c r="BR99" s="207"/>
      <c r="BS99" s="207"/>
      <c r="BT99" s="207"/>
      <c r="BU99" s="207"/>
      <c r="BV99" s="207"/>
      <c r="BW99" s="207"/>
      <c r="BX99" s="207"/>
      <c r="BY99" s="207"/>
      <c r="BZ99" s="207"/>
      <c r="CA99" s="207"/>
      <c r="CB99" s="207"/>
      <c r="CC99" s="207"/>
      <c r="CD99" s="207"/>
      <c r="CE99" s="207"/>
      <c r="CF99" s="207"/>
      <c r="CG99" s="207"/>
      <c r="CH99" s="207"/>
      <c r="CI99" s="207"/>
      <c r="CJ99" s="207"/>
      <c r="CK99" s="207"/>
      <c r="CL99" s="207"/>
      <c r="CM99" s="207"/>
      <c r="CN99" s="207"/>
      <c r="CO99" s="207"/>
      <c r="CP99" s="207"/>
      <c r="CQ99" s="207"/>
      <c r="CR99" s="207"/>
      <c r="CS99" s="207"/>
      <c r="CT99" s="207"/>
      <c r="CU99" s="207"/>
      <c r="CV99" s="207"/>
      <c r="CW99" s="207"/>
      <c r="CX99" s="207"/>
      <c r="CY99" s="207"/>
      <c r="CZ99" s="207"/>
      <c r="DA99" s="207"/>
      <c r="DB99" s="207"/>
      <c r="DC99" s="207"/>
      <c r="DD99" s="207"/>
      <c r="DE99" s="207"/>
      <c r="DF99" s="207"/>
      <c r="DG99" s="207"/>
      <c r="DH99" s="207"/>
      <c r="DI99" s="207"/>
      <c r="DJ99" s="207"/>
      <c r="DK99" s="207"/>
      <c r="DL99" s="207"/>
      <c r="DM99" s="207"/>
      <c r="DN99" s="207"/>
      <c r="DO99" s="207"/>
      <c r="DP99" s="207"/>
      <c r="DQ99" s="207"/>
      <c r="DR99" s="207"/>
      <c r="DS99" s="207"/>
      <c r="DT99" s="207"/>
      <c r="DU99" s="207"/>
      <c r="DV99" s="207"/>
      <c r="DW99" s="207"/>
      <c r="DX99" s="207"/>
      <c r="DY99" s="207"/>
      <c r="DZ99" s="207"/>
      <c r="EA99" s="207"/>
      <c r="EB99" s="207"/>
      <c r="EC99" s="207"/>
      <c r="ED99" s="207"/>
      <c r="EE99" s="207"/>
      <c r="EF99" s="207"/>
      <c r="EG99" s="207"/>
      <c r="EH99" s="207"/>
      <c r="EI99" s="207"/>
      <c r="EJ99" s="207"/>
      <c r="EK99" s="207"/>
      <c r="EL99" s="207"/>
      <c r="EM99" s="207"/>
      <c r="EN99" s="207"/>
      <c r="EO99" s="207"/>
      <c r="EP99" s="207"/>
      <c r="EQ99" s="207"/>
      <c r="ER99" s="207"/>
      <c r="ES99" s="207"/>
      <c r="ET99" s="207"/>
      <c r="EU99" s="207"/>
      <c r="EV99" s="207"/>
      <c r="EW99" s="207"/>
      <c r="EX99" s="207"/>
      <c r="EY99" s="207"/>
      <c r="EZ99" s="207"/>
      <c r="FA99" s="207"/>
      <c r="FB99" s="207"/>
      <c r="FC99" s="207"/>
      <c r="FD99" s="207"/>
      <c r="FE99" s="207"/>
      <c r="FF99" s="207"/>
      <c r="FG99" s="207"/>
      <c r="FH99" s="207"/>
      <c r="FI99" s="207"/>
      <c r="FJ99" s="207"/>
      <c r="FK99" s="207"/>
      <c r="FL99" s="207"/>
      <c r="FM99" s="207"/>
      <c r="FN99" s="207"/>
      <c r="FO99" s="207"/>
      <c r="FP99" s="207"/>
      <c r="FQ99" s="207"/>
      <c r="FR99" s="207"/>
      <c r="FS99" s="208"/>
      <c r="FT99" s="156"/>
    </row>
    <row r="100" spans="1:176" ht="15" outlineLevel="1">
      <c r="A100" s="206" t="s">
        <v>1349</v>
      </c>
      <c r="B100" s="200" t="s">
        <v>81</v>
      </c>
      <c r="C100" s="34"/>
      <c r="D100" s="34"/>
      <c r="E100" s="34"/>
      <c r="F100" s="34"/>
      <c r="G100" s="34"/>
      <c r="H100" s="35" t="s">
        <v>488</v>
      </c>
      <c r="I100" s="38"/>
      <c r="J100" s="38"/>
      <c r="K100" s="38"/>
      <c r="L100" s="38"/>
      <c r="M100" s="38"/>
      <c r="N100" s="38"/>
      <c r="O100" s="38"/>
      <c r="P100" s="38"/>
      <c r="Q100" s="38"/>
      <c r="R100" s="177">
        <f t="shared" si="16"/>
        <v>0</v>
      </c>
      <c r="S100" s="202">
        <f t="shared" si="13"/>
        <v>0</v>
      </c>
      <c r="T100" s="202">
        <f t="shared" si="14"/>
        <v>0</v>
      </c>
      <c r="U100" s="18"/>
      <c r="V100" s="206" t="str">
        <f t="shared" si="15"/>
        <v>2-40</v>
      </c>
      <c r="W100" s="215" t="str">
        <f t="shared" si="17"/>
        <v/>
      </c>
      <c r="X100" s="110"/>
      <c r="Y100" s="109"/>
      <c r="Z100" s="207"/>
      <c r="AA100" s="207"/>
      <c r="AB100" s="207"/>
      <c r="AC100" s="207"/>
      <c r="AD100" s="207"/>
      <c r="AE100" s="207"/>
      <c r="AF100" s="207"/>
      <c r="AG100" s="207"/>
      <c r="AH100" s="207"/>
      <c r="AI100" s="207"/>
      <c r="AJ100" s="207"/>
      <c r="AK100" s="207"/>
      <c r="AL100" s="207"/>
      <c r="AM100" s="207"/>
      <c r="AN100" s="207"/>
      <c r="AO100" s="207"/>
      <c r="AP100" s="207"/>
      <c r="AQ100" s="207"/>
      <c r="AR100" s="207"/>
      <c r="AS100" s="207"/>
      <c r="AT100" s="207"/>
      <c r="AU100" s="207"/>
      <c r="AV100" s="207"/>
      <c r="AW100" s="207"/>
      <c r="AX100" s="207"/>
      <c r="AY100" s="207"/>
      <c r="AZ100" s="207"/>
      <c r="BA100" s="207"/>
      <c r="BB100" s="207"/>
      <c r="BC100" s="207"/>
      <c r="BD100" s="207"/>
      <c r="BE100" s="207"/>
      <c r="BF100" s="207"/>
      <c r="BG100" s="207"/>
      <c r="BH100" s="207"/>
      <c r="BI100" s="207"/>
      <c r="BJ100" s="207"/>
      <c r="BK100" s="207"/>
      <c r="BL100" s="207"/>
      <c r="BM100" s="207"/>
      <c r="BN100" s="207"/>
      <c r="BO100" s="207"/>
      <c r="BP100" s="207"/>
      <c r="BQ100" s="207"/>
      <c r="BR100" s="207"/>
      <c r="BS100" s="207"/>
      <c r="BT100" s="207"/>
      <c r="BU100" s="207"/>
      <c r="BV100" s="207"/>
      <c r="BW100" s="207"/>
      <c r="BX100" s="207"/>
      <c r="BY100" s="207"/>
      <c r="BZ100" s="207"/>
      <c r="CA100" s="207"/>
      <c r="CB100" s="207"/>
      <c r="CC100" s="207"/>
      <c r="CD100" s="207"/>
      <c r="CE100" s="207"/>
      <c r="CF100" s="207"/>
      <c r="CG100" s="207"/>
      <c r="CH100" s="207"/>
      <c r="CI100" s="207"/>
      <c r="CJ100" s="207"/>
      <c r="CK100" s="207"/>
      <c r="CL100" s="207"/>
      <c r="CM100" s="207"/>
      <c r="CN100" s="207"/>
      <c r="CO100" s="207"/>
      <c r="CP100" s="207"/>
      <c r="CQ100" s="207"/>
      <c r="CR100" s="207"/>
      <c r="CS100" s="207"/>
      <c r="CT100" s="207"/>
      <c r="CU100" s="207"/>
      <c r="CV100" s="207"/>
      <c r="CW100" s="207"/>
      <c r="CX100" s="207"/>
      <c r="CY100" s="207"/>
      <c r="CZ100" s="207"/>
      <c r="DA100" s="207"/>
      <c r="DB100" s="207"/>
      <c r="DC100" s="207"/>
      <c r="DD100" s="207"/>
      <c r="DE100" s="207"/>
      <c r="DF100" s="207"/>
      <c r="DG100" s="207"/>
      <c r="DH100" s="207"/>
      <c r="DI100" s="207"/>
      <c r="DJ100" s="207"/>
      <c r="DK100" s="207"/>
      <c r="DL100" s="207"/>
      <c r="DM100" s="207"/>
      <c r="DN100" s="207"/>
      <c r="DO100" s="207"/>
      <c r="DP100" s="207"/>
      <c r="DQ100" s="207"/>
      <c r="DR100" s="207"/>
      <c r="DS100" s="207"/>
      <c r="DT100" s="207"/>
      <c r="DU100" s="207"/>
      <c r="DV100" s="207"/>
      <c r="DW100" s="207"/>
      <c r="DX100" s="207"/>
      <c r="DY100" s="207"/>
      <c r="DZ100" s="207"/>
      <c r="EA100" s="207"/>
      <c r="EB100" s="207"/>
      <c r="EC100" s="207"/>
      <c r="ED100" s="207"/>
      <c r="EE100" s="207"/>
      <c r="EF100" s="207"/>
      <c r="EG100" s="207"/>
      <c r="EH100" s="207"/>
      <c r="EI100" s="207"/>
      <c r="EJ100" s="207"/>
      <c r="EK100" s="207"/>
      <c r="EL100" s="207"/>
      <c r="EM100" s="207"/>
      <c r="EN100" s="207"/>
      <c r="EO100" s="207"/>
      <c r="EP100" s="207"/>
      <c r="EQ100" s="207"/>
      <c r="ER100" s="207"/>
      <c r="ES100" s="207"/>
      <c r="ET100" s="207"/>
      <c r="EU100" s="207"/>
      <c r="EV100" s="207"/>
      <c r="EW100" s="207"/>
      <c r="EX100" s="207"/>
      <c r="EY100" s="207"/>
      <c r="EZ100" s="207"/>
      <c r="FA100" s="207"/>
      <c r="FB100" s="207"/>
      <c r="FC100" s="207"/>
      <c r="FD100" s="207"/>
      <c r="FE100" s="207"/>
      <c r="FF100" s="207"/>
      <c r="FG100" s="207"/>
      <c r="FH100" s="207"/>
      <c r="FI100" s="207"/>
      <c r="FJ100" s="207"/>
      <c r="FK100" s="207"/>
      <c r="FL100" s="207"/>
      <c r="FM100" s="207"/>
      <c r="FN100" s="207"/>
      <c r="FO100" s="207"/>
      <c r="FP100" s="207"/>
      <c r="FQ100" s="207"/>
      <c r="FR100" s="207"/>
      <c r="FS100" s="208"/>
      <c r="FT100" s="156"/>
    </row>
    <row r="101" spans="1:176" ht="15" outlineLevel="1">
      <c r="A101" s="206" t="s">
        <v>1350</v>
      </c>
      <c r="B101" s="200" t="s">
        <v>81</v>
      </c>
      <c r="C101" s="34"/>
      <c r="D101" s="34"/>
      <c r="E101" s="34"/>
      <c r="F101" s="34"/>
      <c r="G101" s="34"/>
      <c r="H101" s="35" t="s">
        <v>488</v>
      </c>
      <c r="I101" s="38"/>
      <c r="J101" s="38"/>
      <c r="K101" s="38"/>
      <c r="L101" s="38"/>
      <c r="M101" s="38"/>
      <c r="N101" s="38"/>
      <c r="O101" s="38"/>
      <c r="P101" s="38"/>
      <c r="Q101" s="38"/>
      <c r="R101" s="177">
        <f t="shared" si="16"/>
        <v>0</v>
      </c>
      <c r="S101" s="202">
        <f t="shared" si="13"/>
        <v>0</v>
      </c>
      <c r="T101" s="202">
        <f t="shared" si="14"/>
        <v>0</v>
      </c>
      <c r="U101" s="18"/>
      <c r="V101" s="206" t="str">
        <f t="shared" si="15"/>
        <v>2-41</v>
      </c>
      <c r="W101" s="215" t="str">
        <f t="shared" si="17"/>
        <v/>
      </c>
      <c r="X101" s="110"/>
      <c r="Y101" s="109"/>
      <c r="Z101" s="207"/>
      <c r="AA101" s="207"/>
      <c r="AB101" s="207"/>
      <c r="AC101" s="207"/>
      <c r="AD101" s="207"/>
      <c r="AE101" s="207"/>
      <c r="AF101" s="207"/>
      <c r="AG101" s="207"/>
      <c r="AH101" s="207"/>
      <c r="AI101" s="207"/>
      <c r="AJ101" s="207"/>
      <c r="AK101" s="207"/>
      <c r="AL101" s="207"/>
      <c r="AM101" s="207"/>
      <c r="AN101" s="207"/>
      <c r="AO101" s="207"/>
      <c r="AP101" s="207"/>
      <c r="AQ101" s="207"/>
      <c r="AR101" s="207"/>
      <c r="AS101" s="207"/>
      <c r="AT101" s="207"/>
      <c r="AU101" s="207"/>
      <c r="AV101" s="207"/>
      <c r="AW101" s="207"/>
      <c r="AX101" s="207"/>
      <c r="AY101" s="207"/>
      <c r="AZ101" s="207"/>
      <c r="BA101" s="207"/>
      <c r="BB101" s="207"/>
      <c r="BC101" s="207"/>
      <c r="BD101" s="207"/>
      <c r="BE101" s="207"/>
      <c r="BF101" s="207"/>
      <c r="BG101" s="207"/>
      <c r="BH101" s="207"/>
      <c r="BI101" s="207"/>
      <c r="BJ101" s="207"/>
      <c r="BK101" s="207"/>
      <c r="BL101" s="207"/>
      <c r="BM101" s="207"/>
      <c r="BN101" s="207"/>
      <c r="BO101" s="207"/>
      <c r="BP101" s="207"/>
      <c r="BQ101" s="207"/>
      <c r="BR101" s="207"/>
      <c r="BS101" s="207"/>
      <c r="BT101" s="207"/>
      <c r="BU101" s="207"/>
      <c r="BV101" s="207"/>
      <c r="BW101" s="207"/>
      <c r="BX101" s="207"/>
      <c r="BY101" s="207"/>
      <c r="BZ101" s="207"/>
      <c r="CA101" s="207"/>
      <c r="CB101" s="207"/>
      <c r="CC101" s="207"/>
      <c r="CD101" s="207"/>
      <c r="CE101" s="207"/>
      <c r="CF101" s="207"/>
      <c r="CG101" s="207"/>
      <c r="CH101" s="207"/>
      <c r="CI101" s="207"/>
      <c r="CJ101" s="207"/>
      <c r="CK101" s="207"/>
      <c r="CL101" s="207"/>
      <c r="CM101" s="207"/>
      <c r="CN101" s="207"/>
      <c r="CO101" s="207"/>
      <c r="CP101" s="207"/>
      <c r="CQ101" s="207"/>
      <c r="CR101" s="207"/>
      <c r="CS101" s="207"/>
      <c r="CT101" s="207"/>
      <c r="CU101" s="207"/>
      <c r="CV101" s="207"/>
      <c r="CW101" s="207"/>
      <c r="CX101" s="207"/>
      <c r="CY101" s="207"/>
      <c r="CZ101" s="207"/>
      <c r="DA101" s="207"/>
      <c r="DB101" s="207"/>
      <c r="DC101" s="207"/>
      <c r="DD101" s="207"/>
      <c r="DE101" s="207"/>
      <c r="DF101" s="207"/>
      <c r="DG101" s="207"/>
      <c r="DH101" s="207"/>
      <c r="DI101" s="207"/>
      <c r="DJ101" s="207"/>
      <c r="DK101" s="207"/>
      <c r="DL101" s="207"/>
      <c r="DM101" s="207"/>
      <c r="DN101" s="207"/>
      <c r="DO101" s="207"/>
      <c r="DP101" s="207"/>
      <c r="DQ101" s="207"/>
      <c r="DR101" s="207"/>
      <c r="DS101" s="207"/>
      <c r="DT101" s="207"/>
      <c r="DU101" s="207"/>
      <c r="DV101" s="207"/>
      <c r="DW101" s="207"/>
      <c r="DX101" s="207"/>
      <c r="DY101" s="207"/>
      <c r="DZ101" s="207"/>
      <c r="EA101" s="207"/>
      <c r="EB101" s="207"/>
      <c r="EC101" s="207"/>
      <c r="ED101" s="207"/>
      <c r="EE101" s="207"/>
      <c r="EF101" s="207"/>
      <c r="EG101" s="207"/>
      <c r="EH101" s="207"/>
      <c r="EI101" s="207"/>
      <c r="EJ101" s="207"/>
      <c r="EK101" s="207"/>
      <c r="EL101" s="207"/>
      <c r="EM101" s="207"/>
      <c r="EN101" s="207"/>
      <c r="EO101" s="207"/>
      <c r="EP101" s="207"/>
      <c r="EQ101" s="207"/>
      <c r="ER101" s="207"/>
      <c r="ES101" s="207"/>
      <c r="ET101" s="207"/>
      <c r="EU101" s="207"/>
      <c r="EV101" s="207"/>
      <c r="EW101" s="207"/>
      <c r="EX101" s="207"/>
      <c r="EY101" s="207"/>
      <c r="EZ101" s="207"/>
      <c r="FA101" s="207"/>
      <c r="FB101" s="207"/>
      <c r="FC101" s="207"/>
      <c r="FD101" s="207"/>
      <c r="FE101" s="207"/>
      <c r="FF101" s="207"/>
      <c r="FG101" s="207"/>
      <c r="FH101" s="207"/>
      <c r="FI101" s="207"/>
      <c r="FJ101" s="207"/>
      <c r="FK101" s="207"/>
      <c r="FL101" s="207"/>
      <c r="FM101" s="207"/>
      <c r="FN101" s="207"/>
      <c r="FO101" s="207"/>
      <c r="FP101" s="207"/>
      <c r="FQ101" s="207"/>
      <c r="FR101" s="207"/>
      <c r="FS101" s="208"/>
      <c r="FT101" s="156"/>
    </row>
    <row r="102" spans="1:176" ht="15" outlineLevel="1">
      <c r="A102" s="206" t="s">
        <v>1351</v>
      </c>
      <c r="B102" s="200" t="s">
        <v>81</v>
      </c>
      <c r="C102" s="34"/>
      <c r="D102" s="34"/>
      <c r="E102" s="34"/>
      <c r="F102" s="34"/>
      <c r="G102" s="34"/>
      <c r="H102" s="35" t="s">
        <v>488</v>
      </c>
      <c r="I102" s="38"/>
      <c r="J102" s="38"/>
      <c r="K102" s="38"/>
      <c r="L102" s="38"/>
      <c r="M102" s="38"/>
      <c r="N102" s="38"/>
      <c r="O102" s="38"/>
      <c r="P102" s="38"/>
      <c r="Q102" s="38"/>
      <c r="R102" s="177">
        <f t="shared" si="16"/>
        <v>0</v>
      </c>
      <c r="S102" s="202">
        <f t="shared" si="13"/>
        <v>0</v>
      </c>
      <c r="T102" s="202">
        <f t="shared" si="14"/>
        <v>0</v>
      </c>
      <c r="U102" s="18"/>
      <c r="V102" s="206" t="str">
        <f t="shared" si="15"/>
        <v>2-42</v>
      </c>
      <c r="W102" s="215" t="str">
        <f t="shared" si="17"/>
        <v/>
      </c>
      <c r="X102" s="110"/>
      <c r="Y102" s="109"/>
      <c r="Z102" s="207"/>
      <c r="AA102" s="207"/>
      <c r="AB102" s="207"/>
      <c r="AC102" s="207"/>
      <c r="AD102" s="207"/>
      <c r="AE102" s="207"/>
      <c r="AF102" s="207"/>
      <c r="AG102" s="207"/>
      <c r="AH102" s="207"/>
      <c r="AI102" s="207"/>
      <c r="AJ102" s="207"/>
      <c r="AK102" s="207"/>
      <c r="AL102" s="207"/>
      <c r="AM102" s="207"/>
      <c r="AN102" s="207"/>
      <c r="AO102" s="207"/>
      <c r="AP102" s="207"/>
      <c r="AQ102" s="207"/>
      <c r="AR102" s="207"/>
      <c r="AS102" s="207"/>
      <c r="AT102" s="207"/>
      <c r="AU102" s="207"/>
      <c r="AV102" s="207"/>
      <c r="AW102" s="207"/>
      <c r="AX102" s="207"/>
      <c r="AY102" s="207"/>
      <c r="AZ102" s="207"/>
      <c r="BA102" s="207"/>
      <c r="BB102" s="207"/>
      <c r="BC102" s="207"/>
      <c r="BD102" s="207"/>
      <c r="BE102" s="207"/>
      <c r="BF102" s="207"/>
      <c r="BG102" s="207"/>
      <c r="BH102" s="207"/>
      <c r="BI102" s="207"/>
      <c r="BJ102" s="207"/>
      <c r="BK102" s="207"/>
      <c r="BL102" s="207"/>
      <c r="BM102" s="207"/>
      <c r="BN102" s="207"/>
      <c r="BO102" s="207"/>
      <c r="BP102" s="207"/>
      <c r="BQ102" s="207"/>
      <c r="BR102" s="207"/>
      <c r="BS102" s="207"/>
      <c r="BT102" s="207"/>
      <c r="BU102" s="207"/>
      <c r="BV102" s="207"/>
      <c r="BW102" s="207"/>
      <c r="BX102" s="207"/>
      <c r="BY102" s="207"/>
      <c r="BZ102" s="207"/>
      <c r="CA102" s="207"/>
      <c r="CB102" s="207"/>
      <c r="CC102" s="207"/>
      <c r="CD102" s="207"/>
      <c r="CE102" s="207"/>
      <c r="CF102" s="207"/>
      <c r="CG102" s="207"/>
      <c r="CH102" s="207"/>
      <c r="CI102" s="207"/>
      <c r="CJ102" s="207"/>
      <c r="CK102" s="207"/>
      <c r="CL102" s="207"/>
      <c r="CM102" s="207"/>
      <c r="CN102" s="207"/>
      <c r="CO102" s="207"/>
      <c r="CP102" s="207"/>
      <c r="CQ102" s="207"/>
      <c r="CR102" s="207"/>
      <c r="CS102" s="207"/>
      <c r="CT102" s="207"/>
      <c r="CU102" s="207"/>
      <c r="CV102" s="207"/>
      <c r="CW102" s="207"/>
      <c r="CX102" s="207"/>
      <c r="CY102" s="207"/>
      <c r="CZ102" s="207"/>
      <c r="DA102" s="207"/>
      <c r="DB102" s="207"/>
      <c r="DC102" s="207"/>
      <c r="DD102" s="207"/>
      <c r="DE102" s="207"/>
      <c r="DF102" s="207"/>
      <c r="DG102" s="207"/>
      <c r="DH102" s="207"/>
      <c r="DI102" s="207"/>
      <c r="DJ102" s="207"/>
      <c r="DK102" s="207"/>
      <c r="DL102" s="207"/>
      <c r="DM102" s="207"/>
      <c r="DN102" s="207"/>
      <c r="DO102" s="207"/>
      <c r="DP102" s="207"/>
      <c r="DQ102" s="207"/>
      <c r="DR102" s="207"/>
      <c r="DS102" s="207"/>
      <c r="DT102" s="207"/>
      <c r="DU102" s="207"/>
      <c r="DV102" s="207"/>
      <c r="DW102" s="207"/>
      <c r="DX102" s="207"/>
      <c r="DY102" s="207"/>
      <c r="DZ102" s="207"/>
      <c r="EA102" s="207"/>
      <c r="EB102" s="207"/>
      <c r="EC102" s="207"/>
      <c r="ED102" s="207"/>
      <c r="EE102" s="207"/>
      <c r="EF102" s="207"/>
      <c r="EG102" s="207"/>
      <c r="EH102" s="207"/>
      <c r="EI102" s="207"/>
      <c r="EJ102" s="207"/>
      <c r="EK102" s="207"/>
      <c r="EL102" s="207"/>
      <c r="EM102" s="207"/>
      <c r="EN102" s="207"/>
      <c r="EO102" s="207"/>
      <c r="EP102" s="207"/>
      <c r="EQ102" s="207"/>
      <c r="ER102" s="207"/>
      <c r="ES102" s="207"/>
      <c r="ET102" s="207"/>
      <c r="EU102" s="207"/>
      <c r="EV102" s="207"/>
      <c r="EW102" s="207"/>
      <c r="EX102" s="207"/>
      <c r="EY102" s="207"/>
      <c r="EZ102" s="207"/>
      <c r="FA102" s="207"/>
      <c r="FB102" s="207"/>
      <c r="FC102" s="207"/>
      <c r="FD102" s="207"/>
      <c r="FE102" s="207"/>
      <c r="FF102" s="207"/>
      <c r="FG102" s="207"/>
      <c r="FH102" s="207"/>
      <c r="FI102" s="207"/>
      <c r="FJ102" s="207"/>
      <c r="FK102" s="207"/>
      <c r="FL102" s="207"/>
      <c r="FM102" s="207"/>
      <c r="FN102" s="207"/>
      <c r="FO102" s="207"/>
      <c r="FP102" s="207"/>
      <c r="FQ102" s="207"/>
      <c r="FR102" s="207"/>
      <c r="FS102" s="208"/>
      <c r="FT102" s="156"/>
    </row>
    <row r="103" spans="1:176" ht="15" outlineLevel="1">
      <c r="A103" s="206" t="s">
        <v>1352</v>
      </c>
      <c r="B103" s="200" t="s">
        <v>81</v>
      </c>
      <c r="C103" s="34"/>
      <c r="D103" s="34"/>
      <c r="E103" s="34"/>
      <c r="F103" s="34"/>
      <c r="G103" s="34"/>
      <c r="H103" s="35" t="s">
        <v>488</v>
      </c>
      <c r="I103" s="38"/>
      <c r="J103" s="38"/>
      <c r="K103" s="38"/>
      <c r="L103" s="38"/>
      <c r="M103" s="38"/>
      <c r="N103" s="38"/>
      <c r="O103" s="38"/>
      <c r="P103" s="38"/>
      <c r="Q103" s="38"/>
      <c r="R103" s="177">
        <f t="shared" si="16"/>
        <v>0</v>
      </c>
      <c r="S103" s="202">
        <f t="shared" si="13"/>
        <v>0</v>
      </c>
      <c r="T103" s="202">
        <f t="shared" si="14"/>
        <v>0</v>
      </c>
      <c r="U103" s="18"/>
      <c r="V103" s="206" t="str">
        <f t="shared" si="15"/>
        <v>2-43</v>
      </c>
      <c r="W103" s="215" t="str">
        <f t="shared" si="17"/>
        <v/>
      </c>
      <c r="X103" s="110"/>
      <c r="Y103" s="109"/>
      <c r="Z103" s="207"/>
      <c r="AA103" s="207"/>
      <c r="AB103" s="207"/>
      <c r="AC103" s="207"/>
      <c r="AD103" s="207"/>
      <c r="AE103" s="207"/>
      <c r="AF103" s="207"/>
      <c r="AG103" s="207"/>
      <c r="AH103" s="207"/>
      <c r="AI103" s="207"/>
      <c r="AJ103" s="207"/>
      <c r="AK103" s="207"/>
      <c r="AL103" s="207"/>
      <c r="AM103" s="207"/>
      <c r="AN103" s="207"/>
      <c r="AO103" s="207"/>
      <c r="AP103" s="207"/>
      <c r="AQ103" s="207"/>
      <c r="AR103" s="207"/>
      <c r="AS103" s="207"/>
      <c r="AT103" s="207"/>
      <c r="AU103" s="207"/>
      <c r="AV103" s="207"/>
      <c r="AW103" s="207"/>
      <c r="AX103" s="207"/>
      <c r="AY103" s="207"/>
      <c r="AZ103" s="207"/>
      <c r="BA103" s="207"/>
      <c r="BB103" s="207"/>
      <c r="BC103" s="207"/>
      <c r="BD103" s="207"/>
      <c r="BE103" s="207"/>
      <c r="BF103" s="207"/>
      <c r="BG103" s="207"/>
      <c r="BH103" s="207"/>
      <c r="BI103" s="207"/>
      <c r="BJ103" s="207"/>
      <c r="BK103" s="207"/>
      <c r="BL103" s="207"/>
      <c r="BM103" s="207"/>
      <c r="BN103" s="207"/>
      <c r="BO103" s="207"/>
      <c r="BP103" s="207"/>
      <c r="BQ103" s="207"/>
      <c r="BR103" s="207"/>
      <c r="BS103" s="207"/>
      <c r="BT103" s="207"/>
      <c r="BU103" s="207"/>
      <c r="BV103" s="207"/>
      <c r="BW103" s="207"/>
      <c r="BX103" s="207"/>
      <c r="BY103" s="207"/>
      <c r="BZ103" s="207"/>
      <c r="CA103" s="207"/>
      <c r="CB103" s="207"/>
      <c r="CC103" s="207"/>
      <c r="CD103" s="207"/>
      <c r="CE103" s="207"/>
      <c r="CF103" s="207"/>
      <c r="CG103" s="207"/>
      <c r="CH103" s="207"/>
      <c r="CI103" s="207"/>
      <c r="CJ103" s="207"/>
      <c r="CK103" s="207"/>
      <c r="CL103" s="207"/>
      <c r="CM103" s="207"/>
      <c r="CN103" s="207"/>
      <c r="CO103" s="207"/>
      <c r="CP103" s="207"/>
      <c r="CQ103" s="207"/>
      <c r="CR103" s="207"/>
      <c r="CS103" s="207"/>
      <c r="CT103" s="207"/>
      <c r="CU103" s="207"/>
      <c r="CV103" s="207"/>
      <c r="CW103" s="207"/>
      <c r="CX103" s="207"/>
      <c r="CY103" s="207"/>
      <c r="CZ103" s="207"/>
      <c r="DA103" s="207"/>
      <c r="DB103" s="207"/>
      <c r="DC103" s="207"/>
      <c r="DD103" s="207"/>
      <c r="DE103" s="207"/>
      <c r="DF103" s="207"/>
      <c r="DG103" s="207"/>
      <c r="DH103" s="207"/>
      <c r="DI103" s="207"/>
      <c r="DJ103" s="207"/>
      <c r="DK103" s="207"/>
      <c r="DL103" s="207"/>
      <c r="DM103" s="207"/>
      <c r="DN103" s="207"/>
      <c r="DO103" s="207"/>
      <c r="DP103" s="207"/>
      <c r="DQ103" s="207"/>
      <c r="DR103" s="207"/>
      <c r="DS103" s="207"/>
      <c r="DT103" s="207"/>
      <c r="DU103" s="207"/>
      <c r="DV103" s="207"/>
      <c r="DW103" s="207"/>
      <c r="DX103" s="207"/>
      <c r="DY103" s="207"/>
      <c r="DZ103" s="207"/>
      <c r="EA103" s="207"/>
      <c r="EB103" s="207"/>
      <c r="EC103" s="207"/>
      <c r="ED103" s="207"/>
      <c r="EE103" s="207"/>
      <c r="EF103" s="207"/>
      <c r="EG103" s="207"/>
      <c r="EH103" s="207"/>
      <c r="EI103" s="207"/>
      <c r="EJ103" s="207"/>
      <c r="EK103" s="207"/>
      <c r="EL103" s="207"/>
      <c r="EM103" s="207"/>
      <c r="EN103" s="207"/>
      <c r="EO103" s="207"/>
      <c r="EP103" s="207"/>
      <c r="EQ103" s="207"/>
      <c r="ER103" s="207"/>
      <c r="ES103" s="207"/>
      <c r="ET103" s="207"/>
      <c r="EU103" s="207"/>
      <c r="EV103" s="207"/>
      <c r="EW103" s="207"/>
      <c r="EX103" s="207"/>
      <c r="EY103" s="207"/>
      <c r="EZ103" s="207"/>
      <c r="FA103" s="207"/>
      <c r="FB103" s="207"/>
      <c r="FC103" s="207"/>
      <c r="FD103" s="207"/>
      <c r="FE103" s="207"/>
      <c r="FF103" s="207"/>
      <c r="FG103" s="207"/>
      <c r="FH103" s="207"/>
      <c r="FI103" s="207"/>
      <c r="FJ103" s="207"/>
      <c r="FK103" s="207"/>
      <c r="FL103" s="207"/>
      <c r="FM103" s="207"/>
      <c r="FN103" s="207"/>
      <c r="FO103" s="207"/>
      <c r="FP103" s="207"/>
      <c r="FQ103" s="207"/>
      <c r="FR103" s="207"/>
      <c r="FS103" s="208"/>
      <c r="FT103" s="156"/>
    </row>
    <row r="104" spans="1:176" ht="15" outlineLevel="1">
      <c r="A104" s="206" t="s">
        <v>1353</v>
      </c>
      <c r="B104" s="200" t="s">
        <v>81</v>
      </c>
      <c r="C104" s="34"/>
      <c r="D104" s="34"/>
      <c r="E104" s="34"/>
      <c r="F104" s="34"/>
      <c r="G104" s="34"/>
      <c r="H104" s="35" t="s">
        <v>488</v>
      </c>
      <c r="I104" s="38"/>
      <c r="J104" s="38"/>
      <c r="K104" s="38"/>
      <c r="L104" s="38"/>
      <c r="M104" s="38"/>
      <c r="N104" s="38"/>
      <c r="O104" s="38"/>
      <c r="P104" s="38"/>
      <c r="Q104" s="38"/>
      <c r="R104" s="177">
        <f t="shared" si="16"/>
        <v>0</v>
      </c>
      <c r="S104" s="202">
        <f t="shared" si="13"/>
        <v>0</v>
      </c>
      <c r="T104" s="202">
        <f t="shared" si="14"/>
        <v>0</v>
      </c>
      <c r="U104" s="18"/>
      <c r="V104" s="206" t="str">
        <f t="shared" si="15"/>
        <v>2-44</v>
      </c>
      <c r="W104" s="215" t="str">
        <f t="shared" si="17"/>
        <v/>
      </c>
      <c r="X104" s="110"/>
      <c r="Y104" s="109"/>
      <c r="Z104" s="207"/>
      <c r="AA104" s="207"/>
      <c r="AB104" s="207"/>
      <c r="AC104" s="207"/>
      <c r="AD104" s="207"/>
      <c r="AE104" s="207"/>
      <c r="AF104" s="207"/>
      <c r="AG104" s="207"/>
      <c r="AH104" s="207"/>
      <c r="AI104" s="207"/>
      <c r="AJ104" s="207"/>
      <c r="AK104" s="207"/>
      <c r="AL104" s="207"/>
      <c r="AM104" s="207"/>
      <c r="AN104" s="207"/>
      <c r="AO104" s="207"/>
      <c r="AP104" s="207"/>
      <c r="AQ104" s="207"/>
      <c r="AR104" s="207"/>
      <c r="AS104" s="207"/>
      <c r="AT104" s="207"/>
      <c r="AU104" s="207"/>
      <c r="AV104" s="207"/>
      <c r="AW104" s="207"/>
      <c r="AX104" s="207"/>
      <c r="AY104" s="207"/>
      <c r="AZ104" s="207"/>
      <c r="BA104" s="207"/>
      <c r="BB104" s="207"/>
      <c r="BC104" s="207"/>
      <c r="BD104" s="207"/>
      <c r="BE104" s="207"/>
      <c r="BF104" s="207"/>
      <c r="BG104" s="207"/>
      <c r="BH104" s="207"/>
      <c r="BI104" s="207"/>
      <c r="BJ104" s="207"/>
      <c r="BK104" s="207"/>
      <c r="BL104" s="207"/>
      <c r="BM104" s="207"/>
      <c r="BN104" s="207"/>
      <c r="BO104" s="207"/>
      <c r="BP104" s="207"/>
      <c r="BQ104" s="207"/>
      <c r="BR104" s="207"/>
      <c r="BS104" s="207"/>
      <c r="BT104" s="207"/>
      <c r="BU104" s="207"/>
      <c r="BV104" s="207"/>
      <c r="BW104" s="207"/>
      <c r="BX104" s="207"/>
      <c r="BY104" s="207"/>
      <c r="BZ104" s="207"/>
      <c r="CA104" s="207"/>
      <c r="CB104" s="207"/>
      <c r="CC104" s="207"/>
      <c r="CD104" s="207"/>
      <c r="CE104" s="207"/>
      <c r="CF104" s="207"/>
      <c r="CG104" s="207"/>
      <c r="CH104" s="207"/>
      <c r="CI104" s="207"/>
      <c r="CJ104" s="207"/>
      <c r="CK104" s="207"/>
      <c r="CL104" s="207"/>
      <c r="CM104" s="207"/>
      <c r="CN104" s="207"/>
      <c r="CO104" s="207"/>
      <c r="CP104" s="207"/>
      <c r="CQ104" s="207"/>
      <c r="CR104" s="207"/>
      <c r="CS104" s="207"/>
      <c r="CT104" s="207"/>
      <c r="CU104" s="207"/>
      <c r="CV104" s="207"/>
      <c r="CW104" s="207"/>
      <c r="CX104" s="207"/>
      <c r="CY104" s="207"/>
      <c r="CZ104" s="207"/>
      <c r="DA104" s="207"/>
      <c r="DB104" s="207"/>
      <c r="DC104" s="207"/>
      <c r="DD104" s="207"/>
      <c r="DE104" s="207"/>
      <c r="DF104" s="207"/>
      <c r="DG104" s="207"/>
      <c r="DH104" s="207"/>
      <c r="DI104" s="207"/>
      <c r="DJ104" s="207"/>
      <c r="DK104" s="207"/>
      <c r="DL104" s="207"/>
      <c r="DM104" s="207"/>
      <c r="DN104" s="207"/>
      <c r="DO104" s="207"/>
      <c r="DP104" s="207"/>
      <c r="DQ104" s="207"/>
      <c r="DR104" s="207"/>
      <c r="DS104" s="207"/>
      <c r="DT104" s="207"/>
      <c r="DU104" s="207"/>
      <c r="DV104" s="207"/>
      <c r="DW104" s="207"/>
      <c r="DX104" s="207"/>
      <c r="DY104" s="207"/>
      <c r="DZ104" s="207"/>
      <c r="EA104" s="207"/>
      <c r="EB104" s="207"/>
      <c r="EC104" s="207"/>
      <c r="ED104" s="207"/>
      <c r="EE104" s="207"/>
      <c r="EF104" s="207"/>
      <c r="EG104" s="207"/>
      <c r="EH104" s="207"/>
      <c r="EI104" s="207"/>
      <c r="EJ104" s="207"/>
      <c r="EK104" s="207"/>
      <c r="EL104" s="207"/>
      <c r="EM104" s="207"/>
      <c r="EN104" s="207"/>
      <c r="EO104" s="207"/>
      <c r="EP104" s="207"/>
      <c r="EQ104" s="207"/>
      <c r="ER104" s="207"/>
      <c r="ES104" s="207"/>
      <c r="ET104" s="207"/>
      <c r="EU104" s="207"/>
      <c r="EV104" s="207"/>
      <c r="EW104" s="207"/>
      <c r="EX104" s="207"/>
      <c r="EY104" s="207"/>
      <c r="EZ104" s="207"/>
      <c r="FA104" s="207"/>
      <c r="FB104" s="207"/>
      <c r="FC104" s="207"/>
      <c r="FD104" s="207"/>
      <c r="FE104" s="207"/>
      <c r="FF104" s="207"/>
      <c r="FG104" s="207"/>
      <c r="FH104" s="207"/>
      <c r="FI104" s="207"/>
      <c r="FJ104" s="207"/>
      <c r="FK104" s="207"/>
      <c r="FL104" s="207"/>
      <c r="FM104" s="207"/>
      <c r="FN104" s="207"/>
      <c r="FO104" s="207"/>
      <c r="FP104" s="207"/>
      <c r="FQ104" s="207"/>
      <c r="FR104" s="207"/>
      <c r="FS104" s="208"/>
      <c r="FT104" s="156"/>
    </row>
    <row r="105" spans="1:176" ht="15" outlineLevel="1">
      <c r="A105" s="206" t="s">
        <v>1354</v>
      </c>
      <c r="B105" s="200" t="s">
        <v>81</v>
      </c>
      <c r="C105" s="34"/>
      <c r="D105" s="34"/>
      <c r="E105" s="34"/>
      <c r="F105" s="34"/>
      <c r="G105" s="34"/>
      <c r="H105" s="35" t="s">
        <v>488</v>
      </c>
      <c r="I105" s="38"/>
      <c r="J105" s="38"/>
      <c r="K105" s="38"/>
      <c r="L105" s="38"/>
      <c r="M105" s="38"/>
      <c r="N105" s="38"/>
      <c r="O105" s="38"/>
      <c r="P105" s="38"/>
      <c r="Q105" s="38"/>
      <c r="R105" s="177">
        <f t="shared" si="16"/>
        <v>0</v>
      </c>
      <c r="S105" s="202">
        <f t="shared" si="13"/>
        <v>0</v>
      </c>
      <c r="T105" s="202">
        <f t="shared" si="14"/>
        <v>0</v>
      </c>
      <c r="U105" s="18"/>
      <c r="V105" s="206" t="str">
        <f t="shared" si="15"/>
        <v>2-45</v>
      </c>
      <c r="W105" s="215" t="str">
        <f t="shared" si="17"/>
        <v/>
      </c>
      <c r="X105" s="110"/>
      <c r="Y105" s="109"/>
      <c r="Z105" s="207"/>
      <c r="AA105" s="207"/>
      <c r="AB105" s="207"/>
      <c r="AC105" s="207"/>
      <c r="AD105" s="207"/>
      <c r="AE105" s="207"/>
      <c r="AF105" s="207"/>
      <c r="AG105" s="207"/>
      <c r="AH105" s="207"/>
      <c r="AI105" s="207"/>
      <c r="AJ105" s="207"/>
      <c r="AK105" s="207"/>
      <c r="AL105" s="207"/>
      <c r="AM105" s="207"/>
      <c r="AN105" s="207"/>
      <c r="AO105" s="207"/>
      <c r="AP105" s="207"/>
      <c r="AQ105" s="207"/>
      <c r="AR105" s="207"/>
      <c r="AS105" s="207"/>
      <c r="AT105" s="207"/>
      <c r="AU105" s="207"/>
      <c r="AV105" s="207"/>
      <c r="AW105" s="207"/>
      <c r="AX105" s="207"/>
      <c r="AY105" s="207"/>
      <c r="AZ105" s="207"/>
      <c r="BA105" s="207"/>
      <c r="BB105" s="207"/>
      <c r="BC105" s="207"/>
      <c r="BD105" s="207"/>
      <c r="BE105" s="207"/>
      <c r="BF105" s="207"/>
      <c r="BG105" s="207"/>
      <c r="BH105" s="207"/>
      <c r="BI105" s="207"/>
      <c r="BJ105" s="207"/>
      <c r="BK105" s="207"/>
      <c r="BL105" s="207"/>
      <c r="BM105" s="207"/>
      <c r="BN105" s="207"/>
      <c r="BO105" s="207"/>
      <c r="BP105" s="207"/>
      <c r="BQ105" s="207"/>
      <c r="BR105" s="207"/>
      <c r="BS105" s="207"/>
      <c r="BT105" s="207"/>
      <c r="BU105" s="207"/>
      <c r="BV105" s="207"/>
      <c r="BW105" s="207"/>
      <c r="BX105" s="207"/>
      <c r="BY105" s="207"/>
      <c r="BZ105" s="207"/>
      <c r="CA105" s="207"/>
      <c r="CB105" s="207"/>
      <c r="CC105" s="207"/>
      <c r="CD105" s="207"/>
      <c r="CE105" s="207"/>
      <c r="CF105" s="207"/>
      <c r="CG105" s="207"/>
      <c r="CH105" s="207"/>
      <c r="CI105" s="207"/>
      <c r="CJ105" s="207"/>
      <c r="CK105" s="207"/>
      <c r="CL105" s="207"/>
      <c r="CM105" s="207"/>
      <c r="CN105" s="207"/>
      <c r="CO105" s="207"/>
      <c r="CP105" s="207"/>
      <c r="CQ105" s="207"/>
      <c r="CR105" s="207"/>
      <c r="CS105" s="207"/>
      <c r="CT105" s="207"/>
      <c r="CU105" s="207"/>
      <c r="CV105" s="207"/>
      <c r="CW105" s="207"/>
      <c r="CX105" s="207"/>
      <c r="CY105" s="207"/>
      <c r="CZ105" s="207"/>
      <c r="DA105" s="207"/>
      <c r="DB105" s="207"/>
      <c r="DC105" s="207"/>
      <c r="DD105" s="207"/>
      <c r="DE105" s="207"/>
      <c r="DF105" s="207"/>
      <c r="DG105" s="207"/>
      <c r="DH105" s="207"/>
      <c r="DI105" s="207"/>
      <c r="DJ105" s="207"/>
      <c r="DK105" s="207"/>
      <c r="DL105" s="207"/>
      <c r="DM105" s="207"/>
      <c r="DN105" s="207"/>
      <c r="DO105" s="207"/>
      <c r="DP105" s="207"/>
      <c r="DQ105" s="207"/>
      <c r="DR105" s="207"/>
      <c r="DS105" s="207"/>
      <c r="DT105" s="207"/>
      <c r="DU105" s="207"/>
      <c r="DV105" s="207"/>
      <c r="DW105" s="207"/>
      <c r="DX105" s="207"/>
      <c r="DY105" s="207"/>
      <c r="DZ105" s="207"/>
      <c r="EA105" s="207"/>
      <c r="EB105" s="207"/>
      <c r="EC105" s="207"/>
      <c r="ED105" s="207"/>
      <c r="EE105" s="207"/>
      <c r="EF105" s="207"/>
      <c r="EG105" s="207"/>
      <c r="EH105" s="207"/>
      <c r="EI105" s="207"/>
      <c r="EJ105" s="207"/>
      <c r="EK105" s="207"/>
      <c r="EL105" s="207"/>
      <c r="EM105" s="207"/>
      <c r="EN105" s="207"/>
      <c r="EO105" s="207"/>
      <c r="EP105" s="207"/>
      <c r="EQ105" s="207"/>
      <c r="ER105" s="207"/>
      <c r="ES105" s="207"/>
      <c r="ET105" s="207"/>
      <c r="EU105" s="207"/>
      <c r="EV105" s="207"/>
      <c r="EW105" s="207"/>
      <c r="EX105" s="207"/>
      <c r="EY105" s="207"/>
      <c r="EZ105" s="207"/>
      <c r="FA105" s="207"/>
      <c r="FB105" s="207"/>
      <c r="FC105" s="207"/>
      <c r="FD105" s="207"/>
      <c r="FE105" s="207"/>
      <c r="FF105" s="207"/>
      <c r="FG105" s="207"/>
      <c r="FH105" s="207"/>
      <c r="FI105" s="207"/>
      <c r="FJ105" s="207"/>
      <c r="FK105" s="207"/>
      <c r="FL105" s="207"/>
      <c r="FM105" s="207"/>
      <c r="FN105" s="207"/>
      <c r="FO105" s="207"/>
      <c r="FP105" s="207"/>
      <c r="FQ105" s="207"/>
      <c r="FR105" s="207"/>
      <c r="FS105" s="208"/>
      <c r="FT105" s="156"/>
    </row>
    <row r="106" spans="1:176" ht="15" outlineLevel="1">
      <c r="A106" s="206" t="s">
        <v>1355</v>
      </c>
      <c r="B106" s="200" t="s">
        <v>81</v>
      </c>
      <c r="C106" s="34"/>
      <c r="D106" s="34"/>
      <c r="E106" s="34"/>
      <c r="F106" s="34"/>
      <c r="G106" s="34"/>
      <c r="H106" s="35" t="s">
        <v>488</v>
      </c>
      <c r="I106" s="38"/>
      <c r="J106" s="38"/>
      <c r="K106" s="38"/>
      <c r="L106" s="38"/>
      <c r="M106" s="38"/>
      <c r="N106" s="38"/>
      <c r="O106" s="38"/>
      <c r="P106" s="38"/>
      <c r="Q106" s="38"/>
      <c r="R106" s="177">
        <f t="shared" si="16"/>
        <v>0</v>
      </c>
      <c r="S106" s="202">
        <f t="shared" si="13"/>
        <v>0</v>
      </c>
      <c r="T106" s="202">
        <f t="shared" si="14"/>
        <v>0</v>
      </c>
      <c r="U106" s="18"/>
      <c r="V106" s="206" t="str">
        <f t="shared" si="15"/>
        <v>2-46</v>
      </c>
      <c r="W106" s="215" t="str">
        <f t="shared" si="17"/>
        <v/>
      </c>
      <c r="X106" s="110"/>
      <c r="Y106" s="109"/>
      <c r="Z106" s="207"/>
      <c r="AA106" s="207"/>
      <c r="AB106" s="207"/>
      <c r="AC106" s="207"/>
      <c r="AD106" s="207"/>
      <c r="AE106" s="207"/>
      <c r="AF106" s="207"/>
      <c r="AG106" s="207"/>
      <c r="AH106" s="207"/>
      <c r="AI106" s="207"/>
      <c r="AJ106" s="207"/>
      <c r="AK106" s="207"/>
      <c r="AL106" s="207"/>
      <c r="AM106" s="207"/>
      <c r="AN106" s="207"/>
      <c r="AO106" s="207"/>
      <c r="AP106" s="207"/>
      <c r="AQ106" s="207"/>
      <c r="AR106" s="207"/>
      <c r="AS106" s="207"/>
      <c r="AT106" s="207"/>
      <c r="AU106" s="207"/>
      <c r="AV106" s="207"/>
      <c r="AW106" s="207"/>
      <c r="AX106" s="207"/>
      <c r="AY106" s="207"/>
      <c r="AZ106" s="207"/>
      <c r="BA106" s="207"/>
      <c r="BB106" s="207"/>
      <c r="BC106" s="207"/>
      <c r="BD106" s="207"/>
      <c r="BE106" s="207"/>
      <c r="BF106" s="207"/>
      <c r="BG106" s="207"/>
      <c r="BH106" s="207"/>
      <c r="BI106" s="207"/>
      <c r="BJ106" s="207"/>
      <c r="BK106" s="207"/>
      <c r="BL106" s="207"/>
      <c r="BM106" s="207"/>
      <c r="BN106" s="207"/>
      <c r="BO106" s="207"/>
      <c r="BP106" s="207"/>
      <c r="BQ106" s="207"/>
      <c r="BR106" s="207"/>
      <c r="BS106" s="207"/>
      <c r="BT106" s="207"/>
      <c r="BU106" s="207"/>
      <c r="BV106" s="207"/>
      <c r="BW106" s="207"/>
      <c r="BX106" s="207"/>
      <c r="BY106" s="207"/>
      <c r="BZ106" s="207"/>
      <c r="CA106" s="207"/>
      <c r="CB106" s="207"/>
      <c r="CC106" s="207"/>
      <c r="CD106" s="207"/>
      <c r="CE106" s="207"/>
      <c r="CF106" s="207"/>
      <c r="CG106" s="207"/>
      <c r="CH106" s="207"/>
      <c r="CI106" s="207"/>
      <c r="CJ106" s="207"/>
      <c r="CK106" s="207"/>
      <c r="CL106" s="207"/>
      <c r="CM106" s="207"/>
      <c r="CN106" s="207"/>
      <c r="CO106" s="207"/>
      <c r="CP106" s="207"/>
      <c r="CQ106" s="207"/>
      <c r="CR106" s="207"/>
      <c r="CS106" s="207"/>
      <c r="CT106" s="207"/>
      <c r="CU106" s="207"/>
      <c r="CV106" s="207"/>
      <c r="CW106" s="207"/>
      <c r="CX106" s="207"/>
      <c r="CY106" s="207"/>
      <c r="CZ106" s="207"/>
      <c r="DA106" s="207"/>
      <c r="DB106" s="207"/>
      <c r="DC106" s="207"/>
      <c r="DD106" s="207"/>
      <c r="DE106" s="207"/>
      <c r="DF106" s="207"/>
      <c r="DG106" s="207"/>
      <c r="DH106" s="207"/>
      <c r="DI106" s="207"/>
      <c r="DJ106" s="207"/>
      <c r="DK106" s="207"/>
      <c r="DL106" s="207"/>
      <c r="DM106" s="207"/>
      <c r="DN106" s="207"/>
      <c r="DO106" s="207"/>
      <c r="DP106" s="207"/>
      <c r="DQ106" s="207"/>
      <c r="DR106" s="207"/>
      <c r="DS106" s="207"/>
      <c r="DT106" s="207"/>
      <c r="DU106" s="207"/>
      <c r="DV106" s="207"/>
      <c r="DW106" s="207"/>
      <c r="DX106" s="207"/>
      <c r="DY106" s="207"/>
      <c r="DZ106" s="207"/>
      <c r="EA106" s="207"/>
      <c r="EB106" s="207"/>
      <c r="EC106" s="207"/>
      <c r="ED106" s="207"/>
      <c r="EE106" s="207"/>
      <c r="EF106" s="207"/>
      <c r="EG106" s="207"/>
      <c r="EH106" s="207"/>
      <c r="EI106" s="207"/>
      <c r="EJ106" s="207"/>
      <c r="EK106" s="207"/>
      <c r="EL106" s="207"/>
      <c r="EM106" s="207"/>
      <c r="EN106" s="207"/>
      <c r="EO106" s="207"/>
      <c r="EP106" s="207"/>
      <c r="EQ106" s="207"/>
      <c r="ER106" s="207"/>
      <c r="ES106" s="207"/>
      <c r="ET106" s="207"/>
      <c r="EU106" s="207"/>
      <c r="EV106" s="207"/>
      <c r="EW106" s="207"/>
      <c r="EX106" s="207"/>
      <c r="EY106" s="207"/>
      <c r="EZ106" s="207"/>
      <c r="FA106" s="207"/>
      <c r="FB106" s="207"/>
      <c r="FC106" s="207"/>
      <c r="FD106" s="207"/>
      <c r="FE106" s="207"/>
      <c r="FF106" s="207"/>
      <c r="FG106" s="207"/>
      <c r="FH106" s="207"/>
      <c r="FI106" s="207"/>
      <c r="FJ106" s="207"/>
      <c r="FK106" s="207"/>
      <c r="FL106" s="207"/>
      <c r="FM106" s="207"/>
      <c r="FN106" s="207"/>
      <c r="FO106" s="207"/>
      <c r="FP106" s="207"/>
      <c r="FQ106" s="207"/>
      <c r="FR106" s="207"/>
      <c r="FS106" s="208"/>
      <c r="FT106" s="156"/>
    </row>
    <row r="107" spans="1:176" ht="15" outlineLevel="1">
      <c r="A107" s="206" t="s">
        <v>1356</v>
      </c>
      <c r="B107" s="200" t="s">
        <v>81</v>
      </c>
      <c r="C107" s="34"/>
      <c r="D107" s="34"/>
      <c r="E107" s="34"/>
      <c r="F107" s="34"/>
      <c r="G107" s="34"/>
      <c r="H107" s="35" t="s">
        <v>488</v>
      </c>
      <c r="I107" s="38"/>
      <c r="J107" s="38"/>
      <c r="K107" s="38"/>
      <c r="L107" s="38"/>
      <c r="M107" s="38"/>
      <c r="N107" s="38"/>
      <c r="O107" s="38"/>
      <c r="P107" s="38"/>
      <c r="Q107" s="38"/>
      <c r="R107" s="177">
        <f t="shared" si="16"/>
        <v>0</v>
      </c>
      <c r="S107" s="202">
        <f t="shared" si="13"/>
        <v>0</v>
      </c>
      <c r="T107" s="202">
        <f t="shared" si="14"/>
        <v>0</v>
      </c>
      <c r="U107" s="18"/>
      <c r="V107" s="206" t="str">
        <f t="shared" si="15"/>
        <v>2-47</v>
      </c>
      <c r="W107" s="215" t="str">
        <f t="shared" si="17"/>
        <v/>
      </c>
      <c r="X107" s="110"/>
      <c r="Y107" s="109"/>
      <c r="Z107" s="207"/>
      <c r="AA107" s="207"/>
      <c r="AB107" s="207"/>
      <c r="AC107" s="207"/>
      <c r="AD107" s="207"/>
      <c r="AE107" s="207"/>
      <c r="AF107" s="207"/>
      <c r="AG107" s="207"/>
      <c r="AH107" s="207"/>
      <c r="AI107" s="207"/>
      <c r="AJ107" s="207"/>
      <c r="AK107" s="207"/>
      <c r="AL107" s="207"/>
      <c r="AM107" s="207"/>
      <c r="AN107" s="207"/>
      <c r="AO107" s="207"/>
      <c r="AP107" s="207"/>
      <c r="AQ107" s="207"/>
      <c r="AR107" s="207"/>
      <c r="AS107" s="207"/>
      <c r="AT107" s="207"/>
      <c r="AU107" s="207"/>
      <c r="AV107" s="207"/>
      <c r="AW107" s="207"/>
      <c r="AX107" s="207"/>
      <c r="AY107" s="207"/>
      <c r="AZ107" s="207"/>
      <c r="BA107" s="207"/>
      <c r="BB107" s="207"/>
      <c r="BC107" s="207"/>
      <c r="BD107" s="207"/>
      <c r="BE107" s="207"/>
      <c r="BF107" s="207"/>
      <c r="BG107" s="207"/>
      <c r="BH107" s="207"/>
      <c r="BI107" s="207"/>
      <c r="BJ107" s="207"/>
      <c r="BK107" s="207"/>
      <c r="BL107" s="207"/>
      <c r="BM107" s="207"/>
      <c r="BN107" s="207"/>
      <c r="BO107" s="207"/>
      <c r="BP107" s="207"/>
      <c r="BQ107" s="207"/>
      <c r="BR107" s="207"/>
      <c r="BS107" s="207"/>
      <c r="BT107" s="207"/>
      <c r="BU107" s="207"/>
      <c r="BV107" s="207"/>
      <c r="BW107" s="207"/>
      <c r="BX107" s="207"/>
      <c r="BY107" s="207"/>
      <c r="BZ107" s="207"/>
      <c r="CA107" s="207"/>
      <c r="CB107" s="207"/>
      <c r="CC107" s="207"/>
      <c r="CD107" s="207"/>
      <c r="CE107" s="207"/>
      <c r="CF107" s="207"/>
      <c r="CG107" s="207"/>
      <c r="CH107" s="207"/>
      <c r="CI107" s="207"/>
      <c r="CJ107" s="207"/>
      <c r="CK107" s="207"/>
      <c r="CL107" s="207"/>
      <c r="CM107" s="207"/>
      <c r="CN107" s="207"/>
      <c r="CO107" s="207"/>
      <c r="CP107" s="207"/>
      <c r="CQ107" s="207"/>
      <c r="CR107" s="207"/>
      <c r="CS107" s="207"/>
      <c r="CT107" s="207"/>
      <c r="CU107" s="207"/>
      <c r="CV107" s="207"/>
      <c r="CW107" s="207"/>
      <c r="CX107" s="207"/>
      <c r="CY107" s="207"/>
      <c r="CZ107" s="207"/>
      <c r="DA107" s="207"/>
      <c r="DB107" s="207"/>
      <c r="DC107" s="207"/>
      <c r="DD107" s="207"/>
      <c r="DE107" s="207"/>
      <c r="DF107" s="207"/>
      <c r="DG107" s="207"/>
      <c r="DH107" s="207"/>
      <c r="DI107" s="207"/>
      <c r="DJ107" s="207"/>
      <c r="DK107" s="207"/>
      <c r="DL107" s="207"/>
      <c r="DM107" s="207"/>
      <c r="DN107" s="207"/>
      <c r="DO107" s="207"/>
      <c r="DP107" s="207"/>
      <c r="DQ107" s="207"/>
      <c r="DR107" s="207"/>
      <c r="DS107" s="207"/>
      <c r="DT107" s="207"/>
      <c r="DU107" s="207"/>
      <c r="DV107" s="207"/>
      <c r="DW107" s="207"/>
      <c r="DX107" s="207"/>
      <c r="DY107" s="207"/>
      <c r="DZ107" s="207"/>
      <c r="EA107" s="207"/>
      <c r="EB107" s="207"/>
      <c r="EC107" s="207"/>
      <c r="ED107" s="207"/>
      <c r="EE107" s="207"/>
      <c r="EF107" s="207"/>
      <c r="EG107" s="207"/>
      <c r="EH107" s="207"/>
      <c r="EI107" s="207"/>
      <c r="EJ107" s="207"/>
      <c r="EK107" s="207"/>
      <c r="EL107" s="207"/>
      <c r="EM107" s="207"/>
      <c r="EN107" s="207"/>
      <c r="EO107" s="207"/>
      <c r="EP107" s="207"/>
      <c r="EQ107" s="207"/>
      <c r="ER107" s="207"/>
      <c r="ES107" s="207"/>
      <c r="ET107" s="207"/>
      <c r="EU107" s="207"/>
      <c r="EV107" s="207"/>
      <c r="EW107" s="207"/>
      <c r="EX107" s="207"/>
      <c r="EY107" s="207"/>
      <c r="EZ107" s="207"/>
      <c r="FA107" s="207"/>
      <c r="FB107" s="207"/>
      <c r="FC107" s="207"/>
      <c r="FD107" s="207"/>
      <c r="FE107" s="207"/>
      <c r="FF107" s="207"/>
      <c r="FG107" s="207"/>
      <c r="FH107" s="207"/>
      <c r="FI107" s="207"/>
      <c r="FJ107" s="207"/>
      <c r="FK107" s="207"/>
      <c r="FL107" s="207"/>
      <c r="FM107" s="207"/>
      <c r="FN107" s="207"/>
      <c r="FO107" s="207"/>
      <c r="FP107" s="207"/>
      <c r="FQ107" s="207"/>
      <c r="FR107" s="207"/>
      <c r="FS107" s="208"/>
      <c r="FT107" s="156"/>
    </row>
    <row r="108" spans="1:176" ht="15" outlineLevel="1">
      <c r="A108" s="206" t="s">
        <v>1357</v>
      </c>
      <c r="B108" s="200" t="s">
        <v>81</v>
      </c>
      <c r="C108" s="34"/>
      <c r="D108" s="34"/>
      <c r="E108" s="34"/>
      <c r="F108" s="34"/>
      <c r="G108" s="34"/>
      <c r="H108" s="35" t="s">
        <v>488</v>
      </c>
      <c r="I108" s="38"/>
      <c r="J108" s="38"/>
      <c r="K108" s="38"/>
      <c r="L108" s="38"/>
      <c r="M108" s="38"/>
      <c r="N108" s="38"/>
      <c r="O108" s="38"/>
      <c r="P108" s="38"/>
      <c r="Q108" s="38"/>
      <c r="R108" s="177">
        <f t="shared" si="16"/>
        <v>0</v>
      </c>
      <c r="S108" s="202">
        <f t="shared" si="13"/>
        <v>0</v>
      </c>
      <c r="T108" s="202">
        <f t="shared" si="14"/>
        <v>0</v>
      </c>
      <c r="U108" s="18"/>
      <c r="V108" s="206" t="str">
        <f t="shared" si="15"/>
        <v>2-48</v>
      </c>
      <c r="W108" s="215" t="str">
        <f t="shared" si="17"/>
        <v/>
      </c>
      <c r="X108" s="110"/>
      <c r="Y108" s="109"/>
      <c r="Z108" s="207"/>
      <c r="AA108" s="207"/>
      <c r="AB108" s="207"/>
      <c r="AC108" s="207"/>
      <c r="AD108" s="207"/>
      <c r="AE108" s="207"/>
      <c r="AF108" s="207"/>
      <c r="AG108" s="207"/>
      <c r="AH108" s="207"/>
      <c r="AI108" s="207"/>
      <c r="AJ108" s="207"/>
      <c r="AK108" s="207"/>
      <c r="AL108" s="207"/>
      <c r="AM108" s="207"/>
      <c r="AN108" s="207"/>
      <c r="AO108" s="207"/>
      <c r="AP108" s="207"/>
      <c r="AQ108" s="207"/>
      <c r="AR108" s="207"/>
      <c r="AS108" s="207"/>
      <c r="AT108" s="207"/>
      <c r="AU108" s="207"/>
      <c r="AV108" s="207"/>
      <c r="AW108" s="207"/>
      <c r="AX108" s="207"/>
      <c r="AY108" s="207"/>
      <c r="AZ108" s="207"/>
      <c r="BA108" s="207"/>
      <c r="BB108" s="207"/>
      <c r="BC108" s="207"/>
      <c r="BD108" s="207"/>
      <c r="BE108" s="207"/>
      <c r="BF108" s="207"/>
      <c r="BG108" s="207"/>
      <c r="BH108" s="207"/>
      <c r="BI108" s="207"/>
      <c r="BJ108" s="207"/>
      <c r="BK108" s="207"/>
      <c r="BL108" s="207"/>
      <c r="BM108" s="207"/>
      <c r="BN108" s="207"/>
      <c r="BO108" s="207"/>
      <c r="BP108" s="207"/>
      <c r="BQ108" s="207"/>
      <c r="BR108" s="207"/>
      <c r="BS108" s="207"/>
      <c r="BT108" s="207"/>
      <c r="BU108" s="207"/>
      <c r="BV108" s="207"/>
      <c r="BW108" s="207"/>
      <c r="BX108" s="207"/>
      <c r="BY108" s="207"/>
      <c r="BZ108" s="207"/>
      <c r="CA108" s="207"/>
      <c r="CB108" s="207"/>
      <c r="CC108" s="207"/>
      <c r="CD108" s="207"/>
      <c r="CE108" s="207"/>
      <c r="CF108" s="207"/>
      <c r="CG108" s="207"/>
      <c r="CH108" s="207"/>
      <c r="CI108" s="207"/>
      <c r="CJ108" s="207"/>
      <c r="CK108" s="207"/>
      <c r="CL108" s="207"/>
      <c r="CM108" s="207"/>
      <c r="CN108" s="207"/>
      <c r="CO108" s="207"/>
      <c r="CP108" s="207"/>
      <c r="CQ108" s="207"/>
      <c r="CR108" s="207"/>
      <c r="CS108" s="207"/>
      <c r="CT108" s="207"/>
      <c r="CU108" s="207"/>
      <c r="CV108" s="207"/>
      <c r="CW108" s="207"/>
      <c r="CX108" s="207"/>
      <c r="CY108" s="207"/>
      <c r="CZ108" s="207"/>
      <c r="DA108" s="207"/>
      <c r="DB108" s="207"/>
      <c r="DC108" s="207"/>
      <c r="DD108" s="207"/>
      <c r="DE108" s="207"/>
      <c r="DF108" s="207"/>
      <c r="DG108" s="207"/>
      <c r="DH108" s="207"/>
      <c r="DI108" s="207"/>
      <c r="DJ108" s="207"/>
      <c r="DK108" s="207"/>
      <c r="DL108" s="207"/>
      <c r="DM108" s="207"/>
      <c r="DN108" s="207"/>
      <c r="DO108" s="207"/>
      <c r="DP108" s="207"/>
      <c r="DQ108" s="207"/>
      <c r="DR108" s="207"/>
      <c r="DS108" s="207"/>
      <c r="DT108" s="207"/>
      <c r="DU108" s="207"/>
      <c r="DV108" s="207"/>
      <c r="DW108" s="207"/>
      <c r="DX108" s="207"/>
      <c r="DY108" s="207"/>
      <c r="DZ108" s="207"/>
      <c r="EA108" s="207"/>
      <c r="EB108" s="207"/>
      <c r="EC108" s="207"/>
      <c r="ED108" s="207"/>
      <c r="EE108" s="207"/>
      <c r="EF108" s="207"/>
      <c r="EG108" s="207"/>
      <c r="EH108" s="207"/>
      <c r="EI108" s="207"/>
      <c r="EJ108" s="207"/>
      <c r="EK108" s="207"/>
      <c r="EL108" s="207"/>
      <c r="EM108" s="207"/>
      <c r="EN108" s="207"/>
      <c r="EO108" s="207"/>
      <c r="EP108" s="207"/>
      <c r="EQ108" s="207"/>
      <c r="ER108" s="207"/>
      <c r="ES108" s="207"/>
      <c r="ET108" s="207"/>
      <c r="EU108" s="207"/>
      <c r="EV108" s="207"/>
      <c r="EW108" s="207"/>
      <c r="EX108" s="207"/>
      <c r="EY108" s="207"/>
      <c r="EZ108" s="207"/>
      <c r="FA108" s="207"/>
      <c r="FB108" s="207"/>
      <c r="FC108" s="207"/>
      <c r="FD108" s="207"/>
      <c r="FE108" s="207"/>
      <c r="FF108" s="207"/>
      <c r="FG108" s="207"/>
      <c r="FH108" s="207"/>
      <c r="FI108" s="207"/>
      <c r="FJ108" s="207"/>
      <c r="FK108" s="207"/>
      <c r="FL108" s="207"/>
      <c r="FM108" s="207"/>
      <c r="FN108" s="207"/>
      <c r="FO108" s="207"/>
      <c r="FP108" s="207"/>
      <c r="FQ108" s="207"/>
      <c r="FR108" s="207"/>
      <c r="FS108" s="208"/>
      <c r="FT108" s="156"/>
    </row>
    <row r="109" spans="1:176" ht="15" outlineLevel="1">
      <c r="A109" s="206" t="s">
        <v>1358</v>
      </c>
      <c r="B109" s="200" t="s">
        <v>81</v>
      </c>
      <c r="C109" s="34"/>
      <c r="D109" s="34"/>
      <c r="E109" s="34"/>
      <c r="F109" s="34"/>
      <c r="G109" s="34"/>
      <c r="H109" s="35" t="s">
        <v>488</v>
      </c>
      <c r="I109" s="38"/>
      <c r="J109" s="38"/>
      <c r="K109" s="38"/>
      <c r="L109" s="38"/>
      <c r="M109" s="38"/>
      <c r="N109" s="38"/>
      <c r="O109" s="38"/>
      <c r="P109" s="38"/>
      <c r="Q109" s="38"/>
      <c r="R109" s="177">
        <f t="shared" si="16"/>
        <v>0</v>
      </c>
      <c r="S109" s="202">
        <f t="shared" si="13"/>
        <v>0</v>
      </c>
      <c r="T109" s="202">
        <f t="shared" si="14"/>
        <v>0</v>
      </c>
      <c r="U109" s="18"/>
      <c r="V109" s="206" t="str">
        <f t="shared" si="15"/>
        <v>2-49</v>
      </c>
      <c r="W109" s="215" t="str">
        <f t="shared" si="17"/>
        <v/>
      </c>
      <c r="X109" s="110"/>
      <c r="Y109" s="109"/>
      <c r="Z109" s="207"/>
      <c r="AA109" s="207"/>
      <c r="AB109" s="207"/>
      <c r="AC109" s="207"/>
      <c r="AD109" s="207"/>
      <c r="AE109" s="207"/>
      <c r="AF109" s="207"/>
      <c r="AG109" s="207"/>
      <c r="AH109" s="207"/>
      <c r="AI109" s="207"/>
      <c r="AJ109" s="207"/>
      <c r="AK109" s="207"/>
      <c r="AL109" s="207"/>
      <c r="AM109" s="207"/>
      <c r="AN109" s="207"/>
      <c r="AO109" s="207"/>
      <c r="AP109" s="207"/>
      <c r="AQ109" s="207"/>
      <c r="AR109" s="207"/>
      <c r="AS109" s="207"/>
      <c r="AT109" s="207"/>
      <c r="AU109" s="207"/>
      <c r="AV109" s="207"/>
      <c r="AW109" s="207"/>
      <c r="AX109" s="207"/>
      <c r="AY109" s="207"/>
      <c r="AZ109" s="207"/>
      <c r="BA109" s="207"/>
      <c r="BB109" s="207"/>
      <c r="BC109" s="207"/>
      <c r="BD109" s="207"/>
      <c r="BE109" s="207"/>
      <c r="BF109" s="207"/>
      <c r="BG109" s="207"/>
      <c r="BH109" s="207"/>
      <c r="BI109" s="207"/>
      <c r="BJ109" s="207"/>
      <c r="BK109" s="207"/>
      <c r="BL109" s="207"/>
      <c r="BM109" s="207"/>
      <c r="BN109" s="207"/>
      <c r="BO109" s="207"/>
      <c r="BP109" s="207"/>
      <c r="BQ109" s="207"/>
      <c r="BR109" s="207"/>
      <c r="BS109" s="207"/>
      <c r="BT109" s="207"/>
      <c r="BU109" s="207"/>
      <c r="BV109" s="207"/>
      <c r="BW109" s="207"/>
      <c r="BX109" s="207"/>
      <c r="BY109" s="207"/>
      <c r="BZ109" s="207"/>
      <c r="CA109" s="207"/>
      <c r="CB109" s="207"/>
      <c r="CC109" s="207"/>
      <c r="CD109" s="207"/>
      <c r="CE109" s="207"/>
      <c r="CF109" s="207"/>
      <c r="CG109" s="207"/>
      <c r="CH109" s="207"/>
      <c r="CI109" s="207"/>
      <c r="CJ109" s="207"/>
      <c r="CK109" s="207"/>
      <c r="CL109" s="207"/>
      <c r="CM109" s="207"/>
      <c r="CN109" s="207"/>
      <c r="CO109" s="207"/>
      <c r="CP109" s="207"/>
      <c r="CQ109" s="207"/>
      <c r="CR109" s="207"/>
      <c r="CS109" s="207"/>
      <c r="CT109" s="207"/>
      <c r="CU109" s="207"/>
      <c r="CV109" s="207"/>
      <c r="CW109" s="207"/>
      <c r="CX109" s="207"/>
      <c r="CY109" s="207"/>
      <c r="CZ109" s="207"/>
      <c r="DA109" s="207"/>
      <c r="DB109" s="207"/>
      <c r="DC109" s="207"/>
      <c r="DD109" s="207"/>
      <c r="DE109" s="207"/>
      <c r="DF109" s="207"/>
      <c r="DG109" s="207"/>
      <c r="DH109" s="207"/>
      <c r="DI109" s="207"/>
      <c r="DJ109" s="207"/>
      <c r="DK109" s="207"/>
      <c r="DL109" s="207"/>
      <c r="DM109" s="207"/>
      <c r="DN109" s="207"/>
      <c r="DO109" s="207"/>
      <c r="DP109" s="207"/>
      <c r="DQ109" s="207"/>
      <c r="DR109" s="207"/>
      <c r="DS109" s="207"/>
      <c r="DT109" s="207"/>
      <c r="DU109" s="207"/>
      <c r="DV109" s="207"/>
      <c r="DW109" s="207"/>
      <c r="DX109" s="207"/>
      <c r="DY109" s="207"/>
      <c r="DZ109" s="207"/>
      <c r="EA109" s="207"/>
      <c r="EB109" s="207"/>
      <c r="EC109" s="207"/>
      <c r="ED109" s="207"/>
      <c r="EE109" s="207"/>
      <c r="EF109" s="207"/>
      <c r="EG109" s="207"/>
      <c r="EH109" s="207"/>
      <c r="EI109" s="207"/>
      <c r="EJ109" s="207"/>
      <c r="EK109" s="207"/>
      <c r="EL109" s="207"/>
      <c r="EM109" s="207"/>
      <c r="EN109" s="207"/>
      <c r="EO109" s="207"/>
      <c r="EP109" s="207"/>
      <c r="EQ109" s="207"/>
      <c r="ER109" s="207"/>
      <c r="ES109" s="207"/>
      <c r="ET109" s="207"/>
      <c r="EU109" s="207"/>
      <c r="EV109" s="207"/>
      <c r="EW109" s="207"/>
      <c r="EX109" s="207"/>
      <c r="EY109" s="207"/>
      <c r="EZ109" s="207"/>
      <c r="FA109" s="207"/>
      <c r="FB109" s="207"/>
      <c r="FC109" s="207"/>
      <c r="FD109" s="207"/>
      <c r="FE109" s="207"/>
      <c r="FF109" s="207"/>
      <c r="FG109" s="207"/>
      <c r="FH109" s="207"/>
      <c r="FI109" s="207"/>
      <c r="FJ109" s="207"/>
      <c r="FK109" s="207"/>
      <c r="FL109" s="207"/>
      <c r="FM109" s="207"/>
      <c r="FN109" s="207"/>
      <c r="FO109" s="207"/>
      <c r="FP109" s="207"/>
      <c r="FQ109" s="207"/>
      <c r="FR109" s="207"/>
      <c r="FS109" s="208"/>
      <c r="FT109" s="156"/>
    </row>
    <row r="110" spans="1:176" ht="15" outlineLevel="1">
      <c r="A110" s="206" t="s">
        <v>1359</v>
      </c>
      <c r="B110" s="200" t="s">
        <v>81</v>
      </c>
      <c r="C110" s="34"/>
      <c r="D110" s="34"/>
      <c r="E110" s="34"/>
      <c r="F110" s="34"/>
      <c r="G110" s="34"/>
      <c r="H110" s="35" t="s">
        <v>488</v>
      </c>
      <c r="I110" s="38"/>
      <c r="J110" s="38"/>
      <c r="K110" s="38"/>
      <c r="L110" s="38"/>
      <c r="M110" s="38"/>
      <c r="N110" s="38"/>
      <c r="O110" s="38"/>
      <c r="P110" s="38"/>
      <c r="Q110" s="38"/>
      <c r="R110" s="177">
        <f t="shared" si="16"/>
        <v>0</v>
      </c>
      <c r="S110" s="202">
        <f t="shared" si="13"/>
        <v>0</v>
      </c>
      <c r="T110" s="202">
        <f t="shared" si="14"/>
        <v>0</v>
      </c>
      <c r="U110" s="18"/>
      <c r="V110" s="206" t="str">
        <f t="shared" si="15"/>
        <v>2-50</v>
      </c>
      <c r="W110" s="215" t="str">
        <f t="shared" si="17"/>
        <v/>
      </c>
      <c r="X110" s="110"/>
      <c r="Y110" s="109"/>
      <c r="Z110" s="207"/>
      <c r="AA110" s="207"/>
      <c r="AB110" s="207"/>
      <c r="AC110" s="207"/>
      <c r="AD110" s="207"/>
      <c r="AE110" s="207"/>
      <c r="AF110" s="207"/>
      <c r="AG110" s="207"/>
      <c r="AH110" s="207"/>
      <c r="AI110" s="207"/>
      <c r="AJ110" s="207"/>
      <c r="AK110" s="207"/>
      <c r="AL110" s="207"/>
      <c r="AM110" s="207"/>
      <c r="AN110" s="207"/>
      <c r="AO110" s="207"/>
      <c r="AP110" s="207"/>
      <c r="AQ110" s="207"/>
      <c r="AR110" s="207"/>
      <c r="AS110" s="207"/>
      <c r="AT110" s="207"/>
      <c r="AU110" s="207"/>
      <c r="AV110" s="207"/>
      <c r="AW110" s="207"/>
      <c r="AX110" s="207"/>
      <c r="AY110" s="207"/>
      <c r="AZ110" s="207"/>
      <c r="BA110" s="207"/>
      <c r="BB110" s="207"/>
      <c r="BC110" s="207"/>
      <c r="BD110" s="207"/>
      <c r="BE110" s="207"/>
      <c r="BF110" s="207"/>
      <c r="BG110" s="207"/>
      <c r="BH110" s="207"/>
      <c r="BI110" s="207"/>
      <c r="BJ110" s="207"/>
      <c r="BK110" s="207"/>
      <c r="BL110" s="207"/>
      <c r="BM110" s="207"/>
      <c r="BN110" s="207"/>
      <c r="BO110" s="207"/>
      <c r="BP110" s="207"/>
      <c r="BQ110" s="207"/>
      <c r="BR110" s="207"/>
      <c r="BS110" s="207"/>
      <c r="BT110" s="207"/>
      <c r="BU110" s="207"/>
      <c r="BV110" s="207"/>
      <c r="BW110" s="207"/>
      <c r="BX110" s="207"/>
      <c r="BY110" s="207"/>
      <c r="BZ110" s="207"/>
      <c r="CA110" s="207"/>
      <c r="CB110" s="207"/>
      <c r="CC110" s="207"/>
      <c r="CD110" s="207"/>
      <c r="CE110" s="207"/>
      <c r="CF110" s="207"/>
      <c r="CG110" s="207"/>
      <c r="CH110" s="207"/>
      <c r="CI110" s="207"/>
      <c r="CJ110" s="207"/>
      <c r="CK110" s="207"/>
      <c r="CL110" s="207"/>
      <c r="CM110" s="207"/>
      <c r="CN110" s="207"/>
      <c r="CO110" s="207"/>
      <c r="CP110" s="207"/>
      <c r="CQ110" s="207"/>
      <c r="CR110" s="207"/>
      <c r="CS110" s="207"/>
      <c r="CT110" s="207"/>
      <c r="CU110" s="207"/>
      <c r="CV110" s="207"/>
      <c r="CW110" s="207"/>
      <c r="CX110" s="207"/>
      <c r="CY110" s="207"/>
      <c r="CZ110" s="207"/>
      <c r="DA110" s="207"/>
      <c r="DB110" s="207"/>
      <c r="DC110" s="207"/>
      <c r="DD110" s="207"/>
      <c r="DE110" s="207"/>
      <c r="DF110" s="207"/>
      <c r="DG110" s="207"/>
      <c r="DH110" s="207"/>
      <c r="DI110" s="207"/>
      <c r="DJ110" s="207"/>
      <c r="DK110" s="207"/>
      <c r="DL110" s="207"/>
      <c r="DM110" s="207"/>
      <c r="DN110" s="207"/>
      <c r="DO110" s="207"/>
      <c r="DP110" s="207"/>
      <c r="DQ110" s="207"/>
      <c r="DR110" s="207"/>
      <c r="DS110" s="207"/>
      <c r="DT110" s="207"/>
      <c r="DU110" s="207"/>
      <c r="DV110" s="207"/>
      <c r="DW110" s="207"/>
      <c r="DX110" s="207"/>
      <c r="DY110" s="207"/>
      <c r="DZ110" s="207"/>
      <c r="EA110" s="207"/>
      <c r="EB110" s="207"/>
      <c r="EC110" s="207"/>
      <c r="ED110" s="207"/>
      <c r="EE110" s="207"/>
      <c r="EF110" s="207"/>
      <c r="EG110" s="207"/>
      <c r="EH110" s="207"/>
      <c r="EI110" s="207"/>
      <c r="EJ110" s="207"/>
      <c r="EK110" s="207"/>
      <c r="EL110" s="207"/>
      <c r="EM110" s="207"/>
      <c r="EN110" s="207"/>
      <c r="EO110" s="207"/>
      <c r="EP110" s="207"/>
      <c r="EQ110" s="207"/>
      <c r="ER110" s="207"/>
      <c r="ES110" s="207"/>
      <c r="ET110" s="207"/>
      <c r="EU110" s="207"/>
      <c r="EV110" s="207"/>
      <c r="EW110" s="207"/>
      <c r="EX110" s="207"/>
      <c r="EY110" s="207"/>
      <c r="EZ110" s="207"/>
      <c r="FA110" s="207"/>
      <c r="FB110" s="207"/>
      <c r="FC110" s="207"/>
      <c r="FD110" s="207"/>
      <c r="FE110" s="207"/>
      <c r="FF110" s="207"/>
      <c r="FG110" s="207"/>
      <c r="FH110" s="207"/>
      <c r="FI110" s="207"/>
      <c r="FJ110" s="207"/>
      <c r="FK110" s="207"/>
      <c r="FL110" s="207"/>
      <c r="FM110" s="207"/>
      <c r="FN110" s="207"/>
      <c r="FO110" s="207"/>
      <c r="FP110" s="207"/>
      <c r="FQ110" s="207"/>
      <c r="FR110" s="207"/>
      <c r="FS110" s="208"/>
      <c r="FT110" s="156"/>
    </row>
    <row r="111" spans="1:176" s="198" customFormat="1" ht="15">
      <c r="A111" s="193" t="s">
        <v>1188</v>
      </c>
      <c r="B111" s="211" t="s">
        <v>1360</v>
      </c>
      <c r="C111" s="212"/>
      <c r="D111" s="212"/>
      <c r="E111" s="212" t="s">
        <v>222</v>
      </c>
      <c r="F111" s="212" t="s">
        <v>222</v>
      </c>
      <c r="G111" s="212" t="s">
        <v>222</v>
      </c>
      <c r="H111" s="216"/>
      <c r="I111" s="214"/>
      <c r="J111" s="214"/>
      <c r="K111" s="214"/>
      <c r="L111" s="214"/>
      <c r="M111" s="214"/>
      <c r="N111" s="214"/>
      <c r="O111" s="214"/>
      <c r="P111" s="214"/>
      <c r="Q111" s="214"/>
      <c r="R111" s="191">
        <f>SUM(R112:R161)</f>
        <v>0</v>
      </c>
      <c r="S111" s="192">
        <f>SUM(S112:S161)</f>
        <v>0</v>
      </c>
      <c r="T111" s="192">
        <f>SUM(T112:T161)</f>
        <v>0</v>
      </c>
      <c r="U111" s="18"/>
      <c r="V111" s="193" t="str">
        <f t="shared" si="15"/>
        <v>Phase:</v>
      </c>
      <c r="W111" s="194" t="str">
        <f>B111</f>
        <v>Create</v>
      </c>
      <c r="X111" s="223"/>
      <c r="Y111" s="223"/>
      <c r="Z111" s="196"/>
      <c r="AA111" s="196"/>
      <c r="AB111" s="196"/>
      <c r="AC111" s="196"/>
      <c r="AD111" s="196"/>
      <c r="AE111" s="196"/>
      <c r="AF111" s="196"/>
      <c r="AG111" s="196"/>
      <c r="AH111" s="196"/>
      <c r="AI111" s="196"/>
      <c r="AJ111" s="196"/>
      <c r="AK111" s="196"/>
      <c r="AL111" s="196"/>
      <c r="AM111" s="196"/>
      <c r="AN111" s="196"/>
      <c r="AO111" s="196"/>
      <c r="AP111" s="196"/>
      <c r="AQ111" s="196"/>
      <c r="AR111" s="196"/>
      <c r="AS111" s="196"/>
      <c r="AT111" s="196"/>
      <c r="AU111" s="196"/>
      <c r="AV111" s="196"/>
      <c r="AW111" s="196"/>
      <c r="AX111" s="196"/>
      <c r="AY111" s="196"/>
      <c r="AZ111" s="196"/>
      <c r="BA111" s="196"/>
      <c r="BB111" s="196"/>
      <c r="BC111" s="196"/>
      <c r="BD111" s="196"/>
      <c r="BE111" s="196"/>
      <c r="BF111" s="196"/>
      <c r="BG111" s="196"/>
      <c r="BH111" s="196"/>
      <c r="BI111" s="196"/>
      <c r="BJ111" s="196"/>
      <c r="BK111" s="196"/>
      <c r="BL111" s="196"/>
      <c r="BM111" s="196"/>
      <c r="BN111" s="196"/>
      <c r="BO111" s="196"/>
      <c r="BP111" s="196"/>
      <c r="BQ111" s="196"/>
      <c r="BR111" s="196"/>
      <c r="BS111" s="196"/>
      <c r="BT111" s="196"/>
      <c r="BU111" s="196"/>
      <c r="BV111" s="196"/>
      <c r="BW111" s="196"/>
      <c r="BX111" s="196"/>
      <c r="BY111" s="196"/>
      <c r="BZ111" s="196"/>
      <c r="CA111" s="196"/>
      <c r="CB111" s="196"/>
      <c r="CC111" s="196"/>
      <c r="CD111" s="196"/>
      <c r="CE111" s="196"/>
      <c r="CF111" s="196"/>
      <c r="CG111" s="196"/>
      <c r="CH111" s="196"/>
      <c r="CI111" s="196"/>
      <c r="CJ111" s="196"/>
      <c r="CK111" s="196"/>
      <c r="CL111" s="196"/>
      <c r="CM111" s="196"/>
      <c r="CN111" s="196"/>
      <c r="CO111" s="196"/>
      <c r="CP111" s="196"/>
      <c r="CQ111" s="196"/>
      <c r="CR111" s="196"/>
      <c r="CS111" s="196"/>
      <c r="CT111" s="196"/>
      <c r="CU111" s="196"/>
      <c r="CV111" s="196"/>
      <c r="CW111" s="196"/>
      <c r="CX111" s="196"/>
      <c r="CY111" s="196"/>
      <c r="CZ111" s="196"/>
      <c r="DA111" s="196"/>
      <c r="DB111" s="196"/>
      <c r="DC111" s="196"/>
      <c r="DD111" s="196"/>
      <c r="DE111" s="196"/>
      <c r="DF111" s="196"/>
      <c r="DG111" s="196"/>
      <c r="DH111" s="196"/>
      <c r="DI111" s="196"/>
      <c r="DJ111" s="196"/>
      <c r="DK111" s="196"/>
      <c r="DL111" s="196"/>
      <c r="DM111" s="196"/>
      <c r="DN111" s="196"/>
      <c r="DO111" s="196"/>
      <c r="DP111" s="196"/>
      <c r="DQ111" s="196"/>
      <c r="DR111" s="196"/>
      <c r="DS111" s="196"/>
      <c r="DT111" s="196"/>
      <c r="DU111" s="196"/>
      <c r="DV111" s="196"/>
      <c r="DW111" s="196"/>
      <c r="DX111" s="196"/>
      <c r="DY111" s="196"/>
      <c r="DZ111" s="196"/>
      <c r="EA111" s="196"/>
      <c r="EB111" s="196"/>
      <c r="EC111" s="196"/>
      <c r="ED111" s="196"/>
      <c r="EE111" s="196"/>
      <c r="EF111" s="196"/>
      <c r="EG111" s="196"/>
      <c r="EH111" s="196"/>
      <c r="EI111" s="196"/>
      <c r="EJ111" s="196"/>
      <c r="EK111" s="196"/>
      <c r="EL111" s="196"/>
      <c r="EM111" s="196"/>
      <c r="EN111" s="196"/>
      <c r="EO111" s="196"/>
      <c r="EP111" s="196"/>
      <c r="EQ111" s="196"/>
      <c r="ER111" s="196"/>
      <c r="ES111" s="196"/>
      <c r="ET111" s="196"/>
      <c r="EU111" s="196"/>
      <c r="EV111" s="196"/>
      <c r="EW111" s="196"/>
      <c r="EX111" s="196"/>
      <c r="EY111" s="196"/>
      <c r="EZ111" s="196"/>
      <c r="FA111" s="196"/>
      <c r="FB111" s="196"/>
      <c r="FC111" s="196"/>
      <c r="FD111" s="196"/>
      <c r="FE111" s="196"/>
      <c r="FF111" s="196"/>
      <c r="FG111" s="196"/>
      <c r="FH111" s="196"/>
      <c r="FI111" s="196"/>
      <c r="FJ111" s="196"/>
      <c r="FK111" s="196"/>
      <c r="FL111" s="196"/>
      <c r="FM111" s="196"/>
      <c r="FN111" s="196"/>
      <c r="FO111" s="196"/>
      <c r="FP111" s="196"/>
      <c r="FQ111" s="196"/>
      <c r="FR111" s="196"/>
      <c r="FS111" s="196"/>
      <c r="FT111" s="197"/>
    </row>
    <row r="112" spans="1:176" ht="15" customHeight="1" outlineLevel="1">
      <c r="A112" s="206" t="s">
        <v>1361</v>
      </c>
      <c r="B112" s="200" t="s">
        <v>1360</v>
      </c>
      <c r="C112" s="34"/>
      <c r="D112" s="34"/>
      <c r="E112" s="34"/>
      <c r="F112" s="34"/>
      <c r="G112" s="34"/>
      <c r="H112" s="37" t="s">
        <v>488</v>
      </c>
      <c r="I112" s="38"/>
      <c r="J112" s="38"/>
      <c r="K112" s="38"/>
      <c r="L112" s="38"/>
      <c r="M112" s="38"/>
      <c r="N112" s="38"/>
      <c r="O112" s="38"/>
      <c r="P112" s="38"/>
      <c r="Q112" s="38"/>
      <c r="R112" s="177">
        <f t="shared" ref="R112:R143" si="18">SUM(I112:M112)</f>
        <v>0</v>
      </c>
      <c r="S112" s="202">
        <f>(I112*$I$4)+(J112*$J$4)+(K112*$K$4)+(L112*$L$4)+(M112*$M$4)+(N112*$N$4)+(O112*$O$4)+(P112*$P$4)+(Q112*$Q$4)</f>
        <v>0</v>
      </c>
      <c r="T112" s="202">
        <f>IF(H112="Billable",(I112*$I$5)+(J112*$J$5)+(K112*$K$5)+(L112*$L$5)+(M112*$M$5)+(N112*$N$5)+(O112*$O$5)+(P112*$P$5)+(Q112*$Q$5),0)</f>
        <v>0</v>
      </c>
      <c r="U112" s="18"/>
      <c r="V112" s="206" t="str">
        <f t="shared" si="15"/>
        <v>3-1</v>
      </c>
      <c r="W112" s="215" t="str">
        <f t="shared" ref="W112:W143" si="19">IF(ISBLANK(C112),"",C112)</f>
        <v/>
      </c>
      <c r="X112" s="110"/>
      <c r="Y112" s="109"/>
      <c r="Z112" s="207"/>
      <c r="AA112" s="207"/>
      <c r="AB112" s="207"/>
      <c r="AC112" s="207"/>
      <c r="AD112" s="207"/>
      <c r="AE112" s="207"/>
      <c r="AF112" s="207"/>
      <c r="AG112" s="207"/>
      <c r="AH112" s="207"/>
      <c r="AI112" s="207"/>
      <c r="AJ112" s="207"/>
      <c r="AK112" s="207"/>
      <c r="AL112" s="207"/>
      <c r="AM112" s="207"/>
      <c r="AN112" s="207"/>
      <c r="AO112" s="207"/>
      <c r="AP112" s="207"/>
      <c r="AQ112" s="207"/>
      <c r="AR112" s="207"/>
      <c r="AS112" s="207"/>
      <c r="AT112" s="207"/>
      <c r="AU112" s="207"/>
      <c r="AV112" s="207"/>
      <c r="AW112" s="207"/>
      <c r="AX112" s="207"/>
      <c r="AY112" s="207"/>
      <c r="AZ112" s="207"/>
      <c r="BA112" s="207"/>
      <c r="BB112" s="207"/>
      <c r="BC112" s="207"/>
      <c r="BD112" s="207"/>
      <c r="BE112" s="207"/>
      <c r="BF112" s="207"/>
      <c r="BG112" s="207"/>
      <c r="BH112" s="207"/>
      <c r="BI112" s="207"/>
      <c r="BJ112" s="207"/>
      <c r="BK112" s="207"/>
      <c r="BL112" s="207"/>
      <c r="BM112" s="207"/>
      <c r="BN112" s="207"/>
      <c r="BO112" s="207"/>
      <c r="BP112" s="207"/>
      <c r="BQ112" s="207"/>
      <c r="BR112" s="207"/>
      <c r="BS112" s="207"/>
      <c r="BT112" s="207"/>
      <c r="BU112" s="207"/>
      <c r="BV112" s="207"/>
      <c r="BW112" s="207"/>
      <c r="BX112" s="207"/>
      <c r="BY112" s="207"/>
      <c r="BZ112" s="207"/>
      <c r="CA112" s="207"/>
      <c r="CB112" s="207"/>
      <c r="CC112" s="207"/>
      <c r="CD112" s="207"/>
      <c r="CE112" s="207"/>
      <c r="CF112" s="207"/>
      <c r="CG112" s="207"/>
      <c r="CH112" s="207"/>
      <c r="CI112" s="207"/>
      <c r="CJ112" s="207"/>
      <c r="CK112" s="207"/>
      <c r="CL112" s="207"/>
      <c r="CM112" s="207"/>
      <c r="CN112" s="207"/>
      <c r="CO112" s="207"/>
      <c r="CP112" s="207"/>
      <c r="CQ112" s="207"/>
      <c r="CR112" s="207"/>
      <c r="CS112" s="207"/>
      <c r="CT112" s="207"/>
      <c r="CU112" s="207"/>
      <c r="CV112" s="207"/>
      <c r="CW112" s="207"/>
      <c r="CX112" s="207"/>
      <c r="CY112" s="207"/>
      <c r="CZ112" s="207"/>
      <c r="DA112" s="207"/>
      <c r="DB112" s="207"/>
      <c r="DC112" s="207"/>
      <c r="DD112" s="207"/>
      <c r="DE112" s="207"/>
      <c r="DF112" s="207"/>
      <c r="DG112" s="207"/>
      <c r="DH112" s="207"/>
      <c r="DI112" s="207"/>
      <c r="DJ112" s="207"/>
      <c r="DK112" s="207"/>
      <c r="DL112" s="207"/>
      <c r="DM112" s="207"/>
      <c r="DN112" s="207"/>
      <c r="DO112" s="207"/>
      <c r="DP112" s="207"/>
      <c r="DQ112" s="207"/>
      <c r="DR112" s="207"/>
      <c r="DS112" s="207"/>
      <c r="DT112" s="207"/>
      <c r="DU112" s="207"/>
      <c r="DV112" s="207"/>
      <c r="DW112" s="207"/>
      <c r="DX112" s="207"/>
      <c r="DY112" s="207"/>
      <c r="DZ112" s="207"/>
      <c r="EA112" s="207"/>
      <c r="EB112" s="207"/>
      <c r="EC112" s="207"/>
      <c r="ED112" s="207"/>
      <c r="EE112" s="207"/>
      <c r="EF112" s="207"/>
      <c r="EG112" s="207"/>
      <c r="EH112" s="207"/>
      <c r="EI112" s="207"/>
      <c r="EJ112" s="207"/>
      <c r="EK112" s="207"/>
      <c r="EL112" s="207"/>
      <c r="EM112" s="207"/>
      <c r="EN112" s="207"/>
      <c r="EO112" s="207"/>
      <c r="EP112" s="207"/>
      <c r="EQ112" s="207"/>
      <c r="ER112" s="207"/>
      <c r="ES112" s="207"/>
      <c r="ET112" s="207"/>
      <c r="EU112" s="207"/>
      <c r="EV112" s="207"/>
      <c r="EW112" s="207"/>
      <c r="EX112" s="207"/>
      <c r="EY112" s="207"/>
      <c r="EZ112" s="207"/>
      <c r="FA112" s="207"/>
      <c r="FB112" s="207"/>
      <c r="FC112" s="207"/>
      <c r="FD112" s="207"/>
      <c r="FE112" s="207"/>
      <c r="FF112" s="207"/>
      <c r="FG112" s="207"/>
      <c r="FH112" s="207"/>
      <c r="FI112" s="207"/>
      <c r="FJ112" s="207"/>
      <c r="FK112" s="207"/>
      <c r="FL112" s="207"/>
      <c r="FM112" s="207"/>
      <c r="FN112" s="207"/>
      <c r="FO112" s="207"/>
      <c r="FP112" s="207"/>
      <c r="FQ112" s="207"/>
      <c r="FR112" s="207"/>
      <c r="FS112" s="208"/>
      <c r="FT112" s="156"/>
    </row>
    <row r="113" spans="1:176" ht="15" customHeight="1" outlineLevel="1">
      <c r="A113" s="206" t="s">
        <v>1362</v>
      </c>
      <c r="B113" s="200" t="s">
        <v>1360</v>
      </c>
      <c r="C113" s="34"/>
      <c r="D113" s="34"/>
      <c r="E113" s="34"/>
      <c r="F113" s="34"/>
      <c r="G113" s="34"/>
      <c r="H113" s="37" t="s">
        <v>488</v>
      </c>
      <c r="I113" s="38"/>
      <c r="J113" s="38"/>
      <c r="K113" s="38"/>
      <c r="L113" s="38"/>
      <c r="M113" s="38"/>
      <c r="N113" s="38"/>
      <c r="O113" s="38"/>
      <c r="P113" s="38"/>
      <c r="Q113" s="38"/>
      <c r="R113" s="177">
        <f t="shared" si="18"/>
        <v>0</v>
      </c>
      <c r="S113" s="202">
        <f t="shared" ref="S113:S161" si="20">(I113*$I$4)+(J113*$J$4)+(K113*$K$4)+(L113*$L$4)+(M113*$M$4)+(N113*$N$4)+(O113*$O$4)+(P113*$P$4)+(Q113*$Q$4)</f>
        <v>0</v>
      </c>
      <c r="T113" s="202">
        <f t="shared" ref="T113:T161" si="21">IF(H113="Billable",(I113*$I$5)+(J113*$J$5)+(K113*$K$5)+(L113*$L$5)+(M113*$M$5)+(N113*$N$5)+(O113*$O$5)+(P113*$P$5)+(Q113*$Q$5),0)</f>
        <v>0</v>
      </c>
      <c r="U113" s="18"/>
      <c r="V113" s="206" t="str">
        <f t="shared" si="15"/>
        <v>3-2</v>
      </c>
      <c r="W113" s="215" t="str">
        <f t="shared" si="19"/>
        <v/>
      </c>
      <c r="X113" s="110"/>
      <c r="Y113" s="109"/>
      <c r="Z113" s="207"/>
      <c r="AA113" s="207"/>
      <c r="AB113" s="207"/>
      <c r="AC113" s="207"/>
      <c r="AD113" s="207"/>
      <c r="AE113" s="207"/>
      <c r="AF113" s="207"/>
      <c r="AG113" s="207"/>
      <c r="AH113" s="207"/>
      <c r="AI113" s="207"/>
      <c r="AJ113" s="207"/>
      <c r="AK113" s="207"/>
      <c r="AL113" s="207"/>
      <c r="AM113" s="207"/>
      <c r="AN113" s="207"/>
      <c r="AO113" s="207"/>
      <c r="AP113" s="207"/>
      <c r="AQ113" s="207"/>
      <c r="AR113" s="207"/>
      <c r="AS113" s="207"/>
      <c r="AT113" s="207"/>
      <c r="AU113" s="207"/>
      <c r="AV113" s="207"/>
      <c r="AW113" s="207"/>
      <c r="AX113" s="207"/>
      <c r="AY113" s="207"/>
      <c r="AZ113" s="207"/>
      <c r="BA113" s="207"/>
      <c r="BB113" s="207"/>
      <c r="BC113" s="207"/>
      <c r="BD113" s="207"/>
      <c r="BE113" s="207"/>
      <c r="BF113" s="207"/>
      <c r="BG113" s="207"/>
      <c r="BH113" s="207"/>
      <c r="BI113" s="207"/>
      <c r="BJ113" s="207"/>
      <c r="BK113" s="207"/>
      <c r="BL113" s="207"/>
      <c r="BM113" s="207"/>
      <c r="BN113" s="207"/>
      <c r="BO113" s="207"/>
      <c r="BP113" s="207"/>
      <c r="BQ113" s="207"/>
      <c r="BR113" s="207"/>
      <c r="BS113" s="207"/>
      <c r="BT113" s="207"/>
      <c r="BU113" s="207"/>
      <c r="BV113" s="207"/>
      <c r="BW113" s="207"/>
      <c r="BX113" s="207"/>
      <c r="BY113" s="207"/>
      <c r="BZ113" s="207"/>
      <c r="CA113" s="207"/>
      <c r="CB113" s="207"/>
      <c r="CC113" s="207"/>
      <c r="CD113" s="207"/>
      <c r="CE113" s="207"/>
      <c r="CF113" s="207"/>
      <c r="CG113" s="207"/>
      <c r="CH113" s="207"/>
      <c r="CI113" s="207"/>
      <c r="CJ113" s="207"/>
      <c r="CK113" s="207"/>
      <c r="CL113" s="207"/>
      <c r="CM113" s="207"/>
      <c r="CN113" s="207"/>
      <c r="CO113" s="207"/>
      <c r="CP113" s="207"/>
      <c r="CQ113" s="207"/>
      <c r="CR113" s="207"/>
      <c r="CS113" s="207"/>
      <c r="CT113" s="207"/>
      <c r="CU113" s="207"/>
      <c r="CV113" s="207"/>
      <c r="CW113" s="207"/>
      <c r="CX113" s="207"/>
      <c r="CY113" s="207"/>
      <c r="CZ113" s="207"/>
      <c r="DA113" s="207"/>
      <c r="DB113" s="207"/>
      <c r="DC113" s="207"/>
      <c r="DD113" s="207"/>
      <c r="DE113" s="207"/>
      <c r="DF113" s="207"/>
      <c r="DG113" s="207"/>
      <c r="DH113" s="207"/>
      <c r="DI113" s="207"/>
      <c r="DJ113" s="207"/>
      <c r="DK113" s="207"/>
      <c r="DL113" s="207"/>
      <c r="DM113" s="207"/>
      <c r="DN113" s="207"/>
      <c r="DO113" s="207"/>
      <c r="DP113" s="207"/>
      <c r="DQ113" s="207"/>
      <c r="DR113" s="207"/>
      <c r="DS113" s="207"/>
      <c r="DT113" s="207"/>
      <c r="DU113" s="207"/>
      <c r="DV113" s="207"/>
      <c r="DW113" s="207"/>
      <c r="DX113" s="207"/>
      <c r="DY113" s="207"/>
      <c r="DZ113" s="207"/>
      <c r="EA113" s="207"/>
      <c r="EB113" s="207"/>
      <c r="EC113" s="207"/>
      <c r="ED113" s="207"/>
      <c r="EE113" s="207"/>
      <c r="EF113" s="207"/>
      <c r="EG113" s="207"/>
      <c r="EH113" s="207"/>
      <c r="EI113" s="207"/>
      <c r="EJ113" s="207"/>
      <c r="EK113" s="207"/>
      <c r="EL113" s="207"/>
      <c r="EM113" s="207"/>
      <c r="EN113" s="207"/>
      <c r="EO113" s="207"/>
      <c r="EP113" s="207"/>
      <c r="EQ113" s="207"/>
      <c r="ER113" s="207"/>
      <c r="ES113" s="207"/>
      <c r="ET113" s="207"/>
      <c r="EU113" s="207"/>
      <c r="EV113" s="207"/>
      <c r="EW113" s="207"/>
      <c r="EX113" s="207"/>
      <c r="EY113" s="207"/>
      <c r="EZ113" s="207"/>
      <c r="FA113" s="207"/>
      <c r="FB113" s="207"/>
      <c r="FC113" s="207"/>
      <c r="FD113" s="207"/>
      <c r="FE113" s="207"/>
      <c r="FF113" s="207"/>
      <c r="FG113" s="207"/>
      <c r="FH113" s="207"/>
      <c r="FI113" s="207"/>
      <c r="FJ113" s="207"/>
      <c r="FK113" s="207"/>
      <c r="FL113" s="207"/>
      <c r="FM113" s="207"/>
      <c r="FN113" s="207"/>
      <c r="FO113" s="207"/>
      <c r="FP113" s="207"/>
      <c r="FQ113" s="207"/>
      <c r="FR113" s="207"/>
      <c r="FS113" s="208"/>
      <c r="FT113" s="156"/>
    </row>
    <row r="114" spans="1:176" ht="15" customHeight="1" outlineLevel="1">
      <c r="A114" s="206" t="s">
        <v>1363</v>
      </c>
      <c r="B114" s="200" t="s">
        <v>1360</v>
      </c>
      <c r="C114" s="34"/>
      <c r="D114" s="34"/>
      <c r="E114" s="34"/>
      <c r="F114" s="34"/>
      <c r="G114" s="34"/>
      <c r="H114" s="37" t="s">
        <v>488</v>
      </c>
      <c r="I114" s="38"/>
      <c r="J114" s="38"/>
      <c r="K114" s="38"/>
      <c r="L114" s="38"/>
      <c r="M114" s="38"/>
      <c r="N114" s="38"/>
      <c r="O114" s="38"/>
      <c r="P114" s="38"/>
      <c r="Q114" s="38"/>
      <c r="R114" s="177">
        <f t="shared" si="18"/>
        <v>0</v>
      </c>
      <c r="S114" s="202">
        <f t="shared" si="20"/>
        <v>0</v>
      </c>
      <c r="T114" s="202">
        <f t="shared" si="21"/>
        <v>0</v>
      </c>
      <c r="U114" s="18"/>
      <c r="V114" s="206" t="str">
        <f t="shared" si="15"/>
        <v>3-3</v>
      </c>
      <c r="W114" s="215" t="str">
        <f t="shared" si="19"/>
        <v/>
      </c>
      <c r="X114" s="110"/>
      <c r="Y114" s="109"/>
      <c r="Z114" s="207"/>
      <c r="AA114" s="207"/>
      <c r="AB114" s="207"/>
      <c r="AC114" s="207"/>
      <c r="AD114" s="207"/>
      <c r="AE114" s="207"/>
      <c r="AF114" s="207"/>
      <c r="AG114" s="207"/>
      <c r="AH114" s="207"/>
      <c r="AI114" s="207"/>
      <c r="AJ114" s="207"/>
      <c r="AK114" s="207"/>
      <c r="AL114" s="207"/>
      <c r="AM114" s="207"/>
      <c r="AN114" s="207"/>
      <c r="AO114" s="207"/>
      <c r="AP114" s="207"/>
      <c r="AQ114" s="207"/>
      <c r="AR114" s="207"/>
      <c r="AS114" s="207"/>
      <c r="AT114" s="207"/>
      <c r="AU114" s="207"/>
      <c r="AV114" s="207"/>
      <c r="AW114" s="207"/>
      <c r="AX114" s="207"/>
      <c r="AY114" s="207"/>
      <c r="AZ114" s="207"/>
      <c r="BA114" s="207"/>
      <c r="BB114" s="207"/>
      <c r="BC114" s="207"/>
      <c r="BD114" s="207"/>
      <c r="BE114" s="207"/>
      <c r="BF114" s="207"/>
      <c r="BG114" s="207"/>
      <c r="BH114" s="207"/>
      <c r="BI114" s="207"/>
      <c r="BJ114" s="207"/>
      <c r="BK114" s="207"/>
      <c r="BL114" s="207"/>
      <c r="BM114" s="207"/>
      <c r="BN114" s="207"/>
      <c r="BO114" s="207"/>
      <c r="BP114" s="207"/>
      <c r="BQ114" s="207"/>
      <c r="BR114" s="207"/>
      <c r="BS114" s="207"/>
      <c r="BT114" s="207"/>
      <c r="BU114" s="207"/>
      <c r="BV114" s="207"/>
      <c r="BW114" s="207"/>
      <c r="BX114" s="207"/>
      <c r="BY114" s="207"/>
      <c r="BZ114" s="207"/>
      <c r="CA114" s="207"/>
      <c r="CB114" s="207"/>
      <c r="CC114" s="207"/>
      <c r="CD114" s="207"/>
      <c r="CE114" s="207"/>
      <c r="CF114" s="207"/>
      <c r="CG114" s="207"/>
      <c r="CH114" s="207"/>
      <c r="CI114" s="207"/>
      <c r="CJ114" s="207"/>
      <c r="CK114" s="207"/>
      <c r="CL114" s="207"/>
      <c r="CM114" s="207"/>
      <c r="CN114" s="207"/>
      <c r="CO114" s="207"/>
      <c r="CP114" s="207"/>
      <c r="CQ114" s="207"/>
      <c r="CR114" s="207"/>
      <c r="CS114" s="207"/>
      <c r="CT114" s="207"/>
      <c r="CU114" s="207"/>
      <c r="CV114" s="207"/>
      <c r="CW114" s="207"/>
      <c r="CX114" s="207"/>
      <c r="CY114" s="207"/>
      <c r="CZ114" s="207"/>
      <c r="DA114" s="207"/>
      <c r="DB114" s="207"/>
      <c r="DC114" s="207"/>
      <c r="DD114" s="207"/>
      <c r="DE114" s="207"/>
      <c r="DF114" s="207"/>
      <c r="DG114" s="207"/>
      <c r="DH114" s="207"/>
      <c r="DI114" s="207"/>
      <c r="DJ114" s="207"/>
      <c r="DK114" s="207"/>
      <c r="DL114" s="207"/>
      <c r="DM114" s="207"/>
      <c r="DN114" s="207"/>
      <c r="DO114" s="207"/>
      <c r="DP114" s="207"/>
      <c r="DQ114" s="207"/>
      <c r="DR114" s="207"/>
      <c r="DS114" s="207"/>
      <c r="DT114" s="207"/>
      <c r="DU114" s="207"/>
      <c r="DV114" s="207"/>
      <c r="DW114" s="207"/>
      <c r="DX114" s="207"/>
      <c r="DY114" s="207"/>
      <c r="DZ114" s="207"/>
      <c r="EA114" s="207"/>
      <c r="EB114" s="207"/>
      <c r="EC114" s="207"/>
      <c r="ED114" s="207"/>
      <c r="EE114" s="207"/>
      <c r="EF114" s="207"/>
      <c r="EG114" s="207"/>
      <c r="EH114" s="207"/>
      <c r="EI114" s="207"/>
      <c r="EJ114" s="207"/>
      <c r="EK114" s="207"/>
      <c r="EL114" s="207"/>
      <c r="EM114" s="207"/>
      <c r="EN114" s="207"/>
      <c r="EO114" s="207"/>
      <c r="EP114" s="207"/>
      <c r="EQ114" s="207"/>
      <c r="ER114" s="207"/>
      <c r="ES114" s="207"/>
      <c r="ET114" s="207"/>
      <c r="EU114" s="207"/>
      <c r="EV114" s="207"/>
      <c r="EW114" s="207"/>
      <c r="EX114" s="207"/>
      <c r="EY114" s="207"/>
      <c r="EZ114" s="207"/>
      <c r="FA114" s="207"/>
      <c r="FB114" s="207"/>
      <c r="FC114" s="207"/>
      <c r="FD114" s="207"/>
      <c r="FE114" s="207"/>
      <c r="FF114" s="207"/>
      <c r="FG114" s="207"/>
      <c r="FH114" s="207"/>
      <c r="FI114" s="207"/>
      <c r="FJ114" s="207"/>
      <c r="FK114" s="207"/>
      <c r="FL114" s="207"/>
      <c r="FM114" s="207"/>
      <c r="FN114" s="207"/>
      <c r="FO114" s="207"/>
      <c r="FP114" s="207"/>
      <c r="FQ114" s="207"/>
      <c r="FR114" s="207"/>
      <c r="FS114" s="208"/>
      <c r="FT114" s="156"/>
    </row>
    <row r="115" spans="1:176" ht="15" customHeight="1" outlineLevel="1">
      <c r="A115" s="206" t="s">
        <v>1364</v>
      </c>
      <c r="B115" s="200" t="s">
        <v>1360</v>
      </c>
      <c r="C115" s="34"/>
      <c r="D115" s="34"/>
      <c r="E115" s="34"/>
      <c r="F115" s="34"/>
      <c r="G115" s="34"/>
      <c r="H115" s="37" t="s">
        <v>488</v>
      </c>
      <c r="I115" s="38"/>
      <c r="J115" s="38"/>
      <c r="K115" s="38"/>
      <c r="L115" s="38"/>
      <c r="M115" s="38"/>
      <c r="N115" s="38"/>
      <c r="O115" s="38"/>
      <c r="P115" s="38"/>
      <c r="Q115" s="38"/>
      <c r="R115" s="177">
        <f t="shared" si="18"/>
        <v>0</v>
      </c>
      <c r="S115" s="202">
        <f t="shared" si="20"/>
        <v>0</v>
      </c>
      <c r="T115" s="202">
        <f t="shared" si="21"/>
        <v>0</v>
      </c>
      <c r="U115" s="18"/>
      <c r="V115" s="206" t="str">
        <f t="shared" si="15"/>
        <v>3-4</v>
      </c>
      <c r="W115" s="215" t="str">
        <f t="shared" si="19"/>
        <v/>
      </c>
      <c r="X115" s="110"/>
      <c r="Y115" s="109"/>
      <c r="Z115" s="207"/>
      <c r="AA115" s="207"/>
      <c r="AB115" s="207"/>
      <c r="AC115" s="207"/>
      <c r="AD115" s="207"/>
      <c r="AE115" s="207"/>
      <c r="AF115" s="207"/>
      <c r="AG115" s="207"/>
      <c r="AH115" s="207"/>
      <c r="AI115" s="207"/>
      <c r="AJ115" s="207"/>
      <c r="AK115" s="207"/>
      <c r="AL115" s="207"/>
      <c r="AM115" s="207"/>
      <c r="AN115" s="207"/>
      <c r="AO115" s="207"/>
      <c r="AP115" s="207"/>
      <c r="AQ115" s="207"/>
      <c r="AR115" s="207"/>
      <c r="AS115" s="207"/>
      <c r="AT115" s="207"/>
      <c r="AU115" s="207"/>
      <c r="AV115" s="207"/>
      <c r="AW115" s="207"/>
      <c r="AX115" s="207"/>
      <c r="AY115" s="207"/>
      <c r="AZ115" s="207"/>
      <c r="BA115" s="207"/>
      <c r="BB115" s="207"/>
      <c r="BC115" s="207"/>
      <c r="BD115" s="207"/>
      <c r="BE115" s="207"/>
      <c r="BF115" s="207"/>
      <c r="BG115" s="207"/>
      <c r="BH115" s="207"/>
      <c r="BI115" s="207"/>
      <c r="BJ115" s="207"/>
      <c r="BK115" s="207"/>
      <c r="BL115" s="207"/>
      <c r="BM115" s="207"/>
      <c r="BN115" s="207"/>
      <c r="BO115" s="207"/>
      <c r="BP115" s="207"/>
      <c r="BQ115" s="207"/>
      <c r="BR115" s="207"/>
      <c r="BS115" s="207"/>
      <c r="BT115" s="207"/>
      <c r="BU115" s="207"/>
      <c r="BV115" s="207"/>
      <c r="BW115" s="207"/>
      <c r="BX115" s="207"/>
      <c r="BY115" s="207"/>
      <c r="BZ115" s="207"/>
      <c r="CA115" s="207"/>
      <c r="CB115" s="207"/>
      <c r="CC115" s="207"/>
      <c r="CD115" s="207"/>
      <c r="CE115" s="207"/>
      <c r="CF115" s="207"/>
      <c r="CG115" s="207"/>
      <c r="CH115" s="207"/>
      <c r="CI115" s="207"/>
      <c r="CJ115" s="207"/>
      <c r="CK115" s="207"/>
      <c r="CL115" s="207"/>
      <c r="CM115" s="207"/>
      <c r="CN115" s="207"/>
      <c r="CO115" s="207"/>
      <c r="CP115" s="207"/>
      <c r="CQ115" s="207"/>
      <c r="CR115" s="207"/>
      <c r="CS115" s="207"/>
      <c r="CT115" s="207"/>
      <c r="CU115" s="207"/>
      <c r="CV115" s="207"/>
      <c r="CW115" s="207"/>
      <c r="CX115" s="207"/>
      <c r="CY115" s="207"/>
      <c r="CZ115" s="207"/>
      <c r="DA115" s="207"/>
      <c r="DB115" s="207"/>
      <c r="DC115" s="207"/>
      <c r="DD115" s="207"/>
      <c r="DE115" s="207"/>
      <c r="DF115" s="207"/>
      <c r="DG115" s="207"/>
      <c r="DH115" s="207"/>
      <c r="DI115" s="207"/>
      <c r="DJ115" s="207"/>
      <c r="DK115" s="207"/>
      <c r="DL115" s="207"/>
      <c r="DM115" s="207"/>
      <c r="DN115" s="207"/>
      <c r="DO115" s="207"/>
      <c r="DP115" s="207"/>
      <c r="DQ115" s="207"/>
      <c r="DR115" s="207"/>
      <c r="DS115" s="207"/>
      <c r="DT115" s="207"/>
      <c r="DU115" s="207"/>
      <c r="DV115" s="207"/>
      <c r="DW115" s="207"/>
      <c r="DX115" s="207"/>
      <c r="DY115" s="207"/>
      <c r="DZ115" s="207"/>
      <c r="EA115" s="207"/>
      <c r="EB115" s="207"/>
      <c r="EC115" s="207"/>
      <c r="ED115" s="207"/>
      <c r="EE115" s="207"/>
      <c r="EF115" s="207"/>
      <c r="EG115" s="207"/>
      <c r="EH115" s="207"/>
      <c r="EI115" s="207"/>
      <c r="EJ115" s="207"/>
      <c r="EK115" s="207"/>
      <c r="EL115" s="207"/>
      <c r="EM115" s="207"/>
      <c r="EN115" s="207"/>
      <c r="EO115" s="207"/>
      <c r="EP115" s="207"/>
      <c r="EQ115" s="207"/>
      <c r="ER115" s="207"/>
      <c r="ES115" s="207"/>
      <c r="ET115" s="207"/>
      <c r="EU115" s="207"/>
      <c r="EV115" s="207"/>
      <c r="EW115" s="207"/>
      <c r="EX115" s="207"/>
      <c r="EY115" s="207"/>
      <c r="EZ115" s="207"/>
      <c r="FA115" s="207"/>
      <c r="FB115" s="207"/>
      <c r="FC115" s="207"/>
      <c r="FD115" s="207"/>
      <c r="FE115" s="207"/>
      <c r="FF115" s="207"/>
      <c r="FG115" s="207"/>
      <c r="FH115" s="207"/>
      <c r="FI115" s="207"/>
      <c r="FJ115" s="207"/>
      <c r="FK115" s="207"/>
      <c r="FL115" s="207"/>
      <c r="FM115" s="207"/>
      <c r="FN115" s="207"/>
      <c r="FO115" s="207"/>
      <c r="FP115" s="207"/>
      <c r="FQ115" s="207"/>
      <c r="FR115" s="207"/>
      <c r="FS115" s="208"/>
      <c r="FT115" s="156"/>
    </row>
    <row r="116" spans="1:176" ht="15" customHeight="1" outlineLevel="1">
      <c r="A116" s="206" t="s">
        <v>1365</v>
      </c>
      <c r="B116" s="200" t="s">
        <v>1360</v>
      </c>
      <c r="C116" s="34"/>
      <c r="D116" s="34"/>
      <c r="E116" s="34"/>
      <c r="F116" s="34"/>
      <c r="G116" s="34"/>
      <c r="H116" s="37" t="s">
        <v>488</v>
      </c>
      <c r="I116" s="38"/>
      <c r="J116" s="38"/>
      <c r="K116" s="38"/>
      <c r="L116" s="38"/>
      <c r="M116" s="38"/>
      <c r="N116" s="38"/>
      <c r="O116" s="38"/>
      <c r="P116" s="38"/>
      <c r="Q116" s="38"/>
      <c r="R116" s="177">
        <f t="shared" si="18"/>
        <v>0</v>
      </c>
      <c r="S116" s="202">
        <f t="shared" si="20"/>
        <v>0</v>
      </c>
      <c r="T116" s="202">
        <f t="shared" si="21"/>
        <v>0</v>
      </c>
      <c r="U116" s="18"/>
      <c r="V116" s="206" t="str">
        <f t="shared" si="15"/>
        <v>3-5</v>
      </c>
      <c r="W116" s="215" t="str">
        <f t="shared" si="19"/>
        <v/>
      </c>
      <c r="X116" s="110"/>
      <c r="Y116" s="109"/>
      <c r="Z116" s="207"/>
      <c r="AA116" s="207"/>
      <c r="AB116" s="207"/>
      <c r="AC116" s="207"/>
      <c r="AD116" s="207"/>
      <c r="AE116" s="207"/>
      <c r="AF116" s="207"/>
      <c r="AG116" s="207"/>
      <c r="AH116" s="207"/>
      <c r="AI116" s="207"/>
      <c r="AJ116" s="207"/>
      <c r="AK116" s="207"/>
      <c r="AL116" s="207"/>
      <c r="AM116" s="207"/>
      <c r="AN116" s="207"/>
      <c r="AO116" s="207"/>
      <c r="AP116" s="207"/>
      <c r="AQ116" s="207"/>
      <c r="AR116" s="207"/>
      <c r="AS116" s="207"/>
      <c r="AT116" s="207"/>
      <c r="AU116" s="207"/>
      <c r="AV116" s="207"/>
      <c r="AW116" s="207"/>
      <c r="AX116" s="207"/>
      <c r="AY116" s="207"/>
      <c r="AZ116" s="207"/>
      <c r="BA116" s="207"/>
      <c r="BB116" s="207"/>
      <c r="BC116" s="207"/>
      <c r="BD116" s="207"/>
      <c r="BE116" s="207"/>
      <c r="BF116" s="207"/>
      <c r="BG116" s="207"/>
      <c r="BH116" s="207"/>
      <c r="BI116" s="207"/>
      <c r="BJ116" s="207"/>
      <c r="BK116" s="207"/>
      <c r="BL116" s="207"/>
      <c r="BM116" s="207"/>
      <c r="BN116" s="207"/>
      <c r="BO116" s="207"/>
      <c r="BP116" s="207"/>
      <c r="BQ116" s="207"/>
      <c r="BR116" s="207"/>
      <c r="BS116" s="207"/>
      <c r="BT116" s="207"/>
      <c r="BU116" s="207"/>
      <c r="BV116" s="207"/>
      <c r="BW116" s="207"/>
      <c r="BX116" s="207"/>
      <c r="BY116" s="207"/>
      <c r="BZ116" s="207"/>
      <c r="CA116" s="207"/>
      <c r="CB116" s="207"/>
      <c r="CC116" s="207"/>
      <c r="CD116" s="207"/>
      <c r="CE116" s="207"/>
      <c r="CF116" s="207"/>
      <c r="CG116" s="207"/>
      <c r="CH116" s="207"/>
      <c r="CI116" s="207"/>
      <c r="CJ116" s="207"/>
      <c r="CK116" s="207"/>
      <c r="CL116" s="207"/>
      <c r="CM116" s="207"/>
      <c r="CN116" s="207"/>
      <c r="CO116" s="207"/>
      <c r="CP116" s="207"/>
      <c r="CQ116" s="207"/>
      <c r="CR116" s="207"/>
      <c r="CS116" s="207"/>
      <c r="CT116" s="207"/>
      <c r="CU116" s="207"/>
      <c r="CV116" s="207"/>
      <c r="CW116" s="207"/>
      <c r="CX116" s="207"/>
      <c r="CY116" s="207"/>
      <c r="CZ116" s="207"/>
      <c r="DA116" s="207"/>
      <c r="DB116" s="207"/>
      <c r="DC116" s="207"/>
      <c r="DD116" s="207"/>
      <c r="DE116" s="207"/>
      <c r="DF116" s="207"/>
      <c r="DG116" s="207"/>
      <c r="DH116" s="207"/>
      <c r="DI116" s="207"/>
      <c r="DJ116" s="207"/>
      <c r="DK116" s="207"/>
      <c r="DL116" s="207"/>
      <c r="DM116" s="207"/>
      <c r="DN116" s="207"/>
      <c r="DO116" s="207"/>
      <c r="DP116" s="207"/>
      <c r="DQ116" s="207"/>
      <c r="DR116" s="207"/>
      <c r="DS116" s="207"/>
      <c r="DT116" s="207"/>
      <c r="DU116" s="207"/>
      <c r="DV116" s="207"/>
      <c r="DW116" s="207"/>
      <c r="DX116" s="207"/>
      <c r="DY116" s="207"/>
      <c r="DZ116" s="207"/>
      <c r="EA116" s="207"/>
      <c r="EB116" s="207"/>
      <c r="EC116" s="207"/>
      <c r="ED116" s="207"/>
      <c r="EE116" s="207"/>
      <c r="EF116" s="207"/>
      <c r="EG116" s="207"/>
      <c r="EH116" s="207"/>
      <c r="EI116" s="207"/>
      <c r="EJ116" s="207"/>
      <c r="EK116" s="207"/>
      <c r="EL116" s="207"/>
      <c r="EM116" s="207"/>
      <c r="EN116" s="207"/>
      <c r="EO116" s="207"/>
      <c r="EP116" s="207"/>
      <c r="EQ116" s="207"/>
      <c r="ER116" s="207"/>
      <c r="ES116" s="207"/>
      <c r="ET116" s="207"/>
      <c r="EU116" s="207"/>
      <c r="EV116" s="207"/>
      <c r="EW116" s="207"/>
      <c r="EX116" s="207"/>
      <c r="EY116" s="207"/>
      <c r="EZ116" s="207"/>
      <c r="FA116" s="207"/>
      <c r="FB116" s="207"/>
      <c r="FC116" s="207"/>
      <c r="FD116" s="207"/>
      <c r="FE116" s="207"/>
      <c r="FF116" s="207"/>
      <c r="FG116" s="207"/>
      <c r="FH116" s="207"/>
      <c r="FI116" s="207"/>
      <c r="FJ116" s="207"/>
      <c r="FK116" s="207"/>
      <c r="FL116" s="207"/>
      <c r="FM116" s="207"/>
      <c r="FN116" s="207"/>
      <c r="FO116" s="207"/>
      <c r="FP116" s="207"/>
      <c r="FQ116" s="207"/>
      <c r="FR116" s="207"/>
      <c r="FS116" s="208"/>
      <c r="FT116" s="156"/>
    </row>
    <row r="117" spans="1:176" ht="15" customHeight="1" outlineLevel="1">
      <c r="A117" s="206" t="s">
        <v>1366</v>
      </c>
      <c r="B117" s="200" t="s">
        <v>1360</v>
      </c>
      <c r="C117" s="34"/>
      <c r="D117" s="34"/>
      <c r="E117" s="34"/>
      <c r="F117" s="34"/>
      <c r="G117" s="34"/>
      <c r="H117" s="37" t="s">
        <v>488</v>
      </c>
      <c r="I117" s="38"/>
      <c r="J117" s="38"/>
      <c r="K117" s="38"/>
      <c r="L117" s="38"/>
      <c r="M117" s="38"/>
      <c r="N117" s="38"/>
      <c r="O117" s="38"/>
      <c r="P117" s="38"/>
      <c r="Q117" s="38"/>
      <c r="R117" s="177">
        <f t="shared" si="18"/>
        <v>0</v>
      </c>
      <c r="S117" s="202">
        <f t="shared" si="20"/>
        <v>0</v>
      </c>
      <c r="T117" s="202">
        <f t="shared" si="21"/>
        <v>0</v>
      </c>
      <c r="U117" s="18"/>
      <c r="V117" s="206" t="str">
        <f t="shared" si="15"/>
        <v>3-6</v>
      </c>
      <c r="W117" s="215" t="str">
        <f t="shared" si="19"/>
        <v/>
      </c>
      <c r="X117" s="110"/>
      <c r="Y117" s="109"/>
      <c r="Z117" s="207"/>
      <c r="AA117" s="207"/>
      <c r="AB117" s="207"/>
      <c r="AC117" s="207"/>
      <c r="AD117" s="207"/>
      <c r="AE117" s="207"/>
      <c r="AF117" s="207"/>
      <c r="AG117" s="207"/>
      <c r="AH117" s="207"/>
      <c r="AI117" s="207"/>
      <c r="AJ117" s="207"/>
      <c r="AK117" s="207"/>
      <c r="AL117" s="207"/>
      <c r="AM117" s="207"/>
      <c r="AN117" s="207"/>
      <c r="AO117" s="207"/>
      <c r="AP117" s="207"/>
      <c r="AQ117" s="207"/>
      <c r="AR117" s="207"/>
      <c r="AS117" s="207"/>
      <c r="AT117" s="207"/>
      <c r="AU117" s="207"/>
      <c r="AV117" s="207"/>
      <c r="AW117" s="207"/>
      <c r="AX117" s="207"/>
      <c r="AY117" s="207"/>
      <c r="AZ117" s="207"/>
      <c r="BA117" s="207"/>
      <c r="BB117" s="207"/>
      <c r="BC117" s="207"/>
      <c r="BD117" s="207"/>
      <c r="BE117" s="207"/>
      <c r="BF117" s="207"/>
      <c r="BG117" s="207"/>
      <c r="BH117" s="207"/>
      <c r="BI117" s="207"/>
      <c r="BJ117" s="207"/>
      <c r="BK117" s="207"/>
      <c r="BL117" s="207"/>
      <c r="BM117" s="207"/>
      <c r="BN117" s="207"/>
      <c r="BO117" s="207"/>
      <c r="BP117" s="207"/>
      <c r="BQ117" s="207"/>
      <c r="BR117" s="207"/>
      <c r="BS117" s="207"/>
      <c r="BT117" s="207"/>
      <c r="BU117" s="207"/>
      <c r="BV117" s="207"/>
      <c r="BW117" s="207"/>
      <c r="BX117" s="207"/>
      <c r="BY117" s="207"/>
      <c r="BZ117" s="207"/>
      <c r="CA117" s="207"/>
      <c r="CB117" s="207"/>
      <c r="CC117" s="207"/>
      <c r="CD117" s="207"/>
      <c r="CE117" s="207"/>
      <c r="CF117" s="207"/>
      <c r="CG117" s="207"/>
      <c r="CH117" s="207"/>
      <c r="CI117" s="207"/>
      <c r="CJ117" s="207"/>
      <c r="CK117" s="207"/>
      <c r="CL117" s="207"/>
      <c r="CM117" s="207"/>
      <c r="CN117" s="207"/>
      <c r="CO117" s="207"/>
      <c r="CP117" s="207"/>
      <c r="CQ117" s="207"/>
      <c r="CR117" s="207"/>
      <c r="CS117" s="207"/>
      <c r="CT117" s="207"/>
      <c r="CU117" s="207"/>
      <c r="CV117" s="207"/>
      <c r="CW117" s="207"/>
      <c r="CX117" s="207"/>
      <c r="CY117" s="207"/>
      <c r="CZ117" s="207"/>
      <c r="DA117" s="207"/>
      <c r="DB117" s="207"/>
      <c r="DC117" s="207"/>
      <c r="DD117" s="207"/>
      <c r="DE117" s="207"/>
      <c r="DF117" s="207"/>
      <c r="DG117" s="207"/>
      <c r="DH117" s="207"/>
      <c r="DI117" s="207"/>
      <c r="DJ117" s="207"/>
      <c r="DK117" s="207"/>
      <c r="DL117" s="207"/>
      <c r="DM117" s="207"/>
      <c r="DN117" s="207"/>
      <c r="DO117" s="207"/>
      <c r="DP117" s="207"/>
      <c r="DQ117" s="207"/>
      <c r="DR117" s="207"/>
      <c r="DS117" s="207"/>
      <c r="DT117" s="207"/>
      <c r="DU117" s="207"/>
      <c r="DV117" s="207"/>
      <c r="DW117" s="207"/>
      <c r="DX117" s="207"/>
      <c r="DY117" s="207"/>
      <c r="DZ117" s="207"/>
      <c r="EA117" s="207"/>
      <c r="EB117" s="207"/>
      <c r="EC117" s="207"/>
      <c r="ED117" s="207"/>
      <c r="EE117" s="207"/>
      <c r="EF117" s="207"/>
      <c r="EG117" s="207"/>
      <c r="EH117" s="207"/>
      <c r="EI117" s="207"/>
      <c r="EJ117" s="207"/>
      <c r="EK117" s="207"/>
      <c r="EL117" s="207"/>
      <c r="EM117" s="207"/>
      <c r="EN117" s="207"/>
      <c r="EO117" s="207"/>
      <c r="EP117" s="207"/>
      <c r="EQ117" s="207"/>
      <c r="ER117" s="207"/>
      <c r="ES117" s="207"/>
      <c r="ET117" s="207"/>
      <c r="EU117" s="207"/>
      <c r="EV117" s="207"/>
      <c r="EW117" s="207"/>
      <c r="EX117" s="207"/>
      <c r="EY117" s="207"/>
      <c r="EZ117" s="207"/>
      <c r="FA117" s="207"/>
      <c r="FB117" s="207"/>
      <c r="FC117" s="207"/>
      <c r="FD117" s="207"/>
      <c r="FE117" s="207"/>
      <c r="FF117" s="207"/>
      <c r="FG117" s="207"/>
      <c r="FH117" s="207"/>
      <c r="FI117" s="207"/>
      <c r="FJ117" s="207"/>
      <c r="FK117" s="207"/>
      <c r="FL117" s="207"/>
      <c r="FM117" s="207"/>
      <c r="FN117" s="207"/>
      <c r="FO117" s="207"/>
      <c r="FP117" s="207"/>
      <c r="FQ117" s="207"/>
      <c r="FR117" s="207"/>
      <c r="FS117" s="208"/>
      <c r="FT117" s="156"/>
    </row>
    <row r="118" spans="1:176" ht="15" customHeight="1" outlineLevel="1">
      <c r="A118" s="206" t="s">
        <v>1367</v>
      </c>
      <c r="B118" s="200" t="s">
        <v>1360</v>
      </c>
      <c r="C118" s="34"/>
      <c r="D118" s="34"/>
      <c r="E118" s="34"/>
      <c r="F118" s="34"/>
      <c r="G118" s="34"/>
      <c r="H118" s="37" t="s">
        <v>488</v>
      </c>
      <c r="I118" s="38"/>
      <c r="J118" s="38"/>
      <c r="K118" s="38"/>
      <c r="L118" s="38"/>
      <c r="M118" s="38"/>
      <c r="N118" s="38"/>
      <c r="O118" s="38"/>
      <c r="P118" s="38"/>
      <c r="Q118" s="38"/>
      <c r="R118" s="177">
        <f t="shared" si="18"/>
        <v>0</v>
      </c>
      <c r="S118" s="202">
        <f t="shared" si="20"/>
        <v>0</v>
      </c>
      <c r="T118" s="202">
        <f t="shared" si="21"/>
        <v>0</v>
      </c>
      <c r="U118" s="18"/>
      <c r="V118" s="206" t="str">
        <f t="shared" si="15"/>
        <v>3-7</v>
      </c>
      <c r="W118" s="215" t="str">
        <f t="shared" si="19"/>
        <v/>
      </c>
      <c r="X118" s="110"/>
      <c r="Y118" s="109"/>
      <c r="Z118" s="207"/>
      <c r="AA118" s="207"/>
      <c r="AB118" s="207"/>
      <c r="AC118" s="207"/>
      <c r="AD118" s="207"/>
      <c r="AE118" s="207"/>
      <c r="AF118" s="207"/>
      <c r="AG118" s="207"/>
      <c r="AH118" s="207"/>
      <c r="AI118" s="207"/>
      <c r="AJ118" s="207"/>
      <c r="AK118" s="207"/>
      <c r="AL118" s="207"/>
      <c r="AM118" s="207"/>
      <c r="AN118" s="207"/>
      <c r="AO118" s="207"/>
      <c r="AP118" s="207"/>
      <c r="AQ118" s="207"/>
      <c r="AR118" s="207"/>
      <c r="AS118" s="207"/>
      <c r="AT118" s="207"/>
      <c r="AU118" s="207"/>
      <c r="AV118" s="207"/>
      <c r="AW118" s="207"/>
      <c r="AX118" s="207"/>
      <c r="AY118" s="207"/>
      <c r="AZ118" s="207"/>
      <c r="BA118" s="207"/>
      <c r="BB118" s="207"/>
      <c r="BC118" s="207"/>
      <c r="BD118" s="207"/>
      <c r="BE118" s="207"/>
      <c r="BF118" s="207"/>
      <c r="BG118" s="207"/>
      <c r="BH118" s="207"/>
      <c r="BI118" s="207"/>
      <c r="BJ118" s="207"/>
      <c r="BK118" s="207"/>
      <c r="BL118" s="207"/>
      <c r="BM118" s="207"/>
      <c r="BN118" s="207"/>
      <c r="BO118" s="207"/>
      <c r="BP118" s="207"/>
      <c r="BQ118" s="207"/>
      <c r="BR118" s="207"/>
      <c r="BS118" s="207"/>
      <c r="BT118" s="207"/>
      <c r="BU118" s="207"/>
      <c r="BV118" s="207"/>
      <c r="BW118" s="207"/>
      <c r="BX118" s="207"/>
      <c r="BY118" s="207"/>
      <c r="BZ118" s="207"/>
      <c r="CA118" s="207"/>
      <c r="CB118" s="207"/>
      <c r="CC118" s="207"/>
      <c r="CD118" s="207"/>
      <c r="CE118" s="207"/>
      <c r="CF118" s="207"/>
      <c r="CG118" s="207"/>
      <c r="CH118" s="207"/>
      <c r="CI118" s="207"/>
      <c r="CJ118" s="207"/>
      <c r="CK118" s="207"/>
      <c r="CL118" s="207"/>
      <c r="CM118" s="207"/>
      <c r="CN118" s="207"/>
      <c r="CO118" s="207"/>
      <c r="CP118" s="207"/>
      <c r="CQ118" s="207"/>
      <c r="CR118" s="207"/>
      <c r="CS118" s="207"/>
      <c r="CT118" s="207"/>
      <c r="CU118" s="207"/>
      <c r="CV118" s="207"/>
      <c r="CW118" s="207"/>
      <c r="CX118" s="207"/>
      <c r="CY118" s="207"/>
      <c r="CZ118" s="207"/>
      <c r="DA118" s="207"/>
      <c r="DB118" s="207"/>
      <c r="DC118" s="207"/>
      <c r="DD118" s="207"/>
      <c r="DE118" s="207"/>
      <c r="DF118" s="207"/>
      <c r="DG118" s="207"/>
      <c r="DH118" s="207"/>
      <c r="DI118" s="207"/>
      <c r="DJ118" s="207"/>
      <c r="DK118" s="207"/>
      <c r="DL118" s="207"/>
      <c r="DM118" s="207"/>
      <c r="DN118" s="207"/>
      <c r="DO118" s="207"/>
      <c r="DP118" s="207"/>
      <c r="DQ118" s="207"/>
      <c r="DR118" s="207"/>
      <c r="DS118" s="207"/>
      <c r="DT118" s="207"/>
      <c r="DU118" s="207"/>
      <c r="DV118" s="207"/>
      <c r="DW118" s="207"/>
      <c r="DX118" s="207"/>
      <c r="DY118" s="207"/>
      <c r="DZ118" s="207"/>
      <c r="EA118" s="207"/>
      <c r="EB118" s="207"/>
      <c r="EC118" s="207"/>
      <c r="ED118" s="207"/>
      <c r="EE118" s="207"/>
      <c r="EF118" s="207"/>
      <c r="EG118" s="207"/>
      <c r="EH118" s="207"/>
      <c r="EI118" s="207"/>
      <c r="EJ118" s="207"/>
      <c r="EK118" s="207"/>
      <c r="EL118" s="207"/>
      <c r="EM118" s="207"/>
      <c r="EN118" s="207"/>
      <c r="EO118" s="207"/>
      <c r="EP118" s="207"/>
      <c r="EQ118" s="207"/>
      <c r="ER118" s="207"/>
      <c r="ES118" s="207"/>
      <c r="ET118" s="207"/>
      <c r="EU118" s="207"/>
      <c r="EV118" s="207"/>
      <c r="EW118" s="207"/>
      <c r="EX118" s="207"/>
      <c r="EY118" s="207"/>
      <c r="EZ118" s="207"/>
      <c r="FA118" s="207"/>
      <c r="FB118" s="207"/>
      <c r="FC118" s="207"/>
      <c r="FD118" s="207"/>
      <c r="FE118" s="207"/>
      <c r="FF118" s="207"/>
      <c r="FG118" s="207"/>
      <c r="FH118" s="207"/>
      <c r="FI118" s="207"/>
      <c r="FJ118" s="207"/>
      <c r="FK118" s="207"/>
      <c r="FL118" s="207"/>
      <c r="FM118" s="207"/>
      <c r="FN118" s="207"/>
      <c r="FO118" s="207"/>
      <c r="FP118" s="207"/>
      <c r="FQ118" s="207"/>
      <c r="FR118" s="207"/>
      <c r="FS118" s="208"/>
      <c r="FT118" s="156"/>
    </row>
    <row r="119" spans="1:176" ht="15" customHeight="1" outlineLevel="1">
      <c r="A119" s="206" t="s">
        <v>1368</v>
      </c>
      <c r="B119" s="200" t="s">
        <v>1360</v>
      </c>
      <c r="C119" s="34"/>
      <c r="D119" s="34"/>
      <c r="E119" s="34"/>
      <c r="F119" s="34"/>
      <c r="G119" s="34"/>
      <c r="H119" s="37" t="s">
        <v>488</v>
      </c>
      <c r="I119" s="38"/>
      <c r="J119" s="38"/>
      <c r="K119" s="38"/>
      <c r="L119" s="38"/>
      <c r="M119" s="38"/>
      <c r="N119" s="38"/>
      <c r="O119" s="38"/>
      <c r="P119" s="38"/>
      <c r="Q119" s="38"/>
      <c r="R119" s="177">
        <f t="shared" si="18"/>
        <v>0</v>
      </c>
      <c r="S119" s="202">
        <f t="shared" si="20"/>
        <v>0</v>
      </c>
      <c r="T119" s="202">
        <f t="shared" si="21"/>
        <v>0</v>
      </c>
      <c r="U119" s="18"/>
      <c r="V119" s="206" t="str">
        <f t="shared" si="15"/>
        <v>3-8</v>
      </c>
      <c r="W119" s="215" t="str">
        <f t="shared" si="19"/>
        <v/>
      </c>
      <c r="X119" s="110"/>
      <c r="Y119" s="109"/>
      <c r="Z119" s="207"/>
      <c r="AA119" s="207"/>
      <c r="AB119" s="207"/>
      <c r="AC119" s="207"/>
      <c r="AD119" s="207"/>
      <c r="AE119" s="207"/>
      <c r="AF119" s="207"/>
      <c r="AG119" s="207"/>
      <c r="AH119" s="207"/>
      <c r="AI119" s="207"/>
      <c r="AJ119" s="207"/>
      <c r="AK119" s="207"/>
      <c r="AL119" s="207"/>
      <c r="AM119" s="207"/>
      <c r="AN119" s="207"/>
      <c r="AO119" s="207"/>
      <c r="AP119" s="207"/>
      <c r="AQ119" s="207"/>
      <c r="AR119" s="207"/>
      <c r="AS119" s="207"/>
      <c r="AT119" s="207"/>
      <c r="AU119" s="207"/>
      <c r="AV119" s="207"/>
      <c r="AW119" s="207"/>
      <c r="AX119" s="207"/>
      <c r="AY119" s="207"/>
      <c r="AZ119" s="207"/>
      <c r="BA119" s="207"/>
      <c r="BB119" s="207"/>
      <c r="BC119" s="207"/>
      <c r="BD119" s="207"/>
      <c r="BE119" s="207"/>
      <c r="BF119" s="207"/>
      <c r="BG119" s="207"/>
      <c r="BH119" s="207"/>
      <c r="BI119" s="207"/>
      <c r="BJ119" s="207"/>
      <c r="BK119" s="207"/>
      <c r="BL119" s="207"/>
      <c r="BM119" s="207"/>
      <c r="BN119" s="207"/>
      <c r="BO119" s="207"/>
      <c r="BP119" s="207"/>
      <c r="BQ119" s="207"/>
      <c r="BR119" s="207"/>
      <c r="BS119" s="207"/>
      <c r="BT119" s="207"/>
      <c r="BU119" s="207"/>
      <c r="BV119" s="207"/>
      <c r="BW119" s="207"/>
      <c r="BX119" s="207"/>
      <c r="BY119" s="207"/>
      <c r="BZ119" s="207"/>
      <c r="CA119" s="207"/>
      <c r="CB119" s="207"/>
      <c r="CC119" s="207"/>
      <c r="CD119" s="207"/>
      <c r="CE119" s="207"/>
      <c r="CF119" s="207"/>
      <c r="CG119" s="207"/>
      <c r="CH119" s="207"/>
      <c r="CI119" s="207"/>
      <c r="CJ119" s="207"/>
      <c r="CK119" s="207"/>
      <c r="CL119" s="207"/>
      <c r="CM119" s="207"/>
      <c r="CN119" s="207"/>
      <c r="CO119" s="207"/>
      <c r="CP119" s="207"/>
      <c r="CQ119" s="207"/>
      <c r="CR119" s="207"/>
      <c r="CS119" s="207"/>
      <c r="CT119" s="207"/>
      <c r="CU119" s="207"/>
      <c r="CV119" s="207"/>
      <c r="CW119" s="207"/>
      <c r="CX119" s="207"/>
      <c r="CY119" s="207"/>
      <c r="CZ119" s="207"/>
      <c r="DA119" s="207"/>
      <c r="DB119" s="207"/>
      <c r="DC119" s="207"/>
      <c r="DD119" s="207"/>
      <c r="DE119" s="207"/>
      <c r="DF119" s="207"/>
      <c r="DG119" s="207"/>
      <c r="DH119" s="207"/>
      <c r="DI119" s="207"/>
      <c r="DJ119" s="207"/>
      <c r="DK119" s="207"/>
      <c r="DL119" s="207"/>
      <c r="DM119" s="207"/>
      <c r="DN119" s="207"/>
      <c r="DO119" s="207"/>
      <c r="DP119" s="207"/>
      <c r="DQ119" s="207"/>
      <c r="DR119" s="207"/>
      <c r="DS119" s="207"/>
      <c r="DT119" s="207"/>
      <c r="DU119" s="207"/>
      <c r="DV119" s="207"/>
      <c r="DW119" s="207"/>
      <c r="DX119" s="207"/>
      <c r="DY119" s="207"/>
      <c r="DZ119" s="207"/>
      <c r="EA119" s="207"/>
      <c r="EB119" s="207"/>
      <c r="EC119" s="207"/>
      <c r="ED119" s="207"/>
      <c r="EE119" s="207"/>
      <c r="EF119" s="207"/>
      <c r="EG119" s="207"/>
      <c r="EH119" s="207"/>
      <c r="EI119" s="207"/>
      <c r="EJ119" s="207"/>
      <c r="EK119" s="207"/>
      <c r="EL119" s="207"/>
      <c r="EM119" s="207"/>
      <c r="EN119" s="207"/>
      <c r="EO119" s="207"/>
      <c r="EP119" s="207"/>
      <c r="EQ119" s="207"/>
      <c r="ER119" s="207"/>
      <c r="ES119" s="207"/>
      <c r="ET119" s="207"/>
      <c r="EU119" s="207"/>
      <c r="EV119" s="207"/>
      <c r="EW119" s="207"/>
      <c r="EX119" s="207"/>
      <c r="EY119" s="207"/>
      <c r="EZ119" s="207"/>
      <c r="FA119" s="207"/>
      <c r="FB119" s="207"/>
      <c r="FC119" s="207"/>
      <c r="FD119" s="207"/>
      <c r="FE119" s="207"/>
      <c r="FF119" s="207"/>
      <c r="FG119" s="207"/>
      <c r="FH119" s="207"/>
      <c r="FI119" s="207"/>
      <c r="FJ119" s="207"/>
      <c r="FK119" s="207"/>
      <c r="FL119" s="207"/>
      <c r="FM119" s="207"/>
      <c r="FN119" s="207"/>
      <c r="FO119" s="207"/>
      <c r="FP119" s="207"/>
      <c r="FQ119" s="207"/>
      <c r="FR119" s="207"/>
      <c r="FS119" s="208"/>
      <c r="FT119" s="156"/>
    </row>
    <row r="120" spans="1:176" ht="15" customHeight="1" outlineLevel="1">
      <c r="A120" s="206" t="s">
        <v>1369</v>
      </c>
      <c r="B120" s="200" t="s">
        <v>1360</v>
      </c>
      <c r="C120" s="34"/>
      <c r="D120" s="34"/>
      <c r="E120" s="34"/>
      <c r="F120" s="34"/>
      <c r="G120" s="34"/>
      <c r="H120" s="37" t="s">
        <v>488</v>
      </c>
      <c r="I120" s="38"/>
      <c r="J120" s="38"/>
      <c r="K120" s="38"/>
      <c r="L120" s="38"/>
      <c r="M120" s="38"/>
      <c r="N120" s="38"/>
      <c r="O120" s="38"/>
      <c r="P120" s="38"/>
      <c r="Q120" s="38"/>
      <c r="R120" s="177">
        <f t="shared" si="18"/>
        <v>0</v>
      </c>
      <c r="S120" s="202">
        <f t="shared" si="20"/>
        <v>0</v>
      </c>
      <c r="T120" s="202">
        <f t="shared" si="21"/>
        <v>0</v>
      </c>
      <c r="U120" s="18"/>
      <c r="V120" s="206" t="str">
        <f t="shared" si="15"/>
        <v>3-9</v>
      </c>
      <c r="W120" s="215" t="str">
        <f t="shared" si="19"/>
        <v/>
      </c>
      <c r="X120" s="110"/>
      <c r="Y120" s="109"/>
      <c r="Z120" s="207"/>
      <c r="AA120" s="207"/>
      <c r="AB120" s="207"/>
      <c r="AC120" s="207"/>
      <c r="AD120" s="207"/>
      <c r="AE120" s="207"/>
      <c r="AF120" s="207"/>
      <c r="AG120" s="207"/>
      <c r="AH120" s="207"/>
      <c r="AI120" s="207"/>
      <c r="AJ120" s="207"/>
      <c r="AK120" s="207"/>
      <c r="AL120" s="207"/>
      <c r="AM120" s="207"/>
      <c r="AN120" s="207"/>
      <c r="AO120" s="207"/>
      <c r="AP120" s="207"/>
      <c r="AQ120" s="207"/>
      <c r="AR120" s="207"/>
      <c r="AS120" s="207"/>
      <c r="AT120" s="207"/>
      <c r="AU120" s="207"/>
      <c r="AV120" s="207"/>
      <c r="AW120" s="207"/>
      <c r="AX120" s="207"/>
      <c r="AY120" s="207"/>
      <c r="AZ120" s="207"/>
      <c r="BA120" s="207"/>
      <c r="BB120" s="207"/>
      <c r="BC120" s="207"/>
      <c r="BD120" s="207"/>
      <c r="BE120" s="207"/>
      <c r="BF120" s="207"/>
      <c r="BG120" s="207"/>
      <c r="BH120" s="207"/>
      <c r="BI120" s="207"/>
      <c r="BJ120" s="207"/>
      <c r="BK120" s="207"/>
      <c r="BL120" s="207"/>
      <c r="BM120" s="207"/>
      <c r="BN120" s="207"/>
      <c r="BO120" s="207"/>
      <c r="BP120" s="207"/>
      <c r="BQ120" s="207"/>
      <c r="BR120" s="207"/>
      <c r="BS120" s="207"/>
      <c r="BT120" s="207"/>
      <c r="BU120" s="207"/>
      <c r="BV120" s="207"/>
      <c r="BW120" s="207"/>
      <c r="BX120" s="207"/>
      <c r="BY120" s="207"/>
      <c r="BZ120" s="207"/>
      <c r="CA120" s="207"/>
      <c r="CB120" s="207"/>
      <c r="CC120" s="207"/>
      <c r="CD120" s="207"/>
      <c r="CE120" s="207"/>
      <c r="CF120" s="207"/>
      <c r="CG120" s="207"/>
      <c r="CH120" s="207"/>
      <c r="CI120" s="207"/>
      <c r="CJ120" s="207"/>
      <c r="CK120" s="207"/>
      <c r="CL120" s="207"/>
      <c r="CM120" s="207"/>
      <c r="CN120" s="207"/>
      <c r="CO120" s="207"/>
      <c r="CP120" s="207"/>
      <c r="CQ120" s="207"/>
      <c r="CR120" s="207"/>
      <c r="CS120" s="207"/>
      <c r="CT120" s="207"/>
      <c r="CU120" s="207"/>
      <c r="CV120" s="207"/>
      <c r="CW120" s="207"/>
      <c r="CX120" s="207"/>
      <c r="CY120" s="207"/>
      <c r="CZ120" s="207"/>
      <c r="DA120" s="207"/>
      <c r="DB120" s="207"/>
      <c r="DC120" s="207"/>
      <c r="DD120" s="207"/>
      <c r="DE120" s="207"/>
      <c r="DF120" s="207"/>
      <c r="DG120" s="207"/>
      <c r="DH120" s="207"/>
      <c r="DI120" s="207"/>
      <c r="DJ120" s="207"/>
      <c r="DK120" s="207"/>
      <c r="DL120" s="207"/>
      <c r="DM120" s="207"/>
      <c r="DN120" s="207"/>
      <c r="DO120" s="207"/>
      <c r="DP120" s="207"/>
      <c r="DQ120" s="207"/>
      <c r="DR120" s="207"/>
      <c r="DS120" s="207"/>
      <c r="DT120" s="207"/>
      <c r="DU120" s="207"/>
      <c r="DV120" s="207"/>
      <c r="DW120" s="207"/>
      <c r="DX120" s="207"/>
      <c r="DY120" s="207"/>
      <c r="DZ120" s="207"/>
      <c r="EA120" s="207"/>
      <c r="EB120" s="207"/>
      <c r="EC120" s="207"/>
      <c r="ED120" s="207"/>
      <c r="EE120" s="207"/>
      <c r="EF120" s="207"/>
      <c r="EG120" s="207"/>
      <c r="EH120" s="207"/>
      <c r="EI120" s="207"/>
      <c r="EJ120" s="207"/>
      <c r="EK120" s="207"/>
      <c r="EL120" s="207"/>
      <c r="EM120" s="207"/>
      <c r="EN120" s="207"/>
      <c r="EO120" s="207"/>
      <c r="EP120" s="207"/>
      <c r="EQ120" s="207"/>
      <c r="ER120" s="207"/>
      <c r="ES120" s="207"/>
      <c r="ET120" s="207"/>
      <c r="EU120" s="207"/>
      <c r="EV120" s="207"/>
      <c r="EW120" s="207"/>
      <c r="EX120" s="207"/>
      <c r="EY120" s="207"/>
      <c r="EZ120" s="207"/>
      <c r="FA120" s="207"/>
      <c r="FB120" s="207"/>
      <c r="FC120" s="207"/>
      <c r="FD120" s="207"/>
      <c r="FE120" s="207"/>
      <c r="FF120" s="207"/>
      <c r="FG120" s="207"/>
      <c r="FH120" s="207"/>
      <c r="FI120" s="207"/>
      <c r="FJ120" s="207"/>
      <c r="FK120" s="207"/>
      <c r="FL120" s="207"/>
      <c r="FM120" s="207"/>
      <c r="FN120" s="207"/>
      <c r="FO120" s="207"/>
      <c r="FP120" s="207"/>
      <c r="FQ120" s="207"/>
      <c r="FR120" s="207"/>
      <c r="FS120" s="208"/>
      <c r="FT120" s="156"/>
    </row>
    <row r="121" spans="1:176" ht="15" customHeight="1" outlineLevel="1">
      <c r="A121" s="206" t="s">
        <v>1370</v>
      </c>
      <c r="B121" s="200" t="s">
        <v>1360</v>
      </c>
      <c r="C121" s="34"/>
      <c r="D121" s="34"/>
      <c r="E121" s="34"/>
      <c r="F121" s="34"/>
      <c r="G121" s="34"/>
      <c r="H121" s="37" t="s">
        <v>488</v>
      </c>
      <c r="I121" s="38"/>
      <c r="J121" s="38"/>
      <c r="K121" s="38"/>
      <c r="L121" s="38"/>
      <c r="M121" s="38"/>
      <c r="N121" s="38"/>
      <c r="O121" s="38"/>
      <c r="P121" s="38"/>
      <c r="Q121" s="38"/>
      <c r="R121" s="177">
        <f t="shared" si="18"/>
        <v>0</v>
      </c>
      <c r="S121" s="202">
        <f t="shared" si="20"/>
        <v>0</v>
      </c>
      <c r="T121" s="202">
        <f t="shared" si="21"/>
        <v>0</v>
      </c>
      <c r="U121" s="18"/>
      <c r="V121" s="206" t="str">
        <f t="shared" si="15"/>
        <v>3-10</v>
      </c>
      <c r="W121" s="215" t="str">
        <f t="shared" si="19"/>
        <v/>
      </c>
      <c r="X121" s="110"/>
      <c r="Y121" s="109"/>
      <c r="Z121" s="207"/>
      <c r="AA121" s="207"/>
      <c r="AB121" s="207"/>
      <c r="AC121" s="207"/>
      <c r="AD121" s="207"/>
      <c r="AE121" s="207"/>
      <c r="AF121" s="207"/>
      <c r="AG121" s="207"/>
      <c r="AH121" s="207"/>
      <c r="AI121" s="207"/>
      <c r="AJ121" s="207"/>
      <c r="AK121" s="207"/>
      <c r="AL121" s="207"/>
      <c r="AM121" s="207"/>
      <c r="AN121" s="207"/>
      <c r="AO121" s="207"/>
      <c r="AP121" s="207"/>
      <c r="AQ121" s="207"/>
      <c r="AR121" s="207"/>
      <c r="AS121" s="207"/>
      <c r="AT121" s="207"/>
      <c r="AU121" s="207"/>
      <c r="AV121" s="207"/>
      <c r="AW121" s="207"/>
      <c r="AX121" s="207"/>
      <c r="AY121" s="207"/>
      <c r="AZ121" s="207"/>
      <c r="BA121" s="207"/>
      <c r="BB121" s="207"/>
      <c r="BC121" s="207"/>
      <c r="BD121" s="207"/>
      <c r="BE121" s="207"/>
      <c r="BF121" s="207"/>
      <c r="BG121" s="207"/>
      <c r="BH121" s="207"/>
      <c r="BI121" s="207"/>
      <c r="BJ121" s="207"/>
      <c r="BK121" s="207"/>
      <c r="BL121" s="207"/>
      <c r="BM121" s="207"/>
      <c r="BN121" s="207"/>
      <c r="BO121" s="207"/>
      <c r="BP121" s="207"/>
      <c r="BQ121" s="207"/>
      <c r="BR121" s="207"/>
      <c r="BS121" s="207"/>
      <c r="BT121" s="207"/>
      <c r="BU121" s="207"/>
      <c r="BV121" s="207"/>
      <c r="BW121" s="207"/>
      <c r="BX121" s="207"/>
      <c r="BY121" s="207"/>
      <c r="BZ121" s="207"/>
      <c r="CA121" s="207"/>
      <c r="CB121" s="207"/>
      <c r="CC121" s="207"/>
      <c r="CD121" s="207"/>
      <c r="CE121" s="207"/>
      <c r="CF121" s="207"/>
      <c r="CG121" s="207"/>
      <c r="CH121" s="207"/>
      <c r="CI121" s="207"/>
      <c r="CJ121" s="207"/>
      <c r="CK121" s="207"/>
      <c r="CL121" s="207"/>
      <c r="CM121" s="207"/>
      <c r="CN121" s="207"/>
      <c r="CO121" s="207"/>
      <c r="CP121" s="207"/>
      <c r="CQ121" s="207"/>
      <c r="CR121" s="207"/>
      <c r="CS121" s="207"/>
      <c r="CT121" s="207"/>
      <c r="CU121" s="207"/>
      <c r="CV121" s="207"/>
      <c r="CW121" s="207"/>
      <c r="CX121" s="207"/>
      <c r="CY121" s="207"/>
      <c r="CZ121" s="207"/>
      <c r="DA121" s="207"/>
      <c r="DB121" s="207"/>
      <c r="DC121" s="207"/>
      <c r="DD121" s="207"/>
      <c r="DE121" s="207"/>
      <c r="DF121" s="207"/>
      <c r="DG121" s="207"/>
      <c r="DH121" s="207"/>
      <c r="DI121" s="207"/>
      <c r="DJ121" s="207"/>
      <c r="DK121" s="207"/>
      <c r="DL121" s="207"/>
      <c r="DM121" s="207"/>
      <c r="DN121" s="207"/>
      <c r="DO121" s="207"/>
      <c r="DP121" s="207"/>
      <c r="DQ121" s="207"/>
      <c r="DR121" s="207"/>
      <c r="DS121" s="207"/>
      <c r="DT121" s="207"/>
      <c r="DU121" s="207"/>
      <c r="DV121" s="207"/>
      <c r="DW121" s="207"/>
      <c r="DX121" s="207"/>
      <c r="DY121" s="207"/>
      <c r="DZ121" s="207"/>
      <c r="EA121" s="207"/>
      <c r="EB121" s="207"/>
      <c r="EC121" s="207"/>
      <c r="ED121" s="207"/>
      <c r="EE121" s="207"/>
      <c r="EF121" s="207"/>
      <c r="EG121" s="207"/>
      <c r="EH121" s="207"/>
      <c r="EI121" s="207"/>
      <c r="EJ121" s="207"/>
      <c r="EK121" s="207"/>
      <c r="EL121" s="207"/>
      <c r="EM121" s="207"/>
      <c r="EN121" s="207"/>
      <c r="EO121" s="207"/>
      <c r="EP121" s="207"/>
      <c r="EQ121" s="207"/>
      <c r="ER121" s="207"/>
      <c r="ES121" s="207"/>
      <c r="ET121" s="207"/>
      <c r="EU121" s="207"/>
      <c r="EV121" s="207"/>
      <c r="EW121" s="207"/>
      <c r="EX121" s="207"/>
      <c r="EY121" s="207"/>
      <c r="EZ121" s="207"/>
      <c r="FA121" s="207"/>
      <c r="FB121" s="207"/>
      <c r="FC121" s="207"/>
      <c r="FD121" s="207"/>
      <c r="FE121" s="207"/>
      <c r="FF121" s="207"/>
      <c r="FG121" s="207"/>
      <c r="FH121" s="207"/>
      <c r="FI121" s="207"/>
      <c r="FJ121" s="207"/>
      <c r="FK121" s="207"/>
      <c r="FL121" s="207"/>
      <c r="FM121" s="207"/>
      <c r="FN121" s="207"/>
      <c r="FO121" s="207"/>
      <c r="FP121" s="207"/>
      <c r="FQ121" s="207"/>
      <c r="FR121" s="207"/>
      <c r="FS121" s="208"/>
      <c r="FT121" s="156"/>
    </row>
    <row r="122" spans="1:176" ht="15" customHeight="1" outlineLevel="1">
      <c r="A122" s="206" t="s">
        <v>1371</v>
      </c>
      <c r="B122" s="200" t="s">
        <v>1360</v>
      </c>
      <c r="C122" s="34"/>
      <c r="D122" s="34"/>
      <c r="E122" s="34"/>
      <c r="F122" s="34"/>
      <c r="G122" s="34"/>
      <c r="H122" s="37" t="s">
        <v>488</v>
      </c>
      <c r="I122" s="38"/>
      <c r="J122" s="38"/>
      <c r="K122" s="38"/>
      <c r="L122" s="38"/>
      <c r="M122" s="38"/>
      <c r="N122" s="38"/>
      <c r="O122" s="38"/>
      <c r="P122" s="38"/>
      <c r="Q122" s="38"/>
      <c r="R122" s="177">
        <f t="shared" si="18"/>
        <v>0</v>
      </c>
      <c r="S122" s="202">
        <f t="shared" si="20"/>
        <v>0</v>
      </c>
      <c r="T122" s="202">
        <f t="shared" si="21"/>
        <v>0</v>
      </c>
      <c r="U122" s="18"/>
      <c r="V122" s="206" t="str">
        <f t="shared" si="15"/>
        <v>3-11</v>
      </c>
      <c r="W122" s="215" t="str">
        <f t="shared" si="19"/>
        <v/>
      </c>
      <c r="X122" s="110"/>
      <c r="Y122" s="109"/>
      <c r="Z122" s="207"/>
      <c r="AA122" s="207"/>
      <c r="AB122" s="207"/>
      <c r="AC122" s="207"/>
      <c r="AD122" s="207"/>
      <c r="AE122" s="207"/>
      <c r="AF122" s="207"/>
      <c r="AG122" s="207"/>
      <c r="AH122" s="207"/>
      <c r="AI122" s="207"/>
      <c r="AJ122" s="207"/>
      <c r="AK122" s="207"/>
      <c r="AL122" s="207"/>
      <c r="AM122" s="207"/>
      <c r="AN122" s="207"/>
      <c r="AO122" s="207"/>
      <c r="AP122" s="207"/>
      <c r="AQ122" s="207"/>
      <c r="AR122" s="207"/>
      <c r="AS122" s="207"/>
      <c r="AT122" s="207"/>
      <c r="AU122" s="207"/>
      <c r="AV122" s="207"/>
      <c r="AW122" s="207"/>
      <c r="AX122" s="207"/>
      <c r="AY122" s="207"/>
      <c r="AZ122" s="207"/>
      <c r="BA122" s="207"/>
      <c r="BB122" s="207"/>
      <c r="BC122" s="207"/>
      <c r="BD122" s="207"/>
      <c r="BE122" s="207"/>
      <c r="BF122" s="207"/>
      <c r="BG122" s="207"/>
      <c r="BH122" s="207"/>
      <c r="BI122" s="207"/>
      <c r="BJ122" s="207"/>
      <c r="BK122" s="207"/>
      <c r="BL122" s="207"/>
      <c r="BM122" s="207"/>
      <c r="BN122" s="207"/>
      <c r="BO122" s="207"/>
      <c r="BP122" s="207"/>
      <c r="BQ122" s="207"/>
      <c r="BR122" s="207"/>
      <c r="BS122" s="207"/>
      <c r="BT122" s="207"/>
      <c r="BU122" s="207"/>
      <c r="BV122" s="207"/>
      <c r="BW122" s="207"/>
      <c r="BX122" s="207"/>
      <c r="BY122" s="207"/>
      <c r="BZ122" s="207"/>
      <c r="CA122" s="207"/>
      <c r="CB122" s="207"/>
      <c r="CC122" s="207"/>
      <c r="CD122" s="207"/>
      <c r="CE122" s="207"/>
      <c r="CF122" s="207"/>
      <c r="CG122" s="207"/>
      <c r="CH122" s="207"/>
      <c r="CI122" s="207"/>
      <c r="CJ122" s="207"/>
      <c r="CK122" s="207"/>
      <c r="CL122" s="207"/>
      <c r="CM122" s="207"/>
      <c r="CN122" s="207"/>
      <c r="CO122" s="207"/>
      <c r="CP122" s="207"/>
      <c r="CQ122" s="207"/>
      <c r="CR122" s="207"/>
      <c r="CS122" s="207"/>
      <c r="CT122" s="207"/>
      <c r="CU122" s="207"/>
      <c r="CV122" s="207"/>
      <c r="CW122" s="207"/>
      <c r="CX122" s="207"/>
      <c r="CY122" s="207"/>
      <c r="CZ122" s="207"/>
      <c r="DA122" s="207"/>
      <c r="DB122" s="207"/>
      <c r="DC122" s="207"/>
      <c r="DD122" s="207"/>
      <c r="DE122" s="207"/>
      <c r="DF122" s="207"/>
      <c r="DG122" s="207"/>
      <c r="DH122" s="207"/>
      <c r="DI122" s="207"/>
      <c r="DJ122" s="207"/>
      <c r="DK122" s="207"/>
      <c r="DL122" s="207"/>
      <c r="DM122" s="207"/>
      <c r="DN122" s="207"/>
      <c r="DO122" s="207"/>
      <c r="DP122" s="207"/>
      <c r="DQ122" s="207"/>
      <c r="DR122" s="207"/>
      <c r="DS122" s="207"/>
      <c r="DT122" s="207"/>
      <c r="DU122" s="207"/>
      <c r="DV122" s="207"/>
      <c r="DW122" s="207"/>
      <c r="DX122" s="207"/>
      <c r="DY122" s="207"/>
      <c r="DZ122" s="207"/>
      <c r="EA122" s="207"/>
      <c r="EB122" s="207"/>
      <c r="EC122" s="207"/>
      <c r="ED122" s="207"/>
      <c r="EE122" s="207"/>
      <c r="EF122" s="207"/>
      <c r="EG122" s="207"/>
      <c r="EH122" s="207"/>
      <c r="EI122" s="207"/>
      <c r="EJ122" s="207"/>
      <c r="EK122" s="207"/>
      <c r="EL122" s="207"/>
      <c r="EM122" s="207"/>
      <c r="EN122" s="207"/>
      <c r="EO122" s="207"/>
      <c r="EP122" s="207"/>
      <c r="EQ122" s="207"/>
      <c r="ER122" s="207"/>
      <c r="ES122" s="207"/>
      <c r="ET122" s="207"/>
      <c r="EU122" s="207"/>
      <c r="EV122" s="207"/>
      <c r="EW122" s="207"/>
      <c r="EX122" s="207"/>
      <c r="EY122" s="207"/>
      <c r="EZ122" s="207"/>
      <c r="FA122" s="207"/>
      <c r="FB122" s="207"/>
      <c r="FC122" s="207"/>
      <c r="FD122" s="207"/>
      <c r="FE122" s="207"/>
      <c r="FF122" s="207"/>
      <c r="FG122" s="207"/>
      <c r="FH122" s="207"/>
      <c r="FI122" s="207"/>
      <c r="FJ122" s="207"/>
      <c r="FK122" s="207"/>
      <c r="FL122" s="207"/>
      <c r="FM122" s="207"/>
      <c r="FN122" s="207"/>
      <c r="FO122" s="207"/>
      <c r="FP122" s="207"/>
      <c r="FQ122" s="207"/>
      <c r="FR122" s="207"/>
      <c r="FS122" s="208"/>
      <c r="FT122" s="156"/>
    </row>
    <row r="123" spans="1:176" ht="15" customHeight="1" outlineLevel="1">
      <c r="A123" s="206" t="s">
        <v>1372</v>
      </c>
      <c r="B123" s="200" t="s">
        <v>1360</v>
      </c>
      <c r="C123" s="34"/>
      <c r="D123" s="34"/>
      <c r="E123" s="34"/>
      <c r="F123" s="34"/>
      <c r="G123" s="34"/>
      <c r="H123" s="37" t="s">
        <v>488</v>
      </c>
      <c r="I123" s="38"/>
      <c r="J123" s="38"/>
      <c r="K123" s="38"/>
      <c r="L123" s="38"/>
      <c r="M123" s="38"/>
      <c r="N123" s="38"/>
      <c r="O123" s="38"/>
      <c r="P123" s="38"/>
      <c r="Q123" s="38"/>
      <c r="R123" s="177">
        <f t="shared" si="18"/>
        <v>0</v>
      </c>
      <c r="S123" s="202">
        <f t="shared" si="20"/>
        <v>0</v>
      </c>
      <c r="T123" s="202">
        <f t="shared" si="21"/>
        <v>0</v>
      </c>
      <c r="U123" s="18"/>
      <c r="V123" s="206" t="str">
        <f t="shared" si="15"/>
        <v>3-12</v>
      </c>
      <c r="W123" s="215" t="str">
        <f t="shared" si="19"/>
        <v/>
      </c>
      <c r="X123" s="110"/>
      <c r="Y123" s="109"/>
      <c r="Z123" s="207"/>
      <c r="AA123" s="207"/>
      <c r="AB123" s="207"/>
      <c r="AC123" s="207"/>
      <c r="AD123" s="207"/>
      <c r="AE123" s="207"/>
      <c r="AF123" s="207"/>
      <c r="AG123" s="207"/>
      <c r="AH123" s="207"/>
      <c r="AI123" s="207"/>
      <c r="AJ123" s="207"/>
      <c r="AK123" s="207"/>
      <c r="AL123" s="207"/>
      <c r="AM123" s="207"/>
      <c r="AN123" s="207"/>
      <c r="AO123" s="207"/>
      <c r="AP123" s="207"/>
      <c r="AQ123" s="207"/>
      <c r="AR123" s="207"/>
      <c r="AS123" s="207"/>
      <c r="AT123" s="207"/>
      <c r="AU123" s="207"/>
      <c r="AV123" s="207"/>
      <c r="AW123" s="207"/>
      <c r="AX123" s="207"/>
      <c r="AY123" s="207"/>
      <c r="AZ123" s="207"/>
      <c r="BA123" s="207"/>
      <c r="BB123" s="207"/>
      <c r="BC123" s="207"/>
      <c r="BD123" s="207"/>
      <c r="BE123" s="207"/>
      <c r="BF123" s="207"/>
      <c r="BG123" s="207"/>
      <c r="BH123" s="207"/>
      <c r="BI123" s="207"/>
      <c r="BJ123" s="207"/>
      <c r="BK123" s="207"/>
      <c r="BL123" s="207"/>
      <c r="BM123" s="207"/>
      <c r="BN123" s="207"/>
      <c r="BO123" s="207"/>
      <c r="BP123" s="207"/>
      <c r="BQ123" s="207"/>
      <c r="BR123" s="207"/>
      <c r="BS123" s="207"/>
      <c r="BT123" s="207"/>
      <c r="BU123" s="207"/>
      <c r="BV123" s="207"/>
      <c r="BW123" s="207"/>
      <c r="BX123" s="207"/>
      <c r="BY123" s="207"/>
      <c r="BZ123" s="207"/>
      <c r="CA123" s="207"/>
      <c r="CB123" s="207"/>
      <c r="CC123" s="207"/>
      <c r="CD123" s="207"/>
      <c r="CE123" s="207"/>
      <c r="CF123" s="207"/>
      <c r="CG123" s="207"/>
      <c r="CH123" s="207"/>
      <c r="CI123" s="207"/>
      <c r="CJ123" s="207"/>
      <c r="CK123" s="207"/>
      <c r="CL123" s="207"/>
      <c r="CM123" s="207"/>
      <c r="CN123" s="207"/>
      <c r="CO123" s="207"/>
      <c r="CP123" s="207"/>
      <c r="CQ123" s="207"/>
      <c r="CR123" s="207"/>
      <c r="CS123" s="207"/>
      <c r="CT123" s="207"/>
      <c r="CU123" s="207"/>
      <c r="CV123" s="207"/>
      <c r="CW123" s="207"/>
      <c r="CX123" s="207"/>
      <c r="CY123" s="207"/>
      <c r="CZ123" s="207"/>
      <c r="DA123" s="207"/>
      <c r="DB123" s="207"/>
      <c r="DC123" s="207"/>
      <c r="DD123" s="207"/>
      <c r="DE123" s="207"/>
      <c r="DF123" s="207"/>
      <c r="DG123" s="207"/>
      <c r="DH123" s="207"/>
      <c r="DI123" s="207"/>
      <c r="DJ123" s="207"/>
      <c r="DK123" s="207"/>
      <c r="DL123" s="207"/>
      <c r="DM123" s="207"/>
      <c r="DN123" s="207"/>
      <c r="DO123" s="207"/>
      <c r="DP123" s="207"/>
      <c r="DQ123" s="207"/>
      <c r="DR123" s="207"/>
      <c r="DS123" s="207"/>
      <c r="DT123" s="207"/>
      <c r="DU123" s="207"/>
      <c r="DV123" s="207"/>
      <c r="DW123" s="207"/>
      <c r="DX123" s="207"/>
      <c r="DY123" s="207"/>
      <c r="DZ123" s="207"/>
      <c r="EA123" s="207"/>
      <c r="EB123" s="207"/>
      <c r="EC123" s="207"/>
      <c r="ED123" s="207"/>
      <c r="EE123" s="207"/>
      <c r="EF123" s="207"/>
      <c r="EG123" s="207"/>
      <c r="EH123" s="207"/>
      <c r="EI123" s="207"/>
      <c r="EJ123" s="207"/>
      <c r="EK123" s="207"/>
      <c r="EL123" s="207"/>
      <c r="EM123" s="207"/>
      <c r="EN123" s="207"/>
      <c r="EO123" s="207"/>
      <c r="EP123" s="207"/>
      <c r="EQ123" s="207"/>
      <c r="ER123" s="207"/>
      <c r="ES123" s="207"/>
      <c r="ET123" s="207"/>
      <c r="EU123" s="207"/>
      <c r="EV123" s="207"/>
      <c r="EW123" s="207"/>
      <c r="EX123" s="207"/>
      <c r="EY123" s="207"/>
      <c r="EZ123" s="207"/>
      <c r="FA123" s="207"/>
      <c r="FB123" s="207"/>
      <c r="FC123" s="207"/>
      <c r="FD123" s="207"/>
      <c r="FE123" s="207"/>
      <c r="FF123" s="207"/>
      <c r="FG123" s="207"/>
      <c r="FH123" s="207"/>
      <c r="FI123" s="207"/>
      <c r="FJ123" s="207"/>
      <c r="FK123" s="207"/>
      <c r="FL123" s="207"/>
      <c r="FM123" s="207"/>
      <c r="FN123" s="207"/>
      <c r="FO123" s="207"/>
      <c r="FP123" s="207"/>
      <c r="FQ123" s="207"/>
      <c r="FR123" s="207"/>
      <c r="FS123" s="208"/>
      <c r="FT123" s="156"/>
    </row>
    <row r="124" spans="1:176" ht="15" customHeight="1" outlineLevel="1">
      <c r="A124" s="206" t="s">
        <v>1373</v>
      </c>
      <c r="B124" s="200" t="s">
        <v>1360</v>
      </c>
      <c r="C124" s="34"/>
      <c r="D124" s="34"/>
      <c r="E124" s="34"/>
      <c r="F124" s="34"/>
      <c r="G124" s="34"/>
      <c r="H124" s="37" t="s">
        <v>488</v>
      </c>
      <c r="I124" s="38"/>
      <c r="J124" s="38"/>
      <c r="K124" s="38"/>
      <c r="L124" s="38"/>
      <c r="M124" s="38"/>
      <c r="N124" s="38"/>
      <c r="O124" s="38"/>
      <c r="P124" s="38"/>
      <c r="Q124" s="38"/>
      <c r="R124" s="177">
        <f t="shared" si="18"/>
        <v>0</v>
      </c>
      <c r="S124" s="202">
        <f t="shared" si="20"/>
        <v>0</v>
      </c>
      <c r="T124" s="202">
        <f t="shared" si="21"/>
        <v>0</v>
      </c>
      <c r="U124" s="18"/>
      <c r="V124" s="206" t="str">
        <f t="shared" si="15"/>
        <v>3-13</v>
      </c>
      <c r="W124" s="215" t="str">
        <f t="shared" si="19"/>
        <v/>
      </c>
      <c r="X124" s="110"/>
      <c r="Y124" s="109"/>
      <c r="Z124" s="207"/>
      <c r="AA124" s="207"/>
      <c r="AB124" s="207"/>
      <c r="AC124" s="207"/>
      <c r="AD124" s="207"/>
      <c r="AE124" s="207"/>
      <c r="AF124" s="207"/>
      <c r="AG124" s="207"/>
      <c r="AH124" s="207"/>
      <c r="AI124" s="207"/>
      <c r="AJ124" s="207"/>
      <c r="AK124" s="207"/>
      <c r="AL124" s="207"/>
      <c r="AM124" s="207"/>
      <c r="AN124" s="207"/>
      <c r="AO124" s="207"/>
      <c r="AP124" s="207"/>
      <c r="AQ124" s="207"/>
      <c r="AR124" s="207"/>
      <c r="AS124" s="207"/>
      <c r="AT124" s="207"/>
      <c r="AU124" s="207"/>
      <c r="AV124" s="207"/>
      <c r="AW124" s="207"/>
      <c r="AX124" s="207"/>
      <c r="AY124" s="207"/>
      <c r="AZ124" s="207"/>
      <c r="BA124" s="207"/>
      <c r="BB124" s="207"/>
      <c r="BC124" s="207"/>
      <c r="BD124" s="207"/>
      <c r="BE124" s="207"/>
      <c r="BF124" s="207"/>
      <c r="BG124" s="207"/>
      <c r="BH124" s="207"/>
      <c r="BI124" s="207"/>
      <c r="BJ124" s="207"/>
      <c r="BK124" s="207"/>
      <c r="BL124" s="207"/>
      <c r="BM124" s="207"/>
      <c r="BN124" s="207"/>
      <c r="BO124" s="207"/>
      <c r="BP124" s="207"/>
      <c r="BQ124" s="207"/>
      <c r="BR124" s="207"/>
      <c r="BS124" s="207"/>
      <c r="BT124" s="207"/>
      <c r="BU124" s="207"/>
      <c r="BV124" s="207"/>
      <c r="BW124" s="207"/>
      <c r="BX124" s="207"/>
      <c r="BY124" s="207"/>
      <c r="BZ124" s="207"/>
      <c r="CA124" s="207"/>
      <c r="CB124" s="207"/>
      <c r="CC124" s="207"/>
      <c r="CD124" s="207"/>
      <c r="CE124" s="207"/>
      <c r="CF124" s="207"/>
      <c r="CG124" s="207"/>
      <c r="CH124" s="207"/>
      <c r="CI124" s="207"/>
      <c r="CJ124" s="207"/>
      <c r="CK124" s="207"/>
      <c r="CL124" s="207"/>
      <c r="CM124" s="207"/>
      <c r="CN124" s="207"/>
      <c r="CO124" s="207"/>
      <c r="CP124" s="207"/>
      <c r="CQ124" s="207"/>
      <c r="CR124" s="207"/>
      <c r="CS124" s="207"/>
      <c r="CT124" s="207"/>
      <c r="CU124" s="207"/>
      <c r="CV124" s="207"/>
      <c r="CW124" s="207"/>
      <c r="CX124" s="207"/>
      <c r="CY124" s="207"/>
      <c r="CZ124" s="207"/>
      <c r="DA124" s="207"/>
      <c r="DB124" s="207"/>
      <c r="DC124" s="207"/>
      <c r="DD124" s="207"/>
      <c r="DE124" s="207"/>
      <c r="DF124" s="207"/>
      <c r="DG124" s="207"/>
      <c r="DH124" s="207"/>
      <c r="DI124" s="207"/>
      <c r="DJ124" s="207"/>
      <c r="DK124" s="207"/>
      <c r="DL124" s="207"/>
      <c r="DM124" s="207"/>
      <c r="DN124" s="207"/>
      <c r="DO124" s="207"/>
      <c r="DP124" s="207"/>
      <c r="DQ124" s="207"/>
      <c r="DR124" s="207"/>
      <c r="DS124" s="207"/>
      <c r="DT124" s="207"/>
      <c r="DU124" s="207"/>
      <c r="DV124" s="207"/>
      <c r="DW124" s="207"/>
      <c r="DX124" s="207"/>
      <c r="DY124" s="207"/>
      <c r="DZ124" s="207"/>
      <c r="EA124" s="207"/>
      <c r="EB124" s="207"/>
      <c r="EC124" s="207"/>
      <c r="ED124" s="207"/>
      <c r="EE124" s="207"/>
      <c r="EF124" s="207"/>
      <c r="EG124" s="207"/>
      <c r="EH124" s="207"/>
      <c r="EI124" s="207"/>
      <c r="EJ124" s="207"/>
      <c r="EK124" s="207"/>
      <c r="EL124" s="207"/>
      <c r="EM124" s="207"/>
      <c r="EN124" s="207"/>
      <c r="EO124" s="207"/>
      <c r="EP124" s="207"/>
      <c r="EQ124" s="207"/>
      <c r="ER124" s="207"/>
      <c r="ES124" s="207"/>
      <c r="ET124" s="207"/>
      <c r="EU124" s="207"/>
      <c r="EV124" s="207"/>
      <c r="EW124" s="207"/>
      <c r="EX124" s="207"/>
      <c r="EY124" s="207"/>
      <c r="EZ124" s="207"/>
      <c r="FA124" s="207"/>
      <c r="FB124" s="207"/>
      <c r="FC124" s="207"/>
      <c r="FD124" s="207"/>
      <c r="FE124" s="207"/>
      <c r="FF124" s="207"/>
      <c r="FG124" s="207"/>
      <c r="FH124" s="207"/>
      <c r="FI124" s="207"/>
      <c r="FJ124" s="207"/>
      <c r="FK124" s="207"/>
      <c r="FL124" s="207"/>
      <c r="FM124" s="207"/>
      <c r="FN124" s="207"/>
      <c r="FO124" s="207"/>
      <c r="FP124" s="207"/>
      <c r="FQ124" s="207"/>
      <c r="FR124" s="207"/>
      <c r="FS124" s="208"/>
      <c r="FT124" s="156"/>
    </row>
    <row r="125" spans="1:176" ht="15" customHeight="1" outlineLevel="1">
      <c r="A125" s="206" t="s">
        <v>1374</v>
      </c>
      <c r="B125" s="200" t="s">
        <v>1360</v>
      </c>
      <c r="C125" s="34"/>
      <c r="D125" s="34"/>
      <c r="E125" s="34"/>
      <c r="F125" s="34"/>
      <c r="G125" s="34"/>
      <c r="H125" s="37" t="s">
        <v>488</v>
      </c>
      <c r="I125" s="38"/>
      <c r="J125" s="38"/>
      <c r="K125" s="38"/>
      <c r="L125" s="38"/>
      <c r="M125" s="38"/>
      <c r="N125" s="38"/>
      <c r="O125" s="38"/>
      <c r="P125" s="38"/>
      <c r="Q125" s="38"/>
      <c r="R125" s="177">
        <f t="shared" si="18"/>
        <v>0</v>
      </c>
      <c r="S125" s="202">
        <f t="shared" si="20"/>
        <v>0</v>
      </c>
      <c r="T125" s="202">
        <f t="shared" si="21"/>
        <v>0</v>
      </c>
      <c r="U125" s="18"/>
      <c r="V125" s="206" t="str">
        <f t="shared" si="15"/>
        <v>3-14</v>
      </c>
      <c r="W125" s="215" t="str">
        <f t="shared" si="19"/>
        <v/>
      </c>
      <c r="X125" s="110"/>
      <c r="Y125" s="109"/>
      <c r="Z125" s="207"/>
      <c r="AA125" s="207"/>
      <c r="AB125" s="207"/>
      <c r="AC125" s="207"/>
      <c r="AD125" s="207"/>
      <c r="AE125" s="207"/>
      <c r="AF125" s="207"/>
      <c r="AG125" s="207"/>
      <c r="AH125" s="207"/>
      <c r="AI125" s="207"/>
      <c r="AJ125" s="207"/>
      <c r="AK125" s="207"/>
      <c r="AL125" s="207"/>
      <c r="AM125" s="207"/>
      <c r="AN125" s="207"/>
      <c r="AO125" s="207"/>
      <c r="AP125" s="207"/>
      <c r="AQ125" s="207"/>
      <c r="AR125" s="207"/>
      <c r="AS125" s="207"/>
      <c r="AT125" s="207"/>
      <c r="AU125" s="207"/>
      <c r="AV125" s="207"/>
      <c r="AW125" s="207"/>
      <c r="AX125" s="207"/>
      <c r="AY125" s="207"/>
      <c r="AZ125" s="207"/>
      <c r="BA125" s="207"/>
      <c r="BB125" s="207"/>
      <c r="BC125" s="207"/>
      <c r="BD125" s="207"/>
      <c r="BE125" s="207"/>
      <c r="BF125" s="207"/>
      <c r="BG125" s="207"/>
      <c r="BH125" s="207"/>
      <c r="BI125" s="207"/>
      <c r="BJ125" s="207"/>
      <c r="BK125" s="207"/>
      <c r="BL125" s="207"/>
      <c r="BM125" s="207"/>
      <c r="BN125" s="207"/>
      <c r="BO125" s="207"/>
      <c r="BP125" s="207"/>
      <c r="BQ125" s="207"/>
      <c r="BR125" s="207"/>
      <c r="BS125" s="207"/>
      <c r="BT125" s="207"/>
      <c r="BU125" s="207"/>
      <c r="BV125" s="207"/>
      <c r="BW125" s="207"/>
      <c r="BX125" s="207"/>
      <c r="BY125" s="207"/>
      <c r="BZ125" s="207"/>
      <c r="CA125" s="207"/>
      <c r="CB125" s="207"/>
      <c r="CC125" s="207"/>
      <c r="CD125" s="207"/>
      <c r="CE125" s="207"/>
      <c r="CF125" s="207"/>
      <c r="CG125" s="207"/>
      <c r="CH125" s="207"/>
      <c r="CI125" s="207"/>
      <c r="CJ125" s="207"/>
      <c r="CK125" s="207"/>
      <c r="CL125" s="207"/>
      <c r="CM125" s="207"/>
      <c r="CN125" s="207"/>
      <c r="CO125" s="207"/>
      <c r="CP125" s="207"/>
      <c r="CQ125" s="207"/>
      <c r="CR125" s="207"/>
      <c r="CS125" s="207"/>
      <c r="CT125" s="207"/>
      <c r="CU125" s="207"/>
      <c r="CV125" s="207"/>
      <c r="CW125" s="207"/>
      <c r="CX125" s="207"/>
      <c r="CY125" s="207"/>
      <c r="CZ125" s="207"/>
      <c r="DA125" s="207"/>
      <c r="DB125" s="207"/>
      <c r="DC125" s="207"/>
      <c r="DD125" s="207"/>
      <c r="DE125" s="207"/>
      <c r="DF125" s="207"/>
      <c r="DG125" s="207"/>
      <c r="DH125" s="207"/>
      <c r="DI125" s="207"/>
      <c r="DJ125" s="207"/>
      <c r="DK125" s="207"/>
      <c r="DL125" s="207"/>
      <c r="DM125" s="207"/>
      <c r="DN125" s="207"/>
      <c r="DO125" s="207"/>
      <c r="DP125" s="207"/>
      <c r="DQ125" s="207"/>
      <c r="DR125" s="207"/>
      <c r="DS125" s="207"/>
      <c r="DT125" s="207"/>
      <c r="DU125" s="207"/>
      <c r="DV125" s="207"/>
      <c r="DW125" s="207"/>
      <c r="DX125" s="207"/>
      <c r="DY125" s="207"/>
      <c r="DZ125" s="207"/>
      <c r="EA125" s="207"/>
      <c r="EB125" s="207"/>
      <c r="EC125" s="207"/>
      <c r="ED125" s="207"/>
      <c r="EE125" s="207"/>
      <c r="EF125" s="207"/>
      <c r="EG125" s="207"/>
      <c r="EH125" s="207"/>
      <c r="EI125" s="207"/>
      <c r="EJ125" s="207"/>
      <c r="EK125" s="207"/>
      <c r="EL125" s="207"/>
      <c r="EM125" s="207"/>
      <c r="EN125" s="207"/>
      <c r="EO125" s="207"/>
      <c r="EP125" s="207"/>
      <c r="EQ125" s="207"/>
      <c r="ER125" s="207"/>
      <c r="ES125" s="207"/>
      <c r="ET125" s="207"/>
      <c r="EU125" s="207"/>
      <c r="EV125" s="207"/>
      <c r="EW125" s="207"/>
      <c r="EX125" s="207"/>
      <c r="EY125" s="207"/>
      <c r="EZ125" s="207"/>
      <c r="FA125" s="207"/>
      <c r="FB125" s="207"/>
      <c r="FC125" s="207"/>
      <c r="FD125" s="207"/>
      <c r="FE125" s="207"/>
      <c r="FF125" s="207"/>
      <c r="FG125" s="207"/>
      <c r="FH125" s="207"/>
      <c r="FI125" s="207"/>
      <c r="FJ125" s="207"/>
      <c r="FK125" s="207"/>
      <c r="FL125" s="207"/>
      <c r="FM125" s="207"/>
      <c r="FN125" s="207"/>
      <c r="FO125" s="207"/>
      <c r="FP125" s="207"/>
      <c r="FQ125" s="207"/>
      <c r="FR125" s="207"/>
      <c r="FS125" s="208"/>
      <c r="FT125" s="156"/>
    </row>
    <row r="126" spans="1:176" ht="15" customHeight="1" outlineLevel="1">
      <c r="A126" s="206" t="s">
        <v>1375</v>
      </c>
      <c r="B126" s="200" t="s">
        <v>1360</v>
      </c>
      <c r="C126" s="34"/>
      <c r="D126" s="34"/>
      <c r="E126" s="34"/>
      <c r="F126" s="34"/>
      <c r="G126" s="34"/>
      <c r="H126" s="37" t="s">
        <v>488</v>
      </c>
      <c r="I126" s="38"/>
      <c r="J126" s="38"/>
      <c r="K126" s="38"/>
      <c r="L126" s="38"/>
      <c r="M126" s="38"/>
      <c r="N126" s="38"/>
      <c r="O126" s="38"/>
      <c r="P126" s="38"/>
      <c r="Q126" s="38"/>
      <c r="R126" s="177">
        <f t="shared" si="18"/>
        <v>0</v>
      </c>
      <c r="S126" s="202">
        <f t="shared" si="20"/>
        <v>0</v>
      </c>
      <c r="T126" s="202">
        <f t="shared" si="21"/>
        <v>0</v>
      </c>
      <c r="U126" s="18"/>
      <c r="V126" s="206" t="str">
        <f t="shared" si="15"/>
        <v>3-15</v>
      </c>
      <c r="W126" s="215" t="str">
        <f t="shared" si="19"/>
        <v/>
      </c>
      <c r="X126" s="110"/>
      <c r="Y126" s="109"/>
      <c r="Z126" s="207"/>
      <c r="AA126" s="207"/>
      <c r="AB126" s="207"/>
      <c r="AC126" s="207"/>
      <c r="AD126" s="207"/>
      <c r="AE126" s="207"/>
      <c r="AF126" s="207"/>
      <c r="AG126" s="207"/>
      <c r="AH126" s="207"/>
      <c r="AI126" s="207"/>
      <c r="AJ126" s="207"/>
      <c r="AK126" s="207"/>
      <c r="AL126" s="207"/>
      <c r="AM126" s="207"/>
      <c r="AN126" s="207"/>
      <c r="AO126" s="207"/>
      <c r="AP126" s="207"/>
      <c r="AQ126" s="207"/>
      <c r="AR126" s="207"/>
      <c r="AS126" s="207"/>
      <c r="AT126" s="207"/>
      <c r="AU126" s="207"/>
      <c r="AV126" s="207"/>
      <c r="AW126" s="207"/>
      <c r="AX126" s="207"/>
      <c r="AY126" s="207"/>
      <c r="AZ126" s="207"/>
      <c r="BA126" s="207"/>
      <c r="BB126" s="207"/>
      <c r="BC126" s="207"/>
      <c r="BD126" s="207"/>
      <c r="BE126" s="207"/>
      <c r="BF126" s="207"/>
      <c r="BG126" s="207"/>
      <c r="BH126" s="207"/>
      <c r="BI126" s="207"/>
      <c r="BJ126" s="207"/>
      <c r="BK126" s="207"/>
      <c r="BL126" s="207"/>
      <c r="BM126" s="207"/>
      <c r="BN126" s="207"/>
      <c r="BO126" s="207"/>
      <c r="BP126" s="207"/>
      <c r="BQ126" s="207"/>
      <c r="BR126" s="207"/>
      <c r="BS126" s="207"/>
      <c r="BT126" s="207"/>
      <c r="BU126" s="207"/>
      <c r="BV126" s="207"/>
      <c r="BW126" s="207"/>
      <c r="BX126" s="207"/>
      <c r="BY126" s="207"/>
      <c r="BZ126" s="207"/>
      <c r="CA126" s="207"/>
      <c r="CB126" s="207"/>
      <c r="CC126" s="207"/>
      <c r="CD126" s="207"/>
      <c r="CE126" s="207"/>
      <c r="CF126" s="207"/>
      <c r="CG126" s="207"/>
      <c r="CH126" s="207"/>
      <c r="CI126" s="207"/>
      <c r="CJ126" s="207"/>
      <c r="CK126" s="207"/>
      <c r="CL126" s="207"/>
      <c r="CM126" s="207"/>
      <c r="CN126" s="207"/>
      <c r="CO126" s="207"/>
      <c r="CP126" s="207"/>
      <c r="CQ126" s="207"/>
      <c r="CR126" s="207"/>
      <c r="CS126" s="207"/>
      <c r="CT126" s="207"/>
      <c r="CU126" s="207"/>
      <c r="CV126" s="207"/>
      <c r="CW126" s="207"/>
      <c r="CX126" s="207"/>
      <c r="CY126" s="207"/>
      <c r="CZ126" s="207"/>
      <c r="DA126" s="207"/>
      <c r="DB126" s="207"/>
      <c r="DC126" s="207"/>
      <c r="DD126" s="207"/>
      <c r="DE126" s="207"/>
      <c r="DF126" s="207"/>
      <c r="DG126" s="207"/>
      <c r="DH126" s="207"/>
      <c r="DI126" s="207"/>
      <c r="DJ126" s="207"/>
      <c r="DK126" s="207"/>
      <c r="DL126" s="207"/>
      <c r="DM126" s="207"/>
      <c r="DN126" s="207"/>
      <c r="DO126" s="207"/>
      <c r="DP126" s="207"/>
      <c r="DQ126" s="207"/>
      <c r="DR126" s="207"/>
      <c r="DS126" s="207"/>
      <c r="DT126" s="207"/>
      <c r="DU126" s="207"/>
      <c r="DV126" s="207"/>
      <c r="DW126" s="207"/>
      <c r="DX126" s="207"/>
      <c r="DY126" s="207"/>
      <c r="DZ126" s="207"/>
      <c r="EA126" s="207"/>
      <c r="EB126" s="207"/>
      <c r="EC126" s="207"/>
      <c r="ED126" s="207"/>
      <c r="EE126" s="207"/>
      <c r="EF126" s="207"/>
      <c r="EG126" s="207"/>
      <c r="EH126" s="207"/>
      <c r="EI126" s="207"/>
      <c r="EJ126" s="207"/>
      <c r="EK126" s="207"/>
      <c r="EL126" s="207"/>
      <c r="EM126" s="207"/>
      <c r="EN126" s="207"/>
      <c r="EO126" s="207"/>
      <c r="EP126" s="207"/>
      <c r="EQ126" s="207"/>
      <c r="ER126" s="207"/>
      <c r="ES126" s="207"/>
      <c r="ET126" s="207"/>
      <c r="EU126" s="207"/>
      <c r="EV126" s="207"/>
      <c r="EW126" s="207"/>
      <c r="EX126" s="207"/>
      <c r="EY126" s="207"/>
      <c r="EZ126" s="207"/>
      <c r="FA126" s="207"/>
      <c r="FB126" s="207"/>
      <c r="FC126" s="207"/>
      <c r="FD126" s="207"/>
      <c r="FE126" s="207"/>
      <c r="FF126" s="207"/>
      <c r="FG126" s="207"/>
      <c r="FH126" s="207"/>
      <c r="FI126" s="207"/>
      <c r="FJ126" s="207"/>
      <c r="FK126" s="207"/>
      <c r="FL126" s="207"/>
      <c r="FM126" s="207"/>
      <c r="FN126" s="207"/>
      <c r="FO126" s="207"/>
      <c r="FP126" s="207"/>
      <c r="FQ126" s="207"/>
      <c r="FR126" s="207"/>
      <c r="FS126" s="208"/>
      <c r="FT126" s="156"/>
    </row>
    <row r="127" spans="1:176" ht="15" customHeight="1" outlineLevel="1">
      <c r="A127" s="206" t="s">
        <v>1376</v>
      </c>
      <c r="B127" s="200" t="s">
        <v>1360</v>
      </c>
      <c r="C127" s="34"/>
      <c r="D127" s="34"/>
      <c r="E127" s="34"/>
      <c r="F127" s="34"/>
      <c r="G127" s="34"/>
      <c r="H127" s="37" t="s">
        <v>488</v>
      </c>
      <c r="I127" s="38"/>
      <c r="J127" s="38"/>
      <c r="K127" s="38"/>
      <c r="L127" s="38"/>
      <c r="M127" s="38"/>
      <c r="N127" s="38"/>
      <c r="O127" s="38"/>
      <c r="P127" s="38"/>
      <c r="Q127" s="38"/>
      <c r="R127" s="177">
        <f t="shared" si="18"/>
        <v>0</v>
      </c>
      <c r="S127" s="202">
        <f t="shared" si="20"/>
        <v>0</v>
      </c>
      <c r="T127" s="202">
        <f t="shared" si="21"/>
        <v>0</v>
      </c>
      <c r="U127" s="18"/>
      <c r="V127" s="206" t="str">
        <f t="shared" si="15"/>
        <v>3-16</v>
      </c>
      <c r="W127" s="215" t="str">
        <f t="shared" si="19"/>
        <v/>
      </c>
      <c r="X127" s="110"/>
      <c r="Y127" s="109"/>
      <c r="Z127" s="207"/>
      <c r="AA127" s="207"/>
      <c r="AB127" s="207"/>
      <c r="AC127" s="207"/>
      <c r="AD127" s="207"/>
      <c r="AE127" s="207"/>
      <c r="AF127" s="207"/>
      <c r="AG127" s="207"/>
      <c r="AH127" s="207"/>
      <c r="AI127" s="207"/>
      <c r="AJ127" s="207"/>
      <c r="AK127" s="207"/>
      <c r="AL127" s="207"/>
      <c r="AM127" s="207"/>
      <c r="AN127" s="207"/>
      <c r="AO127" s="207"/>
      <c r="AP127" s="207"/>
      <c r="AQ127" s="207"/>
      <c r="AR127" s="207"/>
      <c r="AS127" s="207"/>
      <c r="AT127" s="207"/>
      <c r="AU127" s="207"/>
      <c r="AV127" s="207"/>
      <c r="AW127" s="207"/>
      <c r="AX127" s="207"/>
      <c r="AY127" s="207"/>
      <c r="AZ127" s="207"/>
      <c r="BA127" s="207"/>
      <c r="BB127" s="207"/>
      <c r="BC127" s="207"/>
      <c r="BD127" s="207"/>
      <c r="BE127" s="207"/>
      <c r="BF127" s="207"/>
      <c r="BG127" s="207"/>
      <c r="BH127" s="207"/>
      <c r="BI127" s="207"/>
      <c r="BJ127" s="207"/>
      <c r="BK127" s="207"/>
      <c r="BL127" s="207"/>
      <c r="BM127" s="207"/>
      <c r="BN127" s="207"/>
      <c r="BO127" s="207"/>
      <c r="BP127" s="207"/>
      <c r="BQ127" s="207"/>
      <c r="BR127" s="207"/>
      <c r="BS127" s="207"/>
      <c r="BT127" s="207"/>
      <c r="BU127" s="207"/>
      <c r="BV127" s="207"/>
      <c r="BW127" s="207"/>
      <c r="BX127" s="207"/>
      <c r="BY127" s="207"/>
      <c r="BZ127" s="207"/>
      <c r="CA127" s="207"/>
      <c r="CB127" s="207"/>
      <c r="CC127" s="207"/>
      <c r="CD127" s="207"/>
      <c r="CE127" s="207"/>
      <c r="CF127" s="207"/>
      <c r="CG127" s="207"/>
      <c r="CH127" s="207"/>
      <c r="CI127" s="207"/>
      <c r="CJ127" s="207"/>
      <c r="CK127" s="207"/>
      <c r="CL127" s="207"/>
      <c r="CM127" s="207"/>
      <c r="CN127" s="207"/>
      <c r="CO127" s="207"/>
      <c r="CP127" s="207"/>
      <c r="CQ127" s="207"/>
      <c r="CR127" s="207"/>
      <c r="CS127" s="207"/>
      <c r="CT127" s="207"/>
      <c r="CU127" s="207"/>
      <c r="CV127" s="207"/>
      <c r="CW127" s="207"/>
      <c r="CX127" s="207"/>
      <c r="CY127" s="207"/>
      <c r="CZ127" s="207"/>
      <c r="DA127" s="207"/>
      <c r="DB127" s="207"/>
      <c r="DC127" s="207"/>
      <c r="DD127" s="207"/>
      <c r="DE127" s="207"/>
      <c r="DF127" s="207"/>
      <c r="DG127" s="207"/>
      <c r="DH127" s="207"/>
      <c r="DI127" s="207"/>
      <c r="DJ127" s="207"/>
      <c r="DK127" s="207"/>
      <c r="DL127" s="207"/>
      <c r="DM127" s="207"/>
      <c r="DN127" s="207"/>
      <c r="DO127" s="207"/>
      <c r="DP127" s="207"/>
      <c r="DQ127" s="207"/>
      <c r="DR127" s="207"/>
      <c r="DS127" s="207"/>
      <c r="DT127" s="207"/>
      <c r="DU127" s="207"/>
      <c r="DV127" s="207"/>
      <c r="DW127" s="207"/>
      <c r="DX127" s="207"/>
      <c r="DY127" s="207"/>
      <c r="DZ127" s="207"/>
      <c r="EA127" s="207"/>
      <c r="EB127" s="207"/>
      <c r="EC127" s="207"/>
      <c r="ED127" s="207"/>
      <c r="EE127" s="207"/>
      <c r="EF127" s="207"/>
      <c r="EG127" s="207"/>
      <c r="EH127" s="207"/>
      <c r="EI127" s="207"/>
      <c r="EJ127" s="207"/>
      <c r="EK127" s="207"/>
      <c r="EL127" s="207"/>
      <c r="EM127" s="207"/>
      <c r="EN127" s="207"/>
      <c r="EO127" s="207"/>
      <c r="EP127" s="207"/>
      <c r="EQ127" s="207"/>
      <c r="ER127" s="207"/>
      <c r="ES127" s="207"/>
      <c r="ET127" s="207"/>
      <c r="EU127" s="207"/>
      <c r="EV127" s="207"/>
      <c r="EW127" s="207"/>
      <c r="EX127" s="207"/>
      <c r="EY127" s="207"/>
      <c r="EZ127" s="207"/>
      <c r="FA127" s="207"/>
      <c r="FB127" s="207"/>
      <c r="FC127" s="207"/>
      <c r="FD127" s="207"/>
      <c r="FE127" s="207"/>
      <c r="FF127" s="207"/>
      <c r="FG127" s="207"/>
      <c r="FH127" s="207"/>
      <c r="FI127" s="207"/>
      <c r="FJ127" s="207"/>
      <c r="FK127" s="207"/>
      <c r="FL127" s="207"/>
      <c r="FM127" s="207"/>
      <c r="FN127" s="207"/>
      <c r="FO127" s="207"/>
      <c r="FP127" s="207"/>
      <c r="FQ127" s="207"/>
      <c r="FR127" s="207"/>
      <c r="FS127" s="208"/>
      <c r="FT127" s="156"/>
    </row>
    <row r="128" spans="1:176" ht="15" customHeight="1" outlineLevel="1">
      <c r="A128" s="206" t="s">
        <v>1377</v>
      </c>
      <c r="B128" s="200" t="s">
        <v>1360</v>
      </c>
      <c r="C128" s="34"/>
      <c r="D128" s="34"/>
      <c r="E128" s="34"/>
      <c r="F128" s="34"/>
      <c r="G128" s="34"/>
      <c r="H128" s="37" t="s">
        <v>488</v>
      </c>
      <c r="I128" s="38"/>
      <c r="J128" s="38"/>
      <c r="K128" s="38"/>
      <c r="L128" s="38"/>
      <c r="M128" s="38"/>
      <c r="N128" s="38"/>
      <c r="O128" s="38"/>
      <c r="P128" s="38"/>
      <c r="Q128" s="38"/>
      <c r="R128" s="177">
        <f t="shared" si="18"/>
        <v>0</v>
      </c>
      <c r="S128" s="202">
        <f t="shared" si="20"/>
        <v>0</v>
      </c>
      <c r="T128" s="202">
        <f t="shared" si="21"/>
        <v>0</v>
      </c>
      <c r="U128" s="18"/>
      <c r="V128" s="206" t="str">
        <f t="shared" si="15"/>
        <v>3-17</v>
      </c>
      <c r="W128" s="215" t="str">
        <f t="shared" si="19"/>
        <v/>
      </c>
      <c r="X128" s="110"/>
      <c r="Y128" s="109"/>
      <c r="Z128" s="207"/>
      <c r="AA128" s="207"/>
      <c r="AB128" s="207"/>
      <c r="AC128" s="207"/>
      <c r="AD128" s="207"/>
      <c r="AE128" s="207"/>
      <c r="AF128" s="207"/>
      <c r="AG128" s="207"/>
      <c r="AH128" s="207"/>
      <c r="AI128" s="207"/>
      <c r="AJ128" s="207"/>
      <c r="AK128" s="207"/>
      <c r="AL128" s="207"/>
      <c r="AM128" s="207"/>
      <c r="AN128" s="207"/>
      <c r="AO128" s="207"/>
      <c r="AP128" s="207"/>
      <c r="AQ128" s="207"/>
      <c r="AR128" s="207"/>
      <c r="AS128" s="207"/>
      <c r="AT128" s="207"/>
      <c r="AU128" s="207"/>
      <c r="AV128" s="207"/>
      <c r="AW128" s="207"/>
      <c r="AX128" s="207"/>
      <c r="AY128" s="207"/>
      <c r="AZ128" s="207"/>
      <c r="BA128" s="207"/>
      <c r="BB128" s="207"/>
      <c r="BC128" s="207"/>
      <c r="BD128" s="207"/>
      <c r="BE128" s="207"/>
      <c r="BF128" s="207"/>
      <c r="BG128" s="207"/>
      <c r="BH128" s="207"/>
      <c r="BI128" s="207"/>
      <c r="BJ128" s="207"/>
      <c r="BK128" s="207"/>
      <c r="BL128" s="207"/>
      <c r="BM128" s="207"/>
      <c r="BN128" s="207"/>
      <c r="BO128" s="207"/>
      <c r="BP128" s="207"/>
      <c r="BQ128" s="207"/>
      <c r="BR128" s="207"/>
      <c r="BS128" s="207"/>
      <c r="BT128" s="207"/>
      <c r="BU128" s="207"/>
      <c r="BV128" s="207"/>
      <c r="BW128" s="207"/>
      <c r="BX128" s="207"/>
      <c r="BY128" s="207"/>
      <c r="BZ128" s="207"/>
      <c r="CA128" s="207"/>
      <c r="CB128" s="207"/>
      <c r="CC128" s="207"/>
      <c r="CD128" s="207"/>
      <c r="CE128" s="207"/>
      <c r="CF128" s="207"/>
      <c r="CG128" s="207"/>
      <c r="CH128" s="207"/>
      <c r="CI128" s="207"/>
      <c r="CJ128" s="207"/>
      <c r="CK128" s="207"/>
      <c r="CL128" s="207"/>
      <c r="CM128" s="207"/>
      <c r="CN128" s="207"/>
      <c r="CO128" s="207"/>
      <c r="CP128" s="207"/>
      <c r="CQ128" s="207"/>
      <c r="CR128" s="207"/>
      <c r="CS128" s="207"/>
      <c r="CT128" s="207"/>
      <c r="CU128" s="207"/>
      <c r="CV128" s="207"/>
      <c r="CW128" s="207"/>
      <c r="CX128" s="207"/>
      <c r="CY128" s="207"/>
      <c r="CZ128" s="207"/>
      <c r="DA128" s="207"/>
      <c r="DB128" s="207"/>
      <c r="DC128" s="207"/>
      <c r="DD128" s="207"/>
      <c r="DE128" s="207"/>
      <c r="DF128" s="207"/>
      <c r="DG128" s="207"/>
      <c r="DH128" s="207"/>
      <c r="DI128" s="207"/>
      <c r="DJ128" s="207"/>
      <c r="DK128" s="207"/>
      <c r="DL128" s="207"/>
      <c r="DM128" s="207"/>
      <c r="DN128" s="207"/>
      <c r="DO128" s="207"/>
      <c r="DP128" s="207"/>
      <c r="DQ128" s="207"/>
      <c r="DR128" s="207"/>
      <c r="DS128" s="207"/>
      <c r="DT128" s="207"/>
      <c r="DU128" s="207"/>
      <c r="DV128" s="207"/>
      <c r="DW128" s="207"/>
      <c r="DX128" s="207"/>
      <c r="DY128" s="207"/>
      <c r="DZ128" s="207"/>
      <c r="EA128" s="207"/>
      <c r="EB128" s="207"/>
      <c r="EC128" s="207"/>
      <c r="ED128" s="207"/>
      <c r="EE128" s="207"/>
      <c r="EF128" s="207"/>
      <c r="EG128" s="207"/>
      <c r="EH128" s="207"/>
      <c r="EI128" s="207"/>
      <c r="EJ128" s="207"/>
      <c r="EK128" s="207"/>
      <c r="EL128" s="207"/>
      <c r="EM128" s="207"/>
      <c r="EN128" s="207"/>
      <c r="EO128" s="207"/>
      <c r="EP128" s="207"/>
      <c r="EQ128" s="207"/>
      <c r="ER128" s="207"/>
      <c r="ES128" s="207"/>
      <c r="ET128" s="207"/>
      <c r="EU128" s="207"/>
      <c r="EV128" s="207"/>
      <c r="EW128" s="207"/>
      <c r="EX128" s="207"/>
      <c r="EY128" s="207"/>
      <c r="EZ128" s="207"/>
      <c r="FA128" s="207"/>
      <c r="FB128" s="207"/>
      <c r="FC128" s="207"/>
      <c r="FD128" s="207"/>
      <c r="FE128" s="207"/>
      <c r="FF128" s="207"/>
      <c r="FG128" s="207"/>
      <c r="FH128" s="207"/>
      <c r="FI128" s="207"/>
      <c r="FJ128" s="207"/>
      <c r="FK128" s="207"/>
      <c r="FL128" s="207"/>
      <c r="FM128" s="207"/>
      <c r="FN128" s="207"/>
      <c r="FO128" s="207"/>
      <c r="FP128" s="207"/>
      <c r="FQ128" s="207"/>
      <c r="FR128" s="207"/>
      <c r="FS128" s="208"/>
      <c r="FT128" s="156"/>
    </row>
    <row r="129" spans="1:176" ht="15" customHeight="1" outlineLevel="1">
      <c r="A129" s="206" t="s">
        <v>1378</v>
      </c>
      <c r="B129" s="200" t="s">
        <v>1360</v>
      </c>
      <c r="C129" s="34"/>
      <c r="D129" s="34"/>
      <c r="E129" s="34"/>
      <c r="F129" s="34"/>
      <c r="G129" s="34"/>
      <c r="H129" s="37" t="s">
        <v>488</v>
      </c>
      <c r="I129" s="38"/>
      <c r="J129" s="38"/>
      <c r="K129" s="38"/>
      <c r="L129" s="38"/>
      <c r="M129" s="38"/>
      <c r="N129" s="38"/>
      <c r="O129" s="38"/>
      <c r="P129" s="38"/>
      <c r="Q129" s="38"/>
      <c r="R129" s="177">
        <f t="shared" si="18"/>
        <v>0</v>
      </c>
      <c r="S129" s="202">
        <f t="shared" si="20"/>
        <v>0</v>
      </c>
      <c r="T129" s="202">
        <f t="shared" si="21"/>
        <v>0</v>
      </c>
      <c r="U129" s="18"/>
      <c r="V129" s="206" t="str">
        <f t="shared" si="15"/>
        <v>3-18</v>
      </c>
      <c r="W129" s="215" t="str">
        <f t="shared" si="19"/>
        <v/>
      </c>
      <c r="X129" s="110"/>
      <c r="Y129" s="109"/>
      <c r="Z129" s="207"/>
      <c r="AA129" s="207"/>
      <c r="AB129" s="207"/>
      <c r="AC129" s="207"/>
      <c r="AD129" s="207"/>
      <c r="AE129" s="207"/>
      <c r="AF129" s="207"/>
      <c r="AG129" s="207"/>
      <c r="AH129" s="207"/>
      <c r="AI129" s="207"/>
      <c r="AJ129" s="207"/>
      <c r="AK129" s="207"/>
      <c r="AL129" s="207"/>
      <c r="AM129" s="207"/>
      <c r="AN129" s="207"/>
      <c r="AO129" s="207"/>
      <c r="AP129" s="207"/>
      <c r="AQ129" s="207"/>
      <c r="AR129" s="207"/>
      <c r="AS129" s="207"/>
      <c r="AT129" s="207"/>
      <c r="AU129" s="207"/>
      <c r="AV129" s="207"/>
      <c r="AW129" s="207"/>
      <c r="AX129" s="207"/>
      <c r="AY129" s="207"/>
      <c r="AZ129" s="207"/>
      <c r="BA129" s="207"/>
      <c r="BB129" s="207"/>
      <c r="BC129" s="207"/>
      <c r="BD129" s="207"/>
      <c r="BE129" s="207"/>
      <c r="BF129" s="207"/>
      <c r="BG129" s="207"/>
      <c r="BH129" s="207"/>
      <c r="BI129" s="207"/>
      <c r="BJ129" s="207"/>
      <c r="BK129" s="207"/>
      <c r="BL129" s="207"/>
      <c r="BM129" s="207"/>
      <c r="BN129" s="207"/>
      <c r="BO129" s="207"/>
      <c r="BP129" s="207"/>
      <c r="BQ129" s="207"/>
      <c r="BR129" s="207"/>
      <c r="BS129" s="207"/>
      <c r="BT129" s="207"/>
      <c r="BU129" s="207"/>
      <c r="BV129" s="207"/>
      <c r="BW129" s="207"/>
      <c r="BX129" s="207"/>
      <c r="BY129" s="207"/>
      <c r="BZ129" s="207"/>
      <c r="CA129" s="207"/>
      <c r="CB129" s="207"/>
      <c r="CC129" s="207"/>
      <c r="CD129" s="207"/>
      <c r="CE129" s="207"/>
      <c r="CF129" s="207"/>
      <c r="CG129" s="207"/>
      <c r="CH129" s="207"/>
      <c r="CI129" s="207"/>
      <c r="CJ129" s="207"/>
      <c r="CK129" s="207"/>
      <c r="CL129" s="207"/>
      <c r="CM129" s="207"/>
      <c r="CN129" s="207"/>
      <c r="CO129" s="207"/>
      <c r="CP129" s="207"/>
      <c r="CQ129" s="207"/>
      <c r="CR129" s="207"/>
      <c r="CS129" s="207"/>
      <c r="CT129" s="207"/>
      <c r="CU129" s="207"/>
      <c r="CV129" s="207"/>
      <c r="CW129" s="207"/>
      <c r="CX129" s="207"/>
      <c r="CY129" s="207"/>
      <c r="CZ129" s="207"/>
      <c r="DA129" s="207"/>
      <c r="DB129" s="207"/>
      <c r="DC129" s="207"/>
      <c r="DD129" s="207"/>
      <c r="DE129" s="207"/>
      <c r="DF129" s="207"/>
      <c r="DG129" s="207"/>
      <c r="DH129" s="207"/>
      <c r="DI129" s="207"/>
      <c r="DJ129" s="207"/>
      <c r="DK129" s="207"/>
      <c r="DL129" s="207"/>
      <c r="DM129" s="207"/>
      <c r="DN129" s="207"/>
      <c r="DO129" s="207"/>
      <c r="DP129" s="207"/>
      <c r="DQ129" s="207"/>
      <c r="DR129" s="207"/>
      <c r="DS129" s="207"/>
      <c r="DT129" s="207"/>
      <c r="DU129" s="207"/>
      <c r="DV129" s="207"/>
      <c r="DW129" s="207"/>
      <c r="DX129" s="207"/>
      <c r="DY129" s="207"/>
      <c r="DZ129" s="207"/>
      <c r="EA129" s="207"/>
      <c r="EB129" s="207"/>
      <c r="EC129" s="207"/>
      <c r="ED129" s="207"/>
      <c r="EE129" s="207"/>
      <c r="EF129" s="207"/>
      <c r="EG129" s="207"/>
      <c r="EH129" s="207"/>
      <c r="EI129" s="207"/>
      <c r="EJ129" s="207"/>
      <c r="EK129" s="207"/>
      <c r="EL129" s="207"/>
      <c r="EM129" s="207"/>
      <c r="EN129" s="207"/>
      <c r="EO129" s="207"/>
      <c r="EP129" s="207"/>
      <c r="EQ129" s="207"/>
      <c r="ER129" s="207"/>
      <c r="ES129" s="207"/>
      <c r="ET129" s="207"/>
      <c r="EU129" s="207"/>
      <c r="EV129" s="207"/>
      <c r="EW129" s="207"/>
      <c r="EX129" s="207"/>
      <c r="EY129" s="207"/>
      <c r="EZ129" s="207"/>
      <c r="FA129" s="207"/>
      <c r="FB129" s="207"/>
      <c r="FC129" s="207"/>
      <c r="FD129" s="207"/>
      <c r="FE129" s="207"/>
      <c r="FF129" s="207"/>
      <c r="FG129" s="207"/>
      <c r="FH129" s="207"/>
      <c r="FI129" s="207"/>
      <c r="FJ129" s="207"/>
      <c r="FK129" s="207"/>
      <c r="FL129" s="207"/>
      <c r="FM129" s="207"/>
      <c r="FN129" s="207"/>
      <c r="FO129" s="207"/>
      <c r="FP129" s="207"/>
      <c r="FQ129" s="207"/>
      <c r="FR129" s="207"/>
      <c r="FS129" s="208"/>
      <c r="FT129" s="156"/>
    </row>
    <row r="130" spans="1:176" ht="15" customHeight="1" outlineLevel="1">
      <c r="A130" s="206" t="s">
        <v>1379</v>
      </c>
      <c r="B130" s="200" t="s">
        <v>1360</v>
      </c>
      <c r="C130" s="34"/>
      <c r="D130" s="34"/>
      <c r="E130" s="34"/>
      <c r="F130" s="34"/>
      <c r="G130" s="34"/>
      <c r="H130" s="37" t="s">
        <v>488</v>
      </c>
      <c r="I130" s="38"/>
      <c r="J130" s="38"/>
      <c r="K130" s="38"/>
      <c r="L130" s="38"/>
      <c r="M130" s="38"/>
      <c r="N130" s="38"/>
      <c r="O130" s="38"/>
      <c r="P130" s="38"/>
      <c r="Q130" s="38"/>
      <c r="R130" s="177">
        <f t="shared" si="18"/>
        <v>0</v>
      </c>
      <c r="S130" s="202">
        <f t="shared" si="20"/>
        <v>0</v>
      </c>
      <c r="T130" s="202">
        <f t="shared" si="21"/>
        <v>0</v>
      </c>
      <c r="U130" s="18"/>
      <c r="V130" s="206" t="str">
        <f t="shared" si="15"/>
        <v>3-19</v>
      </c>
      <c r="W130" s="215" t="str">
        <f t="shared" si="19"/>
        <v/>
      </c>
      <c r="X130" s="110"/>
      <c r="Y130" s="109"/>
      <c r="Z130" s="207"/>
      <c r="AA130" s="207"/>
      <c r="AB130" s="207"/>
      <c r="AC130" s="207"/>
      <c r="AD130" s="207"/>
      <c r="AE130" s="207"/>
      <c r="AF130" s="207"/>
      <c r="AG130" s="207"/>
      <c r="AH130" s="207"/>
      <c r="AI130" s="207"/>
      <c r="AJ130" s="207"/>
      <c r="AK130" s="207"/>
      <c r="AL130" s="207"/>
      <c r="AM130" s="207"/>
      <c r="AN130" s="207"/>
      <c r="AO130" s="207"/>
      <c r="AP130" s="207"/>
      <c r="AQ130" s="207"/>
      <c r="AR130" s="207"/>
      <c r="AS130" s="207"/>
      <c r="AT130" s="207"/>
      <c r="AU130" s="207"/>
      <c r="AV130" s="207"/>
      <c r="AW130" s="207"/>
      <c r="AX130" s="207"/>
      <c r="AY130" s="207"/>
      <c r="AZ130" s="207"/>
      <c r="BA130" s="207"/>
      <c r="BB130" s="207"/>
      <c r="BC130" s="207"/>
      <c r="BD130" s="207"/>
      <c r="BE130" s="207"/>
      <c r="BF130" s="207"/>
      <c r="BG130" s="207"/>
      <c r="BH130" s="207"/>
      <c r="BI130" s="207"/>
      <c r="BJ130" s="207"/>
      <c r="BK130" s="207"/>
      <c r="BL130" s="207"/>
      <c r="BM130" s="207"/>
      <c r="BN130" s="207"/>
      <c r="BO130" s="207"/>
      <c r="BP130" s="207"/>
      <c r="BQ130" s="207"/>
      <c r="BR130" s="207"/>
      <c r="BS130" s="207"/>
      <c r="BT130" s="207"/>
      <c r="BU130" s="207"/>
      <c r="BV130" s="207"/>
      <c r="BW130" s="207"/>
      <c r="BX130" s="207"/>
      <c r="BY130" s="207"/>
      <c r="BZ130" s="207"/>
      <c r="CA130" s="207"/>
      <c r="CB130" s="207"/>
      <c r="CC130" s="207"/>
      <c r="CD130" s="207"/>
      <c r="CE130" s="207"/>
      <c r="CF130" s="207"/>
      <c r="CG130" s="207"/>
      <c r="CH130" s="207"/>
      <c r="CI130" s="207"/>
      <c r="CJ130" s="207"/>
      <c r="CK130" s="207"/>
      <c r="CL130" s="207"/>
      <c r="CM130" s="207"/>
      <c r="CN130" s="207"/>
      <c r="CO130" s="207"/>
      <c r="CP130" s="207"/>
      <c r="CQ130" s="207"/>
      <c r="CR130" s="207"/>
      <c r="CS130" s="207"/>
      <c r="CT130" s="207"/>
      <c r="CU130" s="207"/>
      <c r="CV130" s="207"/>
      <c r="CW130" s="207"/>
      <c r="CX130" s="207"/>
      <c r="CY130" s="207"/>
      <c r="CZ130" s="207"/>
      <c r="DA130" s="207"/>
      <c r="DB130" s="207"/>
      <c r="DC130" s="207"/>
      <c r="DD130" s="207"/>
      <c r="DE130" s="207"/>
      <c r="DF130" s="207"/>
      <c r="DG130" s="207"/>
      <c r="DH130" s="207"/>
      <c r="DI130" s="207"/>
      <c r="DJ130" s="207"/>
      <c r="DK130" s="207"/>
      <c r="DL130" s="207"/>
      <c r="DM130" s="207"/>
      <c r="DN130" s="207"/>
      <c r="DO130" s="207"/>
      <c r="DP130" s="207"/>
      <c r="DQ130" s="207"/>
      <c r="DR130" s="207"/>
      <c r="DS130" s="207"/>
      <c r="DT130" s="207"/>
      <c r="DU130" s="207"/>
      <c r="DV130" s="207"/>
      <c r="DW130" s="207"/>
      <c r="DX130" s="207"/>
      <c r="DY130" s="207"/>
      <c r="DZ130" s="207"/>
      <c r="EA130" s="207"/>
      <c r="EB130" s="207"/>
      <c r="EC130" s="207"/>
      <c r="ED130" s="207"/>
      <c r="EE130" s="207"/>
      <c r="EF130" s="207"/>
      <c r="EG130" s="207"/>
      <c r="EH130" s="207"/>
      <c r="EI130" s="207"/>
      <c r="EJ130" s="207"/>
      <c r="EK130" s="207"/>
      <c r="EL130" s="207"/>
      <c r="EM130" s="207"/>
      <c r="EN130" s="207"/>
      <c r="EO130" s="207"/>
      <c r="EP130" s="207"/>
      <c r="EQ130" s="207"/>
      <c r="ER130" s="207"/>
      <c r="ES130" s="207"/>
      <c r="ET130" s="207"/>
      <c r="EU130" s="207"/>
      <c r="EV130" s="207"/>
      <c r="EW130" s="207"/>
      <c r="EX130" s="207"/>
      <c r="EY130" s="207"/>
      <c r="EZ130" s="207"/>
      <c r="FA130" s="207"/>
      <c r="FB130" s="207"/>
      <c r="FC130" s="207"/>
      <c r="FD130" s="207"/>
      <c r="FE130" s="207"/>
      <c r="FF130" s="207"/>
      <c r="FG130" s="207"/>
      <c r="FH130" s="207"/>
      <c r="FI130" s="207"/>
      <c r="FJ130" s="207"/>
      <c r="FK130" s="207"/>
      <c r="FL130" s="207"/>
      <c r="FM130" s="207"/>
      <c r="FN130" s="207"/>
      <c r="FO130" s="207"/>
      <c r="FP130" s="207"/>
      <c r="FQ130" s="207"/>
      <c r="FR130" s="207"/>
      <c r="FS130" s="208"/>
      <c r="FT130" s="156"/>
    </row>
    <row r="131" spans="1:176" ht="15" customHeight="1" outlineLevel="1">
      <c r="A131" s="206" t="s">
        <v>1380</v>
      </c>
      <c r="B131" s="200" t="s">
        <v>1360</v>
      </c>
      <c r="C131" s="34"/>
      <c r="D131" s="34"/>
      <c r="E131" s="34"/>
      <c r="F131" s="34"/>
      <c r="G131" s="34"/>
      <c r="H131" s="37" t="s">
        <v>488</v>
      </c>
      <c r="I131" s="38"/>
      <c r="J131" s="38"/>
      <c r="K131" s="38"/>
      <c r="L131" s="38"/>
      <c r="M131" s="38"/>
      <c r="N131" s="38"/>
      <c r="O131" s="38"/>
      <c r="P131" s="38"/>
      <c r="Q131" s="38"/>
      <c r="R131" s="177">
        <f t="shared" si="18"/>
        <v>0</v>
      </c>
      <c r="S131" s="202">
        <f t="shared" si="20"/>
        <v>0</v>
      </c>
      <c r="T131" s="202">
        <f t="shared" si="21"/>
        <v>0</v>
      </c>
      <c r="U131" s="18"/>
      <c r="V131" s="206" t="str">
        <f t="shared" si="15"/>
        <v>3-20</v>
      </c>
      <c r="W131" s="215" t="str">
        <f t="shared" si="19"/>
        <v/>
      </c>
      <c r="X131" s="110"/>
      <c r="Y131" s="109"/>
      <c r="Z131" s="207"/>
      <c r="AA131" s="207"/>
      <c r="AB131" s="207"/>
      <c r="AC131" s="207"/>
      <c r="AD131" s="207"/>
      <c r="AE131" s="207"/>
      <c r="AF131" s="207"/>
      <c r="AG131" s="207"/>
      <c r="AH131" s="207"/>
      <c r="AI131" s="207"/>
      <c r="AJ131" s="207"/>
      <c r="AK131" s="207"/>
      <c r="AL131" s="207"/>
      <c r="AM131" s="207"/>
      <c r="AN131" s="207"/>
      <c r="AO131" s="207"/>
      <c r="AP131" s="207"/>
      <c r="AQ131" s="207"/>
      <c r="AR131" s="207"/>
      <c r="AS131" s="207"/>
      <c r="AT131" s="207"/>
      <c r="AU131" s="207"/>
      <c r="AV131" s="207"/>
      <c r="AW131" s="207"/>
      <c r="AX131" s="207"/>
      <c r="AY131" s="207"/>
      <c r="AZ131" s="207"/>
      <c r="BA131" s="207"/>
      <c r="BB131" s="207"/>
      <c r="BC131" s="207"/>
      <c r="BD131" s="207"/>
      <c r="BE131" s="207"/>
      <c r="BF131" s="207"/>
      <c r="BG131" s="207"/>
      <c r="BH131" s="207"/>
      <c r="BI131" s="207"/>
      <c r="BJ131" s="207"/>
      <c r="BK131" s="207"/>
      <c r="BL131" s="207"/>
      <c r="BM131" s="207"/>
      <c r="BN131" s="207"/>
      <c r="BO131" s="207"/>
      <c r="BP131" s="207"/>
      <c r="BQ131" s="207"/>
      <c r="BR131" s="207"/>
      <c r="BS131" s="207"/>
      <c r="BT131" s="207"/>
      <c r="BU131" s="207"/>
      <c r="BV131" s="207"/>
      <c r="BW131" s="207"/>
      <c r="BX131" s="207"/>
      <c r="BY131" s="207"/>
      <c r="BZ131" s="207"/>
      <c r="CA131" s="207"/>
      <c r="CB131" s="207"/>
      <c r="CC131" s="207"/>
      <c r="CD131" s="207"/>
      <c r="CE131" s="207"/>
      <c r="CF131" s="207"/>
      <c r="CG131" s="207"/>
      <c r="CH131" s="207"/>
      <c r="CI131" s="207"/>
      <c r="CJ131" s="207"/>
      <c r="CK131" s="207"/>
      <c r="CL131" s="207"/>
      <c r="CM131" s="207"/>
      <c r="CN131" s="207"/>
      <c r="CO131" s="207"/>
      <c r="CP131" s="207"/>
      <c r="CQ131" s="207"/>
      <c r="CR131" s="207"/>
      <c r="CS131" s="207"/>
      <c r="CT131" s="207"/>
      <c r="CU131" s="207"/>
      <c r="CV131" s="207"/>
      <c r="CW131" s="207"/>
      <c r="CX131" s="207"/>
      <c r="CY131" s="207"/>
      <c r="CZ131" s="207"/>
      <c r="DA131" s="207"/>
      <c r="DB131" s="207"/>
      <c r="DC131" s="207"/>
      <c r="DD131" s="207"/>
      <c r="DE131" s="207"/>
      <c r="DF131" s="207"/>
      <c r="DG131" s="207"/>
      <c r="DH131" s="207"/>
      <c r="DI131" s="207"/>
      <c r="DJ131" s="207"/>
      <c r="DK131" s="207"/>
      <c r="DL131" s="207"/>
      <c r="DM131" s="207"/>
      <c r="DN131" s="207"/>
      <c r="DO131" s="207"/>
      <c r="DP131" s="207"/>
      <c r="DQ131" s="207"/>
      <c r="DR131" s="207"/>
      <c r="DS131" s="207"/>
      <c r="DT131" s="207"/>
      <c r="DU131" s="207"/>
      <c r="DV131" s="207"/>
      <c r="DW131" s="207"/>
      <c r="DX131" s="207"/>
      <c r="DY131" s="207"/>
      <c r="DZ131" s="207"/>
      <c r="EA131" s="207"/>
      <c r="EB131" s="207"/>
      <c r="EC131" s="207"/>
      <c r="ED131" s="207"/>
      <c r="EE131" s="207"/>
      <c r="EF131" s="207"/>
      <c r="EG131" s="207"/>
      <c r="EH131" s="207"/>
      <c r="EI131" s="207"/>
      <c r="EJ131" s="207"/>
      <c r="EK131" s="207"/>
      <c r="EL131" s="207"/>
      <c r="EM131" s="207"/>
      <c r="EN131" s="207"/>
      <c r="EO131" s="207"/>
      <c r="EP131" s="207"/>
      <c r="EQ131" s="207"/>
      <c r="ER131" s="207"/>
      <c r="ES131" s="207"/>
      <c r="ET131" s="207"/>
      <c r="EU131" s="207"/>
      <c r="EV131" s="207"/>
      <c r="EW131" s="207"/>
      <c r="EX131" s="207"/>
      <c r="EY131" s="207"/>
      <c r="EZ131" s="207"/>
      <c r="FA131" s="207"/>
      <c r="FB131" s="207"/>
      <c r="FC131" s="207"/>
      <c r="FD131" s="207"/>
      <c r="FE131" s="207"/>
      <c r="FF131" s="207"/>
      <c r="FG131" s="207"/>
      <c r="FH131" s="207"/>
      <c r="FI131" s="207"/>
      <c r="FJ131" s="207"/>
      <c r="FK131" s="207"/>
      <c r="FL131" s="207"/>
      <c r="FM131" s="207"/>
      <c r="FN131" s="207"/>
      <c r="FO131" s="207"/>
      <c r="FP131" s="207"/>
      <c r="FQ131" s="207"/>
      <c r="FR131" s="207"/>
      <c r="FS131" s="208"/>
      <c r="FT131" s="156"/>
    </row>
    <row r="132" spans="1:176" ht="15" customHeight="1" outlineLevel="1">
      <c r="A132" s="206" t="s">
        <v>1381</v>
      </c>
      <c r="B132" s="200" t="s">
        <v>1360</v>
      </c>
      <c r="C132" s="34"/>
      <c r="D132" s="34"/>
      <c r="E132" s="34"/>
      <c r="F132" s="34"/>
      <c r="G132" s="34"/>
      <c r="H132" s="37" t="s">
        <v>488</v>
      </c>
      <c r="I132" s="38"/>
      <c r="J132" s="38"/>
      <c r="K132" s="38"/>
      <c r="L132" s="38"/>
      <c r="M132" s="38"/>
      <c r="N132" s="38"/>
      <c r="O132" s="38"/>
      <c r="P132" s="38"/>
      <c r="Q132" s="38"/>
      <c r="R132" s="177">
        <f t="shared" si="18"/>
        <v>0</v>
      </c>
      <c r="S132" s="202">
        <f t="shared" si="20"/>
        <v>0</v>
      </c>
      <c r="T132" s="202">
        <f t="shared" si="21"/>
        <v>0</v>
      </c>
      <c r="U132" s="18"/>
      <c r="V132" s="206" t="str">
        <f t="shared" si="15"/>
        <v>3-21</v>
      </c>
      <c r="W132" s="215" t="str">
        <f t="shared" si="19"/>
        <v/>
      </c>
      <c r="X132" s="110"/>
      <c r="Y132" s="109"/>
      <c r="Z132" s="207"/>
      <c r="AA132" s="207"/>
      <c r="AB132" s="207"/>
      <c r="AC132" s="207"/>
      <c r="AD132" s="207"/>
      <c r="AE132" s="207"/>
      <c r="AF132" s="207"/>
      <c r="AG132" s="207"/>
      <c r="AH132" s="207"/>
      <c r="AI132" s="207"/>
      <c r="AJ132" s="207"/>
      <c r="AK132" s="207"/>
      <c r="AL132" s="207"/>
      <c r="AM132" s="207"/>
      <c r="AN132" s="207"/>
      <c r="AO132" s="207"/>
      <c r="AP132" s="207"/>
      <c r="AQ132" s="207"/>
      <c r="AR132" s="207"/>
      <c r="AS132" s="207"/>
      <c r="AT132" s="207"/>
      <c r="AU132" s="207"/>
      <c r="AV132" s="207"/>
      <c r="AW132" s="207"/>
      <c r="AX132" s="207"/>
      <c r="AY132" s="207"/>
      <c r="AZ132" s="207"/>
      <c r="BA132" s="207"/>
      <c r="BB132" s="207"/>
      <c r="BC132" s="207"/>
      <c r="BD132" s="207"/>
      <c r="BE132" s="207"/>
      <c r="BF132" s="207"/>
      <c r="BG132" s="207"/>
      <c r="BH132" s="207"/>
      <c r="BI132" s="207"/>
      <c r="BJ132" s="207"/>
      <c r="BK132" s="207"/>
      <c r="BL132" s="207"/>
      <c r="BM132" s="207"/>
      <c r="BN132" s="207"/>
      <c r="BO132" s="207"/>
      <c r="BP132" s="207"/>
      <c r="BQ132" s="207"/>
      <c r="BR132" s="207"/>
      <c r="BS132" s="207"/>
      <c r="BT132" s="207"/>
      <c r="BU132" s="207"/>
      <c r="BV132" s="207"/>
      <c r="BW132" s="207"/>
      <c r="BX132" s="207"/>
      <c r="BY132" s="207"/>
      <c r="BZ132" s="207"/>
      <c r="CA132" s="207"/>
      <c r="CB132" s="207"/>
      <c r="CC132" s="207"/>
      <c r="CD132" s="207"/>
      <c r="CE132" s="207"/>
      <c r="CF132" s="207"/>
      <c r="CG132" s="207"/>
      <c r="CH132" s="207"/>
      <c r="CI132" s="207"/>
      <c r="CJ132" s="207"/>
      <c r="CK132" s="207"/>
      <c r="CL132" s="207"/>
      <c r="CM132" s="207"/>
      <c r="CN132" s="207"/>
      <c r="CO132" s="207"/>
      <c r="CP132" s="207"/>
      <c r="CQ132" s="207"/>
      <c r="CR132" s="207"/>
      <c r="CS132" s="207"/>
      <c r="CT132" s="207"/>
      <c r="CU132" s="207"/>
      <c r="CV132" s="207"/>
      <c r="CW132" s="207"/>
      <c r="CX132" s="207"/>
      <c r="CY132" s="207"/>
      <c r="CZ132" s="207"/>
      <c r="DA132" s="207"/>
      <c r="DB132" s="207"/>
      <c r="DC132" s="207"/>
      <c r="DD132" s="207"/>
      <c r="DE132" s="207"/>
      <c r="DF132" s="207"/>
      <c r="DG132" s="207"/>
      <c r="DH132" s="207"/>
      <c r="DI132" s="207"/>
      <c r="DJ132" s="207"/>
      <c r="DK132" s="207"/>
      <c r="DL132" s="207"/>
      <c r="DM132" s="207"/>
      <c r="DN132" s="207"/>
      <c r="DO132" s="207"/>
      <c r="DP132" s="207"/>
      <c r="DQ132" s="207"/>
      <c r="DR132" s="207"/>
      <c r="DS132" s="207"/>
      <c r="DT132" s="207"/>
      <c r="DU132" s="207"/>
      <c r="DV132" s="207"/>
      <c r="DW132" s="207"/>
      <c r="DX132" s="207"/>
      <c r="DY132" s="207"/>
      <c r="DZ132" s="207"/>
      <c r="EA132" s="207"/>
      <c r="EB132" s="207"/>
      <c r="EC132" s="207"/>
      <c r="ED132" s="207"/>
      <c r="EE132" s="207"/>
      <c r="EF132" s="207"/>
      <c r="EG132" s="207"/>
      <c r="EH132" s="207"/>
      <c r="EI132" s="207"/>
      <c r="EJ132" s="207"/>
      <c r="EK132" s="207"/>
      <c r="EL132" s="207"/>
      <c r="EM132" s="207"/>
      <c r="EN132" s="207"/>
      <c r="EO132" s="207"/>
      <c r="EP132" s="207"/>
      <c r="EQ132" s="207"/>
      <c r="ER132" s="207"/>
      <c r="ES132" s="207"/>
      <c r="ET132" s="207"/>
      <c r="EU132" s="207"/>
      <c r="EV132" s="207"/>
      <c r="EW132" s="207"/>
      <c r="EX132" s="207"/>
      <c r="EY132" s="207"/>
      <c r="EZ132" s="207"/>
      <c r="FA132" s="207"/>
      <c r="FB132" s="207"/>
      <c r="FC132" s="207"/>
      <c r="FD132" s="207"/>
      <c r="FE132" s="207"/>
      <c r="FF132" s="207"/>
      <c r="FG132" s="207"/>
      <c r="FH132" s="207"/>
      <c r="FI132" s="207"/>
      <c r="FJ132" s="207"/>
      <c r="FK132" s="207"/>
      <c r="FL132" s="207"/>
      <c r="FM132" s="207"/>
      <c r="FN132" s="207"/>
      <c r="FO132" s="207"/>
      <c r="FP132" s="207"/>
      <c r="FQ132" s="207"/>
      <c r="FR132" s="207"/>
      <c r="FS132" s="208"/>
      <c r="FT132" s="156"/>
    </row>
    <row r="133" spans="1:176" ht="15" customHeight="1" outlineLevel="1">
      <c r="A133" s="206" t="s">
        <v>1382</v>
      </c>
      <c r="B133" s="200" t="s">
        <v>1360</v>
      </c>
      <c r="C133" s="34"/>
      <c r="D133" s="34"/>
      <c r="E133" s="34"/>
      <c r="F133" s="34"/>
      <c r="G133" s="34"/>
      <c r="H133" s="37" t="s">
        <v>488</v>
      </c>
      <c r="I133" s="38"/>
      <c r="J133" s="38"/>
      <c r="K133" s="38"/>
      <c r="L133" s="38"/>
      <c r="M133" s="38"/>
      <c r="N133" s="38"/>
      <c r="O133" s="38"/>
      <c r="P133" s="38"/>
      <c r="Q133" s="38"/>
      <c r="R133" s="177">
        <f t="shared" si="18"/>
        <v>0</v>
      </c>
      <c r="S133" s="202">
        <f t="shared" si="20"/>
        <v>0</v>
      </c>
      <c r="T133" s="202">
        <f t="shared" si="21"/>
        <v>0</v>
      </c>
      <c r="U133" s="18"/>
      <c r="V133" s="206" t="str">
        <f t="shared" si="15"/>
        <v>3-22</v>
      </c>
      <c r="W133" s="215" t="str">
        <f t="shared" si="19"/>
        <v/>
      </c>
      <c r="X133" s="110"/>
      <c r="Y133" s="109"/>
      <c r="Z133" s="207"/>
      <c r="AA133" s="207"/>
      <c r="AB133" s="207"/>
      <c r="AC133" s="207"/>
      <c r="AD133" s="207"/>
      <c r="AE133" s="207"/>
      <c r="AF133" s="207"/>
      <c r="AG133" s="207"/>
      <c r="AH133" s="207"/>
      <c r="AI133" s="207"/>
      <c r="AJ133" s="207"/>
      <c r="AK133" s="207"/>
      <c r="AL133" s="207"/>
      <c r="AM133" s="207"/>
      <c r="AN133" s="207"/>
      <c r="AO133" s="207"/>
      <c r="AP133" s="207"/>
      <c r="AQ133" s="207"/>
      <c r="AR133" s="207"/>
      <c r="AS133" s="207"/>
      <c r="AT133" s="207"/>
      <c r="AU133" s="207"/>
      <c r="AV133" s="207"/>
      <c r="AW133" s="207"/>
      <c r="AX133" s="207"/>
      <c r="AY133" s="207"/>
      <c r="AZ133" s="207"/>
      <c r="BA133" s="207"/>
      <c r="BB133" s="207"/>
      <c r="BC133" s="207"/>
      <c r="BD133" s="207"/>
      <c r="BE133" s="207"/>
      <c r="BF133" s="207"/>
      <c r="BG133" s="207"/>
      <c r="BH133" s="207"/>
      <c r="BI133" s="207"/>
      <c r="BJ133" s="207"/>
      <c r="BK133" s="207"/>
      <c r="BL133" s="207"/>
      <c r="BM133" s="207"/>
      <c r="BN133" s="207"/>
      <c r="BO133" s="207"/>
      <c r="BP133" s="207"/>
      <c r="BQ133" s="207"/>
      <c r="BR133" s="207"/>
      <c r="BS133" s="207"/>
      <c r="BT133" s="207"/>
      <c r="BU133" s="207"/>
      <c r="BV133" s="207"/>
      <c r="BW133" s="207"/>
      <c r="BX133" s="207"/>
      <c r="BY133" s="207"/>
      <c r="BZ133" s="207"/>
      <c r="CA133" s="207"/>
      <c r="CB133" s="207"/>
      <c r="CC133" s="207"/>
      <c r="CD133" s="207"/>
      <c r="CE133" s="207"/>
      <c r="CF133" s="207"/>
      <c r="CG133" s="207"/>
      <c r="CH133" s="207"/>
      <c r="CI133" s="207"/>
      <c r="CJ133" s="207"/>
      <c r="CK133" s="207"/>
      <c r="CL133" s="207"/>
      <c r="CM133" s="207"/>
      <c r="CN133" s="207"/>
      <c r="CO133" s="207"/>
      <c r="CP133" s="207"/>
      <c r="CQ133" s="207"/>
      <c r="CR133" s="207"/>
      <c r="CS133" s="207"/>
      <c r="CT133" s="207"/>
      <c r="CU133" s="207"/>
      <c r="CV133" s="207"/>
      <c r="CW133" s="207"/>
      <c r="CX133" s="207"/>
      <c r="CY133" s="207"/>
      <c r="CZ133" s="207"/>
      <c r="DA133" s="207"/>
      <c r="DB133" s="207"/>
      <c r="DC133" s="207"/>
      <c r="DD133" s="207"/>
      <c r="DE133" s="207"/>
      <c r="DF133" s="207"/>
      <c r="DG133" s="207"/>
      <c r="DH133" s="207"/>
      <c r="DI133" s="207"/>
      <c r="DJ133" s="207"/>
      <c r="DK133" s="207"/>
      <c r="DL133" s="207"/>
      <c r="DM133" s="207"/>
      <c r="DN133" s="207"/>
      <c r="DO133" s="207"/>
      <c r="DP133" s="207"/>
      <c r="DQ133" s="207"/>
      <c r="DR133" s="207"/>
      <c r="DS133" s="207"/>
      <c r="DT133" s="207"/>
      <c r="DU133" s="207"/>
      <c r="DV133" s="207"/>
      <c r="DW133" s="207"/>
      <c r="DX133" s="207"/>
      <c r="DY133" s="207"/>
      <c r="DZ133" s="207"/>
      <c r="EA133" s="207"/>
      <c r="EB133" s="207"/>
      <c r="EC133" s="207"/>
      <c r="ED133" s="207"/>
      <c r="EE133" s="207"/>
      <c r="EF133" s="207"/>
      <c r="EG133" s="207"/>
      <c r="EH133" s="207"/>
      <c r="EI133" s="207"/>
      <c r="EJ133" s="207"/>
      <c r="EK133" s="207"/>
      <c r="EL133" s="207"/>
      <c r="EM133" s="207"/>
      <c r="EN133" s="207"/>
      <c r="EO133" s="207"/>
      <c r="EP133" s="207"/>
      <c r="EQ133" s="207"/>
      <c r="ER133" s="207"/>
      <c r="ES133" s="207"/>
      <c r="ET133" s="207"/>
      <c r="EU133" s="207"/>
      <c r="EV133" s="207"/>
      <c r="EW133" s="207"/>
      <c r="EX133" s="207"/>
      <c r="EY133" s="207"/>
      <c r="EZ133" s="207"/>
      <c r="FA133" s="207"/>
      <c r="FB133" s="207"/>
      <c r="FC133" s="207"/>
      <c r="FD133" s="207"/>
      <c r="FE133" s="207"/>
      <c r="FF133" s="207"/>
      <c r="FG133" s="207"/>
      <c r="FH133" s="207"/>
      <c r="FI133" s="207"/>
      <c r="FJ133" s="207"/>
      <c r="FK133" s="207"/>
      <c r="FL133" s="207"/>
      <c r="FM133" s="207"/>
      <c r="FN133" s="207"/>
      <c r="FO133" s="207"/>
      <c r="FP133" s="207"/>
      <c r="FQ133" s="207"/>
      <c r="FR133" s="207"/>
      <c r="FS133" s="208"/>
      <c r="FT133" s="156"/>
    </row>
    <row r="134" spans="1:176" ht="15" customHeight="1" outlineLevel="1">
      <c r="A134" s="206" t="s">
        <v>1383</v>
      </c>
      <c r="B134" s="200" t="s">
        <v>1360</v>
      </c>
      <c r="C134" s="34"/>
      <c r="D134" s="34"/>
      <c r="E134" s="34"/>
      <c r="F134" s="34"/>
      <c r="G134" s="34"/>
      <c r="H134" s="37" t="s">
        <v>488</v>
      </c>
      <c r="I134" s="38"/>
      <c r="J134" s="38"/>
      <c r="K134" s="38"/>
      <c r="L134" s="38"/>
      <c r="M134" s="38"/>
      <c r="N134" s="38"/>
      <c r="O134" s="38"/>
      <c r="P134" s="38"/>
      <c r="Q134" s="38"/>
      <c r="R134" s="177">
        <f t="shared" si="18"/>
        <v>0</v>
      </c>
      <c r="S134" s="202">
        <f t="shared" si="20"/>
        <v>0</v>
      </c>
      <c r="T134" s="202">
        <f t="shared" si="21"/>
        <v>0</v>
      </c>
      <c r="U134" s="18"/>
      <c r="V134" s="206" t="str">
        <f t="shared" si="15"/>
        <v>3-23</v>
      </c>
      <c r="W134" s="215" t="str">
        <f t="shared" si="19"/>
        <v/>
      </c>
      <c r="X134" s="110"/>
      <c r="Y134" s="109"/>
      <c r="Z134" s="207"/>
      <c r="AA134" s="207"/>
      <c r="AB134" s="207"/>
      <c r="AC134" s="207"/>
      <c r="AD134" s="207"/>
      <c r="AE134" s="207"/>
      <c r="AF134" s="207"/>
      <c r="AG134" s="207"/>
      <c r="AH134" s="207"/>
      <c r="AI134" s="207"/>
      <c r="AJ134" s="207"/>
      <c r="AK134" s="207"/>
      <c r="AL134" s="207"/>
      <c r="AM134" s="207"/>
      <c r="AN134" s="207"/>
      <c r="AO134" s="207"/>
      <c r="AP134" s="207"/>
      <c r="AQ134" s="207"/>
      <c r="AR134" s="207"/>
      <c r="AS134" s="207"/>
      <c r="AT134" s="207"/>
      <c r="AU134" s="207"/>
      <c r="AV134" s="207"/>
      <c r="AW134" s="207"/>
      <c r="AX134" s="207"/>
      <c r="AY134" s="207"/>
      <c r="AZ134" s="207"/>
      <c r="BA134" s="207"/>
      <c r="BB134" s="207"/>
      <c r="BC134" s="207"/>
      <c r="BD134" s="207"/>
      <c r="BE134" s="207"/>
      <c r="BF134" s="207"/>
      <c r="BG134" s="207"/>
      <c r="BH134" s="207"/>
      <c r="BI134" s="207"/>
      <c r="BJ134" s="207"/>
      <c r="BK134" s="207"/>
      <c r="BL134" s="207"/>
      <c r="BM134" s="207"/>
      <c r="BN134" s="207"/>
      <c r="BO134" s="207"/>
      <c r="BP134" s="207"/>
      <c r="BQ134" s="207"/>
      <c r="BR134" s="207"/>
      <c r="BS134" s="207"/>
      <c r="BT134" s="207"/>
      <c r="BU134" s="207"/>
      <c r="BV134" s="207"/>
      <c r="BW134" s="207"/>
      <c r="BX134" s="207"/>
      <c r="BY134" s="207"/>
      <c r="BZ134" s="207"/>
      <c r="CA134" s="207"/>
      <c r="CB134" s="207"/>
      <c r="CC134" s="207"/>
      <c r="CD134" s="207"/>
      <c r="CE134" s="207"/>
      <c r="CF134" s="207"/>
      <c r="CG134" s="207"/>
      <c r="CH134" s="207"/>
      <c r="CI134" s="207"/>
      <c r="CJ134" s="207"/>
      <c r="CK134" s="207"/>
      <c r="CL134" s="207"/>
      <c r="CM134" s="207"/>
      <c r="CN134" s="207"/>
      <c r="CO134" s="207"/>
      <c r="CP134" s="207"/>
      <c r="CQ134" s="207"/>
      <c r="CR134" s="207"/>
      <c r="CS134" s="207"/>
      <c r="CT134" s="207"/>
      <c r="CU134" s="207"/>
      <c r="CV134" s="207"/>
      <c r="CW134" s="207"/>
      <c r="CX134" s="207"/>
      <c r="CY134" s="207"/>
      <c r="CZ134" s="207"/>
      <c r="DA134" s="207"/>
      <c r="DB134" s="207"/>
      <c r="DC134" s="207"/>
      <c r="DD134" s="207"/>
      <c r="DE134" s="207"/>
      <c r="DF134" s="207"/>
      <c r="DG134" s="207"/>
      <c r="DH134" s="207"/>
      <c r="DI134" s="207"/>
      <c r="DJ134" s="207"/>
      <c r="DK134" s="207"/>
      <c r="DL134" s="207"/>
      <c r="DM134" s="207"/>
      <c r="DN134" s="207"/>
      <c r="DO134" s="207"/>
      <c r="DP134" s="207"/>
      <c r="DQ134" s="207"/>
      <c r="DR134" s="207"/>
      <c r="DS134" s="207"/>
      <c r="DT134" s="207"/>
      <c r="DU134" s="207"/>
      <c r="DV134" s="207"/>
      <c r="DW134" s="207"/>
      <c r="DX134" s="207"/>
      <c r="DY134" s="207"/>
      <c r="DZ134" s="207"/>
      <c r="EA134" s="207"/>
      <c r="EB134" s="207"/>
      <c r="EC134" s="207"/>
      <c r="ED134" s="207"/>
      <c r="EE134" s="207"/>
      <c r="EF134" s="207"/>
      <c r="EG134" s="207"/>
      <c r="EH134" s="207"/>
      <c r="EI134" s="207"/>
      <c r="EJ134" s="207"/>
      <c r="EK134" s="207"/>
      <c r="EL134" s="207"/>
      <c r="EM134" s="207"/>
      <c r="EN134" s="207"/>
      <c r="EO134" s="207"/>
      <c r="EP134" s="207"/>
      <c r="EQ134" s="207"/>
      <c r="ER134" s="207"/>
      <c r="ES134" s="207"/>
      <c r="ET134" s="207"/>
      <c r="EU134" s="207"/>
      <c r="EV134" s="207"/>
      <c r="EW134" s="207"/>
      <c r="EX134" s="207"/>
      <c r="EY134" s="207"/>
      <c r="EZ134" s="207"/>
      <c r="FA134" s="207"/>
      <c r="FB134" s="207"/>
      <c r="FC134" s="207"/>
      <c r="FD134" s="207"/>
      <c r="FE134" s="207"/>
      <c r="FF134" s="207"/>
      <c r="FG134" s="207"/>
      <c r="FH134" s="207"/>
      <c r="FI134" s="207"/>
      <c r="FJ134" s="207"/>
      <c r="FK134" s="207"/>
      <c r="FL134" s="207"/>
      <c r="FM134" s="207"/>
      <c r="FN134" s="207"/>
      <c r="FO134" s="207"/>
      <c r="FP134" s="207"/>
      <c r="FQ134" s="207"/>
      <c r="FR134" s="207"/>
      <c r="FS134" s="208"/>
      <c r="FT134" s="156"/>
    </row>
    <row r="135" spans="1:176" ht="15" customHeight="1" outlineLevel="1">
      <c r="A135" s="206" t="s">
        <v>1384</v>
      </c>
      <c r="B135" s="200" t="s">
        <v>1360</v>
      </c>
      <c r="C135" s="34"/>
      <c r="D135" s="34"/>
      <c r="E135" s="34"/>
      <c r="F135" s="34"/>
      <c r="G135" s="34"/>
      <c r="H135" s="37" t="s">
        <v>488</v>
      </c>
      <c r="I135" s="38"/>
      <c r="J135" s="38"/>
      <c r="K135" s="38"/>
      <c r="L135" s="38"/>
      <c r="M135" s="38"/>
      <c r="N135" s="38"/>
      <c r="O135" s="38"/>
      <c r="P135" s="38"/>
      <c r="Q135" s="38"/>
      <c r="R135" s="177">
        <f t="shared" si="18"/>
        <v>0</v>
      </c>
      <c r="S135" s="202">
        <f t="shared" si="20"/>
        <v>0</v>
      </c>
      <c r="T135" s="202">
        <f t="shared" si="21"/>
        <v>0</v>
      </c>
      <c r="U135" s="18"/>
      <c r="V135" s="206" t="str">
        <f t="shared" si="15"/>
        <v>3-24</v>
      </c>
      <c r="W135" s="215" t="str">
        <f t="shared" si="19"/>
        <v/>
      </c>
      <c r="X135" s="110"/>
      <c r="Y135" s="109"/>
      <c r="Z135" s="207"/>
      <c r="AA135" s="207"/>
      <c r="AB135" s="207"/>
      <c r="AC135" s="207"/>
      <c r="AD135" s="207"/>
      <c r="AE135" s="207"/>
      <c r="AF135" s="207"/>
      <c r="AG135" s="207"/>
      <c r="AH135" s="207"/>
      <c r="AI135" s="207"/>
      <c r="AJ135" s="207"/>
      <c r="AK135" s="207"/>
      <c r="AL135" s="207"/>
      <c r="AM135" s="207"/>
      <c r="AN135" s="207"/>
      <c r="AO135" s="207"/>
      <c r="AP135" s="207"/>
      <c r="AQ135" s="207"/>
      <c r="AR135" s="207"/>
      <c r="AS135" s="207"/>
      <c r="AT135" s="207"/>
      <c r="AU135" s="207"/>
      <c r="AV135" s="207"/>
      <c r="AW135" s="207"/>
      <c r="AX135" s="207"/>
      <c r="AY135" s="207"/>
      <c r="AZ135" s="207"/>
      <c r="BA135" s="207"/>
      <c r="BB135" s="207"/>
      <c r="BC135" s="207"/>
      <c r="BD135" s="207"/>
      <c r="BE135" s="207"/>
      <c r="BF135" s="207"/>
      <c r="BG135" s="207"/>
      <c r="BH135" s="207"/>
      <c r="BI135" s="207"/>
      <c r="BJ135" s="207"/>
      <c r="BK135" s="207"/>
      <c r="BL135" s="207"/>
      <c r="BM135" s="207"/>
      <c r="BN135" s="207"/>
      <c r="BO135" s="207"/>
      <c r="BP135" s="207"/>
      <c r="BQ135" s="207"/>
      <c r="BR135" s="207"/>
      <c r="BS135" s="207"/>
      <c r="BT135" s="207"/>
      <c r="BU135" s="207"/>
      <c r="BV135" s="207"/>
      <c r="BW135" s="207"/>
      <c r="BX135" s="207"/>
      <c r="BY135" s="207"/>
      <c r="BZ135" s="207"/>
      <c r="CA135" s="207"/>
      <c r="CB135" s="207"/>
      <c r="CC135" s="207"/>
      <c r="CD135" s="207"/>
      <c r="CE135" s="207"/>
      <c r="CF135" s="207"/>
      <c r="CG135" s="207"/>
      <c r="CH135" s="207"/>
      <c r="CI135" s="207"/>
      <c r="CJ135" s="207"/>
      <c r="CK135" s="207"/>
      <c r="CL135" s="207"/>
      <c r="CM135" s="207"/>
      <c r="CN135" s="207"/>
      <c r="CO135" s="207"/>
      <c r="CP135" s="207"/>
      <c r="CQ135" s="207"/>
      <c r="CR135" s="207"/>
      <c r="CS135" s="207"/>
      <c r="CT135" s="207"/>
      <c r="CU135" s="207"/>
      <c r="CV135" s="207"/>
      <c r="CW135" s="207"/>
      <c r="CX135" s="207"/>
      <c r="CY135" s="207"/>
      <c r="CZ135" s="207"/>
      <c r="DA135" s="207"/>
      <c r="DB135" s="207"/>
      <c r="DC135" s="207"/>
      <c r="DD135" s="207"/>
      <c r="DE135" s="207"/>
      <c r="DF135" s="207"/>
      <c r="DG135" s="207"/>
      <c r="DH135" s="207"/>
      <c r="DI135" s="207"/>
      <c r="DJ135" s="207"/>
      <c r="DK135" s="207"/>
      <c r="DL135" s="207"/>
      <c r="DM135" s="207"/>
      <c r="DN135" s="207"/>
      <c r="DO135" s="207"/>
      <c r="DP135" s="207"/>
      <c r="DQ135" s="207"/>
      <c r="DR135" s="207"/>
      <c r="DS135" s="207"/>
      <c r="DT135" s="207"/>
      <c r="DU135" s="207"/>
      <c r="DV135" s="207"/>
      <c r="DW135" s="207"/>
      <c r="DX135" s="207"/>
      <c r="DY135" s="207"/>
      <c r="DZ135" s="207"/>
      <c r="EA135" s="207"/>
      <c r="EB135" s="207"/>
      <c r="EC135" s="207"/>
      <c r="ED135" s="207"/>
      <c r="EE135" s="207"/>
      <c r="EF135" s="207"/>
      <c r="EG135" s="207"/>
      <c r="EH135" s="207"/>
      <c r="EI135" s="207"/>
      <c r="EJ135" s="207"/>
      <c r="EK135" s="207"/>
      <c r="EL135" s="207"/>
      <c r="EM135" s="207"/>
      <c r="EN135" s="207"/>
      <c r="EO135" s="207"/>
      <c r="EP135" s="207"/>
      <c r="EQ135" s="207"/>
      <c r="ER135" s="207"/>
      <c r="ES135" s="207"/>
      <c r="ET135" s="207"/>
      <c r="EU135" s="207"/>
      <c r="EV135" s="207"/>
      <c r="EW135" s="207"/>
      <c r="EX135" s="207"/>
      <c r="EY135" s="207"/>
      <c r="EZ135" s="207"/>
      <c r="FA135" s="207"/>
      <c r="FB135" s="207"/>
      <c r="FC135" s="207"/>
      <c r="FD135" s="207"/>
      <c r="FE135" s="207"/>
      <c r="FF135" s="207"/>
      <c r="FG135" s="207"/>
      <c r="FH135" s="207"/>
      <c r="FI135" s="207"/>
      <c r="FJ135" s="207"/>
      <c r="FK135" s="207"/>
      <c r="FL135" s="207"/>
      <c r="FM135" s="207"/>
      <c r="FN135" s="207"/>
      <c r="FO135" s="207"/>
      <c r="FP135" s="207"/>
      <c r="FQ135" s="207"/>
      <c r="FR135" s="207"/>
      <c r="FS135" s="208"/>
      <c r="FT135" s="156"/>
    </row>
    <row r="136" spans="1:176" ht="15" customHeight="1" outlineLevel="1">
      <c r="A136" s="206" t="s">
        <v>1385</v>
      </c>
      <c r="B136" s="200" t="s">
        <v>1360</v>
      </c>
      <c r="C136" s="34"/>
      <c r="D136" s="34"/>
      <c r="E136" s="34"/>
      <c r="F136" s="34"/>
      <c r="G136" s="34"/>
      <c r="H136" s="37" t="s">
        <v>488</v>
      </c>
      <c r="I136" s="38"/>
      <c r="J136" s="38"/>
      <c r="K136" s="38"/>
      <c r="L136" s="38"/>
      <c r="M136" s="38"/>
      <c r="N136" s="38"/>
      <c r="O136" s="38"/>
      <c r="P136" s="38"/>
      <c r="Q136" s="38"/>
      <c r="R136" s="177">
        <f t="shared" si="18"/>
        <v>0</v>
      </c>
      <c r="S136" s="202">
        <f t="shared" si="20"/>
        <v>0</v>
      </c>
      <c r="T136" s="202">
        <f t="shared" si="21"/>
        <v>0</v>
      </c>
      <c r="U136" s="18"/>
      <c r="V136" s="206" t="str">
        <f t="shared" si="15"/>
        <v>3-25</v>
      </c>
      <c r="W136" s="215" t="str">
        <f t="shared" si="19"/>
        <v/>
      </c>
      <c r="X136" s="110"/>
      <c r="Y136" s="109"/>
      <c r="Z136" s="207"/>
      <c r="AA136" s="207"/>
      <c r="AB136" s="207"/>
      <c r="AC136" s="207"/>
      <c r="AD136" s="207"/>
      <c r="AE136" s="207"/>
      <c r="AF136" s="207"/>
      <c r="AG136" s="207"/>
      <c r="AH136" s="207"/>
      <c r="AI136" s="207"/>
      <c r="AJ136" s="207"/>
      <c r="AK136" s="207"/>
      <c r="AL136" s="207"/>
      <c r="AM136" s="207"/>
      <c r="AN136" s="207"/>
      <c r="AO136" s="207"/>
      <c r="AP136" s="207"/>
      <c r="AQ136" s="207"/>
      <c r="AR136" s="207"/>
      <c r="AS136" s="207"/>
      <c r="AT136" s="207"/>
      <c r="AU136" s="207"/>
      <c r="AV136" s="207"/>
      <c r="AW136" s="207"/>
      <c r="AX136" s="207"/>
      <c r="AY136" s="207"/>
      <c r="AZ136" s="207"/>
      <c r="BA136" s="207"/>
      <c r="BB136" s="207"/>
      <c r="BC136" s="207"/>
      <c r="BD136" s="207"/>
      <c r="BE136" s="207"/>
      <c r="BF136" s="207"/>
      <c r="BG136" s="207"/>
      <c r="BH136" s="207"/>
      <c r="BI136" s="207"/>
      <c r="BJ136" s="207"/>
      <c r="BK136" s="207"/>
      <c r="BL136" s="207"/>
      <c r="BM136" s="207"/>
      <c r="BN136" s="207"/>
      <c r="BO136" s="207"/>
      <c r="BP136" s="207"/>
      <c r="BQ136" s="207"/>
      <c r="BR136" s="207"/>
      <c r="BS136" s="207"/>
      <c r="BT136" s="207"/>
      <c r="BU136" s="207"/>
      <c r="BV136" s="207"/>
      <c r="BW136" s="207"/>
      <c r="BX136" s="207"/>
      <c r="BY136" s="207"/>
      <c r="BZ136" s="207"/>
      <c r="CA136" s="207"/>
      <c r="CB136" s="207"/>
      <c r="CC136" s="207"/>
      <c r="CD136" s="207"/>
      <c r="CE136" s="207"/>
      <c r="CF136" s="207"/>
      <c r="CG136" s="207"/>
      <c r="CH136" s="207"/>
      <c r="CI136" s="207"/>
      <c r="CJ136" s="207"/>
      <c r="CK136" s="207"/>
      <c r="CL136" s="207"/>
      <c r="CM136" s="207"/>
      <c r="CN136" s="207"/>
      <c r="CO136" s="207"/>
      <c r="CP136" s="207"/>
      <c r="CQ136" s="207"/>
      <c r="CR136" s="207"/>
      <c r="CS136" s="207"/>
      <c r="CT136" s="207"/>
      <c r="CU136" s="207"/>
      <c r="CV136" s="207"/>
      <c r="CW136" s="207"/>
      <c r="CX136" s="207"/>
      <c r="CY136" s="207"/>
      <c r="CZ136" s="207"/>
      <c r="DA136" s="207"/>
      <c r="DB136" s="207"/>
      <c r="DC136" s="207"/>
      <c r="DD136" s="207"/>
      <c r="DE136" s="207"/>
      <c r="DF136" s="207"/>
      <c r="DG136" s="207"/>
      <c r="DH136" s="207"/>
      <c r="DI136" s="207"/>
      <c r="DJ136" s="207"/>
      <c r="DK136" s="207"/>
      <c r="DL136" s="207"/>
      <c r="DM136" s="207"/>
      <c r="DN136" s="207"/>
      <c r="DO136" s="207"/>
      <c r="DP136" s="207"/>
      <c r="DQ136" s="207"/>
      <c r="DR136" s="207"/>
      <c r="DS136" s="207"/>
      <c r="DT136" s="207"/>
      <c r="DU136" s="207"/>
      <c r="DV136" s="207"/>
      <c r="DW136" s="207"/>
      <c r="DX136" s="207"/>
      <c r="DY136" s="207"/>
      <c r="DZ136" s="207"/>
      <c r="EA136" s="207"/>
      <c r="EB136" s="207"/>
      <c r="EC136" s="207"/>
      <c r="ED136" s="207"/>
      <c r="EE136" s="207"/>
      <c r="EF136" s="207"/>
      <c r="EG136" s="207"/>
      <c r="EH136" s="207"/>
      <c r="EI136" s="207"/>
      <c r="EJ136" s="207"/>
      <c r="EK136" s="207"/>
      <c r="EL136" s="207"/>
      <c r="EM136" s="207"/>
      <c r="EN136" s="207"/>
      <c r="EO136" s="207"/>
      <c r="EP136" s="207"/>
      <c r="EQ136" s="207"/>
      <c r="ER136" s="207"/>
      <c r="ES136" s="207"/>
      <c r="ET136" s="207"/>
      <c r="EU136" s="207"/>
      <c r="EV136" s="207"/>
      <c r="EW136" s="207"/>
      <c r="EX136" s="207"/>
      <c r="EY136" s="207"/>
      <c r="EZ136" s="207"/>
      <c r="FA136" s="207"/>
      <c r="FB136" s="207"/>
      <c r="FC136" s="207"/>
      <c r="FD136" s="207"/>
      <c r="FE136" s="207"/>
      <c r="FF136" s="207"/>
      <c r="FG136" s="207"/>
      <c r="FH136" s="207"/>
      <c r="FI136" s="207"/>
      <c r="FJ136" s="207"/>
      <c r="FK136" s="207"/>
      <c r="FL136" s="207"/>
      <c r="FM136" s="207"/>
      <c r="FN136" s="207"/>
      <c r="FO136" s="207"/>
      <c r="FP136" s="207"/>
      <c r="FQ136" s="207"/>
      <c r="FR136" s="207"/>
      <c r="FS136" s="208"/>
      <c r="FT136" s="156"/>
    </row>
    <row r="137" spans="1:176" ht="15" customHeight="1" outlineLevel="1">
      <c r="A137" s="206" t="s">
        <v>1386</v>
      </c>
      <c r="B137" s="200" t="s">
        <v>1360</v>
      </c>
      <c r="C137" s="34"/>
      <c r="D137" s="34"/>
      <c r="E137" s="34"/>
      <c r="F137" s="34"/>
      <c r="G137" s="34"/>
      <c r="H137" s="37" t="s">
        <v>488</v>
      </c>
      <c r="I137" s="38"/>
      <c r="J137" s="38"/>
      <c r="K137" s="38"/>
      <c r="L137" s="38"/>
      <c r="M137" s="38"/>
      <c r="N137" s="38"/>
      <c r="O137" s="38"/>
      <c r="P137" s="38"/>
      <c r="Q137" s="38"/>
      <c r="R137" s="177">
        <f t="shared" si="18"/>
        <v>0</v>
      </c>
      <c r="S137" s="202">
        <f t="shared" si="20"/>
        <v>0</v>
      </c>
      <c r="T137" s="202">
        <f t="shared" si="21"/>
        <v>0</v>
      </c>
      <c r="U137" s="18"/>
      <c r="V137" s="206" t="str">
        <f t="shared" si="15"/>
        <v>3-26</v>
      </c>
      <c r="W137" s="215" t="str">
        <f t="shared" si="19"/>
        <v/>
      </c>
      <c r="X137" s="110"/>
      <c r="Y137" s="109"/>
      <c r="Z137" s="207"/>
      <c r="AA137" s="207"/>
      <c r="AB137" s="207"/>
      <c r="AC137" s="207"/>
      <c r="AD137" s="207"/>
      <c r="AE137" s="207"/>
      <c r="AF137" s="207"/>
      <c r="AG137" s="207"/>
      <c r="AH137" s="207"/>
      <c r="AI137" s="207"/>
      <c r="AJ137" s="207"/>
      <c r="AK137" s="207"/>
      <c r="AL137" s="207"/>
      <c r="AM137" s="207"/>
      <c r="AN137" s="207"/>
      <c r="AO137" s="207"/>
      <c r="AP137" s="207"/>
      <c r="AQ137" s="207"/>
      <c r="AR137" s="207"/>
      <c r="AS137" s="207"/>
      <c r="AT137" s="207"/>
      <c r="AU137" s="207"/>
      <c r="AV137" s="207"/>
      <c r="AW137" s="207"/>
      <c r="AX137" s="207"/>
      <c r="AY137" s="207"/>
      <c r="AZ137" s="207"/>
      <c r="BA137" s="207"/>
      <c r="BB137" s="207"/>
      <c r="BC137" s="207"/>
      <c r="BD137" s="207"/>
      <c r="BE137" s="207"/>
      <c r="BF137" s="207"/>
      <c r="BG137" s="207"/>
      <c r="BH137" s="207"/>
      <c r="BI137" s="207"/>
      <c r="BJ137" s="207"/>
      <c r="BK137" s="207"/>
      <c r="BL137" s="207"/>
      <c r="BM137" s="207"/>
      <c r="BN137" s="207"/>
      <c r="BO137" s="207"/>
      <c r="BP137" s="207"/>
      <c r="BQ137" s="207"/>
      <c r="BR137" s="207"/>
      <c r="BS137" s="207"/>
      <c r="BT137" s="207"/>
      <c r="BU137" s="207"/>
      <c r="BV137" s="207"/>
      <c r="BW137" s="207"/>
      <c r="BX137" s="207"/>
      <c r="BY137" s="207"/>
      <c r="BZ137" s="207"/>
      <c r="CA137" s="207"/>
      <c r="CB137" s="207"/>
      <c r="CC137" s="207"/>
      <c r="CD137" s="207"/>
      <c r="CE137" s="207"/>
      <c r="CF137" s="207"/>
      <c r="CG137" s="207"/>
      <c r="CH137" s="207"/>
      <c r="CI137" s="207"/>
      <c r="CJ137" s="207"/>
      <c r="CK137" s="207"/>
      <c r="CL137" s="207"/>
      <c r="CM137" s="207"/>
      <c r="CN137" s="207"/>
      <c r="CO137" s="207"/>
      <c r="CP137" s="207"/>
      <c r="CQ137" s="207"/>
      <c r="CR137" s="207"/>
      <c r="CS137" s="207"/>
      <c r="CT137" s="207"/>
      <c r="CU137" s="207"/>
      <c r="CV137" s="207"/>
      <c r="CW137" s="207"/>
      <c r="CX137" s="207"/>
      <c r="CY137" s="207"/>
      <c r="CZ137" s="207"/>
      <c r="DA137" s="207"/>
      <c r="DB137" s="207"/>
      <c r="DC137" s="207"/>
      <c r="DD137" s="207"/>
      <c r="DE137" s="207"/>
      <c r="DF137" s="207"/>
      <c r="DG137" s="207"/>
      <c r="DH137" s="207"/>
      <c r="DI137" s="207"/>
      <c r="DJ137" s="207"/>
      <c r="DK137" s="207"/>
      <c r="DL137" s="207"/>
      <c r="DM137" s="207"/>
      <c r="DN137" s="207"/>
      <c r="DO137" s="207"/>
      <c r="DP137" s="207"/>
      <c r="DQ137" s="207"/>
      <c r="DR137" s="207"/>
      <c r="DS137" s="207"/>
      <c r="DT137" s="207"/>
      <c r="DU137" s="207"/>
      <c r="DV137" s="207"/>
      <c r="DW137" s="207"/>
      <c r="DX137" s="207"/>
      <c r="DY137" s="207"/>
      <c r="DZ137" s="207"/>
      <c r="EA137" s="207"/>
      <c r="EB137" s="207"/>
      <c r="EC137" s="207"/>
      <c r="ED137" s="207"/>
      <c r="EE137" s="207"/>
      <c r="EF137" s="207"/>
      <c r="EG137" s="207"/>
      <c r="EH137" s="207"/>
      <c r="EI137" s="207"/>
      <c r="EJ137" s="207"/>
      <c r="EK137" s="207"/>
      <c r="EL137" s="207"/>
      <c r="EM137" s="207"/>
      <c r="EN137" s="207"/>
      <c r="EO137" s="207"/>
      <c r="EP137" s="207"/>
      <c r="EQ137" s="207"/>
      <c r="ER137" s="207"/>
      <c r="ES137" s="207"/>
      <c r="ET137" s="207"/>
      <c r="EU137" s="207"/>
      <c r="EV137" s="207"/>
      <c r="EW137" s="207"/>
      <c r="EX137" s="207"/>
      <c r="EY137" s="207"/>
      <c r="EZ137" s="207"/>
      <c r="FA137" s="207"/>
      <c r="FB137" s="207"/>
      <c r="FC137" s="207"/>
      <c r="FD137" s="207"/>
      <c r="FE137" s="207"/>
      <c r="FF137" s="207"/>
      <c r="FG137" s="207"/>
      <c r="FH137" s="207"/>
      <c r="FI137" s="207"/>
      <c r="FJ137" s="207"/>
      <c r="FK137" s="207"/>
      <c r="FL137" s="207"/>
      <c r="FM137" s="207"/>
      <c r="FN137" s="207"/>
      <c r="FO137" s="207"/>
      <c r="FP137" s="207"/>
      <c r="FQ137" s="207"/>
      <c r="FR137" s="207"/>
      <c r="FS137" s="208"/>
      <c r="FT137" s="156"/>
    </row>
    <row r="138" spans="1:176" ht="15" customHeight="1" outlineLevel="1">
      <c r="A138" s="206" t="s">
        <v>1387</v>
      </c>
      <c r="B138" s="200" t="s">
        <v>1360</v>
      </c>
      <c r="C138" s="34"/>
      <c r="D138" s="34"/>
      <c r="E138" s="34"/>
      <c r="F138" s="34"/>
      <c r="G138" s="34"/>
      <c r="H138" s="37" t="s">
        <v>488</v>
      </c>
      <c r="I138" s="38"/>
      <c r="J138" s="38"/>
      <c r="K138" s="38"/>
      <c r="L138" s="38"/>
      <c r="M138" s="38"/>
      <c r="N138" s="38"/>
      <c r="O138" s="38"/>
      <c r="P138" s="38"/>
      <c r="Q138" s="38"/>
      <c r="R138" s="177">
        <f t="shared" si="18"/>
        <v>0</v>
      </c>
      <c r="S138" s="202">
        <f t="shared" si="20"/>
        <v>0</v>
      </c>
      <c r="T138" s="202">
        <f t="shared" si="21"/>
        <v>0</v>
      </c>
      <c r="U138" s="18"/>
      <c r="V138" s="206" t="str">
        <f t="shared" ref="V138:V201" si="22">A138</f>
        <v>3-27</v>
      </c>
      <c r="W138" s="215" t="str">
        <f t="shared" si="19"/>
        <v/>
      </c>
      <c r="X138" s="110"/>
      <c r="Y138" s="109"/>
      <c r="Z138" s="207"/>
      <c r="AA138" s="207"/>
      <c r="AB138" s="207"/>
      <c r="AC138" s="207"/>
      <c r="AD138" s="207"/>
      <c r="AE138" s="207"/>
      <c r="AF138" s="207"/>
      <c r="AG138" s="207"/>
      <c r="AH138" s="207"/>
      <c r="AI138" s="207"/>
      <c r="AJ138" s="207"/>
      <c r="AK138" s="207"/>
      <c r="AL138" s="207"/>
      <c r="AM138" s="207"/>
      <c r="AN138" s="207"/>
      <c r="AO138" s="207"/>
      <c r="AP138" s="207"/>
      <c r="AQ138" s="207"/>
      <c r="AR138" s="207"/>
      <c r="AS138" s="207"/>
      <c r="AT138" s="207"/>
      <c r="AU138" s="207"/>
      <c r="AV138" s="207"/>
      <c r="AW138" s="207"/>
      <c r="AX138" s="207"/>
      <c r="AY138" s="207"/>
      <c r="AZ138" s="207"/>
      <c r="BA138" s="207"/>
      <c r="BB138" s="207"/>
      <c r="BC138" s="207"/>
      <c r="BD138" s="207"/>
      <c r="BE138" s="207"/>
      <c r="BF138" s="207"/>
      <c r="BG138" s="207"/>
      <c r="BH138" s="207"/>
      <c r="BI138" s="207"/>
      <c r="BJ138" s="207"/>
      <c r="BK138" s="207"/>
      <c r="BL138" s="207"/>
      <c r="BM138" s="207"/>
      <c r="BN138" s="207"/>
      <c r="BO138" s="207"/>
      <c r="BP138" s="207"/>
      <c r="BQ138" s="207"/>
      <c r="BR138" s="207"/>
      <c r="BS138" s="207"/>
      <c r="BT138" s="207"/>
      <c r="BU138" s="207"/>
      <c r="BV138" s="207"/>
      <c r="BW138" s="207"/>
      <c r="BX138" s="207"/>
      <c r="BY138" s="207"/>
      <c r="BZ138" s="207"/>
      <c r="CA138" s="207"/>
      <c r="CB138" s="207"/>
      <c r="CC138" s="207"/>
      <c r="CD138" s="207"/>
      <c r="CE138" s="207"/>
      <c r="CF138" s="207"/>
      <c r="CG138" s="207"/>
      <c r="CH138" s="207"/>
      <c r="CI138" s="207"/>
      <c r="CJ138" s="207"/>
      <c r="CK138" s="207"/>
      <c r="CL138" s="207"/>
      <c r="CM138" s="207"/>
      <c r="CN138" s="207"/>
      <c r="CO138" s="207"/>
      <c r="CP138" s="207"/>
      <c r="CQ138" s="207"/>
      <c r="CR138" s="207"/>
      <c r="CS138" s="207"/>
      <c r="CT138" s="207"/>
      <c r="CU138" s="207"/>
      <c r="CV138" s="207"/>
      <c r="CW138" s="207"/>
      <c r="CX138" s="207"/>
      <c r="CY138" s="207"/>
      <c r="CZ138" s="207"/>
      <c r="DA138" s="207"/>
      <c r="DB138" s="207"/>
      <c r="DC138" s="207"/>
      <c r="DD138" s="207"/>
      <c r="DE138" s="207"/>
      <c r="DF138" s="207"/>
      <c r="DG138" s="207"/>
      <c r="DH138" s="207"/>
      <c r="DI138" s="207"/>
      <c r="DJ138" s="207"/>
      <c r="DK138" s="207"/>
      <c r="DL138" s="207"/>
      <c r="DM138" s="207"/>
      <c r="DN138" s="207"/>
      <c r="DO138" s="207"/>
      <c r="DP138" s="207"/>
      <c r="DQ138" s="207"/>
      <c r="DR138" s="207"/>
      <c r="DS138" s="207"/>
      <c r="DT138" s="207"/>
      <c r="DU138" s="207"/>
      <c r="DV138" s="207"/>
      <c r="DW138" s="207"/>
      <c r="DX138" s="207"/>
      <c r="DY138" s="207"/>
      <c r="DZ138" s="207"/>
      <c r="EA138" s="207"/>
      <c r="EB138" s="207"/>
      <c r="EC138" s="207"/>
      <c r="ED138" s="207"/>
      <c r="EE138" s="207"/>
      <c r="EF138" s="207"/>
      <c r="EG138" s="207"/>
      <c r="EH138" s="207"/>
      <c r="EI138" s="207"/>
      <c r="EJ138" s="207"/>
      <c r="EK138" s="207"/>
      <c r="EL138" s="207"/>
      <c r="EM138" s="207"/>
      <c r="EN138" s="207"/>
      <c r="EO138" s="207"/>
      <c r="EP138" s="207"/>
      <c r="EQ138" s="207"/>
      <c r="ER138" s="207"/>
      <c r="ES138" s="207"/>
      <c r="ET138" s="207"/>
      <c r="EU138" s="207"/>
      <c r="EV138" s="207"/>
      <c r="EW138" s="207"/>
      <c r="EX138" s="207"/>
      <c r="EY138" s="207"/>
      <c r="EZ138" s="207"/>
      <c r="FA138" s="207"/>
      <c r="FB138" s="207"/>
      <c r="FC138" s="207"/>
      <c r="FD138" s="207"/>
      <c r="FE138" s="207"/>
      <c r="FF138" s="207"/>
      <c r="FG138" s="207"/>
      <c r="FH138" s="207"/>
      <c r="FI138" s="207"/>
      <c r="FJ138" s="207"/>
      <c r="FK138" s="207"/>
      <c r="FL138" s="207"/>
      <c r="FM138" s="207"/>
      <c r="FN138" s="207"/>
      <c r="FO138" s="207"/>
      <c r="FP138" s="207"/>
      <c r="FQ138" s="207"/>
      <c r="FR138" s="207"/>
      <c r="FS138" s="208"/>
      <c r="FT138" s="156"/>
    </row>
    <row r="139" spans="1:176" ht="15" customHeight="1" outlineLevel="1">
      <c r="A139" s="206" t="s">
        <v>1388</v>
      </c>
      <c r="B139" s="200" t="s">
        <v>1360</v>
      </c>
      <c r="C139" s="34"/>
      <c r="D139" s="34"/>
      <c r="E139" s="34"/>
      <c r="F139" s="34"/>
      <c r="G139" s="34"/>
      <c r="H139" s="37" t="s">
        <v>488</v>
      </c>
      <c r="I139" s="38"/>
      <c r="J139" s="38"/>
      <c r="K139" s="38"/>
      <c r="L139" s="38"/>
      <c r="M139" s="38"/>
      <c r="N139" s="38"/>
      <c r="O139" s="38"/>
      <c r="P139" s="38"/>
      <c r="Q139" s="38"/>
      <c r="R139" s="177">
        <f t="shared" si="18"/>
        <v>0</v>
      </c>
      <c r="S139" s="202">
        <f t="shared" si="20"/>
        <v>0</v>
      </c>
      <c r="T139" s="202">
        <f t="shared" si="21"/>
        <v>0</v>
      </c>
      <c r="U139" s="18"/>
      <c r="V139" s="206" t="str">
        <f t="shared" si="22"/>
        <v>3-28</v>
      </c>
      <c r="W139" s="215" t="str">
        <f t="shared" si="19"/>
        <v/>
      </c>
      <c r="X139" s="110"/>
      <c r="Y139" s="109"/>
      <c r="Z139" s="207"/>
      <c r="AA139" s="207"/>
      <c r="AB139" s="207"/>
      <c r="AC139" s="207"/>
      <c r="AD139" s="207"/>
      <c r="AE139" s="207"/>
      <c r="AF139" s="207"/>
      <c r="AG139" s="207"/>
      <c r="AH139" s="207"/>
      <c r="AI139" s="207"/>
      <c r="AJ139" s="207"/>
      <c r="AK139" s="207"/>
      <c r="AL139" s="207"/>
      <c r="AM139" s="207"/>
      <c r="AN139" s="207"/>
      <c r="AO139" s="207"/>
      <c r="AP139" s="207"/>
      <c r="AQ139" s="207"/>
      <c r="AR139" s="207"/>
      <c r="AS139" s="207"/>
      <c r="AT139" s="207"/>
      <c r="AU139" s="207"/>
      <c r="AV139" s="207"/>
      <c r="AW139" s="207"/>
      <c r="AX139" s="207"/>
      <c r="AY139" s="207"/>
      <c r="AZ139" s="207"/>
      <c r="BA139" s="207"/>
      <c r="BB139" s="207"/>
      <c r="BC139" s="207"/>
      <c r="BD139" s="207"/>
      <c r="BE139" s="207"/>
      <c r="BF139" s="207"/>
      <c r="BG139" s="207"/>
      <c r="BH139" s="207"/>
      <c r="BI139" s="207"/>
      <c r="BJ139" s="207"/>
      <c r="BK139" s="207"/>
      <c r="BL139" s="207"/>
      <c r="BM139" s="207"/>
      <c r="BN139" s="207"/>
      <c r="BO139" s="207"/>
      <c r="BP139" s="207"/>
      <c r="BQ139" s="207"/>
      <c r="BR139" s="207"/>
      <c r="BS139" s="207"/>
      <c r="BT139" s="207"/>
      <c r="BU139" s="207"/>
      <c r="BV139" s="207"/>
      <c r="BW139" s="207"/>
      <c r="BX139" s="207"/>
      <c r="BY139" s="207"/>
      <c r="BZ139" s="207"/>
      <c r="CA139" s="207"/>
      <c r="CB139" s="207"/>
      <c r="CC139" s="207"/>
      <c r="CD139" s="207"/>
      <c r="CE139" s="207"/>
      <c r="CF139" s="207"/>
      <c r="CG139" s="207"/>
      <c r="CH139" s="207"/>
      <c r="CI139" s="207"/>
      <c r="CJ139" s="207"/>
      <c r="CK139" s="207"/>
      <c r="CL139" s="207"/>
      <c r="CM139" s="207"/>
      <c r="CN139" s="207"/>
      <c r="CO139" s="207"/>
      <c r="CP139" s="207"/>
      <c r="CQ139" s="207"/>
      <c r="CR139" s="207"/>
      <c r="CS139" s="207"/>
      <c r="CT139" s="207"/>
      <c r="CU139" s="207"/>
      <c r="CV139" s="207"/>
      <c r="CW139" s="207"/>
      <c r="CX139" s="207"/>
      <c r="CY139" s="207"/>
      <c r="CZ139" s="207"/>
      <c r="DA139" s="207"/>
      <c r="DB139" s="207"/>
      <c r="DC139" s="207"/>
      <c r="DD139" s="207"/>
      <c r="DE139" s="207"/>
      <c r="DF139" s="207"/>
      <c r="DG139" s="207"/>
      <c r="DH139" s="207"/>
      <c r="DI139" s="207"/>
      <c r="DJ139" s="207"/>
      <c r="DK139" s="207"/>
      <c r="DL139" s="207"/>
      <c r="DM139" s="207"/>
      <c r="DN139" s="207"/>
      <c r="DO139" s="207"/>
      <c r="DP139" s="207"/>
      <c r="DQ139" s="207"/>
      <c r="DR139" s="207"/>
      <c r="DS139" s="207"/>
      <c r="DT139" s="207"/>
      <c r="DU139" s="207"/>
      <c r="DV139" s="207"/>
      <c r="DW139" s="207"/>
      <c r="DX139" s="207"/>
      <c r="DY139" s="207"/>
      <c r="DZ139" s="207"/>
      <c r="EA139" s="207"/>
      <c r="EB139" s="207"/>
      <c r="EC139" s="207"/>
      <c r="ED139" s="207"/>
      <c r="EE139" s="207"/>
      <c r="EF139" s="207"/>
      <c r="EG139" s="207"/>
      <c r="EH139" s="207"/>
      <c r="EI139" s="207"/>
      <c r="EJ139" s="207"/>
      <c r="EK139" s="207"/>
      <c r="EL139" s="207"/>
      <c r="EM139" s="207"/>
      <c r="EN139" s="207"/>
      <c r="EO139" s="207"/>
      <c r="EP139" s="207"/>
      <c r="EQ139" s="207"/>
      <c r="ER139" s="207"/>
      <c r="ES139" s="207"/>
      <c r="ET139" s="207"/>
      <c r="EU139" s="207"/>
      <c r="EV139" s="207"/>
      <c r="EW139" s="207"/>
      <c r="EX139" s="207"/>
      <c r="EY139" s="207"/>
      <c r="EZ139" s="207"/>
      <c r="FA139" s="207"/>
      <c r="FB139" s="207"/>
      <c r="FC139" s="207"/>
      <c r="FD139" s="207"/>
      <c r="FE139" s="207"/>
      <c r="FF139" s="207"/>
      <c r="FG139" s="207"/>
      <c r="FH139" s="207"/>
      <c r="FI139" s="207"/>
      <c r="FJ139" s="207"/>
      <c r="FK139" s="207"/>
      <c r="FL139" s="207"/>
      <c r="FM139" s="207"/>
      <c r="FN139" s="207"/>
      <c r="FO139" s="207"/>
      <c r="FP139" s="207"/>
      <c r="FQ139" s="207"/>
      <c r="FR139" s="207"/>
      <c r="FS139" s="208"/>
      <c r="FT139" s="156"/>
    </row>
    <row r="140" spans="1:176" ht="15" customHeight="1" outlineLevel="1">
      <c r="A140" s="206" t="s">
        <v>1389</v>
      </c>
      <c r="B140" s="200" t="s">
        <v>1360</v>
      </c>
      <c r="C140" s="34"/>
      <c r="D140" s="34"/>
      <c r="E140" s="34"/>
      <c r="F140" s="34"/>
      <c r="G140" s="34"/>
      <c r="H140" s="37" t="s">
        <v>488</v>
      </c>
      <c r="I140" s="38"/>
      <c r="J140" s="38"/>
      <c r="K140" s="38"/>
      <c r="L140" s="38"/>
      <c r="M140" s="38"/>
      <c r="N140" s="38"/>
      <c r="O140" s="38"/>
      <c r="P140" s="38"/>
      <c r="Q140" s="38"/>
      <c r="R140" s="177">
        <f t="shared" si="18"/>
        <v>0</v>
      </c>
      <c r="S140" s="202">
        <f t="shared" si="20"/>
        <v>0</v>
      </c>
      <c r="T140" s="202">
        <f t="shared" si="21"/>
        <v>0</v>
      </c>
      <c r="U140" s="18"/>
      <c r="V140" s="206" t="str">
        <f t="shared" si="22"/>
        <v>3-29</v>
      </c>
      <c r="W140" s="215" t="str">
        <f t="shared" si="19"/>
        <v/>
      </c>
      <c r="X140" s="110"/>
      <c r="Y140" s="109"/>
      <c r="Z140" s="207"/>
      <c r="AA140" s="207"/>
      <c r="AB140" s="207"/>
      <c r="AC140" s="207"/>
      <c r="AD140" s="207"/>
      <c r="AE140" s="207"/>
      <c r="AF140" s="207"/>
      <c r="AG140" s="207"/>
      <c r="AH140" s="207"/>
      <c r="AI140" s="207"/>
      <c r="AJ140" s="207"/>
      <c r="AK140" s="207"/>
      <c r="AL140" s="207"/>
      <c r="AM140" s="207"/>
      <c r="AN140" s="207"/>
      <c r="AO140" s="207"/>
      <c r="AP140" s="207"/>
      <c r="AQ140" s="207"/>
      <c r="AR140" s="207"/>
      <c r="AS140" s="207"/>
      <c r="AT140" s="207"/>
      <c r="AU140" s="207"/>
      <c r="AV140" s="207"/>
      <c r="AW140" s="207"/>
      <c r="AX140" s="207"/>
      <c r="AY140" s="207"/>
      <c r="AZ140" s="207"/>
      <c r="BA140" s="207"/>
      <c r="BB140" s="207"/>
      <c r="BC140" s="207"/>
      <c r="BD140" s="207"/>
      <c r="BE140" s="207"/>
      <c r="BF140" s="207"/>
      <c r="BG140" s="207"/>
      <c r="BH140" s="207"/>
      <c r="BI140" s="207"/>
      <c r="BJ140" s="207"/>
      <c r="BK140" s="207"/>
      <c r="BL140" s="207"/>
      <c r="BM140" s="207"/>
      <c r="BN140" s="207"/>
      <c r="BO140" s="207"/>
      <c r="BP140" s="207"/>
      <c r="BQ140" s="207"/>
      <c r="BR140" s="207"/>
      <c r="BS140" s="207"/>
      <c r="BT140" s="207"/>
      <c r="BU140" s="207"/>
      <c r="BV140" s="207"/>
      <c r="BW140" s="207"/>
      <c r="BX140" s="207"/>
      <c r="BY140" s="207"/>
      <c r="BZ140" s="207"/>
      <c r="CA140" s="207"/>
      <c r="CB140" s="207"/>
      <c r="CC140" s="207"/>
      <c r="CD140" s="207"/>
      <c r="CE140" s="207"/>
      <c r="CF140" s="207"/>
      <c r="CG140" s="207"/>
      <c r="CH140" s="207"/>
      <c r="CI140" s="207"/>
      <c r="CJ140" s="207"/>
      <c r="CK140" s="207"/>
      <c r="CL140" s="207"/>
      <c r="CM140" s="207"/>
      <c r="CN140" s="207"/>
      <c r="CO140" s="207"/>
      <c r="CP140" s="207"/>
      <c r="CQ140" s="207"/>
      <c r="CR140" s="207"/>
      <c r="CS140" s="207"/>
      <c r="CT140" s="207"/>
      <c r="CU140" s="207"/>
      <c r="CV140" s="207"/>
      <c r="CW140" s="207"/>
      <c r="CX140" s="207"/>
      <c r="CY140" s="207"/>
      <c r="CZ140" s="207"/>
      <c r="DA140" s="207"/>
      <c r="DB140" s="207"/>
      <c r="DC140" s="207"/>
      <c r="DD140" s="207"/>
      <c r="DE140" s="207"/>
      <c r="DF140" s="207"/>
      <c r="DG140" s="207"/>
      <c r="DH140" s="207"/>
      <c r="DI140" s="207"/>
      <c r="DJ140" s="207"/>
      <c r="DK140" s="207"/>
      <c r="DL140" s="207"/>
      <c r="DM140" s="207"/>
      <c r="DN140" s="207"/>
      <c r="DO140" s="207"/>
      <c r="DP140" s="207"/>
      <c r="DQ140" s="207"/>
      <c r="DR140" s="207"/>
      <c r="DS140" s="207"/>
      <c r="DT140" s="207"/>
      <c r="DU140" s="207"/>
      <c r="DV140" s="207"/>
      <c r="DW140" s="207"/>
      <c r="DX140" s="207"/>
      <c r="DY140" s="207"/>
      <c r="DZ140" s="207"/>
      <c r="EA140" s="207"/>
      <c r="EB140" s="207"/>
      <c r="EC140" s="207"/>
      <c r="ED140" s="207"/>
      <c r="EE140" s="207"/>
      <c r="EF140" s="207"/>
      <c r="EG140" s="207"/>
      <c r="EH140" s="207"/>
      <c r="EI140" s="207"/>
      <c r="EJ140" s="207"/>
      <c r="EK140" s="207"/>
      <c r="EL140" s="207"/>
      <c r="EM140" s="207"/>
      <c r="EN140" s="207"/>
      <c r="EO140" s="207"/>
      <c r="EP140" s="207"/>
      <c r="EQ140" s="207"/>
      <c r="ER140" s="207"/>
      <c r="ES140" s="207"/>
      <c r="ET140" s="207"/>
      <c r="EU140" s="207"/>
      <c r="EV140" s="207"/>
      <c r="EW140" s="207"/>
      <c r="EX140" s="207"/>
      <c r="EY140" s="207"/>
      <c r="EZ140" s="207"/>
      <c r="FA140" s="207"/>
      <c r="FB140" s="207"/>
      <c r="FC140" s="207"/>
      <c r="FD140" s="207"/>
      <c r="FE140" s="207"/>
      <c r="FF140" s="207"/>
      <c r="FG140" s="207"/>
      <c r="FH140" s="207"/>
      <c r="FI140" s="207"/>
      <c r="FJ140" s="207"/>
      <c r="FK140" s="207"/>
      <c r="FL140" s="207"/>
      <c r="FM140" s="207"/>
      <c r="FN140" s="207"/>
      <c r="FO140" s="207"/>
      <c r="FP140" s="207"/>
      <c r="FQ140" s="207"/>
      <c r="FR140" s="207"/>
      <c r="FS140" s="208"/>
      <c r="FT140" s="156"/>
    </row>
    <row r="141" spans="1:176" ht="15" customHeight="1" outlineLevel="1">
      <c r="A141" s="206" t="s">
        <v>1390</v>
      </c>
      <c r="B141" s="200" t="s">
        <v>1360</v>
      </c>
      <c r="C141" s="34"/>
      <c r="D141" s="34"/>
      <c r="E141" s="34"/>
      <c r="F141" s="34"/>
      <c r="G141" s="34"/>
      <c r="H141" s="37" t="s">
        <v>488</v>
      </c>
      <c r="I141" s="38"/>
      <c r="J141" s="38"/>
      <c r="K141" s="38"/>
      <c r="L141" s="38"/>
      <c r="M141" s="38"/>
      <c r="N141" s="38"/>
      <c r="O141" s="38"/>
      <c r="P141" s="38"/>
      <c r="Q141" s="38"/>
      <c r="R141" s="177">
        <f t="shared" si="18"/>
        <v>0</v>
      </c>
      <c r="S141" s="202">
        <f t="shared" si="20"/>
        <v>0</v>
      </c>
      <c r="T141" s="202">
        <f t="shared" si="21"/>
        <v>0</v>
      </c>
      <c r="U141" s="18"/>
      <c r="V141" s="206" t="str">
        <f t="shared" si="22"/>
        <v>3-30</v>
      </c>
      <c r="W141" s="215" t="str">
        <f t="shared" si="19"/>
        <v/>
      </c>
      <c r="X141" s="110"/>
      <c r="Y141" s="109"/>
      <c r="Z141" s="207"/>
      <c r="AA141" s="207"/>
      <c r="AB141" s="207"/>
      <c r="AC141" s="207"/>
      <c r="AD141" s="207"/>
      <c r="AE141" s="207"/>
      <c r="AF141" s="207"/>
      <c r="AG141" s="207"/>
      <c r="AH141" s="207"/>
      <c r="AI141" s="207"/>
      <c r="AJ141" s="207"/>
      <c r="AK141" s="207"/>
      <c r="AL141" s="207"/>
      <c r="AM141" s="207"/>
      <c r="AN141" s="207"/>
      <c r="AO141" s="207"/>
      <c r="AP141" s="207"/>
      <c r="AQ141" s="207"/>
      <c r="AR141" s="207"/>
      <c r="AS141" s="207"/>
      <c r="AT141" s="207"/>
      <c r="AU141" s="207"/>
      <c r="AV141" s="207"/>
      <c r="AW141" s="207"/>
      <c r="AX141" s="207"/>
      <c r="AY141" s="207"/>
      <c r="AZ141" s="207"/>
      <c r="BA141" s="207"/>
      <c r="BB141" s="207"/>
      <c r="BC141" s="207"/>
      <c r="BD141" s="207"/>
      <c r="BE141" s="207"/>
      <c r="BF141" s="207"/>
      <c r="BG141" s="207"/>
      <c r="BH141" s="207"/>
      <c r="BI141" s="207"/>
      <c r="BJ141" s="207"/>
      <c r="BK141" s="207"/>
      <c r="BL141" s="207"/>
      <c r="BM141" s="207"/>
      <c r="BN141" s="207"/>
      <c r="BO141" s="207"/>
      <c r="BP141" s="207"/>
      <c r="BQ141" s="207"/>
      <c r="BR141" s="207"/>
      <c r="BS141" s="207"/>
      <c r="BT141" s="207"/>
      <c r="BU141" s="207"/>
      <c r="BV141" s="207"/>
      <c r="BW141" s="207"/>
      <c r="BX141" s="207"/>
      <c r="BY141" s="207"/>
      <c r="BZ141" s="207"/>
      <c r="CA141" s="207"/>
      <c r="CB141" s="207"/>
      <c r="CC141" s="207"/>
      <c r="CD141" s="207"/>
      <c r="CE141" s="207"/>
      <c r="CF141" s="207"/>
      <c r="CG141" s="207"/>
      <c r="CH141" s="207"/>
      <c r="CI141" s="207"/>
      <c r="CJ141" s="207"/>
      <c r="CK141" s="207"/>
      <c r="CL141" s="207"/>
      <c r="CM141" s="207"/>
      <c r="CN141" s="207"/>
      <c r="CO141" s="207"/>
      <c r="CP141" s="207"/>
      <c r="CQ141" s="207"/>
      <c r="CR141" s="207"/>
      <c r="CS141" s="207"/>
      <c r="CT141" s="207"/>
      <c r="CU141" s="207"/>
      <c r="CV141" s="207"/>
      <c r="CW141" s="207"/>
      <c r="CX141" s="207"/>
      <c r="CY141" s="207"/>
      <c r="CZ141" s="207"/>
      <c r="DA141" s="207"/>
      <c r="DB141" s="207"/>
      <c r="DC141" s="207"/>
      <c r="DD141" s="207"/>
      <c r="DE141" s="207"/>
      <c r="DF141" s="207"/>
      <c r="DG141" s="207"/>
      <c r="DH141" s="207"/>
      <c r="DI141" s="207"/>
      <c r="DJ141" s="207"/>
      <c r="DK141" s="207"/>
      <c r="DL141" s="207"/>
      <c r="DM141" s="207"/>
      <c r="DN141" s="207"/>
      <c r="DO141" s="207"/>
      <c r="DP141" s="207"/>
      <c r="DQ141" s="207"/>
      <c r="DR141" s="207"/>
      <c r="DS141" s="207"/>
      <c r="DT141" s="207"/>
      <c r="DU141" s="207"/>
      <c r="DV141" s="207"/>
      <c r="DW141" s="207"/>
      <c r="DX141" s="207"/>
      <c r="DY141" s="207"/>
      <c r="DZ141" s="207"/>
      <c r="EA141" s="207"/>
      <c r="EB141" s="207"/>
      <c r="EC141" s="207"/>
      <c r="ED141" s="207"/>
      <c r="EE141" s="207"/>
      <c r="EF141" s="207"/>
      <c r="EG141" s="207"/>
      <c r="EH141" s="207"/>
      <c r="EI141" s="207"/>
      <c r="EJ141" s="207"/>
      <c r="EK141" s="207"/>
      <c r="EL141" s="207"/>
      <c r="EM141" s="207"/>
      <c r="EN141" s="207"/>
      <c r="EO141" s="207"/>
      <c r="EP141" s="207"/>
      <c r="EQ141" s="207"/>
      <c r="ER141" s="207"/>
      <c r="ES141" s="207"/>
      <c r="ET141" s="207"/>
      <c r="EU141" s="207"/>
      <c r="EV141" s="207"/>
      <c r="EW141" s="207"/>
      <c r="EX141" s="207"/>
      <c r="EY141" s="207"/>
      <c r="EZ141" s="207"/>
      <c r="FA141" s="207"/>
      <c r="FB141" s="207"/>
      <c r="FC141" s="207"/>
      <c r="FD141" s="207"/>
      <c r="FE141" s="207"/>
      <c r="FF141" s="207"/>
      <c r="FG141" s="207"/>
      <c r="FH141" s="207"/>
      <c r="FI141" s="207"/>
      <c r="FJ141" s="207"/>
      <c r="FK141" s="207"/>
      <c r="FL141" s="207"/>
      <c r="FM141" s="207"/>
      <c r="FN141" s="207"/>
      <c r="FO141" s="207"/>
      <c r="FP141" s="207"/>
      <c r="FQ141" s="207"/>
      <c r="FR141" s="207"/>
      <c r="FS141" s="208"/>
      <c r="FT141" s="156"/>
    </row>
    <row r="142" spans="1:176" ht="15" customHeight="1" outlineLevel="1">
      <c r="A142" s="206" t="s">
        <v>1391</v>
      </c>
      <c r="B142" s="200" t="s">
        <v>1360</v>
      </c>
      <c r="C142" s="34"/>
      <c r="D142" s="34"/>
      <c r="E142" s="34"/>
      <c r="F142" s="34"/>
      <c r="G142" s="34"/>
      <c r="H142" s="37" t="s">
        <v>488</v>
      </c>
      <c r="I142" s="38"/>
      <c r="J142" s="38"/>
      <c r="K142" s="38"/>
      <c r="L142" s="38"/>
      <c r="M142" s="38"/>
      <c r="N142" s="38"/>
      <c r="O142" s="38"/>
      <c r="P142" s="38"/>
      <c r="Q142" s="38"/>
      <c r="R142" s="177">
        <f t="shared" si="18"/>
        <v>0</v>
      </c>
      <c r="S142" s="202">
        <f t="shared" si="20"/>
        <v>0</v>
      </c>
      <c r="T142" s="202">
        <f t="shared" si="21"/>
        <v>0</v>
      </c>
      <c r="U142" s="18"/>
      <c r="V142" s="206" t="str">
        <f t="shared" si="22"/>
        <v>3-31</v>
      </c>
      <c r="W142" s="215" t="str">
        <f t="shared" si="19"/>
        <v/>
      </c>
      <c r="X142" s="110"/>
      <c r="Y142" s="109"/>
      <c r="Z142" s="207"/>
      <c r="AA142" s="207"/>
      <c r="AB142" s="207"/>
      <c r="AC142" s="207"/>
      <c r="AD142" s="207"/>
      <c r="AE142" s="207"/>
      <c r="AF142" s="207"/>
      <c r="AG142" s="207"/>
      <c r="AH142" s="207"/>
      <c r="AI142" s="207"/>
      <c r="AJ142" s="207"/>
      <c r="AK142" s="207"/>
      <c r="AL142" s="207"/>
      <c r="AM142" s="207"/>
      <c r="AN142" s="207"/>
      <c r="AO142" s="207"/>
      <c r="AP142" s="207"/>
      <c r="AQ142" s="207"/>
      <c r="AR142" s="207"/>
      <c r="AS142" s="207"/>
      <c r="AT142" s="207"/>
      <c r="AU142" s="207"/>
      <c r="AV142" s="207"/>
      <c r="AW142" s="207"/>
      <c r="AX142" s="207"/>
      <c r="AY142" s="207"/>
      <c r="AZ142" s="207"/>
      <c r="BA142" s="207"/>
      <c r="BB142" s="207"/>
      <c r="BC142" s="207"/>
      <c r="BD142" s="207"/>
      <c r="BE142" s="207"/>
      <c r="BF142" s="207"/>
      <c r="BG142" s="207"/>
      <c r="BH142" s="207"/>
      <c r="BI142" s="207"/>
      <c r="BJ142" s="207"/>
      <c r="BK142" s="207"/>
      <c r="BL142" s="207"/>
      <c r="BM142" s="207"/>
      <c r="BN142" s="207"/>
      <c r="BO142" s="207"/>
      <c r="BP142" s="207"/>
      <c r="BQ142" s="207"/>
      <c r="BR142" s="207"/>
      <c r="BS142" s="207"/>
      <c r="BT142" s="207"/>
      <c r="BU142" s="207"/>
      <c r="BV142" s="207"/>
      <c r="BW142" s="207"/>
      <c r="BX142" s="207"/>
      <c r="BY142" s="207"/>
      <c r="BZ142" s="207"/>
      <c r="CA142" s="207"/>
      <c r="CB142" s="207"/>
      <c r="CC142" s="207"/>
      <c r="CD142" s="207"/>
      <c r="CE142" s="207"/>
      <c r="CF142" s="207"/>
      <c r="CG142" s="207"/>
      <c r="CH142" s="207"/>
      <c r="CI142" s="207"/>
      <c r="CJ142" s="207"/>
      <c r="CK142" s="207"/>
      <c r="CL142" s="207"/>
      <c r="CM142" s="207"/>
      <c r="CN142" s="207"/>
      <c r="CO142" s="207"/>
      <c r="CP142" s="207"/>
      <c r="CQ142" s="207"/>
      <c r="CR142" s="207"/>
      <c r="CS142" s="207"/>
      <c r="CT142" s="207"/>
      <c r="CU142" s="207"/>
      <c r="CV142" s="207"/>
      <c r="CW142" s="207"/>
      <c r="CX142" s="207"/>
      <c r="CY142" s="207"/>
      <c r="CZ142" s="207"/>
      <c r="DA142" s="207"/>
      <c r="DB142" s="207"/>
      <c r="DC142" s="207"/>
      <c r="DD142" s="207"/>
      <c r="DE142" s="207"/>
      <c r="DF142" s="207"/>
      <c r="DG142" s="207"/>
      <c r="DH142" s="207"/>
      <c r="DI142" s="207"/>
      <c r="DJ142" s="207"/>
      <c r="DK142" s="207"/>
      <c r="DL142" s="207"/>
      <c r="DM142" s="207"/>
      <c r="DN142" s="207"/>
      <c r="DO142" s="207"/>
      <c r="DP142" s="207"/>
      <c r="DQ142" s="207"/>
      <c r="DR142" s="207"/>
      <c r="DS142" s="207"/>
      <c r="DT142" s="207"/>
      <c r="DU142" s="207"/>
      <c r="DV142" s="207"/>
      <c r="DW142" s="207"/>
      <c r="DX142" s="207"/>
      <c r="DY142" s="207"/>
      <c r="DZ142" s="207"/>
      <c r="EA142" s="207"/>
      <c r="EB142" s="207"/>
      <c r="EC142" s="207"/>
      <c r="ED142" s="207"/>
      <c r="EE142" s="207"/>
      <c r="EF142" s="207"/>
      <c r="EG142" s="207"/>
      <c r="EH142" s="207"/>
      <c r="EI142" s="207"/>
      <c r="EJ142" s="207"/>
      <c r="EK142" s="207"/>
      <c r="EL142" s="207"/>
      <c r="EM142" s="207"/>
      <c r="EN142" s="207"/>
      <c r="EO142" s="207"/>
      <c r="EP142" s="207"/>
      <c r="EQ142" s="207"/>
      <c r="ER142" s="207"/>
      <c r="ES142" s="207"/>
      <c r="ET142" s="207"/>
      <c r="EU142" s="207"/>
      <c r="EV142" s="207"/>
      <c r="EW142" s="207"/>
      <c r="EX142" s="207"/>
      <c r="EY142" s="207"/>
      <c r="EZ142" s="207"/>
      <c r="FA142" s="207"/>
      <c r="FB142" s="207"/>
      <c r="FC142" s="207"/>
      <c r="FD142" s="207"/>
      <c r="FE142" s="207"/>
      <c r="FF142" s="207"/>
      <c r="FG142" s="207"/>
      <c r="FH142" s="207"/>
      <c r="FI142" s="207"/>
      <c r="FJ142" s="207"/>
      <c r="FK142" s="207"/>
      <c r="FL142" s="207"/>
      <c r="FM142" s="207"/>
      <c r="FN142" s="207"/>
      <c r="FO142" s="207"/>
      <c r="FP142" s="207"/>
      <c r="FQ142" s="207"/>
      <c r="FR142" s="207"/>
      <c r="FS142" s="208"/>
      <c r="FT142" s="156"/>
    </row>
    <row r="143" spans="1:176" ht="15" customHeight="1" outlineLevel="1">
      <c r="A143" s="206" t="s">
        <v>1392</v>
      </c>
      <c r="B143" s="200" t="s">
        <v>1360</v>
      </c>
      <c r="C143" s="34"/>
      <c r="D143" s="34"/>
      <c r="E143" s="34"/>
      <c r="F143" s="34"/>
      <c r="G143" s="34"/>
      <c r="H143" s="37" t="s">
        <v>488</v>
      </c>
      <c r="I143" s="38"/>
      <c r="J143" s="38"/>
      <c r="K143" s="38"/>
      <c r="L143" s="38"/>
      <c r="M143" s="38"/>
      <c r="N143" s="38"/>
      <c r="O143" s="38"/>
      <c r="P143" s="38"/>
      <c r="Q143" s="38"/>
      <c r="R143" s="177">
        <f t="shared" si="18"/>
        <v>0</v>
      </c>
      <c r="S143" s="202">
        <f t="shared" si="20"/>
        <v>0</v>
      </c>
      <c r="T143" s="202">
        <f t="shared" si="21"/>
        <v>0</v>
      </c>
      <c r="U143" s="18"/>
      <c r="V143" s="206" t="str">
        <f t="shared" si="22"/>
        <v>3-32</v>
      </c>
      <c r="W143" s="215" t="str">
        <f t="shared" si="19"/>
        <v/>
      </c>
      <c r="X143" s="110"/>
      <c r="Y143" s="109"/>
      <c r="Z143" s="207"/>
      <c r="AA143" s="207"/>
      <c r="AB143" s="207"/>
      <c r="AC143" s="207"/>
      <c r="AD143" s="207"/>
      <c r="AE143" s="207"/>
      <c r="AF143" s="207"/>
      <c r="AG143" s="207"/>
      <c r="AH143" s="207"/>
      <c r="AI143" s="207"/>
      <c r="AJ143" s="207"/>
      <c r="AK143" s="207"/>
      <c r="AL143" s="207"/>
      <c r="AM143" s="207"/>
      <c r="AN143" s="207"/>
      <c r="AO143" s="207"/>
      <c r="AP143" s="207"/>
      <c r="AQ143" s="207"/>
      <c r="AR143" s="207"/>
      <c r="AS143" s="207"/>
      <c r="AT143" s="207"/>
      <c r="AU143" s="207"/>
      <c r="AV143" s="207"/>
      <c r="AW143" s="207"/>
      <c r="AX143" s="207"/>
      <c r="AY143" s="207"/>
      <c r="AZ143" s="207"/>
      <c r="BA143" s="207"/>
      <c r="BB143" s="207"/>
      <c r="BC143" s="207"/>
      <c r="BD143" s="207"/>
      <c r="BE143" s="207"/>
      <c r="BF143" s="207"/>
      <c r="BG143" s="207"/>
      <c r="BH143" s="207"/>
      <c r="BI143" s="207"/>
      <c r="BJ143" s="207"/>
      <c r="BK143" s="207"/>
      <c r="BL143" s="207"/>
      <c r="BM143" s="207"/>
      <c r="BN143" s="207"/>
      <c r="BO143" s="207"/>
      <c r="BP143" s="207"/>
      <c r="BQ143" s="207"/>
      <c r="BR143" s="207"/>
      <c r="BS143" s="207"/>
      <c r="BT143" s="207"/>
      <c r="BU143" s="207"/>
      <c r="BV143" s="207"/>
      <c r="BW143" s="207"/>
      <c r="BX143" s="207"/>
      <c r="BY143" s="207"/>
      <c r="BZ143" s="207"/>
      <c r="CA143" s="207"/>
      <c r="CB143" s="207"/>
      <c r="CC143" s="207"/>
      <c r="CD143" s="207"/>
      <c r="CE143" s="207"/>
      <c r="CF143" s="207"/>
      <c r="CG143" s="207"/>
      <c r="CH143" s="207"/>
      <c r="CI143" s="207"/>
      <c r="CJ143" s="207"/>
      <c r="CK143" s="207"/>
      <c r="CL143" s="207"/>
      <c r="CM143" s="207"/>
      <c r="CN143" s="207"/>
      <c r="CO143" s="207"/>
      <c r="CP143" s="207"/>
      <c r="CQ143" s="207"/>
      <c r="CR143" s="207"/>
      <c r="CS143" s="207"/>
      <c r="CT143" s="207"/>
      <c r="CU143" s="207"/>
      <c r="CV143" s="207"/>
      <c r="CW143" s="207"/>
      <c r="CX143" s="207"/>
      <c r="CY143" s="207"/>
      <c r="CZ143" s="207"/>
      <c r="DA143" s="207"/>
      <c r="DB143" s="207"/>
      <c r="DC143" s="207"/>
      <c r="DD143" s="207"/>
      <c r="DE143" s="207"/>
      <c r="DF143" s="207"/>
      <c r="DG143" s="207"/>
      <c r="DH143" s="207"/>
      <c r="DI143" s="207"/>
      <c r="DJ143" s="207"/>
      <c r="DK143" s="207"/>
      <c r="DL143" s="207"/>
      <c r="DM143" s="207"/>
      <c r="DN143" s="207"/>
      <c r="DO143" s="207"/>
      <c r="DP143" s="207"/>
      <c r="DQ143" s="207"/>
      <c r="DR143" s="207"/>
      <c r="DS143" s="207"/>
      <c r="DT143" s="207"/>
      <c r="DU143" s="207"/>
      <c r="DV143" s="207"/>
      <c r="DW143" s="207"/>
      <c r="DX143" s="207"/>
      <c r="DY143" s="207"/>
      <c r="DZ143" s="207"/>
      <c r="EA143" s="207"/>
      <c r="EB143" s="207"/>
      <c r="EC143" s="207"/>
      <c r="ED143" s="207"/>
      <c r="EE143" s="207"/>
      <c r="EF143" s="207"/>
      <c r="EG143" s="207"/>
      <c r="EH143" s="207"/>
      <c r="EI143" s="207"/>
      <c r="EJ143" s="207"/>
      <c r="EK143" s="207"/>
      <c r="EL143" s="207"/>
      <c r="EM143" s="207"/>
      <c r="EN143" s="207"/>
      <c r="EO143" s="207"/>
      <c r="EP143" s="207"/>
      <c r="EQ143" s="207"/>
      <c r="ER143" s="207"/>
      <c r="ES143" s="207"/>
      <c r="ET143" s="207"/>
      <c r="EU143" s="207"/>
      <c r="EV143" s="207"/>
      <c r="EW143" s="207"/>
      <c r="EX143" s="207"/>
      <c r="EY143" s="207"/>
      <c r="EZ143" s="207"/>
      <c r="FA143" s="207"/>
      <c r="FB143" s="207"/>
      <c r="FC143" s="207"/>
      <c r="FD143" s="207"/>
      <c r="FE143" s="207"/>
      <c r="FF143" s="207"/>
      <c r="FG143" s="207"/>
      <c r="FH143" s="207"/>
      <c r="FI143" s="207"/>
      <c r="FJ143" s="207"/>
      <c r="FK143" s="207"/>
      <c r="FL143" s="207"/>
      <c r="FM143" s="207"/>
      <c r="FN143" s="207"/>
      <c r="FO143" s="207"/>
      <c r="FP143" s="207"/>
      <c r="FQ143" s="207"/>
      <c r="FR143" s="207"/>
      <c r="FS143" s="208"/>
      <c r="FT143" s="156"/>
    </row>
    <row r="144" spans="1:176" ht="15" customHeight="1" outlineLevel="1">
      <c r="A144" s="206" t="s">
        <v>1393</v>
      </c>
      <c r="B144" s="200" t="s">
        <v>1360</v>
      </c>
      <c r="C144" s="34"/>
      <c r="D144" s="34"/>
      <c r="E144" s="34"/>
      <c r="F144" s="34"/>
      <c r="G144" s="34"/>
      <c r="H144" s="37" t="s">
        <v>488</v>
      </c>
      <c r="I144" s="38"/>
      <c r="J144" s="38"/>
      <c r="K144" s="38"/>
      <c r="L144" s="38"/>
      <c r="M144" s="38"/>
      <c r="N144" s="38"/>
      <c r="O144" s="38"/>
      <c r="P144" s="38"/>
      <c r="Q144" s="38"/>
      <c r="R144" s="177">
        <f t="shared" ref="R144:R161" si="23">SUM(I144:M144)</f>
        <v>0</v>
      </c>
      <c r="S144" s="202">
        <f t="shared" si="20"/>
        <v>0</v>
      </c>
      <c r="T144" s="202">
        <f t="shared" si="21"/>
        <v>0</v>
      </c>
      <c r="U144" s="18"/>
      <c r="V144" s="206" t="str">
        <f t="shared" si="22"/>
        <v>3-33</v>
      </c>
      <c r="W144" s="215" t="str">
        <f t="shared" ref="W144:W161" si="24">IF(ISBLANK(C144),"",C144)</f>
        <v/>
      </c>
      <c r="X144" s="110"/>
      <c r="Y144" s="109"/>
      <c r="Z144" s="207"/>
      <c r="AA144" s="207"/>
      <c r="AB144" s="207"/>
      <c r="AC144" s="207"/>
      <c r="AD144" s="207"/>
      <c r="AE144" s="207"/>
      <c r="AF144" s="207"/>
      <c r="AG144" s="207"/>
      <c r="AH144" s="207"/>
      <c r="AI144" s="207"/>
      <c r="AJ144" s="207"/>
      <c r="AK144" s="207"/>
      <c r="AL144" s="207"/>
      <c r="AM144" s="207"/>
      <c r="AN144" s="207"/>
      <c r="AO144" s="207"/>
      <c r="AP144" s="207"/>
      <c r="AQ144" s="207"/>
      <c r="AR144" s="207"/>
      <c r="AS144" s="207"/>
      <c r="AT144" s="207"/>
      <c r="AU144" s="207"/>
      <c r="AV144" s="207"/>
      <c r="AW144" s="207"/>
      <c r="AX144" s="207"/>
      <c r="AY144" s="207"/>
      <c r="AZ144" s="207"/>
      <c r="BA144" s="207"/>
      <c r="BB144" s="207"/>
      <c r="BC144" s="207"/>
      <c r="BD144" s="207"/>
      <c r="BE144" s="207"/>
      <c r="BF144" s="207"/>
      <c r="BG144" s="207"/>
      <c r="BH144" s="207"/>
      <c r="BI144" s="207"/>
      <c r="BJ144" s="207"/>
      <c r="BK144" s="207"/>
      <c r="BL144" s="207"/>
      <c r="BM144" s="207"/>
      <c r="BN144" s="207"/>
      <c r="BO144" s="207"/>
      <c r="BP144" s="207"/>
      <c r="BQ144" s="207"/>
      <c r="BR144" s="207"/>
      <c r="BS144" s="207"/>
      <c r="BT144" s="207"/>
      <c r="BU144" s="207"/>
      <c r="BV144" s="207"/>
      <c r="BW144" s="207"/>
      <c r="BX144" s="207"/>
      <c r="BY144" s="207"/>
      <c r="BZ144" s="207"/>
      <c r="CA144" s="207"/>
      <c r="CB144" s="207"/>
      <c r="CC144" s="207"/>
      <c r="CD144" s="207"/>
      <c r="CE144" s="207"/>
      <c r="CF144" s="207"/>
      <c r="CG144" s="207"/>
      <c r="CH144" s="207"/>
      <c r="CI144" s="207"/>
      <c r="CJ144" s="207"/>
      <c r="CK144" s="207"/>
      <c r="CL144" s="207"/>
      <c r="CM144" s="207"/>
      <c r="CN144" s="207"/>
      <c r="CO144" s="207"/>
      <c r="CP144" s="207"/>
      <c r="CQ144" s="207"/>
      <c r="CR144" s="207"/>
      <c r="CS144" s="207"/>
      <c r="CT144" s="207"/>
      <c r="CU144" s="207"/>
      <c r="CV144" s="207"/>
      <c r="CW144" s="207"/>
      <c r="CX144" s="207"/>
      <c r="CY144" s="207"/>
      <c r="CZ144" s="207"/>
      <c r="DA144" s="207"/>
      <c r="DB144" s="207"/>
      <c r="DC144" s="207"/>
      <c r="DD144" s="207"/>
      <c r="DE144" s="207"/>
      <c r="DF144" s="207"/>
      <c r="DG144" s="207"/>
      <c r="DH144" s="207"/>
      <c r="DI144" s="207"/>
      <c r="DJ144" s="207"/>
      <c r="DK144" s="207"/>
      <c r="DL144" s="207"/>
      <c r="DM144" s="207"/>
      <c r="DN144" s="207"/>
      <c r="DO144" s="207"/>
      <c r="DP144" s="207"/>
      <c r="DQ144" s="207"/>
      <c r="DR144" s="207"/>
      <c r="DS144" s="207"/>
      <c r="DT144" s="207"/>
      <c r="DU144" s="207"/>
      <c r="DV144" s="207"/>
      <c r="DW144" s="207"/>
      <c r="DX144" s="207"/>
      <c r="DY144" s="207"/>
      <c r="DZ144" s="207"/>
      <c r="EA144" s="207"/>
      <c r="EB144" s="207"/>
      <c r="EC144" s="207"/>
      <c r="ED144" s="207"/>
      <c r="EE144" s="207"/>
      <c r="EF144" s="207"/>
      <c r="EG144" s="207"/>
      <c r="EH144" s="207"/>
      <c r="EI144" s="207"/>
      <c r="EJ144" s="207"/>
      <c r="EK144" s="207"/>
      <c r="EL144" s="207"/>
      <c r="EM144" s="207"/>
      <c r="EN144" s="207"/>
      <c r="EO144" s="207"/>
      <c r="EP144" s="207"/>
      <c r="EQ144" s="207"/>
      <c r="ER144" s="207"/>
      <c r="ES144" s="207"/>
      <c r="ET144" s="207"/>
      <c r="EU144" s="207"/>
      <c r="EV144" s="207"/>
      <c r="EW144" s="207"/>
      <c r="EX144" s="207"/>
      <c r="EY144" s="207"/>
      <c r="EZ144" s="207"/>
      <c r="FA144" s="207"/>
      <c r="FB144" s="207"/>
      <c r="FC144" s="207"/>
      <c r="FD144" s="207"/>
      <c r="FE144" s="207"/>
      <c r="FF144" s="207"/>
      <c r="FG144" s="207"/>
      <c r="FH144" s="207"/>
      <c r="FI144" s="207"/>
      <c r="FJ144" s="207"/>
      <c r="FK144" s="207"/>
      <c r="FL144" s="207"/>
      <c r="FM144" s="207"/>
      <c r="FN144" s="207"/>
      <c r="FO144" s="207"/>
      <c r="FP144" s="207"/>
      <c r="FQ144" s="207"/>
      <c r="FR144" s="207"/>
      <c r="FS144" s="208"/>
      <c r="FT144" s="156"/>
    </row>
    <row r="145" spans="1:176" ht="15" customHeight="1" outlineLevel="1">
      <c r="A145" s="206" t="s">
        <v>1394</v>
      </c>
      <c r="B145" s="200" t="s">
        <v>1360</v>
      </c>
      <c r="C145" s="34"/>
      <c r="D145" s="34"/>
      <c r="E145" s="34"/>
      <c r="F145" s="34"/>
      <c r="G145" s="34"/>
      <c r="H145" s="37" t="s">
        <v>488</v>
      </c>
      <c r="I145" s="38"/>
      <c r="J145" s="38"/>
      <c r="K145" s="38"/>
      <c r="L145" s="38"/>
      <c r="M145" s="38"/>
      <c r="N145" s="38"/>
      <c r="O145" s="38"/>
      <c r="P145" s="38"/>
      <c r="Q145" s="38"/>
      <c r="R145" s="177">
        <f t="shared" si="23"/>
        <v>0</v>
      </c>
      <c r="S145" s="202">
        <f t="shared" si="20"/>
        <v>0</v>
      </c>
      <c r="T145" s="202">
        <f t="shared" si="21"/>
        <v>0</v>
      </c>
      <c r="U145" s="18"/>
      <c r="V145" s="206" t="str">
        <f t="shared" si="22"/>
        <v>3-34</v>
      </c>
      <c r="W145" s="215" t="str">
        <f t="shared" si="24"/>
        <v/>
      </c>
      <c r="X145" s="110"/>
      <c r="Y145" s="109"/>
      <c r="Z145" s="207"/>
      <c r="AA145" s="207"/>
      <c r="AB145" s="207"/>
      <c r="AC145" s="207"/>
      <c r="AD145" s="207"/>
      <c r="AE145" s="207"/>
      <c r="AF145" s="207"/>
      <c r="AG145" s="207"/>
      <c r="AH145" s="207"/>
      <c r="AI145" s="207"/>
      <c r="AJ145" s="207"/>
      <c r="AK145" s="207"/>
      <c r="AL145" s="207"/>
      <c r="AM145" s="207"/>
      <c r="AN145" s="207"/>
      <c r="AO145" s="207"/>
      <c r="AP145" s="207"/>
      <c r="AQ145" s="207"/>
      <c r="AR145" s="207"/>
      <c r="AS145" s="207"/>
      <c r="AT145" s="207"/>
      <c r="AU145" s="207"/>
      <c r="AV145" s="207"/>
      <c r="AW145" s="207"/>
      <c r="AX145" s="207"/>
      <c r="AY145" s="207"/>
      <c r="AZ145" s="207"/>
      <c r="BA145" s="207"/>
      <c r="BB145" s="207"/>
      <c r="BC145" s="207"/>
      <c r="BD145" s="207"/>
      <c r="BE145" s="207"/>
      <c r="BF145" s="207"/>
      <c r="BG145" s="207"/>
      <c r="BH145" s="207"/>
      <c r="BI145" s="207"/>
      <c r="BJ145" s="207"/>
      <c r="BK145" s="207"/>
      <c r="BL145" s="207"/>
      <c r="BM145" s="207"/>
      <c r="BN145" s="207"/>
      <c r="BO145" s="207"/>
      <c r="BP145" s="207"/>
      <c r="BQ145" s="207"/>
      <c r="BR145" s="207"/>
      <c r="BS145" s="207"/>
      <c r="BT145" s="207"/>
      <c r="BU145" s="207"/>
      <c r="BV145" s="207"/>
      <c r="BW145" s="207"/>
      <c r="BX145" s="207"/>
      <c r="BY145" s="207"/>
      <c r="BZ145" s="207"/>
      <c r="CA145" s="207"/>
      <c r="CB145" s="207"/>
      <c r="CC145" s="207"/>
      <c r="CD145" s="207"/>
      <c r="CE145" s="207"/>
      <c r="CF145" s="207"/>
      <c r="CG145" s="207"/>
      <c r="CH145" s="207"/>
      <c r="CI145" s="207"/>
      <c r="CJ145" s="207"/>
      <c r="CK145" s="207"/>
      <c r="CL145" s="207"/>
      <c r="CM145" s="207"/>
      <c r="CN145" s="207"/>
      <c r="CO145" s="207"/>
      <c r="CP145" s="207"/>
      <c r="CQ145" s="207"/>
      <c r="CR145" s="207"/>
      <c r="CS145" s="207"/>
      <c r="CT145" s="207"/>
      <c r="CU145" s="207"/>
      <c r="CV145" s="207"/>
      <c r="CW145" s="207"/>
      <c r="CX145" s="207"/>
      <c r="CY145" s="207"/>
      <c r="CZ145" s="207"/>
      <c r="DA145" s="207"/>
      <c r="DB145" s="207"/>
      <c r="DC145" s="207"/>
      <c r="DD145" s="207"/>
      <c r="DE145" s="207"/>
      <c r="DF145" s="207"/>
      <c r="DG145" s="207"/>
      <c r="DH145" s="207"/>
      <c r="DI145" s="207"/>
      <c r="DJ145" s="207"/>
      <c r="DK145" s="207"/>
      <c r="DL145" s="207"/>
      <c r="DM145" s="207"/>
      <c r="DN145" s="207"/>
      <c r="DO145" s="207"/>
      <c r="DP145" s="207"/>
      <c r="DQ145" s="207"/>
      <c r="DR145" s="207"/>
      <c r="DS145" s="207"/>
      <c r="DT145" s="207"/>
      <c r="DU145" s="207"/>
      <c r="DV145" s="207"/>
      <c r="DW145" s="207"/>
      <c r="DX145" s="207"/>
      <c r="DY145" s="207"/>
      <c r="DZ145" s="207"/>
      <c r="EA145" s="207"/>
      <c r="EB145" s="207"/>
      <c r="EC145" s="207"/>
      <c r="ED145" s="207"/>
      <c r="EE145" s="207"/>
      <c r="EF145" s="207"/>
      <c r="EG145" s="207"/>
      <c r="EH145" s="207"/>
      <c r="EI145" s="207"/>
      <c r="EJ145" s="207"/>
      <c r="EK145" s="207"/>
      <c r="EL145" s="207"/>
      <c r="EM145" s="207"/>
      <c r="EN145" s="207"/>
      <c r="EO145" s="207"/>
      <c r="EP145" s="207"/>
      <c r="EQ145" s="207"/>
      <c r="ER145" s="207"/>
      <c r="ES145" s="207"/>
      <c r="ET145" s="207"/>
      <c r="EU145" s="207"/>
      <c r="EV145" s="207"/>
      <c r="EW145" s="207"/>
      <c r="EX145" s="207"/>
      <c r="EY145" s="207"/>
      <c r="EZ145" s="207"/>
      <c r="FA145" s="207"/>
      <c r="FB145" s="207"/>
      <c r="FC145" s="207"/>
      <c r="FD145" s="207"/>
      <c r="FE145" s="207"/>
      <c r="FF145" s="207"/>
      <c r="FG145" s="207"/>
      <c r="FH145" s="207"/>
      <c r="FI145" s="207"/>
      <c r="FJ145" s="207"/>
      <c r="FK145" s="207"/>
      <c r="FL145" s="207"/>
      <c r="FM145" s="207"/>
      <c r="FN145" s="207"/>
      <c r="FO145" s="207"/>
      <c r="FP145" s="207"/>
      <c r="FQ145" s="207"/>
      <c r="FR145" s="207"/>
      <c r="FS145" s="208"/>
      <c r="FT145" s="156"/>
    </row>
    <row r="146" spans="1:176" ht="15" customHeight="1" outlineLevel="1">
      <c r="A146" s="206" t="s">
        <v>1395</v>
      </c>
      <c r="B146" s="200" t="s">
        <v>1360</v>
      </c>
      <c r="C146" s="34"/>
      <c r="D146" s="34"/>
      <c r="E146" s="34"/>
      <c r="F146" s="34"/>
      <c r="G146" s="34"/>
      <c r="H146" s="37" t="s">
        <v>488</v>
      </c>
      <c r="I146" s="38"/>
      <c r="J146" s="38"/>
      <c r="K146" s="38"/>
      <c r="L146" s="38"/>
      <c r="M146" s="38"/>
      <c r="N146" s="38"/>
      <c r="O146" s="38"/>
      <c r="P146" s="38"/>
      <c r="Q146" s="38"/>
      <c r="R146" s="177">
        <f t="shared" si="23"/>
        <v>0</v>
      </c>
      <c r="S146" s="202">
        <f t="shared" si="20"/>
        <v>0</v>
      </c>
      <c r="T146" s="202">
        <f t="shared" si="21"/>
        <v>0</v>
      </c>
      <c r="U146" s="18"/>
      <c r="V146" s="206" t="str">
        <f t="shared" si="22"/>
        <v>3-35</v>
      </c>
      <c r="W146" s="215" t="str">
        <f t="shared" si="24"/>
        <v/>
      </c>
      <c r="X146" s="110"/>
      <c r="Y146" s="109"/>
      <c r="Z146" s="207"/>
      <c r="AA146" s="207"/>
      <c r="AB146" s="207"/>
      <c r="AC146" s="207"/>
      <c r="AD146" s="207"/>
      <c r="AE146" s="207"/>
      <c r="AF146" s="207"/>
      <c r="AG146" s="207"/>
      <c r="AH146" s="207"/>
      <c r="AI146" s="207"/>
      <c r="AJ146" s="207"/>
      <c r="AK146" s="207"/>
      <c r="AL146" s="207"/>
      <c r="AM146" s="207"/>
      <c r="AN146" s="207"/>
      <c r="AO146" s="207"/>
      <c r="AP146" s="207"/>
      <c r="AQ146" s="207"/>
      <c r="AR146" s="207"/>
      <c r="AS146" s="207"/>
      <c r="AT146" s="207"/>
      <c r="AU146" s="207"/>
      <c r="AV146" s="207"/>
      <c r="AW146" s="207"/>
      <c r="AX146" s="207"/>
      <c r="AY146" s="207"/>
      <c r="AZ146" s="207"/>
      <c r="BA146" s="207"/>
      <c r="BB146" s="207"/>
      <c r="BC146" s="207"/>
      <c r="BD146" s="207"/>
      <c r="BE146" s="207"/>
      <c r="BF146" s="207"/>
      <c r="BG146" s="207"/>
      <c r="BH146" s="207"/>
      <c r="BI146" s="207"/>
      <c r="BJ146" s="207"/>
      <c r="BK146" s="207"/>
      <c r="BL146" s="207"/>
      <c r="BM146" s="207"/>
      <c r="BN146" s="207"/>
      <c r="BO146" s="207"/>
      <c r="BP146" s="207"/>
      <c r="BQ146" s="207"/>
      <c r="BR146" s="207"/>
      <c r="BS146" s="207"/>
      <c r="BT146" s="207"/>
      <c r="BU146" s="207"/>
      <c r="BV146" s="207"/>
      <c r="BW146" s="207"/>
      <c r="BX146" s="207"/>
      <c r="BY146" s="207"/>
      <c r="BZ146" s="207"/>
      <c r="CA146" s="207"/>
      <c r="CB146" s="207"/>
      <c r="CC146" s="207"/>
      <c r="CD146" s="207"/>
      <c r="CE146" s="207"/>
      <c r="CF146" s="207"/>
      <c r="CG146" s="207"/>
      <c r="CH146" s="207"/>
      <c r="CI146" s="207"/>
      <c r="CJ146" s="207"/>
      <c r="CK146" s="207"/>
      <c r="CL146" s="207"/>
      <c r="CM146" s="207"/>
      <c r="CN146" s="207"/>
      <c r="CO146" s="207"/>
      <c r="CP146" s="207"/>
      <c r="CQ146" s="207"/>
      <c r="CR146" s="207"/>
      <c r="CS146" s="207"/>
      <c r="CT146" s="207"/>
      <c r="CU146" s="207"/>
      <c r="CV146" s="207"/>
      <c r="CW146" s="207"/>
      <c r="CX146" s="207"/>
      <c r="CY146" s="207"/>
      <c r="CZ146" s="207"/>
      <c r="DA146" s="207"/>
      <c r="DB146" s="207"/>
      <c r="DC146" s="207"/>
      <c r="DD146" s="207"/>
      <c r="DE146" s="207"/>
      <c r="DF146" s="207"/>
      <c r="DG146" s="207"/>
      <c r="DH146" s="207"/>
      <c r="DI146" s="207"/>
      <c r="DJ146" s="207"/>
      <c r="DK146" s="207"/>
      <c r="DL146" s="207"/>
      <c r="DM146" s="207"/>
      <c r="DN146" s="207"/>
      <c r="DO146" s="207"/>
      <c r="DP146" s="207"/>
      <c r="DQ146" s="207"/>
      <c r="DR146" s="207"/>
      <c r="DS146" s="207"/>
      <c r="DT146" s="207"/>
      <c r="DU146" s="207"/>
      <c r="DV146" s="207"/>
      <c r="DW146" s="207"/>
      <c r="DX146" s="207"/>
      <c r="DY146" s="207"/>
      <c r="DZ146" s="207"/>
      <c r="EA146" s="207"/>
      <c r="EB146" s="207"/>
      <c r="EC146" s="207"/>
      <c r="ED146" s="207"/>
      <c r="EE146" s="207"/>
      <c r="EF146" s="207"/>
      <c r="EG146" s="207"/>
      <c r="EH146" s="207"/>
      <c r="EI146" s="207"/>
      <c r="EJ146" s="207"/>
      <c r="EK146" s="207"/>
      <c r="EL146" s="207"/>
      <c r="EM146" s="207"/>
      <c r="EN146" s="207"/>
      <c r="EO146" s="207"/>
      <c r="EP146" s="207"/>
      <c r="EQ146" s="207"/>
      <c r="ER146" s="207"/>
      <c r="ES146" s="207"/>
      <c r="ET146" s="207"/>
      <c r="EU146" s="207"/>
      <c r="EV146" s="207"/>
      <c r="EW146" s="207"/>
      <c r="EX146" s="207"/>
      <c r="EY146" s="207"/>
      <c r="EZ146" s="207"/>
      <c r="FA146" s="207"/>
      <c r="FB146" s="207"/>
      <c r="FC146" s="207"/>
      <c r="FD146" s="207"/>
      <c r="FE146" s="207"/>
      <c r="FF146" s="207"/>
      <c r="FG146" s="207"/>
      <c r="FH146" s="207"/>
      <c r="FI146" s="207"/>
      <c r="FJ146" s="207"/>
      <c r="FK146" s="207"/>
      <c r="FL146" s="207"/>
      <c r="FM146" s="207"/>
      <c r="FN146" s="207"/>
      <c r="FO146" s="207"/>
      <c r="FP146" s="207"/>
      <c r="FQ146" s="207"/>
      <c r="FR146" s="207"/>
      <c r="FS146" s="208"/>
      <c r="FT146" s="156"/>
    </row>
    <row r="147" spans="1:176" ht="15" customHeight="1" outlineLevel="1">
      <c r="A147" s="206" t="s">
        <v>1396</v>
      </c>
      <c r="B147" s="200" t="s">
        <v>1360</v>
      </c>
      <c r="C147" s="34"/>
      <c r="D147" s="34"/>
      <c r="E147" s="34"/>
      <c r="F147" s="34"/>
      <c r="G147" s="34"/>
      <c r="H147" s="37" t="s">
        <v>488</v>
      </c>
      <c r="I147" s="38"/>
      <c r="J147" s="38"/>
      <c r="K147" s="38"/>
      <c r="L147" s="38"/>
      <c r="M147" s="38"/>
      <c r="N147" s="38"/>
      <c r="O147" s="38"/>
      <c r="P147" s="38"/>
      <c r="Q147" s="38"/>
      <c r="R147" s="177">
        <f t="shared" si="23"/>
        <v>0</v>
      </c>
      <c r="S147" s="202">
        <f t="shared" si="20"/>
        <v>0</v>
      </c>
      <c r="T147" s="202">
        <f t="shared" si="21"/>
        <v>0</v>
      </c>
      <c r="U147" s="18"/>
      <c r="V147" s="206" t="str">
        <f t="shared" si="22"/>
        <v>3-36</v>
      </c>
      <c r="W147" s="215" t="str">
        <f t="shared" si="24"/>
        <v/>
      </c>
      <c r="X147" s="110"/>
      <c r="Y147" s="109"/>
      <c r="Z147" s="207"/>
      <c r="AA147" s="207"/>
      <c r="AB147" s="207"/>
      <c r="AC147" s="207"/>
      <c r="AD147" s="207"/>
      <c r="AE147" s="207"/>
      <c r="AF147" s="207"/>
      <c r="AG147" s="207"/>
      <c r="AH147" s="207"/>
      <c r="AI147" s="207"/>
      <c r="AJ147" s="207"/>
      <c r="AK147" s="207"/>
      <c r="AL147" s="207"/>
      <c r="AM147" s="207"/>
      <c r="AN147" s="207"/>
      <c r="AO147" s="207"/>
      <c r="AP147" s="207"/>
      <c r="AQ147" s="207"/>
      <c r="AR147" s="207"/>
      <c r="AS147" s="207"/>
      <c r="AT147" s="207"/>
      <c r="AU147" s="207"/>
      <c r="AV147" s="207"/>
      <c r="AW147" s="207"/>
      <c r="AX147" s="207"/>
      <c r="AY147" s="207"/>
      <c r="AZ147" s="207"/>
      <c r="BA147" s="207"/>
      <c r="BB147" s="207"/>
      <c r="BC147" s="207"/>
      <c r="BD147" s="207"/>
      <c r="BE147" s="207"/>
      <c r="BF147" s="207"/>
      <c r="BG147" s="207"/>
      <c r="BH147" s="207"/>
      <c r="BI147" s="207"/>
      <c r="BJ147" s="207"/>
      <c r="BK147" s="207"/>
      <c r="BL147" s="207"/>
      <c r="BM147" s="207"/>
      <c r="BN147" s="207"/>
      <c r="BO147" s="207"/>
      <c r="BP147" s="207"/>
      <c r="BQ147" s="207"/>
      <c r="BR147" s="207"/>
      <c r="BS147" s="207"/>
      <c r="BT147" s="207"/>
      <c r="BU147" s="207"/>
      <c r="BV147" s="207"/>
      <c r="BW147" s="207"/>
      <c r="BX147" s="207"/>
      <c r="BY147" s="207"/>
      <c r="BZ147" s="207"/>
      <c r="CA147" s="207"/>
      <c r="CB147" s="207"/>
      <c r="CC147" s="207"/>
      <c r="CD147" s="207"/>
      <c r="CE147" s="207"/>
      <c r="CF147" s="207"/>
      <c r="CG147" s="207"/>
      <c r="CH147" s="207"/>
      <c r="CI147" s="207"/>
      <c r="CJ147" s="207"/>
      <c r="CK147" s="207"/>
      <c r="CL147" s="207"/>
      <c r="CM147" s="207"/>
      <c r="CN147" s="207"/>
      <c r="CO147" s="207"/>
      <c r="CP147" s="207"/>
      <c r="CQ147" s="207"/>
      <c r="CR147" s="207"/>
      <c r="CS147" s="207"/>
      <c r="CT147" s="207"/>
      <c r="CU147" s="207"/>
      <c r="CV147" s="207"/>
      <c r="CW147" s="207"/>
      <c r="CX147" s="207"/>
      <c r="CY147" s="207"/>
      <c r="CZ147" s="207"/>
      <c r="DA147" s="207"/>
      <c r="DB147" s="207"/>
      <c r="DC147" s="207"/>
      <c r="DD147" s="207"/>
      <c r="DE147" s="207"/>
      <c r="DF147" s="207"/>
      <c r="DG147" s="207"/>
      <c r="DH147" s="207"/>
      <c r="DI147" s="207"/>
      <c r="DJ147" s="207"/>
      <c r="DK147" s="207"/>
      <c r="DL147" s="207"/>
      <c r="DM147" s="207"/>
      <c r="DN147" s="207"/>
      <c r="DO147" s="207"/>
      <c r="DP147" s="207"/>
      <c r="DQ147" s="207"/>
      <c r="DR147" s="207"/>
      <c r="DS147" s="207"/>
      <c r="DT147" s="207"/>
      <c r="DU147" s="207"/>
      <c r="DV147" s="207"/>
      <c r="DW147" s="207"/>
      <c r="DX147" s="207"/>
      <c r="DY147" s="207"/>
      <c r="DZ147" s="207"/>
      <c r="EA147" s="207"/>
      <c r="EB147" s="207"/>
      <c r="EC147" s="207"/>
      <c r="ED147" s="207"/>
      <c r="EE147" s="207"/>
      <c r="EF147" s="207"/>
      <c r="EG147" s="207"/>
      <c r="EH147" s="207"/>
      <c r="EI147" s="207"/>
      <c r="EJ147" s="207"/>
      <c r="EK147" s="207"/>
      <c r="EL147" s="207"/>
      <c r="EM147" s="207"/>
      <c r="EN147" s="207"/>
      <c r="EO147" s="207"/>
      <c r="EP147" s="207"/>
      <c r="EQ147" s="207"/>
      <c r="ER147" s="207"/>
      <c r="ES147" s="207"/>
      <c r="ET147" s="207"/>
      <c r="EU147" s="207"/>
      <c r="EV147" s="207"/>
      <c r="EW147" s="207"/>
      <c r="EX147" s="207"/>
      <c r="EY147" s="207"/>
      <c r="EZ147" s="207"/>
      <c r="FA147" s="207"/>
      <c r="FB147" s="207"/>
      <c r="FC147" s="207"/>
      <c r="FD147" s="207"/>
      <c r="FE147" s="207"/>
      <c r="FF147" s="207"/>
      <c r="FG147" s="207"/>
      <c r="FH147" s="207"/>
      <c r="FI147" s="207"/>
      <c r="FJ147" s="207"/>
      <c r="FK147" s="207"/>
      <c r="FL147" s="207"/>
      <c r="FM147" s="207"/>
      <c r="FN147" s="207"/>
      <c r="FO147" s="207"/>
      <c r="FP147" s="207"/>
      <c r="FQ147" s="207"/>
      <c r="FR147" s="207"/>
      <c r="FS147" s="208"/>
      <c r="FT147" s="156"/>
    </row>
    <row r="148" spans="1:176" ht="15" customHeight="1" outlineLevel="1">
      <c r="A148" s="206" t="s">
        <v>1397</v>
      </c>
      <c r="B148" s="200" t="s">
        <v>1360</v>
      </c>
      <c r="C148" s="34"/>
      <c r="D148" s="34"/>
      <c r="E148" s="34"/>
      <c r="F148" s="34"/>
      <c r="G148" s="34"/>
      <c r="H148" s="37" t="s">
        <v>488</v>
      </c>
      <c r="I148" s="38"/>
      <c r="J148" s="38"/>
      <c r="K148" s="38"/>
      <c r="L148" s="38"/>
      <c r="M148" s="38"/>
      <c r="N148" s="38"/>
      <c r="O148" s="38"/>
      <c r="P148" s="38"/>
      <c r="Q148" s="38"/>
      <c r="R148" s="177">
        <f t="shared" si="23"/>
        <v>0</v>
      </c>
      <c r="S148" s="202">
        <f t="shared" si="20"/>
        <v>0</v>
      </c>
      <c r="T148" s="202">
        <f t="shared" si="21"/>
        <v>0</v>
      </c>
      <c r="U148" s="18"/>
      <c r="V148" s="206" t="str">
        <f t="shared" si="22"/>
        <v>3-37</v>
      </c>
      <c r="W148" s="215" t="str">
        <f t="shared" si="24"/>
        <v/>
      </c>
      <c r="X148" s="110"/>
      <c r="Y148" s="109"/>
      <c r="Z148" s="207"/>
      <c r="AA148" s="207"/>
      <c r="AB148" s="207"/>
      <c r="AC148" s="207"/>
      <c r="AD148" s="207"/>
      <c r="AE148" s="207"/>
      <c r="AF148" s="207"/>
      <c r="AG148" s="207"/>
      <c r="AH148" s="207"/>
      <c r="AI148" s="207"/>
      <c r="AJ148" s="207"/>
      <c r="AK148" s="207"/>
      <c r="AL148" s="207"/>
      <c r="AM148" s="207"/>
      <c r="AN148" s="207"/>
      <c r="AO148" s="207"/>
      <c r="AP148" s="207"/>
      <c r="AQ148" s="207"/>
      <c r="AR148" s="207"/>
      <c r="AS148" s="207"/>
      <c r="AT148" s="207"/>
      <c r="AU148" s="207"/>
      <c r="AV148" s="207"/>
      <c r="AW148" s="207"/>
      <c r="AX148" s="207"/>
      <c r="AY148" s="207"/>
      <c r="AZ148" s="207"/>
      <c r="BA148" s="207"/>
      <c r="BB148" s="207"/>
      <c r="BC148" s="207"/>
      <c r="BD148" s="207"/>
      <c r="BE148" s="207"/>
      <c r="BF148" s="207"/>
      <c r="BG148" s="207"/>
      <c r="BH148" s="207"/>
      <c r="BI148" s="207"/>
      <c r="BJ148" s="207"/>
      <c r="BK148" s="207"/>
      <c r="BL148" s="207"/>
      <c r="BM148" s="207"/>
      <c r="BN148" s="207"/>
      <c r="BO148" s="207"/>
      <c r="BP148" s="207"/>
      <c r="BQ148" s="207"/>
      <c r="BR148" s="207"/>
      <c r="BS148" s="207"/>
      <c r="BT148" s="207"/>
      <c r="BU148" s="207"/>
      <c r="BV148" s="207"/>
      <c r="BW148" s="207"/>
      <c r="BX148" s="207"/>
      <c r="BY148" s="207"/>
      <c r="BZ148" s="207"/>
      <c r="CA148" s="207"/>
      <c r="CB148" s="207"/>
      <c r="CC148" s="207"/>
      <c r="CD148" s="207"/>
      <c r="CE148" s="207"/>
      <c r="CF148" s="207"/>
      <c r="CG148" s="207"/>
      <c r="CH148" s="207"/>
      <c r="CI148" s="207"/>
      <c r="CJ148" s="207"/>
      <c r="CK148" s="207"/>
      <c r="CL148" s="207"/>
      <c r="CM148" s="207"/>
      <c r="CN148" s="207"/>
      <c r="CO148" s="207"/>
      <c r="CP148" s="207"/>
      <c r="CQ148" s="207"/>
      <c r="CR148" s="207"/>
      <c r="CS148" s="207"/>
      <c r="CT148" s="207"/>
      <c r="CU148" s="207"/>
      <c r="CV148" s="207"/>
      <c r="CW148" s="207"/>
      <c r="CX148" s="207"/>
      <c r="CY148" s="207"/>
      <c r="CZ148" s="207"/>
      <c r="DA148" s="207"/>
      <c r="DB148" s="207"/>
      <c r="DC148" s="207"/>
      <c r="DD148" s="207"/>
      <c r="DE148" s="207"/>
      <c r="DF148" s="207"/>
      <c r="DG148" s="207"/>
      <c r="DH148" s="207"/>
      <c r="DI148" s="207"/>
      <c r="DJ148" s="207"/>
      <c r="DK148" s="207"/>
      <c r="DL148" s="207"/>
      <c r="DM148" s="207"/>
      <c r="DN148" s="207"/>
      <c r="DO148" s="207"/>
      <c r="DP148" s="207"/>
      <c r="DQ148" s="207"/>
      <c r="DR148" s="207"/>
      <c r="DS148" s="207"/>
      <c r="DT148" s="207"/>
      <c r="DU148" s="207"/>
      <c r="DV148" s="207"/>
      <c r="DW148" s="207"/>
      <c r="DX148" s="207"/>
      <c r="DY148" s="207"/>
      <c r="DZ148" s="207"/>
      <c r="EA148" s="207"/>
      <c r="EB148" s="207"/>
      <c r="EC148" s="207"/>
      <c r="ED148" s="207"/>
      <c r="EE148" s="207"/>
      <c r="EF148" s="207"/>
      <c r="EG148" s="207"/>
      <c r="EH148" s="207"/>
      <c r="EI148" s="207"/>
      <c r="EJ148" s="207"/>
      <c r="EK148" s="207"/>
      <c r="EL148" s="207"/>
      <c r="EM148" s="207"/>
      <c r="EN148" s="207"/>
      <c r="EO148" s="207"/>
      <c r="EP148" s="207"/>
      <c r="EQ148" s="207"/>
      <c r="ER148" s="207"/>
      <c r="ES148" s="207"/>
      <c r="ET148" s="207"/>
      <c r="EU148" s="207"/>
      <c r="EV148" s="207"/>
      <c r="EW148" s="207"/>
      <c r="EX148" s="207"/>
      <c r="EY148" s="207"/>
      <c r="EZ148" s="207"/>
      <c r="FA148" s="207"/>
      <c r="FB148" s="207"/>
      <c r="FC148" s="207"/>
      <c r="FD148" s="207"/>
      <c r="FE148" s="207"/>
      <c r="FF148" s="207"/>
      <c r="FG148" s="207"/>
      <c r="FH148" s="207"/>
      <c r="FI148" s="207"/>
      <c r="FJ148" s="207"/>
      <c r="FK148" s="207"/>
      <c r="FL148" s="207"/>
      <c r="FM148" s="207"/>
      <c r="FN148" s="207"/>
      <c r="FO148" s="207"/>
      <c r="FP148" s="207"/>
      <c r="FQ148" s="207"/>
      <c r="FR148" s="207"/>
      <c r="FS148" s="208"/>
      <c r="FT148" s="156"/>
    </row>
    <row r="149" spans="1:176" ht="15" customHeight="1" outlineLevel="1">
      <c r="A149" s="206" t="s">
        <v>1398</v>
      </c>
      <c r="B149" s="200" t="s">
        <v>1360</v>
      </c>
      <c r="C149" s="34"/>
      <c r="D149" s="34"/>
      <c r="E149" s="34"/>
      <c r="F149" s="34"/>
      <c r="G149" s="34"/>
      <c r="H149" s="37" t="s">
        <v>488</v>
      </c>
      <c r="I149" s="38"/>
      <c r="J149" s="38"/>
      <c r="K149" s="38"/>
      <c r="L149" s="38"/>
      <c r="M149" s="38"/>
      <c r="N149" s="38"/>
      <c r="O149" s="38"/>
      <c r="P149" s="38"/>
      <c r="Q149" s="38"/>
      <c r="R149" s="177">
        <f t="shared" si="23"/>
        <v>0</v>
      </c>
      <c r="S149" s="202">
        <f t="shared" si="20"/>
        <v>0</v>
      </c>
      <c r="T149" s="202">
        <f t="shared" si="21"/>
        <v>0</v>
      </c>
      <c r="U149" s="18"/>
      <c r="V149" s="206" t="str">
        <f t="shared" si="22"/>
        <v>3-38</v>
      </c>
      <c r="W149" s="215" t="str">
        <f t="shared" si="24"/>
        <v/>
      </c>
      <c r="X149" s="110"/>
      <c r="Y149" s="109"/>
      <c r="Z149" s="207"/>
      <c r="AA149" s="207"/>
      <c r="AB149" s="207"/>
      <c r="AC149" s="207"/>
      <c r="AD149" s="207"/>
      <c r="AE149" s="207"/>
      <c r="AF149" s="207"/>
      <c r="AG149" s="207"/>
      <c r="AH149" s="207"/>
      <c r="AI149" s="207"/>
      <c r="AJ149" s="207"/>
      <c r="AK149" s="207"/>
      <c r="AL149" s="207"/>
      <c r="AM149" s="207"/>
      <c r="AN149" s="207"/>
      <c r="AO149" s="207"/>
      <c r="AP149" s="207"/>
      <c r="AQ149" s="207"/>
      <c r="AR149" s="207"/>
      <c r="AS149" s="207"/>
      <c r="AT149" s="207"/>
      <c r="AU149" s="207"/>
      <c r="AV149" s="207"/>
      <c r="AW149" s="207"/>
      <c r="AX149" s="207"/>
      <c r="AY149" s="207"/>
      <c r="AZ149" s="207"/>
      <c r="BA149" s="207"/>
      <c r="BB149" s="207"/>
      <c r="BC149" s="207"/>
      <c r="BD149" s="207"/>
      <c r="BE149" s="207"/>
      <c r="BF149" s="207"/>
      <c r="BG149" s="207"/>
      <c r="BH149" s="207"/>
      <c r="BI149" s="207"/>
      <c r="BJ149" s="207"/>
      <c r="BK149" s="207"/>
      <c r="BL149" s="207"/>
      <c r="BM149" s="207"/>
      <c r="BN149" s="207"/>
      <c r="BO149" s="207"/>
      <c r="BP149" s="207"/>
      <c r="BQ149" s="207"/>
      <c r="BR149" s="207"/>
      <c r="BS149" s="207"/>
      <c r="BT149" s="207"/>
      <c r="BU149" s="207"/>
      <c r="BV149" s="207"/>
      <c r="BW149" s="207"/>
      <c r="BX149" s="207"/>
      <c r="BY149" s="207"/>
      <c r="BZ149" s="207"/>
      <c r="CA149" s="207"/>
      <c r="CB149" s="207"/>
      <c r="CC149" s="207"/>
      <c r="CD149" s="207"/>
      <c r="CE149" s="207"/>
      <c r="CF149" s="207"/>
      <c r="CG149" s="207"/>
      <c r="CH149" s="207"/>
      <c r="CI149" s="207"/>
      <c r="CJ149" s="207"/>
      <c r="CK149" s="207"/>
      <c r="CL149" s="207"/>
      <c r="CM149" s="207"/>
      <c r="CN149" s="207"/>
      <c r="CO149" s="207"/>
      <c r="CP149" s="207"/>
      <c r="CQ149" s="207"/>
      <c r="CR149" s="207"/>
      <c r="CS149" s="207"/>
      <c r="CT149" s="207"/>
      <c r="CU149" s="207"/>
      <c r="CV149" s="207"/>
      <c r="CW149" s="207"/>
      <c r="CX149" s="207"/>
      <c r="CY149" s="207"/>
      <c r="CZ149" s="207"/>
      <c r="DA149" s="207"/>
      <c r="DB149" s="207"/>
      <c r="DC149" s="207"/>
      <c r="DD149" s="207"/>
      <c r="DE149" s="207"/>
      <c r="DF149" s="207"/>
      <c r="DG149" s="207"/>
      <c r="DH149" s="207"/>
      <c r="DI149" s="207"/>
      <c r="DJ149" s="207"/>
      <c r="DK149" s="207"/>
      <c r="DL149" s="207"/>
      <c r="DM149" s="207"/>
      <c r="DN149" s="207"/>
      <c r="DO149" s="207"/>
      <c r="DP149" s="207"/>
      <c r="DQ149" s="207"/>
      <c r="DR149" s="207"/>
      <c r="DS149" s="207"/>
      <c r="DT149" s="207"/>
      <c r="DU149" s="207"/>
      <c r="DV149" s="207"/>
      <c r="DW149" s="207"/>
      <c r="DX149" s="207"/>
      <c r="DY149" s="207"/>
      <c r="DZ149" s="207"/>
      <c r="EA149" s="207"/>
      <c r="EB149" s="207"/>
      <c r="EC149" s="207"/>
      <c r="ED149" s="207"/>
      <c r="EE149" s="207"/>
      <c r="EF149" s="207"/>
      <c r="EG149" s="207"/>
      <c r="EH149" s="207"/>
      <c r="EI149" s="207"/>
      <c r="EJ149" s="207"/>
      <c r="EK149" s="207"/>
      <c r="EL149" s="207"/>
      <c r="EM149" s="207"/>
      <c r="EN149" s="207"/>
      <c r="EO149" s="207"/>
      <c r="EP149" s="207"/>
      <c r="EQ149" s="207"/>
      <c r="ER149" s="207"/>
      <c r="ES149" s="207"/>
      <c r="ET149" s="207"/>
      <c r="EU149" s="207"/>
      <c r="EV149" s="207"/>
      <c r="EW149" s="207"/>
      <c r="EX149" s="207"/>
      <c r="EY149" s="207"/>
      <c r="EZ149" s="207"/>
      <c r="FA149" s="207"/>
      <c r="FB149" s="207"/>
      <c r="FC149" s="207"/>
      <c r="FD149" s="207"/>
      <c r="FE149" s="207"/>
      <c r="FF149" s="207"/>
      <c r="FG149" s="207"/>
      <c r="FH149" s="207"/>
      <c r="FI149" s="207"/>
      <c r="FJ149" s="207"/>
      <c r="FK149" s="207"/>
      <c r="FL149" s="207"/>
      <c r="FM149" s="207"/>
      <c r="FN149" s="207"/>
      <c r="FO149" s="207"/>
      <c r="FP149" s="207"/>
      <c r="FQ149" s="207"/>
      <c r="FR149" s="207"/>
      <c r="FS149" s="208"/>
      <c r="FT149" s="156"/>
    </row>
    <row r="150" spans="1:176" ht="15" customHeight="1" outlineLevel="1">
      <c r="A150" s="206" t="s">
        <v>1399</v>
      </c>
      <c r="B150" s="200" t="s">
        <v>1360</v>
      </c>
      <c r="C150" s="34"/>
      <c r="D150" s="34"/>
      <c r="E150" s="34"/>
      <c r="F150" s="34"/>
      <c r="G150" s="34"/>
      <c r="H150" s="37" t="s">
        <v>488</v>
      </c>
      <c r="I150" s="38"/>
      <c r="J150" s="38"/>
      <c r="K150" s="38"/>
      <c r="L150" s="38"/>
      <c r="M150" s="38"/>
      <c r="N150" s="38"/>
      <c r="O150" s="38"/>
      <c r="P150" s="38"/>
      <c r="Q150" s="38"/>
      <c r="R150" s="177">
        <f t="shared" si="23"/>
        <v>0</v>
      </c>
      <c r="S150" s="202">
        <f t="shared" si="20"/>
        <v>0</v>
      </c>
      <c r="T150" s="202">
        <f t="shared" si="21"/>
        <v>0</v>
      </c>
      <c r="U150" s="18"/>
      <c r="V150" s="206" t="str">
        <f t="shared" si="22"/>
        <v>3-39</v>
      </c>
      <c r="W150" s="215" t="str">
        <f t="shared" si="24"/>
        <v/>
      </c>
      <c r="X150" s="110"/>
      <c r="Y150" s="109"/>
      <c r="Z150" s="207"/>
      <c r="AA150" s="207"/>
      <c r="AB150" s="207"/>
      <c r="AC150" s="207"/>
      <c r="AD150" s="207"/>
      <c r="AE150" s="207"/>
      <c r="AF150" s="207"/>
      <c r="AG150" s="207"/>
      <c r="AH150" s="207"/>
      <c r="AI150" s="207"/>
      <c r="AJ150" s="207"/>
      <c r="AK150" s="207"/>
      <c r="AL150" s="207"/>
      <c r="AM150" s="207"/>
      <c r="AN150" s="207"/>
      <c r="AO150" s="207"/>
      <c r="AP150" s="207"/>
      <c r="AQ150" s="207"/>
      <c r="AR150" s="207"/>
      <c r="AS150" s="207"/>
      <c r="AT150" s="207"/>
      <c r="AU150" s="207"/>
      <c r="AV150" s="207"/>
      <c r="AW150" s="207"/>
      <c r="AX150" s="207"/>
      <c r="AY150" s="207"/>
      <c r="AZ150" s="207"/>
      <c r="BA150" s="207"/>
      <c r="BB150" s="207"/>
      <c r="BC150" s="207"/>
      <c r="BD150" s="207"/>
      <c r="BE150" s="207"/>
      <c r="BF150" s="207"/>
      <c r="BG150" s="207"/>
      <c r="BH150" s="207"/>
      <c r="BI150" s="207"/>
      <c r="BJ150" s="207"/>
      <c r="BK150" s="207"/>
      <c r="BL150" s="207"/>
      <c r="BM150" s="207"/>
      <c r="BN150" s="207"/>
      <c r="BO150" s="207"/>
      <c r="BP150" s="207"/>
      <c r="BQ150" s="207"/>
      <c r="BR150" s="207"/>
      <c r="BS150" s="207"/>
      <c r="BT150" s="207"/>
      <c r="BU150" s="207"/>
      <c r="BV150" s="207"/>
      <c r="BW150" s="207"/>
      <c r="BX150" s="207"/>
      <c r="BY150" s="207"/>
      <c r="BZ150" s="207"/>
      <c r="CA150" s="207"/>
      <c r="CB150" s="207"/>
      <c r="CC150" s="207"/>
      <c r="CD150" s="207"/>
      <c r="CE150" s="207"/>
      <c r="CF150" s="207"/>
      <c r="CG150" s="207"/>
      <c r="CH150" s="207"/>
      <c r="CI150" s="207"/>
      <c r="CJ150" s="207"/>
      <c r="CK150" s="207"/>
      <c r="CL150" s="207"/>
      <c r="CM150" s="207"/>
      <c r="CN150" s="207"/>
      <c r="CO150" s="207"/>
      <c r="CP150" s="207"/>
      <c r="CQ150" s="207"/>
      <c r="CR150" s="207"/>
      <c r="CS150" s="207"/>
      <c r="CT150" s="207"/>
      <c r="CU150" s="207"/>
      <c r="CV150" s="207"/>
      <c r="CW150" s="207"/>
      <c r="CX150" s="207"/>
      <c r="CY150" s="207"/>
      <c r="CZ150" s="207"/>
      <c r="DA150" s="207"/>
      <c r="DB150" s="207"/>
      <c r="DC150" s="207"/>
      <c r="DD150" s="207"/>
      <c r="DE150" s="207"/>
      <c r="DF150" s="207"/>
      <c r="DG150" s="207"/>
      <c r="DH150" s="207"/>
      <c r="DI150" s="207"/>
      <c r="DJ150" s="207"/>
      <c r="DK150" s="207"/>
      <c r="DL150" s="207"/>
      <c r="DM150" s="207"/>
      <c r="DN150" s="207"/>
      <c r="DO150" s="207"/>
      <c r="DP150" s="207"/>
      <c r="DQ150" s="207"/>
      <c r="DR150" s="207"/>
      <c r="DS150" s="207"/>
      <c r="DT150" s="207"/>
      <c r="DU150" s="207"/>
      <c r="DV150" s="207"/>
      <c r="DW150" s="207"/>
      <c r="DX150" s="207"/>
      <c r="DY150" s="207"/>
      <c r="DZ150" s="207"/>
      <c r="EA150" s="207"/>
      <c r="EB150" s="207"/>
      <c r="EC150" s="207"/>
      <c r="ED150" s="207"/>
      <c r="EE150" s="207"/>
      <c r="EF150" s="207"/>
      <c r="EG150" s="207"/>
      <c r="EH150" s="207"/>
      <c r="EI150" s="207"/>
      <c r="EJ150" s="207"/>
      <c r="EK150" s="207"/>
      <c r="EL150" s="207"/>
      <c r="EM150" s="207"/>
      <c r="EN150" s="207"/>
      <c r="EO150" s="207"/>
      <c r="EP150" s="207"/>
      <c r="EQ150" s="207"/>
      <c r="ER150" s="207"/>
      <c r="ES150" s="207"/>
      <c r="ET150" s="207"/>
      <c r="EU150" s="207"/>
      <c r="EV150" s="207"/>
      <c r="EW150" s="207"/>
      <c r="EX150" s="207"/>
      <c r="EY150" s="207"/>
      <c r="EZ150" s="207"/>
      <c r="FA150" s="207"/>
      <c r="FB150" s="207"/>
      <c r="FC150" s="207"/>
      <c r="FD150" s="207"/>
      <c r="FE150" s="207"/>
      <c r="FF150" s="207"/>
      <c r="FG150" s="207"/>
      <c r="FH150" s="207"/>
      <c r="FI150" s="207"/>
      <c r="FJ150" s="207"/>
      <c r="FK150" s="207"/>
      <c r="FL150" s="207"/>
      <c r="FM150" s="207"/>
      <c r="FN150" s="207"/>
      <c r="FO150" s="207"/>
      <c r="FP150" s="207"/>
      <c r="FQ150" s="207"/>
      <c r="FR150" s="207"/>
      <c r="FS150" s="208"/>
      <c r="FT150" s="156"/>
    </row>
    <row r="151" spans="1:176" ht="15" customHeight="1" outlineLevel="1">
      <c r="A151" s="206" t="s">
        <v>1400</v>
      </c>
      <c r="B151" s="200" t="s">
        <v>1360</v>
      </c>
      <c r="C151" s="34"/>
      <c r="D151" s="34"/>
      <c r="E151" s="34"/>
      <c r="F151" s="34"/>
      <c r="G151" s="34"/>
      <c r="H151" s="37" t="s">
        <v>488</v>
      </c>
      <c r="I151" s="38"/>
      <c r="J151" s="38"/>
      <c r="K151" s="38"/>
      <c r="L151" s="38"/>
      <c r="M151" s="38"/>
      <c r="N151" s="38"/>
      <c r="O151" s="38"/>
      <c r="P151" s="38"/>
      <c r="Q151" s="38"/>
      <c r="R151" s="177">
        <f t="shared" si="23"/>
        <v>0</v>
      </c>
      <c r="S151" s="202">
        <f t="shared" si="20"/>
        <v>0</v>
      </c>
      <c r="T151" s="202">
        <f t="shared" si="21"/>
        <v>0</v>
      </c>
      <c r="U151" s="18"/>
      <c r="V151" s="206" t="str">
        <f t="shared" si="22"/>
        <v>3-40</v>
      </c>
      <c r="W151" s="215" t="str">
        <f t="shared" si="24"/>
        <v/>
      </c>
      <c r="X151" s="110"/>
      <c r="Y151" s="109"/>
      <c r="Z151" s="207"/>
      <c r="AA151" s="207"/>
      <c r="AB151" s="207"/>
      <c r="AC151" s="207"/>
      <c r="AD151" s="207"/>
      <c r="AE151" s="207"/>
      <c r="AF151" s="207"/>
      <c r="AG151" s="207"/>
      <c r="AH151" s="207"/>
      <c r="AI151" s="207"/>
      <c r="AJ151" s="207"/>
      <c r="AK151" s="207"/>
      <c r="AL151" s="207"/>
      <c r="AM151" s="207"/>
      <c r="AN151" s="207"/>
      <c r="AO151" s="207"/>
      <c r="AP151" s="207"/>
      <c r="AQ151" s="207"/>
      <c r="AR151" s="207"/>
      <c r="AS151" s="207"/>
      <c r="AT151" s="207"/>
      <c r="AU151" s="207"/>
      <c r="AV151" s="207"/>
      <c r="AW151" s="207"/>
      <c r="AX151" s="207"/>
      <c r="AY151" s="207"/>
      <c r="AZ151" s="207"/>
      <c r="BA151" s="207"/>
      <c r="BB151" s="207"/>
      <c r="BC151" s="207"/>
      <c r="BD151" s="207"/>
      <c r="BE151" s="207"/>
      <c r="BF151" s="207"/>
      <c r="BG151" s="207"/>
      <c r="BH151" s="207"/>
      <c r="BI151" s="207"/>
      <c r="BJ151" s="207"/>
      <c r="BK151" s="207"/>
      <c r="BL151" s="207"/>
      <c r="BM151" s="207"/>
      <c r="BN151" s="207"/>
      <c r="BO151" s="207"/>
      <c r="BP151" s="207"/>
      <c r="BQ151" s="207"/>
      <c r="BR151" s="207"/>
      <c r="BS151" s="207"/>
      <c r="BT151" s="207"/>
      <c r="BU151" s="207"/>
      <c r="BV151" s="207"/>
      <c r="BW151" s="207"/>
      <c r="BX151" s="207"/>
      <c r="BY151" s="207"/>
      <c r="BZ151" s="207"/>
      <c r="CA151" s="207"/>
      <c r="CB151" s="207"/>
      <c r="CC151" s="207"/>
      <c r="CD151" s="207"/>
      <c r="CE151" s="207"/>
      <c r="CF151" s="207"/>
      <c r="CG151" s="207"/>
      <c r="CH151" s="207"/>
      <c r="CI151" s="207"/>
      <c r="CJ151" s="207"/>
      <c r="CK151" s="207"/>
      <c r="CL151" s="207"/>
      <c r="CM151" s="207"/>
      <c r="CN151" s="207"/>
      <c r="CO151" s="207"/>
      <c r="CP151" s="207"/>
      <c r="CQ151" s="207"/>
      <c r="CR151" s="207"/>
      <c r="CS151" s="207"/>
      <c r="CT151" s="207"/>
      <c r="CU151" s="207"/>
      <c r="CV151" s="207"/>
      <c r="CW151" s="207"/>
      <c r="CX151" s="207"/>
      <c r="CY151" s="207"/>
      <c r="CZ151" s="207"/>
      <c r="DA151" s="207"/>
      <c r="DB151" s="207"/>
      <c r="DC151" s="207"/>
      <c r="DD151" s="207"/>
      <c r="DE151" s="207"/>
      <c r="DF151" s="207"/>
      <c r="DG151" s="207"/>
      <c r="DH151" s="207"/>
      <c r="DI151" s="207"/>
      <c r="DJ151" s="207"/>
      <c r="DK151" s="207"/>
      <c r="DL151" s="207"/>
      <c r="DM151" s="207"/>
      <c r="DN151" s="207"/>
      <c r="DO151" s="207"/>
      <c r="DP151" s="207"/>
      <c r="DQ151" s="207"/>
      <c r="DR151" s="207"/>
      <c r="DS151" s="207"/>
      <c r="DT151" s="207"/>
      <c r="DU151" s="207"/>
      <c r="DV151" s="207"/>
      <c r="DW151" s="207"/>
      <c r="DX151" s="207"/>
      <c r="DY151" s="207"/>
      <c r="DZ151" s="207"/>
      <c r="EA151" s="207"/>
      <c r="EB151" s="207"/>
      <c r="EC151" s="207"/>
      <c r="ED151" s="207"/>
      <c r="EE151" s="207"/>
      <c r="EF151" s="207"/>
      <c r="EG151" s="207"/>
      <c r="EH151" s="207"/>
      <c r="EI151" s="207"/>
      <c r="EJ151" s="207"/>
      <c r="EK151" s="207"/>
      <c r="EL151" s="207"/>
      <c r="EM151" s="207"/>
      <c r="EN151" s="207"/>
      <c r="EO151" s="207"/>
      <c r="EP151" s="207"/>
      <c r="EQ151" s="207"/>
      <c r="ER151" s="207"/>
      <c r="ES151" s="207"/>
      <c r="ET151" s="207"/>
      <c r="EU151" s="207"/>
      <c r="EV151" s="207"/>
      <c r="EW151" s="207"/>
      <c r="EX151" s="207"/>
      <c r="EY151" s="207"/>
      <c r="EZ151" s="207"/>
      <c r="FA151" s="207"/>
      <c r="FB151" s="207"/>
      <c r="FC151" s="207"/>
      <c r="FD151" s="207"/>
      <c r="FE151" s="207"/>
      <c r="FF151" s="207"/>
      <c r="FG151" s="207"/>
      <c r="FH151" s="207"/>
      <c r="FI151" s="207"/>
      <c r="FJ151" s="207"/>
      <c r="FK151" s="207"/>
      <c r="FL151" s="207"/>
      <c r="FM151" s="207"/>
      <c r="FN151" s="207"/>
      <c r="FO151" s="207"/>
      <c r="FP151" s="207"/>
      <c r="FQ151" s="207"/>
      <c r="FR151" s="207"/>
      <c r="FS151" s="208"/>
      <c r="FT151" s="156"/>
    </row>
    <row r="152" spans="1:176" ht="15" customHeight="1" outlineLevel="1">
      <c r="A152" s="206" t="s">
        <v>1401</v>
      </c>
      <c r="B152" s="200" t="s">
        <v>1360</v>
      </c>
      <c r="C152" s="34"/>
      <c r="D152" s="34"/>
      <c r="E152" s="34"/>
      <c r="F152" s="34"/>
      <c r="G152" s="34"/>
      <c r="H152" s="37" t="s">
        <v>488</v>
      </c>
      <c r="I152" s="38"/>
      <c r="J152" s="38"/>
      <c r="K152" s="38"/>
      <c r="L152" s="38"/>
      <c r="M152" s="38"/>
      <c r="N152" s="38"/>
      <c r="O152" s="38"/>
      <c r="P152" s="38"/>
      <c r="Q152" s="38"/>
      <c r="R152" s="177">
        <f t="shared" si="23"/>
        <v>0</v>
      </c>
      <c r="S152" s="202">
        <f t="shared" si="20"/>
        <v>0</v>
      </c>
      <c r="T152" s="202">
        <f t="shared" si="21"/>
        <v>0</v>
      </c>
      <c r="U152" s="18"/>
      <c r="V152" s="206" t="str">
        <f t="shared" si="22"/>
        <v>3-41</v>
      </c>
      <c r="W152" s="215" t="str">
        <f t="shared" si="24"/>
        <v/>
      </c>
      <c r="X152" s="110"/>
      <c r="Y152" s="109"/>
      <c r="Z152" s="207"/>
      <c r="AA152" s="207"/>
      <c r="AB152" s="207"/>
      <c r="AC152" s="207"/>
      <c r="AD152" s="207"/>
      <c r="AE152" s="207"/>
      <c r="AF152" s="207"/>
      <c r="AG152" s="207"/>
      <c r="AH152" s="207"/>
      <c r="AI152" s="207"/>
      <c r="AJ152" s="207"/>
      <c r="AK152" s="207"/>
      <c r="AL152" s="207"/>
      <c r="AM152" s="207"/>
      <c r="AN152" s="207"/>
      <c r="AO152" s="207"/>
      <c r="AP152" s="207"/>
      <c r="AQ152" s="207"/>
      <c r="AR152" s="207"/>
      <c r="AS152" s="207"/>
      <c r="AT152" s="207"/>
      <c r="AU152" s="207"/>
      <c r="AV152" s="207"/>
      <c r="AW152" s="207"/>
      <c r="AX152" s="207"/>
      <c r="AY152" s="207"/>
      <c r="AZ152" s="207"/>
      <c r="BA152" s="207"/>
      <c r="BB152" s="207"/>
      <c r="BC152" s="207"/>
      <c r="BD152" s="207"/>
      <c r="BE152" s="207"/>
      <c r="BF152" s="207"/>
      <c r="BG152" s="207"/>
      <c r="BH152" s="207"/>
      <c r="BI152" s="207"/>
      <c r="BJ152" s="207"/>
      <c r="BK152" s="207"/>
      <c r="BL152" s="207"/>
      <c r="BM152" s="207"/>
      <c r="BN152" s="207"/>
      <c r="BO152" s="207"/>
      <c r="BP152" s="207"/>
      <c r="BQ152" s="207"/>
      <c r="BR152" s="207"/>
      <c r="BS152" s="207"/>
      <c r="BT152" s="207"/>
      <c r="BU152" s="207"/>
      <c r="BV152" s="207"/>
      <c r="BW152" s="207"/>
      <c r="BX152" s="207"/>
      <c r="BY152" s="207"/>
      <c r="BZ152" s="207"/>
      <c r="CA152" s="207"/>
      <c r="CB152" s="207"/>
      <c r="CC152" s="207"/>
      <c r="CD152" s="207"/>
      <c r="CE152" s="207"/>
      <c r="CF152" s="207"/>
      <c r="CG152" s="207"/>
      <c r="CH152" s="207"/>
      <c r="CI152" s="207"/>
      <c r="CJ152" s="207"/>
      <c r="CK152" s="207"/>
      <c r="CL152" s="207"/>
      <c r="CM152" s="207"/>
      <c r="CN152" s="207"/>
      <c r="CO152" s="207"/>
      <c r="CP152" s="207"/>
      <c r="CQ152" s="207"/>
      <c r="CR152" s="207"/>
      <c r="CS152" s="207"/>
      <c r="CT152" s="207"/>
      <c r="CU152" s="207"/>
      <c r="CV152" s="207"/>
      <c r="CW152" s="207"/>
      <c r="CX152" s="207"/>
      <c r="CY152" s="207"/>
      <c r="CZ152" s="207"/>
      <c r="DA152" s="207"/>
      <c r="DB152" s="207"/>
      <c r="DC152" s="207"/>
      <c r="DD152" s="207"/>
      <c r="DE152" s="207"/>
      <c r="DF152" s="207"/>
      <c r="DG152" s="207"/>
      <c r="DH152" s="207"/>
      <c r="DI152" s="207"/>
      <c r="DJ152" s="207"/>
      <c r="DK152" s="207"/>
      <c r="DL152" s="207"/>
      <c r="DM152" s="207"/>
      <c r="DN152" s="207"/>
      <c r="DO152" s="207"/>
      <c r="DP152" s="207"/>
      <c r="DQ152" s="207"/>
      <c r="DR152" s="207"/>
      <c r="DS152" s="207"/>
      <c r="DT152" s="207"/>
      <c r="DU152" s="207"/>
      <c r="DV152" s="207"/>
      <c r="DW152" s="207"/>
      <c r="DX152" s="207"/>
      <c r="DY152" s="207"/>
      <c r="DZ152" s="207"/>
      <c r="EA152" s="207"/>
      <c r="EB152" s="207"/>
      <c r="EC152" s="207"/>
      <c r="ED152" s="207"/>
      <c r="EE152" s="207"/>
      <c r="EF152" s="207"/>
      <c r="EG152" s="207"/>
      <c r="EH152" s="207"/>
      <c r="EI152" s="207"/>
      <c r="EJ152" s="207"/>
      <c r="EK152" s="207"/>
      <c r="EL152" s="207"/>
      <c r="EM152" s="207"/>
      <c r="EN152" s="207"/>
      <c r="EO152" s="207"/>
      <c r="EP152" s="207"/>
      <c r="EQ152" s="207"/>
      <c r="ER152" s="207"/>
      <c r="ES152" s="207"/>
      <c r="ET152" s="207"/>
      <c r="EU152" s="207"/>
      <c r="EV152" s="207"/>
      <c r="EW152" s="207"/>
      <c r="EX152" s="207"/>
      <c r="EY152" s="207"/>
      <c r="EZ152" s="207"/>
      <c r="FA152" s="207"/>
      <c r="FB152" s="207"/>
      <c r="FC152" s="207"/>
      <c r="FD152" s="207"/>
      <c r="FE152" s="207"/>
      <c r="FF152" s="207"/>
      <c r="FG152" s="207"/>
      <c r="FH152" s="207"/>
      <c r="FI152" s="207"/>
      <c r="FJ152" s="207"/>
      <c r="FK152" s="207"/>
      <c r="FL152" s="207"/>
      <c r="FM152" s="207"/>
      <c r="FN152" s="207"/>
      <c r="FO152" s="207"/>
      <c r="FP152" s="207"/>
      <c r="FQ152" s="207"/>
      <c r="FR152" s="207"/>
      <c r="FS152" s="208"/>
      <c r="FT152" s="156"/>
    </row>
    <row r="153" spans="1:176" ht="15" customHeight="1" outlineLevel="1">
      <c r="A153" s="206" t="s">
        <v>1402</v>
      </c>
      <c r="B153" s="200" t="s">
        <v>1360</v>
      </c>
      <c r="C153" s="34"/>
      <c r="D153" s="34"/>
      <c r="E153" s="34"/>
      <c r="F153" s="34"/>
      <c r="G153" s="34"/>
      <c r="H153" s="37" t="s">
        <v>488</v>
      </c>
      <c r="I153" s="38"/>
      <c r="J153" s="38"/>
      <c r="K153" s="38"/>
      <c r="L153" s="38"/>
      <c r="M153" s="38"/>
      <c r="N153" s="38"/>
      <c r="O153" s="38"/>
      <c r="P153" s="38"/>
      <c r="Q153" s="38"/>
      <c r="R153" s="177">
        <f t="shared" si="23"/>
        <v>0</v>
      </c>
      <c r="S153" s="202">
        <f t="shared" si="20"/>
        <v>0</v>
      </c>
      <c r="T153" s="202">
        <f t="shared" si="21"/>
        <v>0</v>
      </c>
      <c r="U153" s="18"/>
      <c r="V153" s="206" t="str">
        <f t="shared" si="22"/>
        <v>3-42</v>
      </c>
      <c r="W153" s="215" t="str">
        <f t="shared" si="24"/>
        <v/>
      </c>
      <c r="X153" s="110"/>
      <c r="Y153" s="109"/>
      <c r="Z153" s="207"/>
      <c r="AA153" s="207"/>
      <c r="AB153" s="207"/>
      <c r="AC153" s="207"/>
      <c r="AD153" s="207"/>
      <c r="AE153" s="207"/>
      <c r="AF153" s="207"/>
      <c r="AG153" s="207"/>
      <c r="AH153" s="207"/>
      <c r="AI153" s="207"/>
      <c r="AJ153" s="207"/>
      <c r="AK153" s="207"/>
      <c r="AL153" s="207"/>
      <c r="AM153" s="207"/>
      <c r="AN153" s="207"/>
      <c r="AO153" s="207"/>
      <c r="AP153" s="207"/>
      <c r="AQ153" s="207"/>
      <c r="AR153" s="207"/>
      <c r="AS153" s="207"/>
      <c r="AT153" s="207"/>
      <c r="AU153" s="207"/>
      <c r="AV153" s="207"/>
      <c r="AW153" s="207"/>
      <c r="AX153" s="207"/>
      <c r="AY153" s="207"/>
      <c r="AZ153" s="207"/>
      <c r="BA153" s="207"/>
      <c r="BB153" s="207"/>
      <c r="BC153" s="207"/>
      <c r="BD153" s="207"/>
      <c r="BE153" s="207"/>
      <c r="BF153" s="207"/>
      <c r="BG153" s="207"/>
      <c r="BH153" s="207"/>
      <c r="BI153" s="207"/>
      <c r="BJ153" s="207"/>
      <c r="BK153" s="207"/>
      <c r="BL153" s="207"/>
      <c r="BM153" s="207"/>
      <c r="BN153" s="207"/>
      <c r="BO153" s="207"/>
      <c r="BP153" s="207"/>
      <c r="BQ153" s="207"/>
      <c r="BR153" s="207"/>
      <c r="BS153" s="207"/>
      <c r="BT153" s="207"/>
      <c r="BU153" s="207"/>
      <c r="BV153" s="207"/>
      <c r="BW153" s="207"/>
      <c r="BX153" s="207"/>
      <c r="BY153" s="207"/>
      <c r="BZ153" s="207"/>
      <c r="CA153" s="207"/>
      <c r="CB153" s="207"/>
      <c r="CC153" s="207"/>
      <c r="CD153" s="207"/>
      <c r="CE153" s="207"/>
      <c r="CF153" s="207"/>
      <c r="CG153" s="207"/>
      <c r="CH153" s="207"/>
      <c r="CI153" s="207"/>
      <c r="CJ153" s="207"/>
      <c r="CK153" s="207"/>
      <c r="CL153" s="207"/>
      <c r="CM153" s="207"/>
      <c r="CN153" s="207"/>
      <c r="CO153" s="207"/>
      <c r="CP153" s="207"/>
      <c r="CQ153" s="207"/>
      <c r="CR153" s="207"/>
      <c r="CS153" s="207"/>
      <c r="CT153" s="207"/>
      <c r="CU153" s="207"/>
      <c r="CV153" s="207"/>
      <c r="CW153" s="207"/>
      <c r="CX153" s="207"/>
      <c r="CY153" s="207"/>
      <c r="CZ153" s="207"/>
      <c r="DA153" s="207"/>
      <c r="DB153" s="207"/>
      <c r="DC153" s="207"/>
      <c r="DD153" s="207"/>
      <c r="DE153" s="207"/>
      <c r="DF153" s="207"/>
      <c r="DG153" s="207"/>
      <c r="DH153" s="207"/>
      <c r="DI153" s="207"/>
      <c r="DJ153" s="207"/>
      <c r="DK153" s="207"/>
      <c r="DL153" s="207"/>
      <c r="DM153" s="207"/>
      <c r="DN153" s="207"/>
      <c r="DO153" s="207"/>
      <c r="DP153" s="207"/>
      <c r="DQ153" s="207"/>
      <c r="DR153" s="207"/>
      <c r="DS153" s="207"/>
      <c r="DT153" s="207"/>
      <c r="DU153" s="207"/>
      <c r="DV153" s="207"/>
      <c r="DW153" s="207"/>
      <c r="DX153" s="207"/>
      <c r="DY153" s="207"/>
      <c r="DZ153" s="207"/>
      <c r="EA153" s="207"/>
      <c r="EB153" s="207"/>
      <c r="EC153" s="207"/>
      <c r="ED153" s="207"/>
      <c r="EE153" s="207"/>
      <c r="EF153" s="207"/>
      <c r="EG153" s="207"/>
      <c r="EH153" s="207"/>
      <c r="EI153" s="207"/>
      <c r="EJ153" s="207"/>
      <c r="EK153" s="207"/>
      <c r="EL153" s="207"/>
      <c r="EM153" s="207"/>
      <c r="EN153" s="207"/>
      <c r="EO153" s="207"/>
      <c r="EP153" s="207"/>
      <c r="EQ153" s="207"/>
      <c r="ER153" s="207"/>
      <c r="ES153" s="207"/>
      <c r="ET153" s="207"/>
      <c r="EU153" s="207"/>
      <c r="EV153" s="207"/>
      <c r="EW153" s="207"/>
      <c r="EX153" s="207"/>
      <c r="EY153" s="207"/>
      <c r="EZ153" s="207"/>
      <c r="FA153" s="207"/>
      <c r="FB153" s="207"/>
      <c r="FC153" s="207"/>
      <c r="FD153" s="207"/>
      <c r="FE153" s="207"/>
      <c r="FF153" s="207"/>
      <c r="FG153" s="207"/>
      <c r="FH153" s="207"/>
      <c r="FI153" s="207"/>
      <c r="FJ153" s="207"/>
      <c r="FK153" s="207"/>
      <c r="FL153" s="207"/>
      <c r="FM153" s="207"/>
      <c r="FN153" s="207"/>
      <c r="FO153" s="207"/>
      <c r="FP153" s="207"/>
      <c r="FQ153" s="207"/>
      <c r="FR153" s="207"/>
      <c r="FS153" s="208"/>
      <c r="FT153" s="156"/>
    </row>
    <row r="154" spans="1:176" ht="15" customHeight="1" outlineLevel="1">
      <c r="A154" s="206" t="s">
        <v>1403</v>
      </c>
      <c r="B154" s="200" t="s">
        <v>1360</v>
      </c>
      <c r="C154" s="34"/>
      <c r="D154" s="34"/>
      <c r="E154" s="34"/>
      <c r="F154" s="34"/>
      <c r="G154" s="34"/>
      <c r="H154" s="37" t="s">
        <v>488</v>
      </c>
      <c r="I154" s="38"/>
      <c r="J154" s="38"/>
      <c r="K154" s="38"/>
      <c r="L154" s="38"/>
      <c r="M154" s="38"/>
      <c r="N154" s="38"/>
      <c r="O154" s="38"/>
      <c r="P154" s="38"/>
      <c r="Q154" s="38"/>
      <c r="R154" s="177">
        <f t="shared" si="23"/>
        <v>0</v>
      </c>
      <c r="S154" s="202">
        <f t="shared" si="20"/>
        <v>0</v>
      </c>
      <c r="T154" s="202">
        <f t="shared" si="21"/>
        <v>0</v>
      </c>
      <c r="U154" s="18"/>
      <c r="V154" s="206" t="str">
        <f t="shared" si="22"/>
        <v>3-43</v>
      </c>
      <c r="W154" s="215" t="str">
        <f t="shared" si="24"/>
        <v/>
      </c>
      <c r="X154" s="110"/>
      <c r="Y154" s="109"/>
      <c r="Z154" s="207"/>
      <c r="AA154" s="207"/>
      <c r="AB154" s="207"/>
      <c r="AC154" s="207"/>
      <c r="AD154" s="207"/>
      <c r="AE154" s="207"/>
      <c r="AF154" s="207"/>
      <c r="AG154" s="207"/>
      <c r="AH154" s="207"/>
      <c r="AI154" s="207"/>
      <c r="AJ154" s="207"/>
      <c r="AK154" s="207"/>
      <c r="AL154" s="207"/>
      <c r="AM154" s="207"/>
      <c r="AN154" s="207"/>
      <c r="AO154" s="207"/>
      <c r="AP154" s="207"/>
      <c r="AQ154" s="207"/>
      <c r="AR154" s="207"/>
      <c r="AS154" s="207"/>
      <c r="AT154" s="207"/>
      <c r="AU154" s="207"/>
      <c r="AV154" s="207"/>
      <c r="AW154" s="207"/>
      <c r="AX154" s="207"/>
      <c r="AY154" s="207"/>
      <c r="AZ154" s="207"/>
      <c r="BA154" s="207"/>
      <c r="BB154" s="207"/>
      <c r="BC154" s="207"/>
      <c r="BD154" s="207"/>
      <c r="BE154" s="207"/>
      <c r="BF154" s="207"/>
      <c r="BG154" s="207"/>
      <c r="BH154" s="207"/>
      <c r="BI154" s="207"/>
      <c r="BJ154" s="207"/>
      <c r="BK154" s="207"/>
      <c r="BL154" s="207"/>
      <c r="BM154" s="207"/>
      <c r="BN154" s="207"/>
      <c r="BO154" s="207"/>
      <c r="BP154" s="207"/>
      <c r="BQ154" s="207"/>
      <c r="BR154" s="207"/>
      <c r="BS154" s="207"/>
      <c r="BT154" s="207"/>
      <c r="BU154" s="207"/>
      <c r="BV154" s="207"/>
      <c r="BW154" s="207"/>
      <c r="BX154" s="207"/>
      <c r="BY154" s="207"/>
      <c r="BZ154" s="207"/>
      <c r="CA154" s="207"/>
      <c r="CB154" s="207"/>
      <c r="CC154" s="207"/>
      <c r="CD154" s="207"/>
      <c r="CE154" s="207"/>
      <c r="CF154" s="207"/>
      <c r="CG154" s="207"/>
      <c r="CH154" s="207"/>
      <c r="CI154" s="207"/>
      <c r="CJ154" s="207"/>
      <c r="CK154" s="207"/>
      <c r="CL154" s="207"/>
      <c r="CM154" s="207"/>
      <c r="CN154" s="207"/>
      <c r="CO154" s="207"/>
      <c r="CP154" s="207"/>
      <c r="CQ154" s="207"/>
      <c r="CR154" s="207"/>
      <c r="CS154" s="207"/>
      <c r="CT154" s="207"/>
      <c r="CU154" s="207"/>
      <c r="CV154" s="207"/>
      <c r="CW154" s="207"/>
      <c r="CX154" s="207"/>
      <c r="CY154" s="207"/>
      <c r="CZ154" s="207"/>
      <c r="DA154" s="207"/>
      <c r="DB154" s="207"/>
      <c r="DC154" s="207"/>
      <c r="DD154" s="207"/>
      <c r="DE154" s="207"/>
      <c r="DF154" s="207"/>
      <c r="DG154" s="207"/>
      <c r="DH154" s="207"/>
      <c r="DI154" s="207"/>
      <c r="DJ154" s="207"/>
      <c r="DK154" s="207"/>
      <c r="DL154" s="207"/>
      <c r="DM154" s="207"/>
      <c r="DN154" s="207"/>
      <c r="DO154" s="207"/>
      <c r="DP154" s="207"/>
      <c r="DQ154" s="207"/>
      <c r="DR154" s="207"/>
      <c r="DS154" s="207"/>
      <c r="DT154" s="207"/>
      <c r="DU154" s="207"/>
      <c r="DV154" s="207"/>
      <c r="DW154" s="207"/>
      <c r="DX154" s="207"/>
      <c r="DY154" s="207"/>
      <c r="DZ154" s="207"/>
      <c r="EA154" s="207"/>
      <c r="EB154" s="207"/>
      <c r="EC154" s="207"/>
      <c r="ED154" s="207"/>
      <c r="EE154" s="207"/>
      <c r="EF154" s="207"/>
      <c r="EG154" s="207"/>
      <c r="EH154" s="207"/>
      <c r="EI154" s="207"/>
      <c r="EJ154" s="207"/>
      <c r="EK154" s="207"/>
      <c r="EL154" s="207"/>
      <c r="EM154" s="207"/>
      <c r="EN154" s="207"/>
      <c r="EO154" s="207"/>
      <c r="EP154" s="207"/>
      <c r="EQ154" s="207"/>
      <c r="ER154" s="207"/>
      <c r="ES154" s="207"/>
      <c r="ET154" s="207"/>
      <c r="EU154" s="207"/>
      <c r="EV154" s="207"/>
      <c r="EW154" s="207"/>
      <c r="EX154" s="207"/>
      <c r="EY154" s="207"/>
      <c r="EZ154" s="207"/>
      <c r="FA154" s="207"/>
      <c r="FB154" s="207"/>
      <c r="FC154" s="207"/>
      <c r="FD154" s="207"/>
      <c r="FE154" s="207"/>
      <c r="FF154" s="207"/>
      <c r="FG154" s="207"/>
      <c r="FH154" s="207"/>
      <c r="FI154" s="207"/>
      <c r="FJ154" s="207"/>
      <c r="FK154" s="207"/>
      <c r="FL154" s="207"/>
      <c r="FM154" s="207"/>
      <c r="FN154" s="207"/>
      <c r="FO154" s="207"/>
      <c r="FP154" s="207"/>
      <c r="FQ154" s="207"/>
      <c r="FR154" s="207"/>
      <c r="FS154" s="208"/>
      <c r="FT154" s="156"/>
    </row>
    <row r="155" spans="1:176" ht="15" customHeight="1" outlineLevel="1">
      <c r="A155" s="206" t="s">
        <v>1404</v>
      </c>
      <c r="B155" s="200" t="s">
        <v>1360</v>
      </c>
      <c r="C155" s="34"/>
      <c r="D155" s="34"/>
      <c r="E155" s="34"/>
      <c r="F155" s="34"/>
      <c r="G155" s="34"/>
      <c r="H155" s="37" t="s">
        <v>488</v>
      </c>
      <c r="I155" s="38"/>
      <c r="J155" s="38"/>
      <c r="K155" s="38"/>
      <c r="L155" s="38"/>
      <c r="M155" s="38"/>
      <c r="N155" s="38"/>
      <c r="O155" s="38"/>
      <c r="P155" s="38"/>
      <c r="Q155" s="38"/>
      <c r="R155" s="177">
        <f t="shared" si="23"/>
        <v>0</v>
      </c>
      <c r="S155" s="202">
        <f t="shared" si="20"/>
        <v>0</v>
      </c>
      <c r="T155" s="202">
        <f t="shared" si="21"/>
        <v>0</v>
      </c>
      <c r="U155" s="18"/>
      <c r="V155" s="206" t="str">
        <f t="shared" si="22"/>
        <v>3-44</v>
      </c>
      <c r="W155" s="215" t="str">
        <f t="shared" si="24"/>
        <v/>
      </c>
      <c r="X155" s="110"/>
      <c r="Y155" s="109"/>
      <c r="Z155" s="207"/>
      <c r="AA155" s="207"/>
      <c r="AB155" s="207"/>
      <c r="AC155" s="207"/>
      <c r="AD155" s="207"/>
      <c r="AE155" s="207"/>
      <c r="AF155" s="207"/>
      <c r="AG155" s="207"/>
      <c r="AH155" s="207"/>
      <c r="AI155" s="207"/>
      <c r="AJ155" s="207"/>
      <c r="AK155" s="207"/>
      <c r="AL155" s="207"/>
      <c r="AM155" s="207"/>
      <c r="AN155" s="207"/>
      <c r="AO155" s="207"/>
      <c r="AP155" s="207"/>
      <c r="AQ155" s="207"/>
      <c r="AR155" s="207"/>
      <c r="AS155" s="207"/>
      <c r="AT155" s="207"/>
      <c r="AU155" s="207"/>
      <c r="AV155" s="207"/>
      <c r="AW155" s="207"/>
      <c r="AX155" s="207"/>
      <c r="AY155" s="207"/>
      <c r="AZ155" s="207"/>
      <c r="BA155" s="207"/>
      <c r="BB155" s="207"/>
      <c r="BC155" s="207"/>
      <c r="BD155" s="207"/>
      <c r="BE155" s="207"/>
      <c r="BF155" s="207"/>
      <c r="BG155" s="207"/>
      <c r="BH155" s="207"/>
      <c r="BI155" s="207"/>
      <c r="BJ155" s="207"/>
      <c r="BK155" s="207"/>
      <c r="BL155" s="207"/>
      <c r="BM155" s="207"/>
      <c r="BN155" s="207"/>
      <c r="BO155" s="207"/>
      <c r="BP155" s="207"/>
      <c r="BQ155" s="207"/>
      <c r="BR155" s="207"/>
      <c r="BS155" s="207"/>
      <c r="BT155" s="207"/>
      <c r="BU155" s="207"/>
      <c r="BV155" s="207"/>
      <c r="BW155" s="207"/>
      <c r="BX155" s="207"/>
      <c r="BY155" s="207"/>
      <c r="BZ155" s="207"/>
      <c r="CA155" s="207"/>
      <c r="CB155" s="207"/>
      <c r="CC155" s="207"/>
      <c r="CD155" s="207"/>
      <c r="CE155" s="207"/>
      <c r="CF155" s="207"/>
      <c r="CG155" s="207"/>
      <c r="CH155" s="207"/>
      <c r="CI155" s="207"/>
      <c r="CJ155" s="207"/>
      <c r="CK155" s="207"/>
      <c r="CL155" s="207"/>
      <c r="CM155" s="207"/>
      <c r="CN155" s="207"/>
      <c r="CO155" s="207"/>
      <c r="CP155" s="207"/>
      <c r="CQ155" s="207"/>
      <c r="CR155" s="207"/>
      <c r="CS155" s="207"/>
      <c r="CT155" s="207"/>
      <c r="CU155" s="207"/>
      <c r="CV155" s="207"/>
      <c r="CW155" s="207"/>
      <c r="CX155" s="207"/>
      <c r="CY155" s="207"/>
      <c r="CZ155" s="207"/>
      <c r="DA155" s="207"/>
      <c r="DB155" s="207"/>
      <c r="DC155" s="207"/>
      <c r="DD155" s="207"/>
      <c r="DE155" s="207"/>
      <c r="DF155" s="207"/>
      <c r="DG155" s="207"/>
      <c r="DH155" s="207"/>
      <c r="DI155" s="207"/>
      <c r="DJ155" s="207"/>
      <c r="DK155" s="207"/>
      <c r="DL155" s="207"/>
      <c r="DM155" s="207"/>
      <c r="DN155" s="207"/>
      <c r="DO155" s="207"/>
      <c r="DP155" s="207"/>
      <c r="DQ155" s="207"/>
      <c r="DR155" s="207"/>
      <c r="DS155" s="207"/>
      <c r="DT155" s="207"/>
      <c r="DU155" s="207"/>
      <c r="DV155" s="207"/>
      <c r="DW155" s="207"/>
      <c r="DX155" s="207"/>
      <c r="DY155" s="207"/>
      <c r="DZ155" s="207"/>
      <c r="EA155" s="207"/>
      <c r="EB155" s="207"/>
      <c r="EC155" s="207"/>
      <c r="ED155" s="207"/>
      <c r="EE155" s="207"/>
      <c r="EF155" s="207"/>
      <c r="EG155" s="207"/>
      <c r="EH155" s="207"/>
      <c r="EI155" s="207"/>
      <c r="EJ155" s="207"/>
      <c r="EK155" s="207"/>
      <c r="EL155" s="207"/>
      <c r="EM155" s="207"/>
      <c r="EN155" s="207"/>
      <c r="EO155" s="207"/>
      <c r="EP155" s="207"/>
      <c r="EQ155" s="207"/>
      <c r="ER155" s="207"/>
      <c r="ES155" s="207"/>
      <c r="ET155" s="207"/>
      <c r="EU155" s="207"/>
      <c r="EV155" s="207"/>
      <c r="EW155" s="207"/>
      <c r="EX155" s="207"/>
      <c r="EY155" s="207"/>
      <c r="EZ155" s="207"/>
      <c r="FA155" s="207"/>
      <c r="FB155" s="207"/>
      <c r="FC155" s="207"/>
      <c r="FD155" s="207"/>
      <c r="FE155" s="207"/>
      <c r="FF155" s="207"/>
      <c r="FG155" s="207"/>
      <c r="FH155" s="207"/>
      <c r="FI155" s="207"/>
      <c r="FJ155" s="207"/>
      <c r="FK155" s="207"/>
      <c r="FL155" s="207"/>
      <c r="FM155" s="207"/>
      <c r="FN155" s="207"/>
      <c r="FO155" s="207"/>
      <c r="FP155" s="207"/>
      <c r="FQ155" s="207"/>
      <c r="FR155" s="207"/>
      <c r="FS155" s="208"/>
      <c r="FT155" s="156"/>
    </row>
    <row r="156" spans="1:176" ht="15" customHeight="1" outlineLevel="1">
      <c r="A156" s="206" t="s">
        <v>1405</v>
      </c>
      <c r="B156" s="200" t="s">
        <v>1360</v>
      </c>
      <c r="C156" s="34"/>
      <c r="D156" s="34"/>
      <c r="E156" s="34"/>
      <c r="F156" s="34"/>
      <c r="G156" s="34"/>
      <c r="H156" s="37" t="s">
        <v>488</v>
      </c>
      <c r="I156" s="38"/>
      <c r="J156" s="38"/>
      <c r="K156" s="38"/>
      <c r="L156" s="38"/>
      <c r="M156" s="38"/>
      <c r="N156" s="38"/>
      <c r="O156" s="38"/>
      <c r="P156" s="38"/>
      <c r="Q156" s="38"/>
      <c r="R156" s="177">
        <f t="shared" si="23"/>
        <v>0</v>
      </c>
      <c r="S156" s="202">
        <f t="shared" si="20"/>
        <v>0</v>
      </c>
      <c r="T156" s="202">
        <f t="shared" si="21"/>
        <v>0</v>
      </c>
      <c r="U156" s="18"/>
      <c r="V156" s="206" t="str">
        <f t="shared" si="22"/>
        <v>3-45</v>
      </c>
      <c r="W156" s="215" t="str">
        <f t="shared" si="24"/>
        <v/>
      </c>
      <c r="X156" s="110"/>
      <c r="Y156" s="109"/>
      <c r="Z156" s="207"/>
      <c r="AA156" s="207"/>
      <c r="AB156" s="207"/>
      <c r="AC156" s="207"/>
      <c r="AD156" s="207"/>
      <c r="AE156" s="207"/>
      <c r="AF156" s="207"/>
      <c r="AG156" s="207"/>
      <c r="AH156" s="207"/>
      <c r="AI156" s="207"/>
      <c r="AJ156" s="207"/>
      <c r="AK156" s="207"/>
      <c r="AL156" s="207"/>
      <c r="AM156" s="207"/>
      <c r="AN156" s="207"/>
      <c r="AO156" s="207"/>
      <c r="AP156" s="207"/>
      <c r="AQ156" s="207"/>
      <c r="AR156" s="207"/>
      <c r="AS156" s="207"/>
      <c r="AT156" s="207"/>
      <c r="AU156" s="207"/>
      <c r="AV156" s="207"/>
      <c r="AW156" s="207"/>
      <c r="AX156" s="207"/>
      <c r="AY156" s="207"/>
      <c r="AZ156" s="207"/>
      <c r="BA156" s="207"/>
      <c r="BB156" s="207"/>
      <c r="BC156" s="207"/>
      <c r="BD156" s="207"/>
      <c r="BE156" s="207"/>
      <c r="BF156" s="207"/>
      <c r="BG156" s="207"/>
      <c r="BH156" s="207"/>
      <c r="BI156" s="207"/>
      <c r="BJ156" s="207"/>
      <c r="BK156" s="207"/>
      <c r="BL156" s="207"/>
      <c r="BM156" s="207"/>
      <c r="BN156" s="207"/>
      <c r="BO156" s="207"/>
      <c r="BP156" s="207"/>
      <c r="BQ156" s="207"/>
      <c r="BR156" s="207"/>
      <c r="BS156" s="207"/>
      <c r="BT156" s="207"/>
      <c r="BU156" s="207"/>
      <c r="BV156" s="207"/>
      <c r="BW156" s="207"/>
      <c r="BX156" s="207"/>
      <c r="BY156" s="207"/>
      <c r="BZ156" s="207"/>
      <c r="CA156" s="207"/>
      <c r="CB156" s="207"/>
      <c r="CC156" s="207"/>
      <c r="CD156" s="207"/>
      <c r="CE156" s="207"/>
      <c r="CF156" s="207"/>
      <c r="CG156" s="207"/>
      <c r="CH156" s="207"/>
      <c r="CI156" s="207"/>
      <c r="CJ156" s="207"/>
      <c r="CK156" s="207"/>
      <c r="CL156" s="207"/>
      <c r="CM156" s="207"/>
      <c r="CN156" s="207"/>
      <c r="CO156" s="207"/>
      <c r="CP156" s="207"/>
      <c r="CQ156" s="207"/>
      <c r="CR156" s="207"/>
      <c r="CS156" s="207"/>
      <c r="CT156" s="207"/>
      <c r="CU156" s="207"/>
      <c r="CV156" s="207"/>
      <c r="CW156" s="207"/>
      <c r="CX156" s="207"/>
      <c r="CY156" s="207"/>
      <c r="CZ156" s="207"/>
      <c r="DA156" s="207"/>
      <c r="DB156" s="207"/>
      <c r="DC156" s="207"/>
      <c r="DD156" s="207"/>
      <c r="DE156" s="207"/>
      <c r="DF156" s="207"/>
      <c r="DG156" s="207"/>
      <c r="DH156" s="207"/>
      <c r="DI156" s="207"/>
      <c r="DJ156" s="207"/>
      <c r="DK156" s="207"/>
      <c r="DL156" s="207"/>
      <c r="DM156" s="207"/>
      <c r="DN156" s="207"/>
      <c r="DO156" s="207"/>
      <c r="DP156" s="207"/>
      <c r="DQ156" s="207"/>
      <c r="DR156" s="207"/>
      <c r="DS156" s="207"/>
      <c r="DT156" s="207"/>
      <c r="DU156" s="207"/>
      <c r="DV156" s="207"/>
      <c r="DW156" s="207"/>
      <c r="DX156" s="207"/>
      <c r="DY156" s="207"/>
      <c r="DZ156" s="207"/>
      <c r="EA156" s="207"/>
      <c r="EB156" s="207"/>
      <c r="EC156" s="207"/>
      <c r="ED156" s="207"/>
      <c r="EE156" s="207"/>
      <c r="EF156" s="207"/>
      <c r="EG156" s="207"/>
      <c r="EH156" s="207"/>
      <c r="EI156" s="207"/>
      <c r="EJ156" s="207"/>
      <c r="EK156" s="207"/>
      <c r="EL156" s="207"/>
      <c r="EM156" s="207"/>
      <c r="EN156" s="207"/>
      <c r="EO156" s="207"/>
      <c r="EP156" s="207"/>
      <c r="EQ156" s="207"/>
      <c r="ER156" s="207"/>
      <c r="ES156" s="207"/>
      <c r="ET156" s="207"/>
      <c r="EU156" s="207"/>
      <c r="EV156" s="207"/>
      <c r="EW156" s="207"/>
      <c r="EX156" s="207"/>
      <c r="EY156" s="207"/>
      <c r="EZ156" s="207"/>
      <c r="FA156" s="207"/>
      <c r="FB156" s="207"/>
      <c r="FC156" s="207"/>
      <c r="FD156" s="207"/>
      <c r="FE156" s="207"/>
      <c r="FF156" s="207"/>
      <c r="FG156" s="207"/>
      <c r="FH156" s="207"/>
      <c r="FI156" s="207"/>
      <c r="FJ156" s="207"/>
      <c r="FK156" s="207"/>
      <c r="FL156" s="207"/>
      <c r="FM156" s="207"/>
      <c r="FN156" s="207"/>
      <c r="FO156" s="207"/>
      <c r="FP156" s="207"/>
      <c r="FQ156" s="207"/>
      <c r="FR156" s="207"/>
      <c r="FS156" s="208"/>
      <c r="FT156" s="156"/>
    </row>
    <row r="157" spans="1:176" ht="15" customHeight="1" outlineLevel="1">
      <c r="A157" s="206" t="s">
        <v>1406</v>
      </c>
      <c r="B157" s="200" t="s">
        <v>1360</v>
      </c>
      <c r="C157" s="34"/>
      <c r="D157" s="34"/>
      <c r="E157" s="34"/>
      <c r="F157" s="34"/>
      <c r="G157" s="34"/>
      <c r="H157" s="37" t="s">
        <v>488</v>
      </c>
      <c r="I157" s="38"/>
      <c r="J157" s="38"/>
      <c r="K157" s="38"/>
      <c r="L157" s="38"/>
      <c r="M157" s="38"/>
      <c r="N157" s="38"/>
      <c r="O157" s="38"/>
      <c r="P157" s="38"/>
      <c r="Q157" s="38"/>
      <c r="R157" s="177">
        <f t="shared" si="23"/>
        <v>0</v>
      </c>
      <c r="S157" s="202">
        <f t="shared" si="20"/>
        <v>0</v>
      </c>
      <c r="T157" s="202">
        <f t="shared" si="21"/>
        <v>0</v>
      </c>
      <c r="U157" s="18"/>
      <c r="V157" s="206" t="str">
        <f t="shared" si="22"/>
        <v>3-46</v>
      </c>
      <c r="W157" s="215" t="str">
        <f t="shared" si="24"/>
        <v/>
      </c>
      <c r="X157" s="110"/>
      <c r="Y157" s="109"/>
      <c r="Z157" s="207"/>
      <c r="AA157" s="207"/>
      <c r="AB157" s="207"/>
      <c r="AC157" s="207"/>
      <c r="AD157" s="207"/>
      <c r="AE157" s="207"/>
      <c r="AF157" s="207"/>
      <c r="AG157" s="207"/>
      <c r="AH157" s="207"/>
      <c r="AI157" s="207"/>
      <c r="AJ157" s="207"/>
      <c r="AK157" s="207"/>
      <c r="AL157" s="207"/>
      <c r="AM157" s="207"/>
      <c r="AN157" s="207"/>
      <c r="AO157" s="207"/>
      <c r="AP157" s="207"/>
      <c r="AQ157" s="207"/>
      <c r="AR157" s="207"/>
      <c r="AS157" s="207"/>
      <c r="AT157" s="207"/>
      <c r="AU157" s="207"/>
      <c r="AV157" s="207"/>
      <c r="AW157" s="207"/>
      <c r="AX157" s="207"/>
      <c r="AY157" s="207"/>
      <c r="AZ157" s="207"/>
      <c r="BA157" s="207"/>
      <c r="BB157" s="207"/>
      <c r="BC157" s="207"/>
      <c r="BD157" s="207"/>
      <c r="BE157" s="207"/>
      <c r="BF157" s="207"/>
      <c r="BG157" s="207"/>
      <c r="BH157" s="207"/>
      <c r="BI157" s="207"/>
      <c r="BJ157" s="207"/>
      <c r="BK157" s="207"/>
      <c r="BL157" s="207"/>
      <c r="BM157" s="207"/>
      <c r="BN157" s="207"/>
      <c r="BO157" s="207"/>
      <c r="BP157" s="207"/>
      <c r="BQ157" s="207"/>
      <c r="BR157" s="207"/>
      <c r="BS157" s="207"/>
      <c r="BT157" s="207"/>
      <c r="BU157" s="207"/>
      <c r="BV157" s="207"/>
      <c r="BW157" s="207"/>
      <c r="BX157" s="207"/>
      <c r="BY157" s="207"/>
      <c r="BZ157" s="207"/>
      <c r="CA157" s="207"/>
      <c r="CB157" s="207"/>
      <c r="CC157" s="207"/>
      <c r="CD157" s="207"/>
      <c r="CE157" s="207"/>
      <c r="CF157" s="207"/>
      <c r="CG157" s="207"/>
      <c r="CH157" s="207"/>
      <c r="CI157" s="207"/>
      <c r="CJ157" s="207"/>
      <c r="CK157" s="207"/>
      <c r="CL157" s="207"/>
      <c r="CM157" s="207"/>
      <c r="CN157" s="207"/>
      <c r="CO157" s="207"/>
      <c r="CP157" s="207"/>
      <c r="CQ157" s="207"/>
      <c r="CR157" s="207"/>
      <c r="CS157" s="207"/>
      <c r="CT157" s="207"/>
      <c r="CU157" s="207"/>
      <c r="CV157" s="207"/>
      <c r="CW157" s="207"/>
      <c r="CX157" s="207"/>
      <c r="CY157" s="207"/>
      <c r="CZ157" s="207"/>
      <c r="DA157" s="207"/>
      <c r="DB157" s="207"/>
      <c r="DC157" s="207"/>
      <c r="DD157" s="207"/>
      <c r="DE157" s="207"/>
      <c r="DF157" s="207"/>
      <c r="DG157" s="207"/>
      <c r="DH157" s="207"/>
      <c r="DI157" s="207"/>
      <c r="DJ157" s="207"/>
      <c r="DK157" s="207"/>
      <c r="DL157" s="207"/>
      <c r="DM157" s="207"/>
      <c r="DN157" s="207"/>
      <c r="DO157" s="207"/>
      <c r="DP157" s="207"/>
      <c r="DQ157" s="207"/>
      <c r="DR157" s="207"/>
      <c r="DS157" s="207"/>
      <c r="DT157" s="207"/>
      <c r="DU157" s="207"/>
      <c r="DV157" s="207"/>
      <c r="DW157" s="207"/>
      <c r="DX157" s="207"/>
      <c r="DY157" s="207"/>
      <c r="DZ157" s="207"/>
      <c r="EA157" s="207"/>
      <c r="EB157" s="207"/>
      <c r="EC157" s="207"/>
      <c r="ED157" s="207"/>
      <c r="EE157" s="207"/>
      <c r="EF157" s="207"/>
      <c r="EG157" s="207"/>
      <c r="EH157" s="207"/>
      <c r="EI157" s="207"/>
      <c r="EJ157" s="207"/>
      <c r="EK157" s="207"/>
      <c r="EL157" s="207"/>
      <c r="EM157" s="207"/>
      <c r="EN157" s="207"/>
      <c r="EO157" s="207"/>
      <c r="EP157" s="207"/>
      <c r="EQ157" s="207"/>
      <c r="ER157" s="207"/>
      <c r="ES157" s="207"/>
      <c r="ET157" s="207"/>
      <c r="EU157" s="207"/>
      <c r="EV157" s="207"/>
      <c r="EW157" s="207"/>
      <c r="EX157" s="207"/>
      <c r="EY157" s="207"/>
      <c r="EZ157" s="207"/>
      <c r="FA157" s="207"/>
      <c r="FB157" s="207"/>
      <c r="FC157" s="207"/>
      <c r="FD157" s="207"/>
      <c r="FE157" s="207"/>
      <c r="FF157" s="207"/>
      <c r="FG157" s="207"/>
      <c r="FH157" s="207"/>
      <c r="FI157" s="207"/>
      <c r="FJ157" s="207"/>
      <c r="FK157" s="207"/>
      <c r="FL157" s="207"/>
      <c r="FM157" s="207"/>
      <c r="FN157" s="207"/>
      <c r="FO157" s="207"/>
      <c r="FP157" s="207"/>
      <c r="FQ157" s="207"/>
      <c r="FR157" s="207"/>
      <c r="FS157" s="208"/>
      <c r="FT157" s="156"/>
    </row>
    <row r="158" spans="1:176" ht="15" customHeight="1" outlineLevel="1">
      <c r="A158" s="206" t="s">
        <v>1407</v>
      </c>
      <c r="B158" s="200" t="s">
        <v>1360</v>
      </c>
      <c r="C158" s="34"/>
      <c r="D158" s="34"/>
      <c r="E158" s="34"/>
      <c r="F158" s="34"/>
      <c r="G158" s="34"/>
      <c r="H158" s="37" t="s">
        <v>488</v>
      </c>
      <c r="I158" s="38"/>
      <c r="J158" s="38"/>
      <c r="K158" s="38"/>
      <c r="L158" s="38"/>
      <c r="M158" s="38"/>
      <c r="N158" s="38"/>
      <c r="O158" s="38"/>
      <c r="P158" s="38"/>
      <c r="Q158" s="38"/>
      <c r="R158" s="177">
        <f t="shared" si="23"/>
        <v>0</v>
      </c>
      <c r="S158" s="202">
        <f t="shared" si="20"/>
        <v>0</v>
      </c>
      <c r="T158" s="202">
        <f t="shared" si="21"/>
        <v>0</v>
      </c>
      <c r="U158" s="18"/>
      <c r="V158" s="206" t="str">
        <f t="shared" si="22"/>
        <v>3-47</v>
      </c>
      <c r="W158" s="215" t="str">
        <f t="shared" si="24"/>
        <v/>
      </c>
      <c r="X158" s="110"/>
      <c r="Y158" s="109"/>
      <c r="Z158" s="207"/>
      <c r="AA158" s="207"/>
      <c r="AB158" s="207"/>
      <c r="AC158" s="207"/>
      <c r="AD158" s="207"/>
      <c r="AE158" s="207"/>
      <c r="AF158" s="207"/>
      <c r="AG158" s="207"/>
      <c r="AH158" s="207"/>
      <c r="AI158" s="207"/>
      <c r="AJ158" s="207"/>
      <c r="AK158" s="207"/>
      <c r="AL158" s="207"/>
      <c r="AM158" s="207"/>
      <c r="AN158" s="207"/>
      <c r="AO158" s="207"/>
      <c r="AP158" s="207"/>
      <c r="AQ158" s="207"/>
      <c r="AR158" s="207"/>
      <c r="AS158" s="207"/>
      <c r="AT158" s="207"/>
      <c r="AU158" s="207"/>
      <c r="AV158" s="207"/>
      <c r="AW158" s="207"/>
      <c r="AX158" s="207"/>
      <c r="AY158" s="207"/>
      <c r="AZ158" s="207"/>
      <c r="BA158" s="207"/>
      <c r="BB158" s="207"/>
      <c r="BC158" s="207"/>
      <c r="BD158" s="207"/>
      <c r="BE158" s="207"/>
      <c r="BF158" s="207"/>
      <c r="BG158" s="207"/>
      <c r="BH158" s="207"/>
      <c r="BI158" s="207"/>
      <c r="BJ158" s="207"/>
      <c r="BK158" s="207"/>
      <c r="BL158" s="207"/>
      <c r="BM158" s="207"/>
      <c r="BN158" s="207"/>
      <c r="BO158" s="207"/>
      <c r="BP158" s="207"/>
      <c r="BQ158" s="207"/>
      <c r="BR158" s="207"/>
      <c r="BS158" s="207"/>
      <c r="BT158" s="207"/>
      <c r="BU158" s="207"/>
      <c r="BV158" s="207"/>
      <c r="BW158" s="207"/>
      <c r="BX158" s="207"/>
      <c r="BY158" s="207"/>
      <c r="BZ158" s="207"/>
      <c r="CA158" s="207"/>
      <c r="CB158" s="207"/>
      <c r="CC158" s="207"/>
      <c r="CD158" s="207"/>
      <c r="CE158" s="207"/>
      <c r="CF158" s="207"/>
      <c r="CG158" s="207"/>
      <c r="CH158" s="207"/>
      <c r="CI158" s="207"/>
      <c r="CJ158" s="207"/>
      <c r="CK158" s="207"/>
      <c r="CL158" s="207"/>
      <c r="CM158" s="207"/>
      <c r="CN158" s="207"/>
      <c r="CO158" s="207"/>
      <c r="CP158" s="207"/>
      <c r="CQ158" s="207"/>
      <c r="CR158" s="207"/>
      <c r="CS158" s="207"/>
      <c r="CT158" s="207"/>
      <c r="CU158" s="207"/>
      <c r="CV158" s="207"/>
      <c r="CW158" s="207"/>
      <c r="CX158" s="207"/>
      <c r="CY158" s="207"/>
      <c r="CZ158" s="207"/>
      <c r="DA158" s="207"/>
      <c r="DB158" s="207"/>
      <c r="DC158" s="207"/>
      <c r="DD158" s="207"/>
      <c r="DE158" s="207"/>
      <c r="DF158" s="207"/>
      <c r="DG158" s="207"/>
      <c r="DH158" s="207"/>
      <c r="DI158" s="207"/>
      <c r="DJ158" s="207"/>
      <c r="DK158" s="207"/>
      <c r="DL158" s="207"/>
      <c r="DM158" s="207"/>
      <c r="DN158" s="207"/>
      <c r="DO158" s="207"/>
      <c r="DP158" s="207"/>
      <c r="DQ158" s="207"/>
      <c r="DR158" s="207"/>
      <c r="DS158" s="207"/>
      <c r="DT158" s="207"/>
      <c r="DU158" s="207"/>
      <c r="DV158" s="207"/>
      <c r="DW158" s="207"/>
      <c r="DX158" s="207"/>
      <c r="DY158" s="207"/>
      <c r="DZ158" s="207"/>
      <c r="EA158" s="207"/>
      <c r="EB158" s="207"/>
      <c r="EC158" s="207"/>
      <c r="ED158" s="207"/>
      <c r="EE158" s="207"/>
      <c r="EF158" s="207"/>
      <c r="EG158" s="207"/>
      <c r="EH158" s="207"/>
      <c r="EI158" s="207"/>
      <c r="EJ158" s="207"/>
      <c r="EK158" s="207"/>
      <c r="EL158" s="207"/>
      <c r="EM158" s="207"/>
      <c r="EN158" s="207"/>
      <c r="EO158" s="207"/>
      <c r="EP158" s="207"/>
      <c r="EQ158" s="207"/>
      <c r="ER158" s="207"/>
      <c r="ES158" s="207"/>
      <c r="ET158" s="207"/>
      <c r="EU158" s="207"/>
      <c r="EV158" s="207"/>
      <c r="EW158" s="207"/>
      <c r="EX158" s="207"/>
      <c r="EY158" s="207"/>
      <c r="EZ158" s="207"/>
      <c r="FA158" s="207"/>
      <c r="FB158" s="207"/>
      <c r="FC158" s="207"/>
      <c r="FD158" s="207"/>
      <c r="FE158" s="207"/>
      <c r="FF158" s="207"/>
      <c r="FG158" s="207"/>
      <c r="FH158" s="207"/>
      <c r="FI158" s="207"/>
      <c r="FJ158" s="207"/>
      <c r="FK158" s="207"/>
      <c r="FL158" s="207"/>
      <c r="FM158" s="207"/>
      <c r="FN158" s="207"/>
      <c r="FO158" s="207"/>
      <c r="FP158" s="207"/>
      <c r="FQ158" s="207"/>
      <c r="FR158" s="207"/>
      <c r="FS158" s="208"/>
      <c r="FT158" s="156"/>
    </row>
    <row r="159" spans="1:176" ht="15" customHeight="1" outlineLevel="1">
      <c r="A159" s="206" t="s">
        <v>1408</v>
      </c>
      <c r="B159" s="200" t="s">
        <v>1360</v>
      </c>
      <c r="C159" s="34"/>
      <c r="D159" s="34"/>
      <c r="E159" s="34"/>
      <c r="F159" s="34"/>
      <c r="G159" s="34"/>
      <c r="H159" s="37" t="s">
        <v>488</v>
      </c>
      <c r="I159" s="38"/>
      <c r="J159" s="38"/>
      <c r="K159" s="38"/>
      <c r="L159" s="38"/>
      <c r="M159" s="38"/>
      <c r="N159" s="38"/>
      <c r="O159" s="38"/>
      <c r="P159" s="38"/>
      <c r="Q159" s="38"/>
      <c r="R159" s="177">
        <f t="shared" si="23"/>
        <v>0</v>
      </c>
      <c r="S159" s="202">
        <f t="shared" si="20"/>
        <v>0</v>
      </c>
      <c r="T159" s="202">
        <f t="shared" si="21"/>
        <v>0</v>
      </c>
      <c r="U159" s="18"/>
      <c r="V159" s="206" t="str">
        <f t="shared" si="22"/>
        <v>3-48</v>
      </c>
      <c r="W159" s="215" t="str">
        <f t="shared" si="24"/>
        <v/>
      </c>
      <c r="X159" s="110"/>
      <c r="Y159" s="109"/>
      <c r="Z159" s="207"/>
      <c r="AA159" s="207"/>
      <c r="AB159" s="207"/>
      <c r="AC159" s="207"/>
      <c r="AD159" s="207"/>
      <c r="AE159" s="207"/>
      <c r="AF159" s="207"/>
      <c r="AG159" s="207"/>
      <c r="AH159" s="207"/>
      <c r="AI159" s="207"/>
      <c r="AJ159" s="207"/>
      <c r="AK159" s="207"/>
      <c r="AL159" s="207"/>
      <c r="AM159" s="207"/>
      <c r="AN159" s="207"/>
      <c r="AO159" s="207"/>
      <c r="AP159" s="207"/>
      <c r="AQ159" s="207"/>
      <c r="AR159" s="207"/>
      <c r="AS159" s="207"/>
      <c r="AT159" s="207"/>
      <c r="AU159" s="207"/>
      <c r="AV159" s="207"/>
      <c r="AW159" s="207"/>
      <c r="AX159" s="207"/>
      <c r="AY159" s="207"/>
      <c r="AZ159" s="207"/>
      <c r="BA159" s="207"/>
      <c r="BB159" s="207"/>
      <c r="BC159" s="207"/>
      <c r="BD159" s="207"/>
      <c r="BE159" s="207"/>
      <c r="BF159" s="207"/>
      <c r="BG159" s="207"/>
      <c r="BH159" s="207"/>
      <c r="BI159" s="207"/>
      <c r="BJ159" s="207"/>
      <c r="BK159" s="207"/>
      <c r="BL159" s="207"/>
      <c r="BM159" s="207"/>
      <c r="BN159" s="207"/>
      <c r="BO159" s="207"/>
      <c r="BP159" s="207"/>
      <c r="BQ159" s="207"/>
      <c r="BR159" s="207"/>
      <c r="BS159" s="207"/>
      <c r="BT159" s="207"/>
      <c r="BU159" s="207"/>
      <c r="BV159" s="207"/>
      <c r="BW159" s="207"/>
      <c r="BX159" s="207"/>
      <c r="BY159" s="207"/>
      <c r="BZ159" s="207"/>
      <c r="CA159" s="207"/>
      <c r="CB159" s="207"/>
      <c r="CC159" s="207"/>
      <c r="CD159" s="207"/>
      <c r="CE159" s="207"/>
      <c r="CF159" s="207"/>
      <c r="CG159" s="207"/>
      <c r="CH159" s="207"/>
      <c r="CI159" s="207"/>
      <c r="CJ159" s="207"/>
      <c r="CK159" s="207"/>
      <c r="CL159" s="207"/>
      <c r="CM159" s="207"/>
      <c r="CN159" s="207"/>
      <c r="CO159" s="207"/>
      <c r="CP159" s="207"/>
      <c r="CQ159" s="207"/>
      <c r="CR159" s="207"/>
      <c r="CS159" s="207"/>
      <c r="CT159" s="207"/>
      <c r="CU159" s="207"/>
      <c r="CV159" s="207"/>
      <c r="CW159" s="207"/>
      <c r="CX159" s="207"/>
      <c r="CY159" s="207"/>
      <c r="CZ159" s="207"/>
      <c r="DA159" s="207"/>
      <c r="DB159" s="207"/>
      <c r="DC159" s="207"/>
      <c r="DD159" s="207"/>
      <c r="DE159" s="207"/>
      <c r="DF159" s="207"/>
      <c r="DG159" s="207"/>
      <c r="DH159" s="207"/>
      <c r="DI159" s="207"/>
      <c r="DJ159" s="207"/>
      <c r="DK159" s="207"/>
      <c r="DL159" s="207"/>
      <c r="DM159" s="207"/>
      <c r="DN159" s="207"/>
      <c r="DO159" s="207"/>
      <c r="DP159" s="207"/>
      <c r="DQ159" s="207"/>
      <c r="DR159" s="207"/>
      <c r="DS159" s="207"/>
      <c r="DT159" s="207"/>
      <c r="DU159" s="207"/>
      <c r="DV159" s="207"/>
      <c r="DW159" s="207"/>
      <c r="DX159" s="207"/>
      <c r="DY159" s="207"/>
      <c r="DZ159" s="207"/>
      <c r="EA159" s="207"/>
      <c r="EB159" s="207"/>
      <c r="EC159" s="207"/>
      <c r="ED159" s="207"/>
      <c r="EE159" s="207"/>
      <c r="EF159" s="207"/>
      <c r="EG159" s="207"/>
      <c r="EH159" s="207"/>
      <c r="EI159" s="207"/>
      <c r="EJ159" s="207"/>
      <c r="EK159" s="207"/>
      <c r="EL159" s="207"/>
      <c r="EM159" s="207"/>
      <c r="EN159" s="207"/>
      <c r="EO159" s="207"/>
      <c r="EP159" s="207"/>
      <c r="EQ159" s="207"/>
      <c r="ER159" s="207"/>
      <c r="ES159" s="207"/>
      <c r="ET159" s="207"/>
      <c r="EU159" s="207"/>
      <c r="EV159" s="207"/>
      <c r="EW159" s="207"/>
      <c r="EX159" s="207"/>
      <c r="EY159" s="207"/>
      <c r="EZ159" s="207"/>
      <c r="FA159" s="207"/>
      <c r="FB159" s="207"/>
      <c r="FC159" s="207"/>
      <c r="FD159" s="207"/>
      <c r="FE159" s="207"/>
      <c r="FF159" s="207"/>
      <c r="FG159" s="207"/>
      <c r="FH159" s="207"/>
      <c r="FI159" s="207"/>
      <c r="FJ159" s="207"/>
      <c r="FK159" s="207"/>
      <c r="FL159" s="207"/>
      <c r="FM159" s="207"/>
      <c r="FN159" s="207"/>
      <c r="FO159" s="207"/>
      <c r="FP159" s="207"/>
      <c r="FQ159" s="207"/>
      <c r="FR159" s="207"/>
      <c r="FS159" s="208"/>
      <c r="FT159" s="156"/>
    </row>
    <row r="160" spans="1:176" ht="15" customHeight="1" outlineLevel="1">
      <c r="A160" s="206" t="s">
        <v>1409</v>
      </c>
      <c r="B160" s="200" t="s">
        <v>1360</v>
      </c>
      <c r="C160" s="34"/>
      <c r="D160" s="34"/>
      <c r="E160" s="34"/>
      <c r="F160" s="34"/>
      <c r="G160" s="34"/>
      <c r="H160" s="37" t="s">
        <v>488</v>
      </c>
      <c r="I160" s="38"/>
      <c r="J160" s="38"/>
      <c r="K160" s="38"/>
      <c r="L160" s="38"/>
      <c r="M160" s="38"/>
      <c r="N160" s="38"/>
      <c r="O160" s="38"/>
      <c r="P160" s="38"/>
      <c r="Q160" s="38"/>
      <c r="R160" s="177">
        <f t="shared" si="23"/>
        <v>0</v>
      </c>
      <c r="S160" s="202">
        <f t="shared" si="20"/>
        <v>0</v>
      </c>
      <c r="T160" s="202">
        <f t="shared" si="21"/>
        <v>0</v>
      </c>
      <c r="U160" s="18"/>
      <c r="V160" s="206" t="str">
        <f t="shared" si="22"/>
        <v>3-49</v>
      </c>
      <c r="W160" s="215" t="str">
        <f t="shared" si="24"/>
        <v/>
      </c>
      <c r="X160" s="110"/>
      <c r="Y160" s="109"/>
      <c r="Z160" s="207"/>
      <c r="AA160" s="207"/>
      <c r="AB160" s="207"/>
      <c r="AC160" s="207"/>
      <c r="AD160" s="207"/>
      <c r="AE160" s="207"/>
      <c r="AF160" s="207"/>
      <c r="AG160" s="207"/>
      <c r="AH160" s="207"/>
      <c r="AI160" s="207"/>
      <c r="AJ160" s="207"/>
      <c r="AK160" s="207"/>
      <c r="AL160" s="207"/>
      <c r="AM160" s="207"/>
      <c r="AN160" s="207"/>
      <c r="AO160" s="207"/>
      <c r="AP160" s="207"/>
      <c r="AQ160" s="207"/>
      <c r="AR160" s="207"/>
      <c r="AS160" s="207"/>
      <c r="AT160" s="207"/>
      <c r="AU160" s="207"/>
      <c r="AV160" s="207"/>
      <c r="AW160" s="207"/>
      <c r="AX160" s="207"/>
      <c r="AY160" s="207"/>
      <c r="AZ160" s="207"/>
      <c r="BA160" s="207"/>
      <c r="BB160" s="207"/>
      <c r="BC160" s="207"/>
      <c r="BD160" s="207"/>
      <c r="BE160" s="207"/>
      <c r="BF160" s="207"/>
      <c r="BG160" s="207"/>
      <c r="BH160" s="207"/>
      <c r="BI160" s="207"/>
      <c r="BJ160" s="207"/>
      <c r="BK160" s="207"/>
      <c r="BL160" s="207"/>
      <c r="BM160" s="207"/>
      <c r="BN160" s="207"/>
      <c r="BO160" s="207"/>
      <c r="BP160" s="207"/>
      <c r="BQ160" s="207"/>
      <c r="BR160" s="207"/>
      <c r="BS160" s="207"/>
      <c r="BT160" s="207"/>
      <c r="BU160" s="207"/>
      <c r="BV160" s="207"/>
      <c r="BW160" s="207"/>
      <c r="BX160" s="207"/>
      <c r="BY160" s="207"/>
      <c r="BZ160" s="207"/>
      <c r="CA160" s="207"/>
      <c r="CB160" s="207"/>
      <c r="CC160" s="207"/>
      <c r="CD160" s="207"/>
      <c r="CE160" s="207"/>
      <c r="CF160" s="207"/>
      <c r="CG160" s="207"/>
      <c r="CH160" s="207"/>
      <c r="CI160" s="207"/>
      <c r="CJ160" s="207"/>
      <c r="CK160" s="207"/>
      <c r="CL160" s="207"/>
      <c r="CM160" s="207"/>
      <c r="CN160" s="207"/>
      <c r="CO160" s="207"/>
      <c r="CP160" s="207"/>
      <c r="CQ160" s="207"/>
      <c r="CR160" s="207"/>
      <c r="CS160" s="207"/>
      <c r="CT160" s="207"/>
      <c r="CU160" s="207"/>
      <c r="CV160" s="207"/>
      <c r="CW160" s="207"/>
      <c r="CX160" s="207"/>
      <c r="CY160" s="207"/>
      <c r="CZ160" s="207"/>
      <c r="DA160" s="207"/>
      <c r="DB160" s="207"/>
      <c r="DC160" s="207"/>
      <c r="DD160" s="207"/>
      <c r="DE160" s="207"/>
      <c r="DF160" s="207"/>
      <c r="DG160" s="207"/>
      <c r="DH160" s="207"/>
      <c r="DI160" s="207"/>
      <c r="DJ160" s="207"/>
      <c r="DK160" s="207"/>
      <c r="DL160" s="207"/>
      <c r="DM160" s="207"/>
      <c r="DN160" s="207"/>
      <c r="DO160" s="207"/>
      <c r="DP160" s="207"/>
      <c r="DQ160" s="207"/>
      <c r="DR160" s="207"/>
      <c r="DS160" s="207"/>
      <c r="DT160" s="207"/>
      <c r="DU160" s="207"/>
      <c r="DV160" s="207"/>
      <c r="DW160" s="207"/>
      <c r="DX160" s="207"/>
      <c r="DY160" s="207"/>
      <c r="DZ160" s="207"/>
      <c r="EA160" s="207"/>
      <c r="EB160" s="207"/>
      <c r="EC160" s="207"/>
      <c r="ED160" s="207"/>
      <c r="EE160" s="207"/>
      <c r="EF160" s="207"/>
      <c r="EG160" s="207"/>
      <c r="EH160" s="207"/>
      <c r="EI160" s="207"/>
      <c r="EJ160" s="207"/>
      <c r="EK160" s="207"/>
      <c r="EL160" s="207"/>
      <c r="EM160" s="207"/>
      <c r="EN160" s="207"/>
      <c r="EO160" s="207"/>
      <c r="EP160" s="207"/>
      <c r="EQ160" s="207"/>
      <c r="ER160" s="207"/>
      <c r="ES160" s="207"/>
      <c r="ET160" s="207"/>
      <c r="EU160" s="207"/>
      <c r="EV160" s="207"/>
      <c r="EW160" s="207"/>
      <c r="EX160" s="207"/>
      <c r="EY160" s="207"/>
      <c r="EZ160" s="207"/>
      <c r="FA160" s="207"/>
      <c r="FB160" s="207"/>
      <c r="FC160" s="207"/>
      <c r="FD160" s="207"/>
      <c r="FE160" s="207"/>
      <c r="FF160" s="207"/>
      <c r="FG160" s="207"/>
      <c r="FH160" s="207"/>
      <c r="FI160" s="207"/>
      <c r="FJ160" s="207"/>
      <c r="FK160" s="207"/>
      <c r="FL160" s="207"/>
      <c r="FM160" s="207"/>
      <c r="FN160" s="207"/>
      <c r="FO160" s="207"/>
      <c r="FP160" s="207"/>
      <c r="FQ160" s="207"/>
      <c r="FR160" s="207"/>
      <c r="FS160" s="208"/>
      <c r="FT160" s="156"/>
    </row>
    <row r="161" spans="1:176" ht="15" customHeight="1" outlineLevel="1">
      <c r="A161" s="206" t="s">
        <v>1410</v>
      </c>
      <c r="B161" s="200" t="s">
        <v>1360</v>
      </c>
      <c r="C161" s="34"/>
      <c r="D161" s="34"/>
      <c r="E161" s="34"/>
      <c r="F161" s="34"/>
      <c r="G161" s="34"/>
      <c r="H161" s="37" t="s">
        <v>488</v>
      </c>
      <c r="I161" s="38"/>
      <c r="J161" s="38"/>
      <c r="K161" s="38"/>
      <c r="L161" s="38"/>
      <c r="M161" s="38"/>
      <c r="N161" s="38"/>
      <c r="O161" s="38"/>
      <c r="P161" s="38"/>
      <c r="Q161" s="38"/>
      <c r="R161" s="177">
        <f t="shared" si="23"/>
        <v>0</v>
      </c>
      <c r="S161" s="202">
        <f t="shared" si="20"/>
        <v>0</v>
      </c>
      <c r="T161" s="202">
        <f t="shared" si="21"/>
        <v>0</v>
      </c>
      <c r="U161" s="18"/>
      <c r="V161" s="206" t="str">
        <f t="shared" si="22"/>
        <v>3-50</v>
      </c>
      <c r="W161" s="215" t="str">
        <f t="shared" si="24"/>
        <v/>
      </c>
      <c r="X161" s="110"/>
      <c r="Y161" s="109"/>
      <c r="Z161" s="207"/>
      <c r="AA161" s="207"/>
      <c r="AB161" s="207"/>
      <c r="AC161" s="207"/>
      <c r="AD161" s="207"/>
      <c r="AE161" s="207"/>
      <c r="AF161" s="207"/>
      <c r="AG161" s="207"/>
      <c r="AH161" s="207"/>
      <c r="AI161" s="207"/>
      <c r="AJ161" s="207"/>
      <c r="AK161" s="207"/>
      <c r="AL161" s="207"/>
      <c r="AM161" s="207"/>
      <c r="AN161" s="207"/>
      <c r="AO161" s="207"/>
      <c r="AP161" s="207"/>
      <c r="AQ161" s="207"/>
      <c r="AR161" s="207"/>
      <c r="AS161" s="207"/>
      <c r="AT161" s="207"/>
      <c r="AU161" s="207"/>
      <c r="AV161" s="207"/>
      <c r="AW161" s="207"/>
      <c r="AX161" s="207"/>
      <c r="AY161" s="207"/>
      <c r="AZ161" s="207"/>
      <c r="BA161" s="207"/>
      <c r="BB161" s="207"/>
      <c r="BC161" s="207"/>
      <c r="BD161" s="207"/>
      <c r="BE161" s="207"/>
      <c r="BF161" s="207"/>
      <c r="BG161" s="207"/>
      <c r="BH161" s="207"/>
      <c r="BI161" s="207"/>
      <c r="BJ161" s="207"/>
      <c r="BK161" s="207"/>
      <c r="BL161" s="207"/>
      <c r="BM161" s="207"/>
      <c r="BN161" s="207"/>
      <c r="BO161" s="207"/>
      <c r="BP161" s="207"/>
      <c r="BQ161" s="207"/>
      <c r="BR161" s="207"/>
      <c r="BS161" s="207"/>
      <c r="BT161" s="207"/>
      <c r="BU161" s="207"/>
      <c r="BV161" s="207"/>
      <c r="BW161" s="207"/>
      <c r="BX161" s="207"/>
      <c r="BY161" s="207"/>
      <c r="BZ161" s="207"/>
      <c r="CA161" s="207"/>
      <c r="CB161" s="207"/>
      <c r="CC161" s="207"/>
      <c r="CD161" s="207"/>
      <c r="CE161" s="207"/>
      <c r="CF161" s="207"/>
      <c r="CG161" s="207"/>
      <c r="CH161" s="207"/>
      <c r="CI161" s="207"/>
      <c r="CJ161" s="207"/>
      <c r="CK161" s="207"/>
      <c r="CL161" s="207"/>
      <c r="CM161" s="207"/>
      <c r="CN161" s="207"/>
      <c r="CO161" s="207"/>
      <c r="CP161" s="207"/>
      <c r="CQ161" s="207"/>
      <c r="CR161" s="207"/>
      <c r="CS161" s="207"/>
      <c r="CT161" s="207"/>
      <c r="CU161" s="207"/>
      <c r="CV161" s="207"/>
      <c r="CW161" s="207"/>
      <c r="CX161" s="207"/>
      <c r="CY161" s="207"/>
      <c r="CZ161" s="207"/>
      <c r="DA161" s="207"/>
      <c r="DB161" s="207"/>
      <c r="DC161" s="207"/>
      <c r="DD161" s="207"/>
      <c r="DE161" s="207"/>
      <c r="DF161" s="207"/>
      <c r="DG161" s="207"/>
      <c r="DH161" s="207"/>
      <c r="DI161" s="207"/>
      <c r="DJ161" s="207"/>
      <c r="DK161" s="207"/>
      <c r="DL161" s="207"/>
      <c r="DM161" s="207"/>
      <c r="DN161" s="207"/>
      <c r="DO161" s="207"/>
      <c r="DP161" s="207"/>
      <c r="DQ161" s="207"/>
      <c r="DR161" s="207"/>
      <c r="DS161" s="207"/>
      <c r="DT161" s="207"/>
      <c r="DU161" s="207"/>
      <c r="DV161" s="207"/>
      <c r="DW161" s="207"/>
      <c r="DX161" s="207"/>
      <c r="DY161" s="207"/>
      <c r="DZ161" s="207"/>
      <c r="EA161" s="207"/>
      <c r="EB161" s="207"/>
      <c r="EC161" s="207"/>
      <c r="ED161" s="207"/>
      <c r="EE161" s="207"/>
      <c r="EF161" s="207"/>
      <c r="EG161" s="207"/>
      <c r="EH161" s="207"/>
      <c r="EI161" s="207"/>
      <c r="EJ161" s="207"/>
      <c r="EK161" s="207"/>
      <c r="EL161" s="207"/>
      <c r="EM161" s="207"/>
      <c r="EN161" s="207"/>
      <c r="EO161" s="207"/>
      <c r="EP161" s="207"/>
      <c r="EQ161" s="207"/>
      <c r="ER161" s="207"/>
      <c r="ES161" s="207"/>
      <c r="ET161" s="207"/>
      <c r="EU161" s="207"/>
      <c r="EV161" s="207"/>
      <c r="EW161" s="207"/>
      <c r="EX161" s="207"/>
      <c r="EY161" s="207"/>
      <c r="EZ161" s="207"/>
      <c r="FA161" s="207"/>
      <c r="FB161" s="207"/>
      <c r="FC161" s="207"/>
      <c r="FD161" s="207"/>
      <c r="FE161" s="207"/>
      <c r="FF161" s="207"/>
      <c r="FG161" s="207"/>
      <c r="FH161" s="207"/>
      <c r="FI161" s="207"/>
      <c r="FJ161" s="207"/>
      <c r="FK161" s="207"/>
      <c r="FL161" s="207"/>
      <c r="FM161" s="207"/>
      <c r="FN161" s="207"/>
      <c r="FO161" s="207"/>
      <c r="FP161" s="207"/>
      <c r="FQ161" s="207"/>
      <c r="FR161" s="207"/>
      <c r="FS161" s="208"/>
      <c r="FT161" s="156"/>
    </row>
    <row r="162" spans="1:176" s="198" customFormat="1" ht="15">
      <c r="A162" s="193" t="s">
        <v>1188</v>
      </c>
      <c r="B162" s="211" t="s">
        <v>1411</v>
      </c>
      <c r="C162" s="212"/>
      <c r="D162" s="212"/>
      <c r="E162" s="212" t="s">
        <v>222</v>
      </c>
      <c r="F162" s="212" t="s">
        <v>222</v>
      </c>
      <c r="G162" s="212" t="s">
        <v>222</v>
      </c>
      <c r="H162" s="213"/>
      <c r="I162" s="214"/>
      <c r="J162" s="214"/>
      <c r="K162" s="214"/>
      <c r="L162" s="214"/>
      <c r="M162" s="214"/>
      <c r="N162" s="214"/>
      <c r="O162" s="214"/>
      <c r="P162" s="214"/>
      <c r="Q162" s="214"/>
      <c r="R162" s="191">
        <f>SUM(R163:R212)</f>
        <v>0</v>
      </c>
      <c r="S162" s="192">
        <f>SUM(S163:S212)</f>
        <v>0</v>
      </c>
      <c r="T162" s="192">
        <f>SUM(T163:T212)</f>
        <v>0</v>
      </c>
      <c r="U162" s="18"/>
      <c r="V162" s="193" t="str">
        <f t="shared" si="22"/>
        <v>Phase:</v>
      </c>
      <c r="W162" s="194" t="str">
        <f>B162</f>
        <v>Transition</v>
      </c>
      <c r="X162" s="223"/>
      <c r="Y162" s="223"/>
      <c r="Z162" s="196"/>
      <c r="AA162" s="196"/>
      <c r="AB162" s="196"/>
      <c r="AC162" s="196"/>
      <c r="AD162" s="196"/>
      <c r="AE162" s="196"/>
      <c r="AF162" s="196"/>
      <c r="AG162" s="196"/>
      <c r="AH162" s="196"/>
      <c r="AI162" s="196"/>
      <c r="AJ162" s="196"/>
      <c r="AK162" s="196"/>
      <c r="AL162" s="196"/>
      <c r="AM162" s="196"/>
      <c r="AN162" s="196"/>
      <c r="AO162" s="196"/>
      <c r="AP162" s="196"/>
      <c r="AQ162" s="196"/>
      <c r="AR162" s="196"/>
      <c r="AS162" s="196"/>
      <c r="AT162" s="196"/>
      <c r="AU162" s="196"/>
      <c r="AV162" s="196"/>
      <c r="AW162" s="196"/>
      <c r="AX162" s="196"/>
      <c r="AY162" s="196"/>
      <c r="AZ162" s="196"/>
      <c r="BA162" s="196"/>
      <c r="BB162" s="196"/>
      <c r="BC162" s="196"/>
      <c r="BD162" s="196"/>
      <c r="BE162" s="196"/>
      <c r="BF162" s="196"/>
      <c r="BG162" s="196"/>
      <c r="BH162" s="196"/>
      <c r="BI162" s="196"/>
      <c r="BJ162" s="196"/>
      <c r="BK162" s="196"/>
      <c r="BL162" s="196"/>
      <c r="BM162" s="196"/>
      <c r="BN162" s="196"/>
      <c r="BO162" s="196"/>
      <c r="BP162" s="196"/>
      <c r="BQ162" s="196"/>
      <c r="BR162" s="196"/>
      <c r="BS162" s="196"/>
      <c r="BT162" s="196"/>
      <c r="BU162" s="196"/>
      <c r="BV162" s="196"/>
      <c r="BW162" s="196"/>
      <c r="BX162" s="196"/>
      <c r="BY162" s="196"/>
      <c r="BZ162" s="196"/>
      <c r="CA162" s="196"/>
      <c r="CB162" s="196"/>
      <c r="CC162" s="196"/>
      <c r="CD162" s="196"/>
      <c r="CE162" s="196"/>
      <c r="CF162" s="196"/>
      <c r="CG162" s="196"/>
      <c r="CH162" s="196"/>
      <c r="CI162" s="196"/>
      <c r="CJ162" s="196"/>
      <c r="CK162" s="196"/>
      <c r="CL162" s="196"/>
      <c r="CM162" s="196"/>
      <c r="CN162" s="196"/>
      <c r="CO162" s="196"/>
      <c r="CP162" s="196"/>
      <c r="CQ162" s="196"/>
      <c r="CR162" s="196"/>
      <c r="CS162" s="196"/>
      <c r="CT162" s="196"/>
      <c r="CU162" s="196"/>
      <c r="CV162" s="196"/>
      <c r="CW162" s="196"/>
      <c r="CX162" s="196"/>
      <c r="CY162" s="196"/>
      <c r="CZ162" s="196"/>
      <c r="DA162" s="196"/>
      <c r="DB162" s="196"/>
      <c r="DC162" s="196"/>
      <c r="DD162" s="196"/>
      <c r="DE162" s="196"/>
      <c r="DF162" s="196"/>
      <c r="DG162" s="196"/>
      <c r="DH162" s="196"/>
      <c r="DI162" s="196"/>
      <c r="DJ162" s="196"/>
      <c r="DK162" s="196"/>
      <c r="DL162" s="196"/>
      <c r="DM162" s="196"/>
      <c r="DN162" s="196"/>
      <c r="DO162" s="196"/>
      <c r="DP162" s="196"/>
      <c r="DQ162" s="196"/>
      <c r="DR162" s="196"/>
      <c r="DS162" s="196"/>
      <c r="DT162" s="196"/>
      <c r="DU162" s="196"/>
      <c r="DV162" s="196"/>
      <c r="DW162" s="196"/>
      <c r="DX162" s="196"/>
      <c r="DY162" s="196"/>
      <c r="DZ162" s="196"/>
      <c r="EA162" s="196"/>
      <c r="EB162" s="196"/>
      <c r="EC162" s="196"/>
      <c r="ED162" s="196"/>
      <c r="EE162" s="196"/>
      <c r="EF162" s="196"/>
      <c r="EG162" s="196"/>
      <c r="EH162" s="196"/>
      <c r="EI162" s="196"/>
      <c r="EJ162" s="196"/>
      <c r="EK162" s="196"/>
      <c r="EL162" s="196"/>
      <c r="EM162" s="196"/>
      <c r="EN162" s="196"/>
      <c r="EO162" s="196"/>
      <c r="EP162" s="196"/>
      <c r="EQ162" s="196"/>
      <c r="ER162" s="196"/>
      <c r="ES162" s="196"/>
      <c r="ET162" s="196"/>
      <c r="EU162" s="196"/>
      <c r="EV162" s="196"/>
      <c r="EW162" s="196"/>
      <c r="EX162" s="196"/>
      <c r="EY162" s="196"/>
      <c r="EZ162" s="196"/>
      <c r="FA162" s="196"/>
      <c r="FB162" s="196"/>
      <c r="FC162" s="196"/>
      <c r="FD162" s="196"/>
      <c r="FE162" s="196"/>
      <c r="FF162" s="196"/>
      <c r="FG162" s="196"/>
      <c r="FH162" s="196"/>
      <c r="FI162" s="196"/>
      <c r="FJ162" s="196"/>
      <c r="FK162" s="196"/>
      <c r="FL162" s="196"/>
      <c r="FM162" s="196"/>
      <c r="FN162" s="196"/>
      <c r="FO162" s="196"/>
      <c r="FP162" s="196"/>
      <c r="FQ162" s="196"/>
      <c r="FR162" s="196"/>
      <c r="FS162" s="196"/>
      <c r="FT162" s="197"/>
    </row>
    <row r="163" spans="1:176" ht="30" outlineLevel="1">
      <c r="A163" s="206" t="s">
        <v>1412</v>
      </c>
      <c r="B163" s="200" t="s">
        <v>1411</v>
      </c>
      <c r="C163" s="34" t="s">
        <v>1413</v>
      </c>
      <c r="D163" s="34" t="s">
        <v>1414</v>
      </c>
      <c r="E163" s="34"/>
      <c r="F163" s="34"/>
      <c r="G163" s="34"/>
      <c r="H163" s="37" t="s">
        <v>488</v>
      </c>
      <c r="I163" s="38"/>
      <c r="J163" s="38"/>
      <c r="K163" s="38"/>
      <c r="L163" s="38"/>
      <c r="M163" s="38"/>
      <c r="N163" s="38"/>
      <c r="O163" s="38"/>
      <c r="P163" s="38"/>
      <c r="Q163" s="38"/>
      <c r="R163" s="177">
        <f t="shared" ref="R163:R194" si="25">SUM(I163:M163)</f>
        <v>0</v>
      </c>
      <c r="S163" s="202">
        <f>(I163*$I$4)+(J163*$J$4)+(K163*$K$4)+(L163*$L$4)+(M163*$M$4)+(N163*$N$4)+(O163*$O$4)+(P163*$P$4)+(Q163*$Q$4)</f>
        <v>0</v>
      </c>
      <c r="T163" s="202">
        <f>IF(H163="Billable",(I163*$I$5)+(J163*$J$5)+(K163*$K$5)+(L163*$L$5)+(M163*$M$5)+(N163*$N$5)+(O163*$O$5)+(P163*$P$5)+(Q163*$Q$5),0)</f>
        <v>0</v>
      </c>
      <c r="U163" s="18"/>
      <c r="V163" s="206" t="str">
        <f t="shared" si="22"/>
        <v>4-1</v>
      </c>
      <c r="W163" s="215" t="str">
        <f t="shared" ref="W163:W194" si="26">IF(ISBLANK(C163),"",C163)</f>
        <v>Support development of UAT test cases</v>
      </c>
      <c r="X163" s="110"/>
      <c r="Y163" s="109"/>
      <c r="Z163" s="207"/>
      <c r="AA163" s="207"/>
      <c r="AB163" s="207"/>
      <c r="AC163" s="207"/>
      <c r="AD163" s="207"/>
      <c r="AE163" s="207"/>
      <c r="AF163" s="207"/>
      <c r="AG163" s="207"/>
      <c r="AH163" s="207"/>
      <c r="AI163" s="207"/>
      <c r="AJ163" s="207"/>
      <c r="AK163" s="207"/>
      <c r="AL163" s="207"/>
      <c r="AM163" s="207"/>
      <c r="AN163" s="207"/>
      <c r="AO163" s="207"/>
      <c r="AP163" s="207"/>
      <c r="AQ163" s="207"/>
      <c r="AR163" s="207"/>
      <c r="AS163" s="207"/>
      <c r="AT163" s="207"/>
      <c r="AU163" s="207"/>
      <c r="AV163" s="207"/>
      <c r="AW163" s="207"/>
      <c r="AX163" s="207"/>
      <c r="AY163" s="207"/>
      <c r="AZ163" s="207"/>
      <c r="BA163" s="207"/>
      <c r="BB163" s="207"/>
      <c r="BC163" s="207"/>
      <c r="BD163" s="207"/>
      <c r="BE163" s="207"/>
      <c r="BF163" s="207"/>
      <c r="BG163" s="207"/>
      <c r="BH163" s="207"/>
      <c r="BI163" s="207"/>
      <c r="BJ163" s="207"/>
      <c r="BK163" s="207"/>
      <c r="BL163" s="207"/>
      <c r="BM163" s="207"/>
      <c r="BN163" s="207"/>
      <c r="BO163" s="207"/>
      <c r="BP163" s="207"/>
      <c r="BQ163" s="207"/>
      <c r="BR163" s="207"/>
      <c r="BS163" s="207"/>
      <c r="BT163" s="207"/>
      <c r="BU163" s="207"/>
      <c r="BV163" s="207"/>
      <c r="BW163" s="207"/>
      <c r="BX163" s="207"/>
      <c r="BY163" s="207"/>
      <c r="BZ163" s="207"/>
      <c r="CA163" s="207"/>
      <c r="CB163" s="207"/>
      <c r="CC163" s="207"/>
      <c r="CD163" s="207"/>
      <c r="CE163" s="207"/>
      <c r="CF163" s="207"/>
      <c r="CG163" s="207"/>
      <c r="CH163" s="207"/>
      <c r="CI163" s="207"/>
      <c r="CJ163" s="207"/>
      <c r="CK163" s="207"/>
      <c r="CL163" s="207"/>
      <c r="CM163" s="207"/>
      <c r="CN163" s="207"/>
      <c r="CO163" s="207"/>
      <c r="CP163" s="207"/>
      <c r="CQ163" s="207"/>
      <c r="CR163" s="207"/>
      <c r="CS163" s="207"/>
      <c r="CT163" s="207"/>
      <c r="CU163" s="207"/>
      <c r="CV163" s="207"/>
      <c r="CW163" s="207"/>
      <c r="CX163" s="207"/>
      <c r="CY163" s="207"/>
      <c r="CZ163" s="207"/>
      <c r="DA163" s="207"/>
      <c r="DB163" s="207"/>
      <c r="DC163" s="207"/>
      <c r="DD163" s="207"/>
      <c r="DE163" s="207"/>
      <c r="DF163" s="207"/>
      <c r="DG163" s="207"/>
      <c r="DH163" s="207"/>
      <c r="DI163" s="207"/>
      <c r="DJ163" s="207"/>
      <c r="DK163" s="207"/>
      <c r="DL163" s="207"/>
      <c r="DM163" s="207"/>
      <c r="DN163" s="207"/>
      <c r="DO163" s="207"/>
      <c r="DP163" s="207"/>
      <c r="DQ163" s="207"/>
      <c r="DR163" s="207"/>
      <c r="DS163" s="207"/>
      <c r="DT163" s="207"/>
      <c r="DU163" s="207"/>
      <c r="DV163" s="207"/>
      <c r="DW163" s="207"/>
      <c r="DX163" s="207"/>
      <c r="DY163" s="207"/>
      <c r="DZ163" s="207"/>
      <c r="EA163" s="207"/>
      <c r="EB163" s="207"/>
      <c r="EC163" s="207"/>
      <c r="ED163" s="207"/>
      <c r="EE163" s="207"/>
      <c r="EF163" s="207"/>
      <c r="EG163" s="207"/>
      <c r="EH163" s="207"/>
      <c r="EI163" s="207"/>
      <c r="EJ163" s="207"/>
      <c r="EK163" s="207"/>
      <c r="EL163" s="207"/>
      <c r="EM163" s="207"/>
      <c r="EN163" s="207"/>
      <c r="EO163" s="207"/>
      <c r="EP163" s="207"/>
      <c r="EQ163" s="207"/>
      <c r="ER163" s="207"/>
      <c r="ES163" s="207"/>
      <c r="ET163" s="207"/>
      <c r="EU163" s="207"/>
      <c r="EV163" s="207"/>
      <c r="EW163" s="207"/>
      <c r="EX163" s="207"/>
      <c r="EY163" s="207"/>
      <c r="EZ163" s="207"/>
      <c r="FA163" s="207"/>
      <c r="FB163" s="207"/>
      <c r="FC163" s="207"/>
      <c r="FD163" s="207"/>
      <c r="FE163" s="207"/>
      <c r="FF163" s="207"/>
      <c r="FG163" s="207"/>
      <c r="FH163" s="207"/>
      <c r="FI163" s="207"/>
      <c r="FJ163" s="207"/>
      <c r="FK163" s="207"/>
      <c r="FL163" s="207"/>
      <c r="FM163" s="207"/>
      <c r="FN163" s="207"/>
      <c r="FO163" s="207"/>
      <c r="FP163" s="207"/>
      <c r="FQ163" s="207"/>
      <c r="FR163" s="207"/>
      <c r="FS163" s="208"/>
      <c r="FT163" s="156"/>
    </row>
    <row r="164" spans="1:176" ht="30" outlineLevel="1">
      <c r="A164" s="206" t="s">
        <v>1415</v>
      </c>
      <c r="B164" s="200" t="s">
        <v>1411</v>
      </c>
      <c r="C164" s="34" t="s">
        <v>1416</v>
      </c>
      <c r="D164" s="34" t="s">
        <v>1417</v>
      </c>
      <c r="E164" s="34"/>
      <c r="F164" s="34"/>
      <c r="G164" s="34"/>
      <c r="H164" s="37" t="s">
        <v>488</v>
      </c>
      <c r="I164" s="38"/>
      <c r="J164" s="38"/>
      <c r="K164" s="38"/>
      <c r="L164" s="38"/>
      <c r="M164" s="38"/>
      <c r="N164" s="38"/>
      <c r="O164" s="38"/>
      <c r="P164" s="38"/>
      <c r="Q164" s="38"/>
      <c r="R164" s="177">
        <f t="shared" si="25"/>
        <v>0</v>
      </c>
      <c r="S164" s="202">
        <f t="shared" ref="S164:S212" si="27">(I164*$I$4)+(J164*$J$4)+(K164*$K$4)+(L164*$L$4)+(M164*$M$4)+(N164*$N$4)+(O164*$O$4)+(P164*$P$4)+(Q164*$Q$4)</f>
        <v>0</v>
      </c>
      <c r="T164" s="202">
        <f t="shared" ref="T164:T212" si="28">IF(H164="Billable",(I164*$I$5)+(J164*$J$5)+(K164*$K$5)+(L164*$L$5)+(M164*$M$5)+(N164*$N$5)+(O164*$O$5)+(P164*$P$5)+(Q164*$Q$5),0)</f>
        <v>0</v>
      </c>
      <c r="U164" s="18"/>
      <c r="V164" s="206" t="str">
        <f t="shared" si="22"/>
        <v>4-2</v>
      </c>
      <c r="W164" s="215" t="str">
        <f t="shared" si="26"/>
        <v>Support migration from DEV to TEST</v>
      </c>
      <c r="X164" s="110"/>
      <c r="Y164" s="109"/>
      <c r="Z164" s="207"/>
      <c r="AA164" s="207"/>
      <c r="AB164" s="207"/>
      <c r="AC164" s="207"/>
      <c r="AD164" s="207"/>
      <c r="AE164" s="207"/>
      <c r="AF164" s="207"/>
      <c r="AG164" s="207"/>
      <c r="AH164" s="207"/>
      <c r="AI164" s="207"/>
      <c r="AJ164" s="207"/>
      <c r="AK164" s="207"/>
      <c r="AL164" s="207"/>
      <c r="AM164" s="207"/>
      <c r="AN164" s="207"/>
      <c r="AO164" s="207"/>
      <c r="AP164" s="207"/>
      <c r="AQ164" s="207"/>
      <c r="AR164" s="207"/>
      <c r="AS164" s="207"/>
      <c r="AT164" s="207"/>
      <c r="AU164" s="207"/>
      <c r="AV164" s="207"/>
      <c r="AW164" s="207"/>
      <c r="AX164" s="207"/>
      <c r="AY164" s="207"/>
      <c r="AZ164" s="207"/>
      <c r="BA164" s="207"/>
      <c r="BB164" s="207"/>
      <c r="BC164" s="207"/>
      <c r="BD164" s="207"/>
      <c r="BE164" s="207"/>
      <c r="BF164" s="207"/>
      <c r="BG164" s="207"/>
      <c r="BH164" s="207"/>
      <c r="BI164" s="207"/>
      <c r="BJ164" s="207"/>
      <c r="BK164" s="207"/>
      <c r="BL164" s="207"/>
      <c r="BM164" s="207"/>
      <c r="BN164" s="207"/>
      <c r="BO164" s="207"/>
      <c r="BP164" s="207"/>
      <c r="BQ164" s="207"/>
      <c r="BR164" s="207"/>
      <c r="BS164" s="207"/>
      <c r="BT164" s="207"/>
      <c r="BU164" s="207"/>
      <c r="BV164" s="207"/>
      <c r="BW164" s="207"/>
      <c r="BX164" s="207"/>
      <c r="BY164" s="207"/>
      <c r="BZ164" s="207"/>
      <c r="CA164" s="207"/>
      <c r="CB164" s="207"/>
      <c r="CC164" s="207"/>
      <c r="CD164" s="207"/>
      <c r="CE164" s="207"/>
      <c r="CF164" s="207"/>
      <c r="CG164" s="207"/>
      <c r="CH164" s="207"/>
      <c r="CI164" s="207"/>
      <c r="CJ164" s="207"/>
      <c r="CK164" s="207"/>
      <c r="CL164" s="207"/>
      <c r="CM164" s="207"/>
      <c r="CN164" s="207"/>
      <c r="CO164" s="207"/>
      <c r="CP164" s="207"/>
      <c r="CQ164" s="207"/>
      <c r="CR164" s="207"/>
      <c r="CS164" s="207"/>
      <c r="CT164" s="207"/>
      <c r="CU164" s="207"/>
      <c r="CV164" s="207"/>
      <c r="CW164" s="207"/>
      <c r="CX164" s="207"/>
      <c r="CY164" s="207"/>
      <c r="CZ164" s="207"/>
      <c r="DA164" s="207"/>
      <c r="DB164" s="207"/>
      <c r="DC164" s="207"/>
      <c r="DD164" s="207"/>
      <c r="DE164" s="207"/>
      <c r="DF164" s="207"/>
      <c r="DG164" s="207"/>
      <c r="DH164" s="207"/>
      <c r="DI164" s="207"/>
      <c r="DJ164" s="207"/>
      <c r="DK164" s="207"/>
      <c r="DL164" s="207"/>
      <c r="DM164" s="207"/>
      <c r="DN164" s="207"/>
      <c r="DO164" s="207"/>
      <c r="DP164" s="207"/>
      <c r="DQ164" s="207"/>
      <c r="DR164" s="207"/>
      <c r="DS164" s="207"/>
      <c r="DT164" s="207"/>
      <c r="DU164" s="207"/>
      <c r="DV164" s="207"/>
      <c r="DW164" s="207"/>
      <c r="DX164" s="207"/>
      <c r="DY164" s="207"/>
      <c r="DZ164" s="207"/>
      <c r="EA164" s="207"/>
      <c r="EB164" s="207"/>
      <c r="EC164" s="207"/>
      <c r="ED164" s="207"/>
      <c r="EE164" s="207"/>
      <c r="EF164" s="207"/>
      <c r="EG164" s="207"/>
      <c r="EH164" s="207"/>
      <c r="EI164" s="207"/>
      <c r="EJ164" s="207"/>
      <c r="EK164" s="207"/>
      <c r="EL164" s="207"/>
      <c r="EM164" s="207"/>
      <c r="EN164" s="207"/>
      <c r="EO164" s="207"/>
      <c r="EP164" s="207"/>
      <c r="EQ164" s="207"/>
      <c r="ER164" s="207"/>
      <c r="ES164" s="207"/>
      <c r="ET164" s="207"/>
      <c r="EU164" s="207"/>
      <c r="EV164" s="207"/>
      <c r="EW164" s="207"/>
      <c r="EX164" s="207"/>
      <c r="EY164" s="207"/>
      <c r="EZ164" s="207"/>
      <c r="FA164" s="207"/>
      <c r="FB164" s="207"/>
      <c r="FC164" s="207"/>
      <c r="FD164" s="207"/>
      <c r="FE164" s="207"/>
      <c r="FF164" s="207"/>
      <c r="FG164" s="207"/>
      <c r="FH164" s="207"/>
      <c r="FI164" s="207"/>
      <c r="FJ164" s="207"/>
      <c r="FK164" s="207"/>
      <c r="FL164" s="207"/>
      <c r="FM164" s="207"/>
      <c r="FN164" s="207"/>
      <c r="FO164" s="207"/>
      <c r="FP164" s="207"/>
      <c r="FQ164" s="207"/>
      <c r="FR164" s="207"/>
      <c r="FS164" s="208"/>
      <c r="FT164" s="156"/>
    </row>
    <row r="165" spans="1:176" ht="15" outlineLevel="1">
      <c r="A165" s="206" t="s">
        <v>1418</v>
      </c>
      <c r="B165" s="200" t="s">
        <v>1411</v>
      </c>
      <c r="C165" s="34" t="s">
        <v>1419</v>
      </c>
      <c r="D165" s="34" t="s">
        <v>1420</v>
      </c>
      <c r="E165" s="34"/>
      <c r="F165" s="34"/>
      <c r="G165" s="34"/>
      <c r="H165" s="37" t="s">
        <v>488</v>
      </c>
      <c r="I165" s="38"/>
      <c r="J165" s="38"/>
      <c r="K165" s="38"/>
      <c r="L165" s="38"/>
      <c r="M165" s="38"/>
      <c r="N165" s="38"/>
      <c r="O165" s="38"/>
      <c r="P165" s="38"/>
      <c r="Q165" s="38"/>
      <c r="R165" s="177">
        <f t="shared" si="25"/>
        <v>0</v>
      </c>
      <c r="S165" s="202">
        <f t="shared" si="27"/>
        <v>0</v>
      </c>
      <c r="T165" s="202">
        <f t="shared" si="28"/>
        <v>0</v>
      </c>
      <c r="U165" s="18"/>
      <c r="V165" s="206" t="str">
        <f t="shared" si="22"/>
        <v>4-3</v>
      </c>
      <c r="W165" s="215" t="str">
        <f t="shared" si="26"/>
        <v>Develop SDP</v>
      </c>
      <c r="X165" s="110"/>
      <c r="Y165" s="109"/>
      <c r="Z165" s="207"/>
      <c r="AA165" s="207"/>
      <c r="AB165" s="207"/>
      <c r="AC165" s="207"/>
      <c r="AD165" s="207"/>
      <c r="AE165" s="207"/>
      <c r="AF165" s="207"/>
      <c r="AG165" s="207"/>
      <c r="AH165" s="207"/>
      <c r="AI165" s="207"/>
      <c r="AJ165" s="207"/>
      <c r="AK165" s="207"/>
      <c r="AL165" s="207"/>
      <c r="AM165" s="207"/>
      <c r="AN165" s="207"/>
      <c r="AO165" s="207"/>
      <c r="AP165" s="207"/>
      <c r="AQ165" s="207"/>
      <c r="AR165" s="207"/>
      <c r="AS165" s="207"/>
      <c r="AT165" s="207"/>
      <c r="AU165" s="207"/>
      <c r="AV165" s="207"/>
      <c r="AW165" s="207"/>
      <c r="AX165" s="207"/>
      <c r="AY165" s="207"/>
      <c r="AZ165" s="207"/>
      <c r="BA165" s="207"/>
      <c r="BB165" s="207"/>
      <c r="BC165" s="207"/>
      <c r="BD165" s="207"/>
      <c r="BE165" s="207"/>
      <c r="BF165" s="207"/>
      <c r="BG165" s="207"/>
      <c r="BH165" s="207"/>
      <c r="BI165" s="207"/>
      <c r="BJ165" s="207"/>
      <c r="BK165" s="207"/>
      <c r="BL165" s="207"/>
      <c r="BM165" s="207"/>
      <c r="BN165" s="207"/>
      <c r="BO165" s="207"/>
      <c r="BP165" s="207"/>
      <c r="BQ165" s="207"/>
      <c r="BR165" s="207"/>
      <c r="BS165" s="207"/>
      <c r="BT165" s="207"/>
      <c r="BU165" s="207"/>
      <c r="BV165" s="207"/>
      <c r="BW165" s="207"/>
      <c r="BX165" s="207"/>
      <c r="BY165" s="207"/>
      <c r="BZ165" s="207"/>
      <c r="CA165" s="207"/>
      <c r="CB165" s="207"/>
      <c r="CC165" s="207"/>
      <c r="CD165" s="207"/>
      <c r="CE165" s="207"/>
      <c r="CF165" s="207"/>
      <c r="CG165" s="207"/>
      <c r="CH165" s="207"/>
      <c r="CI165" s="207"/>
      <c r="CJ165" s="207"/>
      <c r="CK165" s="207"/>
      <c r="CL165" s="207"/>
      <c r="CM165" s="207"/>
      <c r="CN165" s="207"/>
      <c r="CO165" s="207"/>
      <c r="CP165" s="207"/>
      <c r="CQ165" s="207"/>
      <c r="CR165" s="207"/>
      <c r="CS165" s="207"/>
      <c r="CT165" s="207"/>
      <c r="CU165" s="207"/>
      <c r="CV165" s="207"/>
      <c r="CW165" s="207"/>
      <c r="CX165" s="207"/>
      <c r="CY165" s="207"/>
      <c r="CZ165" s="207"/>
      <c r="DA165" s="207"/>
      <c r="DB165" s="207"/>
      <c r="DC165" s="207"/>
      <c r="DD165" s="207"/>
      <c r="DE165" s="207"/>
      <c r="DF165" s="207"/>
      <c r="DG165" s="207"/>
      <c r="DH165" s="207"/>
      <c r="DI165" s="207"/>
      <c r="DJ165" s="207"/>
      <c r="DK165" s="207"/>
      <c r="DL165" s="207"/>
      <c r="DM165" s="207"/>
      <c r="DN165" s="207"/>
      <c r="DO165" s="207"/>
      <c r="DP165" s="207"/>
      <c r="DQ165" s="207"/>
      <c r="DR165" s="207"/>
      <c r="DS165" s="207"/>
      <c r="DT165" s="207"/>
      <c r="DU165" s="207"/>
      <c r="DV165" s="207"/>
      <c r="DW165" s="207"/>
      <c r="DX165" s="207"/>
      <c r="DY165" s="207"/>
      <c r="DZ165" s="207"/>
      <c r="EA165" s="207"/>
      <c r="EB165" s="207"/>
      <c r="EC165" s="207"/>
      <c r="ED165" s="207"/>
      <c r="EE165" s="207"/>
      <c r="EF165" s="207"/>
      <c r="EG165" s="207"/>
      <c r="EH165" s="207"/>
      <c r="EI165" s="207"/>
      <c r="EJ165" s="207"/>
      <c r="EK165" s="207"/>
      <c r="EL165" s="207"/>
      <c r="EM165" s="207"/>
      <c r="EN165" s="207"/>
      <c r="EO165" s="207"/>
      <c r="EP165" s="207"/>
      <c r="EQ165" s="207"/>
      <c r="ER165" s="207"/>
      <c r="ES165" s="207"/>
      <c r="ET165" s="207"/>
      <c r="EU165" s="207"/>
      <c r="EV165" s="207"/>
      <c r="EW165" s="207"/>
      <c r="EX165" s="207"/>
      <c r="EY165" s="207"/>
      <c r="EZ165" s="207"/>
      <c r="FA165" s="207"/>
      <c r="FB165" s="207"/>
      <c r="FC165" s="207"/>
      <c r="FD165" s="207"/>
      <c r="FE165" s="207"/>
      <c r="FF165" s="207"/>
      <c r="FG165" s="207"/>
      <c r="FH165" s="207"/>
      <c r="FI165" s="207"/>
      <c r="FJ165" s="207"/>
      <c r="FK165" s="207"/>
      <c r="FL165" s="207"/>
      <c r="FM165" s="207"/>
      <c r="FN165" s="207"/>
      <c r="FO165" s="207"/>
      <c r="FP165" s="207"/>
      <c r="FQ165" s="207"/>
      <c r="FR165" s="207"/>
      <c r="FS165" s="208"/>
      <c r="FT165" s="156"/>
    </row>
    <row r="166" spans="1:176" ht="30" outlineLevel="1">
      <c r="A166" s="206" t="s">
        <v>1421</v>
      </c>
      <c r="B166" s="200" t="s">
        <v>1411</v>
      </c>
      <c r="C166" s="34" t="s">
        <v>1422</v>
      </c>
      <c r="D166" s="34" t="s">
        <v>1423</v>
      </c>
      <c r="E166" s="34"/>
      <c r="F166" s="34"/>
      <c r="G166" s="34"/>
      <c r="H166" s="37" t="s">
        <v>488</v>
      </c>
      <c r="I166" s="38"/>
      <c r="J166" s="38"/>
      <c r="K166" s="38"/>
      <c r="L166" s="38"/>
      <c r="M166" s="38"/>
      <c r="N166" s="38"/>
      <c r="O166" s="38"/>
      <c r="P166" s="38"/>
      <c r="Q166" s="38"/>
      <c r="R166" s="177">
        <f t="shared" si="25"/>
        <v>0</v>
      </c>
      <c r="S166" s="202">
        <f t="shared" si="27"/>
        <v>0</v>
      </c>
      <c r="T166" s="202">
        <f t="shared" si="28"/>
        <v>0</v>
      </c>
      <c r="U166" s="18"/>
      <c r="V166" s="206" t="str">
        <f t="shared" si="22"/>
        <v>4-4</v>
      </c>
      <c r="W166" s="215" t="str">
        <f t="shared" si="26"/>
        <v>Support UAT</v>
      </c>
      <c r="X166" s="110"/>
      <c r="Y166" s="109"/>
      <c r="Z166" s="207"/>
      <c r="AA166" s="207"/>
      <c r="AB166" s="207"/>
      <c r="AC166" s="207"/>
      <c r="AD166" s="207"/>
      <c r="AE166" s="207"/>
      <c r="AF166" s="207"/>
      <c r="AG166" s="207"/>
      <c r="AH166" s="207"/>
      <c r="AI166" s="207"/>
      <c r="AJ166" s="207"/>
      <c r="AK166" s="207"/>
      <c r="AL166" s="207"/>
      <c r="AM166" s="207"/>
      <c r="AN166" s="207"/>
      <c r="AO166" s="207"/>
      <c r="AP166" s="207"/>
      <c r="AQ166" s="207"/>
      <c r="AR166" s="207"/>
      <c r="AS166" s="207"/>
      <c r="AT166" s="207"/>
      <c r="AU166" s="207"/>
      <c r="AV166" s="207"/>
      <c r="AW166" s="207"/>
      <c r="AX166" s="207"/>
      <c r="AY166" s="207"/>
      <c r="AZ166" s="207"/>
      <c r="BA166" s="207"/>
      <c r="BB166" s="207"/>
      <c r="BC166" s="207"/>
      <c r="BD166" s="207"/>
      <c r="BE166" s="207"/>
      <c r="BF166" s="207"/>
      <c r="BG166" s="207"/>
      <c r="BH166" s="207"/>
      <c r="BI166" s="207"/>
      <c r="BJ166" s="207"/>
      <c r="BK166" s="207"/>
      <c r="BL166" s="207"/>
      <c r="BM166" s="207"/>
      <c r="BN166" s="207"/>
      <c r="BO166" s="207"/>
      <c r="BP166" s="207"/>
      <c r="BQ166" s="207"/>
      <c r="BR166" s="207"/>
      <c r="BS166" s="207"/>
      <c r="BT166" s="207"/>
      <c r="BU166" s="207"/>
      <c r="BV166" s="207"/>
      <c r="BW166" s="207"/>
      <c r="BX166" s="207"/>
      <c r="BY166" s="207"/>
      <c r="BZ166" s="207"/>
      <c r="CA166" s="207"/>
      <c r="CB166" s="207"/>
      <c r="CC166" s="207"/>
      <c r="CD166" s="207"/>
      <c r="CE166" s="207"/>
      <c r="CF166" s="207"/>
      <c r="CG166" s="207"/>
      <c r="CH166" s="207"/>
      <c r="CI166" s="207"/>
      <c r="CJ166" s="207"/>
      <c r="CK166" s="207"/>
      <c r="CL166" s="207"/>
      <c r="CM166" s="207"/>
      <c r="CN166" s="207"/>
      <c r="CO166" s="207"/>
      <c r="CP166" s="207"/>
      <c r="CQ166" s="207"/>
      <c r="CR166" s="207"/>
      <c r="CS166" s="207"/>
      <c r="CT166" s="207"/>
      <c r="CU166" s="207"/>
      <c r="CV166" s="207"/>
      <c r="CW166" s="207"/>
      <c r="CX166" s="207"/>
      <c r="CY166" s="207"/>
      <c r="CZ166" s="207"/>
      <c r="DA166" s="207"/>
      <c r="DB166" s="207"/>
      <c r="DC166" s="207"/>
      <c r="DD166" s="207"/>
      <c r="DE166" s="207"/>
      <c r="DF166" s="207"/>
      <c r="DG166" s="207"/>
      <c r="DH166" s="207"/>
      <c r="DI166" s="207"/>
      <c r="DJ166" s="207"/>
      <c r="DK166" s="207"/>
      <c r="DL166" s="207"/>
      <c r="DM166" s="207"/>
      <c r="DN166" s="207"/>
      <c r="DO166" s="207"/>
      <c r="DP166" s="207"/>
      <c r="DQ166" s="207"/>
      <c r="DR166" s="207"/>
      <c r="DS166" s="207"/>
      <c r="DT166" s="207"/>
      <c r="DU166" s="207"/>
      <c r="DV166" s="207"/>
      <c r="DW166" s="207"/>
      <c r="DX166" s="207"/>
      <c r="DY166" s="207"/>
      <c r="DZ166" s="207"/>
      <c r="EA166" s="207"/>
      <c r="EB166" s="207"/>
      <c r="EC166" s="207"/>
      <c r="ED166" s="207"/>
      <c r="EE166" s="207"/>
      <c r="EF166" s="207"/>
      <c r="EG166" s="207"/>
      <c r="EH166" s="207"/>
      <c r="EI166" s="207"/>
      <c r="EJ166" s="207"/>
      <c r="EK166" s="207"/>
      <c r="EL166" s="207"/>
      <c r="EM166" s="207"/>
      <c r="EN166" s="207"/>
      <c r="EO166" s="207"/>
      <c r="EP166" s="207"/>
      <c r="EQ166" s="207"/>
      <c r="ER166" s="207"/>
      <c r="ES166" s="207"/>
      <c r="ET166" s="207"/>
      <c r="EU166" s="207"/>
      <c r="EV166" s="207"/>
      <c r="EW166" s="207"/>
      <c r="EX166" s="207"/>
      <c r="EY166" s="207"/>
      <c r="EZ166" s="207"/>
      <c r="FA166" s="207"/>
      <c r="FB166" s="207"/>
      <c r="FC166" s="207"/>
      <c r="FD166" s="207"/>
      <c r="FE166" s="207"/>
      <c r="FF166" s="207"/>
      <c r="FG166" s="207"/>
      <c r="FH166" s="207"/>
      <c r="FI166" s="207"/>
      <c r="FJ166" s="207"/>
      <c r="FK166" s="207"/>
      <c r="FL166" s="207"/>
      <c r="FM166" s="207"/>
      <c r="FN166" s="207"/>
      <c r="FO166" s="207"/>
      <c r="FP166" s="207"/>
      <c r="FQ166" s="207"/>
      <c r="FR166" s="207"/>
      <c r="FS166" s="208"/>
      <c r="FT166" s="156"/>
    </row>
    <row r="167" spans="1:176" ht="30" outlineLevel="1">
      <c r="A167" s="206" t="s">
        <v>1424</v>
      </c>
      <c r="B167" s="200" t="s">
        <v>1411</v>
      </c>
      <c r="C167" s="34" t="s">
        <v>1425</v>
      </c>
      <c r="D167" s="34" t="s">
        <v>1426</v>
      </c>
      <c r="E167" s="34"/>
      <c r="F167" s="34"/>
      <c r="G167" s="34"/>
      <c r="H167" s="37" t="s">
        <v>488</v>
      </c>
      <c r="I167" s="38"/>
      <c r="J167" s="38"/>
      <c r="K167" s="38"/>
      <c r="L167" s="38"/>
      <c r="M167" s="38"/>
      <c r="N167" s="38"/>
      <c r="O167" s="38"/>
      <c r="P167" s="38"/>
      <c r="Q167" s="38"/>
      <c r="R167" s="177">
        <f t="shared" si="25"/>
        <v>0</v>
      </c>
      <c r="S167" s="202">
        <f t="shared" si="27"/>
        <v>0</v>
      </c>
      <c r="T167" s="202">
        <f t="shared" si="28"/>
        <v>0</v>
      </c>
      <c r="U167" s="18"/>
      <c r="V167" s="206" t="str">
        <f t="shared" si="22"/>
        <v>4-5</v>
      </c>
      <c r="W167" s="215" t="str">
        <f t="shared" si="26"/>
        <v>Support migration from TEST to PROD</v>
      </c>
      <c r="X167" s="110"/>
      <c r="Y167" s="109"/>
      <c r="Z167" s="207"/>
      <c r="AA167" s="207"/>
      <c r="AB167" s="207"/>
      <c r="AC167" s="207"/>
      <c r="AD167" s="207"/>
      <c r="AE167" s="207"/>
      <c r="AF167" s="207"/>
      <c r="AG167" s="207"/>
      <c r="AH167" s="207"/>
      <c r="AI167" s="207"/>
      <c r="AJ167" s="207"/>
      <c r="AK167" s="207"/>
      <c r="AL167" s="207"/>
      <c r="AM167" s="207"/>
      <c r="AN167" s="207"/>
      <c r="AO167" s="207"/>
      <c r="AP167" s="207"/>
      <c r="AQ167" s="207"/>
      <c r="AR167" s="207"/>
      <c r="AS167" s="207"/>
      <c r="AT167" s="207"/>
      <c r="AU167" s="207"/>
      <c r="AV167" s="207"/>
      <c r="AW167" s="207"/>
      <c r="AX167" s="207"/>
      <c r="AY167" s="207"/>
      <c r="AZ167" s="207"/>
      <c r="BA167" s="207"/>
      <c r="BB167" s="207"/>
      <c r="BC167" s="207"/>
      <c r="BD167" s="207"/>
      <c r="BE167" s="207"/>
      <c r="BF167" s="207"/>
      <c r="BG167" s="207"/>
      <c r="BH167" s="207"/>
      <c r="BI167" s="207"/>
      <c r="BJ167" s="207"/>
      <c r="BK167" s="207"/>
      <c r="BL167" s="207"/>
      <c r="BM167" s="207"/>
      <c r="BN167" s="207"/>
      <c r="BO167" s="207"/>
      <c r="BP167" s="207"/>
      <c r="BQ167" s="207"/>
      <c r="BR167" s="207"/>
      <c r="BS167" s="207"/>
      <c r="BT167" s="207"/>
      <c r="BU167" s="207"/>
      <c r="BV167" s="207"/>
      <c r="BW167" s="207"/>
      <c r="BX167" s="207"/>
      <c r="BY167" s="207"/>
      <c r="BZ167" s="207"/>
      <c r="CA167" s="207"/>
      <c r="CB167" s="207"/>
      <c r="CC167" s="207"/>
      <c r="CD167" s="207"/>
      <c r="CE167" s="207"/>
      <c r="CF167" s="207"/>
      <c r="CG167" s="207"/>
      <c r="CH167" s="207"/>
      <c r="CI167" s="207"/>
      <c r="CJ167" s="207"/>
      <c r="CK167" s="207"/>
      <c r="CL167" s="207"/>
      <c r="CM167" s="207"/>
      <c r="CN167" s="207"/>
      <c r="CO167" s="207"/>
      <c r="CP167" s="207"/>
      <c r="CQ167" s="207"/>
      <c r="CR167" s="207"/>
      <c r="CS167" s="207"/>
      <c r="CT167" s="207"/>
      <c r="CU167" s="207"/>
      <c r="CV167" s="207"/>
      <c r="CW167" s="207"/>
      <c r="CX167" s="207"/>
      <c r="CY167" s="207"/>
      <c r="CZ167" s="207"/>
      <c r="DA167" s="207"/>
      <c r="DB167" s="207"/>
      <c r="DC167" s="207"/>
      <c r="DD167" s="207"/>
      <c r="DE167" s="207"/>
      <c r="DF167" s="207"/>
      <c r="DG167" s="207"/>
      <c r="DH167" s="207"/>
      <c r="DI167" s="207"/>
      <c r="DJ167" s="207"/>
      <c r="DK167" s="207"/>
      <c r="DL167" s="207"/>
      <c r="DM167" s="207"/>
      <c r="DN167" s="207"/>
      <c r="DO167" s="207"/>
      <c r="DP167" s="207"/>
      <c r="DQ167" s="207"/>
      <c r="DR167" s="207"/>
      <c r="DS167" s="207"/>
      <c r="DT167" s="207"/>
      <c r="DU167" s="207"/>
      <c r="DV167" s="207"/>
      <c r="DW167" s="207"/>
      <c r="DX167" s="207"/>
      <c r="DY167" s="207"/>
      <c r="DZ167" s="207"/>
      <c r="EA167" s="207"/>
      <c r="EB167" s="207"/>
      <c r="EC167" s="207"/>
      <c r="ED167" s="207"/>
      <c r="EE167" s="207"/>
      <c r="EF167" s="207"/>
      <c r="EG167" s="207"/>
      <c r="EH167" s="207"/>
      <c r="EI167" s="207"/>
      <c r="EJ167" s="207"/>
      <c r="EK167" s="207"/>
      <c r="EL167" s="207"/>
      <c r="EM167" s="207"/>
      <c r="EN167" s="207"/>
      <c r="EO167" s="207"/>
      <c r="EP167" s="207"/>
      <c r="EQ167" s="207"/>
      <c r="ER167" s="207"/>
      <c r="ES167" s="207"/>
      <c r="ET167" s="207"/>
      <c r="EU167" s="207"/>
      <c r="EV167" s="207"/>
      <c r="EW167" s="207"/>
      <c r="EX167" s="207"/>
      <c r="EY167" s="207"/>
      <c r="EZ167" s="207"/>
      <c r="FA167" s="207"/>
      <c r="FB167" s="207"/>
      <c r="FC167" s="207"/>
      <c r="FD167" s="207"/>
      <c r="FE167" s="207"/>
      <c r="FF167" s="207"/>
      <c r="FG167" s="207"/>
      <c r="FH167" s="207"/>
      <c r="FI167" s="207"/>
      <c r="FJ167" s="207"/>
      <c r="FK167" s="207"/>
      <c r="FL167" s="207"/>
      <c r="FM167" s="207"/>
      <c r="FN167" s="207"/>
      <c r="FO167" s="207"/>
      <c r="FP167" s="207"/>
      <c r="FQ167" s="207"/>
      <c r="FR167" s="207"/>
      <c r="FS167" s="208"/>
      <c r="FT167" s="156"/>
    </row>
    <row r="168" spans="1:176" ht="30" outlineLevel="1">
      <c r="A168" s="206" t="s">
        <v>1427</v>
      </c>
      <c r="B168" s="200" t="s">
        <v>1411</v>
      </c>
      <c r="C168" s="34" t="s">
        <v>1428</v>
      </c>
      <c r="D168" s="34" t="s">
        <v>1429</v>
      </c>
      <c r="E168" s="34"/>
      <c r="F168" s="34"/>
      <c r="G168" s="34"/>
      <c r="H168" s="37" t="s">
        <v>488</v>
      </c>
      <c r="I168" s="38"/>
      <c r="J168" s="38"/>
      <c r="K168" s="38"/>
      <c r="L168" s="38"/>
      <c r="M168" s="38"/>
      <c r="N168" s="38"/>
      <c r="O168" s="38"/>
      <c r="P168" s="38"/>
      <c r="Q168" s="38"/>
      <c r="R168" s="177">
        <f t="shared" si="25"/>
        <v>0</v>
      </c>
      <c r="S168" s="202">
        <f t="shared" si="27"/>
        <v>0</v>
      </c>
      <c r="T168" s="202">
        <f t="shared" si="28"/>
        <v>0</v>
      </c>
      <c r="U168" s="18"/>
      <c r="V168" s="206" t="str">
        <f t="shared" si="22"/>
        <v>4-6</v>
      </c>
      <c r="W168" s="215" t="str">
        <f t="shared" si="26"/>
        <v>Provide post-production support</v>
      </c>
      <c r="X168" s="110"/>
      <c r="Y168" s="109"/>
      <c r="Z168" s="207"/>
      <c r="AA168" s="207"/>
      <c r="AB168" s="207"/>
      <c r="AC168" s="207"/>
      <c r="AD168" s="207"/>
      <c r="AE168" s="207"/>
      <c r="AF168" s="207"/>
      <c r="AG168" s="207"/>
      <c r="AH168" s="207"/>
      <c r="AI168" s="207"/>
      <c r="AJ168" s="207"/>
      <c r="AK168" s="207"/>
      <c r="AL168" s="207"/>
      <c r="AM168" s="207"/>
      <c r="AN168" s="207"/>
      <c r="AO168" s="207"/>
      <c r="AP168" s="207"/>
      <c r="AQ168" s="207"/>
      <c r="AR168" s="207"/>
      <c r="AS168" s="207"/>
      <c r="AT168" s="207"/>
      <c r="AU168" s="207"/>
      <c r="AV168" s="207"/>
      <c r="AW168" s="207"/>
      <c r="AX168" s="207"/>
      <c r="AY168" s="207"/>
      <c r="AZ168" s="207"/>
      <c r="BA168" s="207"/>
      <c r="BB168" s="207"/>
      <c r="BC168" s="207"/>
      <c r="BD168" s="207"/>
      <c r="BE168" s="207"/>
      <c r="BF168" s="207"/>
      <c r="BG168" s="207"/>
      <c r="BH168" s="207"/>
      <c r="BI168" s="207"/>
      <c r="BJ168" s="207"/>
      <c r="BK168" s="207"/>
      <c r="BL168" s="207"/>
      <c r="BM168" s="207"/>
      <c r="BN168" s="207"/>
      <c r="BO168" s="207"/>
      <c r="BP168" s="207"/>
      <c r="BQ168" s="207"/>
      <c r="BR168" s="207"/>
      <c r="BS168" s="207"/>
      <c r="BT168" s="207"/>
      <c r="BU168" s="207"/>
      <c r="BV168" s="207"/>
      <c r="BW168" s="207"/>
      <c r="BX168" s="207"/>
      <c r="BY168" s="207"/>
      <c r="BZ168" s="207"/>
      <c r="CA168" s="207"/>
      <c r="CB168" s="207"/>
      <c r="CC168" s="207"/>
      <c r="CD168" s="207"/>
      <c r="CE168" s="207"/>
      <c r="CF168" s="207"/>
      <c r="CG168" s="207"/>
      <c r="CH168" s="207"/>
      <c r="CI168" s="207"/>
      <c r="CJ168" s="207"/>
      <c r="CK168" s="207"/>
      <c r="CL168" s="207"/>
      <c r="CM168" s="207"/>
      <c r="CN168" s="207"/>
      <c r="CO168" s="207"/>
      <c r="CP168" s="207"/>
      <c r="CQ168" s="207"/>
      <c r="CR168" s="207"/>
      <c r="CS168" s="207"/>
      <c r="CT168" s="207"/>
      <c r="CU168" s="207"/>
      <c r="CV168" s="207"/>
      <c r="CW168" s="207"/>
      <c r="CX168" s="207"/>
      <c r="CY168" s="207"/>
      <c r="CZ168" s="207"/>
      <c r="DA168" s="207"/>
      <c r="DB168" s="207"/>
      <c r="DC168" s="207"/>
      <c r="DD168" s="207"/>
      <c r="DE168" s="207"/>
      <c r="DF168" s="207"/>
      <c r="DG168" s="207"/>
      <c r="DH168" s="207"/>
      <c r="DI168" s="207"/>
      <c r="DJ168" s="207"/>
      <c r="DK168" s="207"/>
      <c r="DL168" s="207"/>
      <c r="DM168" s="207"/>
      <c r="DN168" s="207"/>
      <c r="DO168" s="207"/>
      <c r="DP168" s="207"/>
      <c r="DQ168" s="207"/>
      <c r="DR168" s="207"/>
      <c r="DS168" s="207"/>
      <c r="DT168" s="207"/>
      <c r="DU168" s="207"/>
      <c r="DV168" s="207"/>
      <c r="DW168" s="207"/>
      <c r="DX168" s="207"/>
      <c r="DY168" s="207"/>
      <c r="DZ168" s="207"/>
      <c r="EA168" s="207"/>
      <c r="EB168" s="207"/>
      <c r="EC168" s="207"/>
      <c r="ED168" s="207"/>
      <c r="EE168" s="207"/>
      <c r="EF168" s="207"/>
      <c r="EG168" s="207"/>
      <c r="EH168" s="207"/>
      <c r="EI168" s="207"/>
      <c r="EJ168" s="207"/>
      <c r="EK168" s="207"/>
      <c r="EL168" s="207"/>
      <c r="EM168" s="207"/>
      <c r="EN168" s="207"/>
      <c r="EO168" s="207"/>
      <c r="EP168" s="207"/>
      <c r="EQ168" s="207"/>
      <c r="ER168" s="207"/>
      <c r="ES168" s="207"/>
      <c r="ET168" s="207"/>
      <c r="EU168" s="207"/>
      <c r="EV168" s="207"/>
      <c r="EW168" s="207"/>
      <c r="EX168" s="207"/>
      <c r="EY168" s="207"/>
      <c r="EZ168" s="207"/>
      <c r="FA168" s="207"/>
      <c r="FB168" s="207"/>
      <c r="FC168" s="207"/>
      <c r="FD168" s="207"/>
      <c r="FE168" s="207"/>
      <c r="FF168" s="207"/>
      <c r="FG168" s="207"/>
      <c r="FH168" s="207"/>
      <c r="FI168" s="207"/>
      <c r="FJ168" s="207"/>
      <c r="FK168" s="207"/>
      <c r="FL168" s="207"/>
      <c r="FM168" s="207"/>
      <c r="FN168" s="207"/>
      <c r="FO168" s="207"/>
      <c r="FP168" s="207"/>
      <c r="FQ168" s="207"/>
      <c r="FR168" s="207"/>
      <c r="FS168" s="208"/>
      <c r="FT168" s="156"/>
    </row>
    <row r="169" spans="1:176" ht="15" outlineLevel="1">
      <c r="A169" s="206" t="s">
        <v>1430</v>
      </c>
      <c r="B169" s="200" t="s">
        <v>1411</v>
      </c>
      <c r="C169" s="34"/>
      <c r="D169" s="34"/>
      <c r="E169" s="34"/>
      <c r="F169" s="34"/>
      <c r="G169" s="34"/>
      <c r="H169" s="37" t="s">
        <v>488</v>
      </c>
      <c r="I169" s="38"/>
      <c r="J169" s="38"/>
      <c r="K169" s="38"/>
      <c r="L169" s="38"/>
      <c r="M169" s="38"/>
      <c r="N169" s="38"/>
      <c r="O169" s="38"/>
      <c r="P169" s="38"/>
      <c r="Q169" s="38"/>
      <c r="R169" s="177">
        <f t="shared" si="25"/>
        <v>0</v>
      </c>
      <c r="S169" s="202">
        <f t="shared" si="27"/>
        <v>0</v>
      </c>
      <c r="T169" s="202">
        <f t="shared" si="28"/>
        <v>0</v>
      </c>
      <c r="U169" s="18"/>
      <c r="V169" s="206" t="str">
        <f t="shared" si="22"/>
        <v>4-7</v>
      </c>
      <c r="W169" s="215" t="str">
        <f t="shared" si="26"/>
        <v/>
      </c>
      <c r="X169" s="110"/>
      <c r="Y169" s="109"/>
      <c r="Z169" s="207"/>
      <c r="AA169" s="207"/>
      <c r="AB169" s="207"/>
      <c r="AC169" s="207"/>
      <c r="AD169" s="207"/>
      <c r="AE169" s="207"/>
      <c r="AF169" s="207"/>
      <c r="AG169" s="207"/>
      <c r="AH169" s="207"/>
      <c r="AI169" s="207"/>
      <c r="AJ169" s="207"/>
      <c r="AK169" s="207"/>
      <c r="AL169" s="207"/>
      <c r="AM169" s="207"/>
      <c r="AN169" s="207"/>
      <c r="AO169" s="207"/>
      <c r="AP169" s="207"/>
      <c r="AQ169" s="207"/>
      <c r="AR169" s="207"/>
      <c r="AS169" s="207"/>
      <c r="AT169" s="207"/>
      <c r="AU169" s="207"/>
      <c r="AV169" s="207"/>
      <c r="AW169" s="207"/>
      <c r="AX169" s="207"/>
      <c r="AY169" s="207"/>
      <c r="AZ169" s="207"/>
      <c r="BA169" s="207"/>
      <c r="BB169" s="207"/>
      <c r="BC169" s="207"/>
      <c r="BD169" s="207"/>
      <c r="BE169" s="207"/>
      <c r="BF169" s="207"/>
      <c r="BG169" s="207"/>
      <c r="BH169" s="207"/>
      <c r="BI169" s="207"/>
      <c r="BJ169" s="207"/>
      <c r="BK169" s="207"/>
      <c r="BL169" s="207"/>
      <c r="BM169" s="207"/>
      <c r="BN169" s="207"/>
      <c r="BO169" s="207"/>
      <c r="BP169" s="207"/>
      <c r="BQ169" s="207"/>
      <c r="BR169" s="207"/>
      <c r="BS169" s="207"/>
      <c r="BT169" s="207"/>
      <c r="BU169" s="207"/>
      <c r="BV169" s="207"/>
      <c r="BW169" s="207"/>
      <c r="BX169" s="207"/>
      <c r="BY169" s="207"/>
      <c r="BZ169" s="207"/>
      <c r="CA169" s="207"/>
      <c r="CB169" s="207"/>
      <c r="CC169" s="207"/>
      <c r="CD169" s="207"/>
      <c r="CE169" s="207"/>
      <c r="CF169" s="207"/>
      <c r="CG169" s="207"/>
      <c r="CH169" s="207"/>
      <c r="CI169" s="207"/>
      <c r="CJ169" s="207"/>
      <c r="CK169" s="207"/>
      <c r="CL169" s="207"/>
      <c r="CM169" s="207"/>
      <c r="CN169" s="207"/>
      <c r="CO169" s="207"/>
      <c r="CP169" s="207"/>
      <c r="CQ169" s="207"/>
      <c r="CR169" s="207"/>
      <c r="CS169" s="207"/>
      <c r="CT169" s="207"/>
      <c r="CU169" s="207"/>
      <c r="CV169" s="207"/>
      <c r="CW169" s="207"/>
      <c r="CX169" s="207"/>
      <c r="CY169" s="207"/>
      <c r="CZ169" s="207"/>
      <c r="DA169" s="207"/>
      <c r="DB169" s="207"/>
      <c r="DC169" s="207"/>
      <c r="DD169" s="207"/>
      <c r="DE169" s="207"/>
      <c r="DF169" s="207"/>
      <c r="DG169" s="207"/>
      <c r="DH169" s="207"/>
      <c r="DI169" s="207"/>
      <c r="DJ169" s="207"/>
      <c r="DK169" s="207"/>
      <c r="DL169" s="207"/>
      <c r="DM169" s="207"/>
      <c r="DN169" s="207"/>
      <c r="DO169" s="207"/>
      <c r="DP169" s="207"/>
      <c r="DQ169" s="207"/>
      <c r="DR169" s="207"/>
      <c r="DS169" s="207"/>
      <c r="DT169" s="207"/>
      <c r="DU169" s="207"/>
      <c r="DV169" s="207"/>
      <c r="DW169" s="207"/>
      <c r="DX169" s="207"/>
      <c r="DY169" s="207"/>
      <c r="DZ169" s="207"/>
      <c r="EA169" s="207"/>
      <c r="EB169" s="207"/>
      <c r="EC169" s="207"/>
      <c r="ED169" s="207"/>
      <c r="EE169" s="207"/>
      <c r="EF169" s="207"/>
      <c r="EG169" s="207"/>
      <c r="EH169" s="207"/>
      <c r="EI169" s="207"/>
      <c r="EJ169" s="207"/>
      <c r="EK169" s="207"/>
      <c r="EL169" s="207"/>
      <c r="EM169" s="207"/>
      <c r="EN169" s="207"/>
      <c r="EO169" s="207"/>
      <c r="EP169" s="207"/>
      <c r="EQ169" s="207"/>
      <c r="ER169" s="207"/>
      <c r="ES169" s="207"/>
      <c r="ET169" s="207"/>
      <c r="EU169" s="207"/>
      <c r="EV169" s="207"/>
      <c r="EW169" s="207"/>
      <c r="EX169" s="207"/>
      <c r="EY169" s="207"/>
      <c r="EZ169" s="207"/>
      <c r="FA169" s="207"/>
      <c r="FB169" s="207"/>
      <c r="FC169" s="207"/>
      <c r="FD169" s="207"/>
      <c r="FE169" s="207"/>
      <c r="FF169" s="207"/>
      <c r="FG169" s="207"/>
      <c r="FH169" s="207"/>
      <c r="FI169" s="207"/>
      <c r="FJ169" s="207"/>
      <c r="FK169" s="207"/>
      <c r="FL169" s="207"/>
      <c r="FM169" s="207"/>
      <c r="FN169" s="207"/>
      <c r="FO169" s="207"/>
      <c r="FP169" s="207"/>
      <c r="FQ169" s="207"/>
      <c r="FR169" s="207"/>
      <c r="FS169" s="208"/>
      <c r="FT169" s="156"/>
    </row>
    <row r="170" spans="1:176" ht="15" outlineLevel="1">
      <c r="A170" s="206" t="s">
        <v>1431</v>
      </c>
      <c r="B170" s="200" t="s">
        <v>1411</v>
      </c>
      <c r="C170" s="34"/>
      <c r="D170" s="34"/>
      <c r="E170" s="34"/>
      <c r="F170" s="34"/>
      <c r="G170" s="34"/>
      <c r="H170" s="37" t="s">
        <v>488</v>
      </c>
      <c r="I170" s="38"/>
      <c r="J170" s="38"/>
      <c r="K170" s="38"/>
      <c r="L170" s="38"/>
      <c r="M170" s="38"/>
      <c r="N170" s="38"/>
      <c r="O170" s="38"/>
      <c r="P170" s="38"/>
      <c r="Q170" s="38"/>
      <c r="R170" s="177">
        <f t="shared" si="25"/>
        <v>0</v>
      </c>
      <c r="S170" s="202">
        <f t="shared" si="27"/>
        <v>0</v>
      </c>
      <c r="T170" s="202">
        <f t="shared" si="28"/>
        <v>0</v>
      </c>
      <c r="U170" s="18"/>
      <c r="V170" s="206" t="str">
        <f t="shared" si="22"/>
        <v>4-8</v>
      </c>
      <c r="W170" s="215" t="str">
        <f t="shared" si="26"/>
        <v/>
      </c>
      <c r="X170" s="110"/>
      <c r="Y170" s="109"/>
      <c r="Z170" s="207"/>
      <c r="AA170" s="207"/>
      <c r="AB170" s="207"/>
      <c r="AC170" s="207"/>
      <c r="AD170" s="207"/>
      <c r="AE170" s="207"/>
      <c r="AF170" s="207"/>
      <c r="AG170" s="207"/>
      <c r="AH170" s="207"/>
      <c r="AI170" s="207"/>
      <c r="AJ170" s="207"/>
      <c r="AK170" s="207"/>
      <c r="AL170" s="207"/>
      <c r="AM170" s="207"/>
      <c r="AN170" s="207"/>
      <c r="AO170" s="207"/>
      <c r="AP170" s="207"/>
      <c r="AQ170" s="207"/>
      <c r="AR170" s="207"/>
      <c r="AS170" s="207"/>
      <c r="AT170" s="207"/>
      <c r="AU170" s="207"/>
      <c r="AV170" s="207"/>
      <c r="AW170" s="207"/>
      <c r="AX170" s="207"/>
      <c r="AY170" s="207"/>
      <c r="AZ170" s="207"/>
      <c r="BA170" s="207"/>
      <c r="BB170" s="207"/>
      <c r="BC170" s="207"/>
      <c r="BD170" s="207"/>
      <c r="BE170" s="207"/>
      <c r="BF170" s="207"/>
      <c r="BG170" s="207"/>
      <c r="BH170" s="207"/>
      <c r="BI170" s="207"/>
      <c r="BJ170" s="207"/>
      <c r="BK170" s="207"/>
      <c r="BL170" s="207"/>
      <c r="BM170" s="207"/>
      <c r="BN170" s="207"/>
      <c r="BO170" s="207"/>
      <c r="BP170" s="207"/>
      <c r="BQ170" s="207"/>
      <c r="BR170" s="207"/>
      <c r="BS170" s="207"/>
      <c r="BT170" s="207"/>
      <c r="BU170" s="207"/>
      <c r="BV170" s="207"/>
      <c r="BW170" s="207"/>
      <c r="BX170" s="207"/>
      <c r="BY170" s="207"/>
      <c r="BZ170" s="207"/>
      <c r="CA170" s="207"/>
      <c r="CB170" s="207"/>
      <c r="CC170" s="207"/>
      <c r="CD170" s="207"/>
      <c r="CE170" s="207"/>
      <c r="CF170" s="207"/>
      <c r="CG170" s="207"/>
      <c r="CH170" s="207"/>
      <c r="CI170" s="207"/>
      <c r="CJ170" s="207"/>
      <c r="CK170" s="207"/>
      <c r="CL170" s="207"/>
      <c r="CM170" s="207"/>
      <c r="CN170" s="207"/>
      <c r="CO170" s="207"/>
      <c r="CP170" s="207"/>
      <c r="CQ170" s="207"/>
      <c r="CR170" s="207"/>
      <c r="CS170" s="207"/>
      <c r="CT170" s="207"/>
      <c r="CU170" s="207"/>
      <c r="CV170" s="207"/>
      <c r="CW170" s="207"/>
      <c r="CX170" s="207"/>
      <c r="CY170" s="207"/>
      <c r="CZ170" s="207"/>
      <c r="DA170" s="207"/>
      <c r="DB170" s="207"/>
      <c r="DC170" s="207"/>
      <c r="DD170" s="207"/>
      <c r="DE170" s="207"/>
      <c r="DF170" s="207"/>
      <c r="DG170" s="207"/>
      <c r="DH170" s="207"/>
      <c r="DI170" s="207"/>
      <c r="DJ170" s="207"/>
      <c r="DK170" s="207"/>
      <c r="DL170" s="207"/>
      <c r="DM170" s="207"/>
      <c r="DN170" s="207"/>
      <c r="DO170" s="207"/>
      <c r="DP170" s="207"/>
      <c r="DQ170" s="207"/>
      <c r="DR170" s="207"/>
      <c r="DS170" s="207"/>
      <c r="DT170" s="207"/>
      <c r="DU170" s="207"/>
      <c r="DV170" s="207"/>
      <c r="DW170" s="207"/>
      <c r="DX170" s="207"/>
      <c r="DY170" s="207"/>
      <c r="DZ170" s="207"/>
      <c r="EA170" s="207"/>
      <c r="EB170" s="207"/>
      <c r="EC170" s="207"/>
      <c r="ED170" s="207"/>
      <c r="EE170" s="207"/>
      <c r="EF170" s="207"/>
      <c r="EG170" s="207"/>
      <c r="EH170" s="207"/>
      <c r="EI170" s="207"/>
      <c r="EJ170" s="207"/>
      <c r="EK170" s="207"/>
      <c r="EL170" s="207"/>
      <c r="EM170" s="207"/>
      <c r="EN170" s="207"/>
      <c r="EO170" s="207"/>
      <c r="EP170" s="207"/>
      <c r="EQ170" s="207"/>
      <c r="ER170" s="207"/>
      <c r="ES170" s="207"/>
      <c r="ET170" s="207"/>
      <c r="EU170" s="207"/>
      <c r="EV170" s="207"/>
      <c r="EW170" s="207"/>
      <c r="EX170" s="207"/>
      <c r="EY170" s="207"/>
      <c r="EZ170" s="207"/>
      <c r="FA170" s="207"/>
      <c r="FB170" s="207"/>
      <c r="FC170" s="207"/>
      <c r="FD170" s="207"/>
      <c r="FE170" s="207"/>
      <c r="FF170" s="207"/>
      <c r="FG170" s="207"/>
      <c r="FH170" s="207"/>
      <c r="FI170" s="207"/>
      <c r="FJ170" s="207"/>
      <c r="FK170" s="207"/>
      <c r="FL170" s="207"/>
      <c r="FM170" s="207"/>
      <c r="FN170" s="207"/>
      <c r="FO170" s="207"/>
      <c r="FP170" s="207"/>
      <c r="FQ170" s="207"/>
      <c r="FR170" s="207"/>
      <c r="FS170" s="208"/>
      <c r="FT170" s="156"/>
    </row>
    <row r="171" spans="1:176" ht="15" outlineLevel="1">
      <c r="A171" s="206" t="s">
        <v>1432</v>
      </c>
      <c r="B171" s="200" t="s">
        <v>1411</v>
      </c>
      <c r="C171" s="34"/>
      <c r="D171" s="34"/>
      <c r="E171" s="34"/>
      <c r="F171" s="34"/>
      <c r="G171" s="34"/>
      <c r="H171" s="37" t="s">
        <v>488</v>
      </c>
      <c r="I171" s="38"/>
      <c r="J171" s="38"/>
      <c r="K171" s="38"/>
      <c r="L171" s="38"/>
      <c r="M171" s="38"/>
      <c r="N171" s="38"/>
      <c r="O171" s="38"/>
      <c r="P171" s="38"/>
      <c r="Q171" s="38"/>
      <c r="R171" s="177">
        <f t="shared" si="25"/>
        <v>0</v>
      </c>
      <c r="S171" s="202">
        <f t="shared" si="27"/>
        <v>0</v>
      </c>
      <c r="T171" s="202">
        <f t="shared" si="28"/>
        <v>0</v>
      </c>
      <c r="U171" s="18"/>
      <c r="V171" s="206" t="str">
        <f t="shared" si="22"/>
        <v>4-9</v>
      </c>
      <c r="W171" s="215" t="str">
        <f t="shared" si="26"/>
        <v/>
      </c>
      <c r="X171" s="110"/>
      <c r="Y171" s="109"/>
      <c r="Z171" s="207"/>
      <c r="AA171" s="207"/>
      <c r="AB171" s="207"/>
      <c r="AC171" s="207"/>
      <c r="AD171" s="207"/>
      <c r="AE171" s="207"/>
      <c r="AF171" s="207"/>
      <c r="AG171" s="207"/>
      <c r="AH171" s="207"/>
      <c r="AI171" s="207"/>
      <c r="AJ171" s="207"/>
      <c r="AK171" s="207"/>
      <c r="AL171" s="207"/>
      <c r="AM171" s="207"/>
      <c r="AN171" s="207"/>
      <c r="AO171" s="207"/>
      <c r="AP171" s="207"/>
      <c r="AQ171" s="207"/>
      <c r="AR171" s="207"/>
      <c r="AS171" s="207"/>
      <c r="AT171" s="207"/>
      <c r="AU171" s="207"/>
      <c r="AV171" s="207"/>
      <c r="AW171" s="207"/>
      <c r="AX171" s="207"/>
      <c r="AY171" s="207"/>
      <c r="AZ171" s="207"/>
      <c r="BA171" s="207"/>
      <c r="BB171" s="207"/>
      <c r="BC171" s="207"/>
      <c r="BD171" s="207"/>
      <c r="BE171" s="207"/>
      <c r="BF171" s="207"/>
      <c r="BG171" s="207"/>
      <c r="BH171" s="207"/>
      <c r="BI171" s="207"/>
      <c r="BJ171" s="207"/>
      <c r="BK171" s="207"/>
      <c r="BL171" s="207"/>
      <c r="BM171" s="207"/>
      <c r="BN171" s="207"/>
      <c r="BO171" s="207"/>
      <c r="BP171" s="207"/>
      <c r="BQ171" s="207"/>
      <c r="BR171" s="207"/>
      <c r="BS171" s="207"/>
      <c r="BT171" s="207"/>
      <c r="BU171" s="207"/>
      <c r="BV171" s="207"/>
      <c r="BW171" s="207"/>
      <c r="BX171" s="207"/>
      <c r="BY171" s="207"/>
      <c r="BZ171" s="207"/>
      <c r="CA171" s="207"/>
      <c r="CB171" s="207"/>
      <c r="CC171" s="207"/>
      <c r="CD171" s="207"/>
      <c r="CE171" s="207"/>
      <c r="CF171" s="207"/>
      <c r="CG171" s="207"/>
      <c r="CH171" s="207"/>
      <c r="CI171" s="207"/>
      <c r="CJ171" s="207"/>
      <c r="CK171" s="207"/>
      <c r="CL171" s="207"/>
      <c r="CM171" s="207"/>
      <c r="CN171" s="207"/>
      <c r="CO171" s="207"/>
      <c r="CP171" s="207"/>
      <c r="CQ171" s="207"/>
      <c r="CR171" s="207"/>
      <c r="CS171" s="207"/>
      <c r="CT171" s="207"/>
      <c r="CU171" s="207"/>
      <c r="CV171" s="207"/>
      <c r="CW171" s="207"/>
      <c r="CX171" s="207"/>
      <c r="CY171" s="207"/>
      <c r="CZ171" s="207"/>
      <c r="DA171" s="207"/>
      <c r="DB171" s="207"/>
      <c r="DC171" s="207"/>
      <c r="DD171" s="207"/>
      <c r="DE171" s="207"/>
      <c r="DF171" s="207"/>
      <c r="DG171" s="207"/>
      <c r="DH171" s="207"/>
      <c r="DI171" s="207"/>
      <c r="DJ171" s="207"/>
      <c r="DK171" s="207"/>
      <c r="DL171" s="207"/>
      <c r="DM171" s="207"/>
      <c r="DN171" s="207"/>
      <c r="DO171" s="207"/>
      <c r="DP171" s="207"/>
      <c r="DQ171" s="207"/>
      <c r="DR171" s="207"/>
      <c r="DS171" s="207"/>
      <c r="DT171" s="207"/>
      <c r="DU171" s="207"/>
      <c r="DV171" s="207"/>
      <c r="DW171" s="207"/>
      <c r="DX171" s="207"/>
      <c r="DY171" s="207"/>
      <c r="DZ171" s="207"/>
      <c r="EA171" s="207"/>
      <c r="EB171" s="207"/>
      <c r="EC171" s="207"/>
      <c r="ED171" s="207"/>
      <c r="EE171" s="207"/>
      <c r="EF171" s="207"/>
      <c r="EG171" s="207"/>
      <c r="EH171" s="207"/>
      <c r="EI171" s="207"/>
      <c r="EJ171" s="207"/>
      <c r="EK171" s="207"/>
      <c r="EL171" s="207"/>
      <c r="EM171" s="207"/>
      <c r="EN171" s="207"/>
      <c r="EO171" s="207"/>
      <c r="EP171" s="207"/>
      <c r="EQ171" s="207"/>
      <c r="ER171" s="207"/>
      <c r="ES171" s="207"/>
      <c r="ET171" s="207"/>
      <c r="EU171" s="207"/>
      <c r="EV171" s="207"/>
      <c r="EW171" s="207"/>
      <c r="EX171" s="207"/>
      <c r="EY171" s="207"/>
      <c r="EZ171" s="207"/>
      <c r="FA171" s="207"/>
      <c r="FB171" s="207"/>
      <c r="FC171" s="207"/>
      <c r="FD171" s="207"/>
      <c r="FE171" s="207"/>
      <c r="FF171" s="207"/>
      <c r="FG171" s="207"/>
      <c r="FH171" s="207"/>
      <c r="FI171" s="207"/>
      <c r="FJ171" s="207"/>
      <c r="FK171" s="207"/>
      <c r="FL171" s="207"/>
      <c r="FM171" s="207"/>
      <c r="FN171" s="207"/>
      <c r="FO171" s="207"/>
      <c r="FP171" s="207"/>
      <c r="FQ171" s="207"/>
      <c r="FR171" s="207"/>
      <c r="FS171" s="208"/>
      <c r="FT171" s="156"/>
    </row>
    <row r="172" spans="1:176" ht="15" outlineLevel="1">
      <c r="A172" s="206" t="s">
        <v>1433</v>
      </c>
      <c r="B172" s="200" t="s">
        <v>1411</v>
      </c>
      <c r="C172" s="34"/>
      <c r="D172" s="34"/>
      <c r="E172" s="34"/>
      <c r="F172" s="34"/>
      <c r="G172" s="34"/>
      <c r="H172" s="37" t="s">
        <v>488</v>
      </c>
      <c r="I172" s="38"/>
      <c r="J172" s="38"/>
      <c r="K172" s="38"/>
      <c r="L172" s="38"/>
      <c r="M172" s="38"/>
      <c r="N172" s="38"/>
      <c r="O172" s="38"/>
      <c r="P172" s="38"/>
      <c r="Q172" s="38"/>
      <c r="R172" s="177">
        <f t="shared" si="25"/>
        <v>0</v>
      </c>
      <c r="S172" s="202">
        <f t="shared" si="27"/>
        <v>0</v>
      </c>
      <c r="T172" s="202">
        <f t="shared" si="28"/>
        <v>0</v>
      </c>
      <c r="U172" s="18"/>
      <c r="V172" s="206" t="str">
        <f t="shared" si="22"/>
        <v>4-10</v>
      </c>
      <c r="W172" s="215" t="str">
        <f t="shared" si="26"/>
        <v/>
      </c>
      <c r="X172" s="110"/>
      <c r="Y172" s="109"/>
      <c r="Z172" s="207"/>
      <c r="AA172" s="207"/>
      <c r="AB172" s="207"/>
      <c r="AC172" s="207"/>
      <c r="AD172" s="207"/>
      <c r="AE172" s="207"/>
      <c r="AF172" s="207"/>
      <c r="AG172" s="207"/>
      <c r="AH172" s="207"/>
      <c r="AI172" s="207"/>
      <c r="AJ172" s="207"/>
      <c r="AK172" s="207"/>
      <c r="AL172" s="207"/>
      <c r="AM172" s="207"/>
      <c r="AN172" s="207"/>
      <c r="AO172" s="207"/>
      <c r="AP172" s="207"/>
      <c r="AQ172" s="207"/>
      <c r="AR172" s="207"/>
      <c r="AS172" s="207"/>
      <c r="AT172" s="207"/>
      <c r="AU172" s="207"/>
      <c r="AV172" s="207"/>
      <c r="AW172" s="207"/>
      <c r="AX172" s="207"/>
      <c r="AY172" s="207"/>
      <c r="AZ172" s="207"/>
      <c r="BA172" s="207"/>
      <c r="BB172" s="207"/>
      <c r="BC172" s="207"/>
      <c r="BD172" s="207"/>
      <c r="BE172" s="207"/>
      <c r="BF172" s="207"/>
      <c r="BG172" s="207"/>
      <c r="BH172" s="207"/>
      <c r="BI172" s="207"/>
      <c r="BJ172" s="207"/>
      <c r="BK172" s="207"/>
      <c r="BL172" s="207"/>
      <c r="BM172" s="207"/>
      <c r="BN172" s="207"/>
      <c r="BO172" s="207"/>
      <c r="BP172" s="207"/>
      <c r="BQ172" s="207"/>
      <c r="BR172" s="207"/>
      <c r="BS172" s="207"/>
      <c r="BT172" s="207"/>
      <c r="BU172" s="207"/>
      <c r="BV172" s="207"/>
      <c r="BW172" s="207"/>
      <c r="BX172" s="207"/>
      <c r="BY172" s="207"/>
      <c r="BZ172" s="207"/>
      <c r="CA172" s="207"/>
      <c r="CB172" s="207"/>
      <c r="CC172" s="207"/>
      <c r="CD172" s="207"/>
      <c r="CE172" s="207"/>
      <c r="CF172" s="207"/>
      <c r="CG172" s="207"/>
      <c r="CH172" s="207"/>
      <c r="CI172" s="207"/>
      <c r="CJ172" s="207"/>
      <c r="CK172" s="207"/>
      <c r="CL172" s="207"/>
      <c r="CM172" s="207"/>
      <c r="CN172" s="207"/>
      <c r="CO172" s="207"/>
      <c r="CP172" s="207"/>
      <c r="CQ172" s="207"/>
      <c r="CR172" s="207"/>
      <c r="CS172" s="207"/>
      <c r="CT172" s="207"/>
      <c r="CU172" s="207"/>
      <c r="CV172" s="207"/>
      <c r="CW172" s="207"/>
      <c r="CX172" s="207"/>
      <c r="CY172" s="207"/>
      <c r="CZ172" s="207"/>
      <c r="DA172" s="207"/>
      <c r="DB172" s="207"/>
      <c r="DC172" s="207"/>
      <c r="DD172" s="207"/>
      <c r="DE172" s="207"/>
      <c r="DF172" s="207"/>
      <c r="DG172" s="207"/>
      <c r="DH172" s="207"/>
      <c r="DI172" s="207"/>
      <c r="DJ172" s="207"/>
      <c r="DK172" s="207"/>
      <c r="DL172" s="207"/>
      <c r="DM172" s="207"/>
      <c r="DN172" s="207"/>
      <c r="DO172" s="207"/>
      <c r="DP172" s="207"/>
      <c r="DQ172" s="207"/>
      <c r="DR172" s="207"/>
      <c r="DS172" s="207"/>
      <c r="DT172" s="207"/>
      <c r="DU172" s="207"/>
      <c r="DV172" s="207"/>
      <c r="DW172" s="207"/>
      <c r="DX172" s="207"/>
      <c r="DY172" s="207"/>
      <c r="DZ172" s="207"/>
      <c r="EA172" s="207"/>
      <c r="EB172" s="207"/>
      <c r="EC172" s="207"/>
      <c r="ED172" s="207"/>
      <c r="EE172" s="207"/>
      <c r="EF172" s="207"/>
      <c r="EG172" s="207"/>
      <c r="EH172" s="207"/>
      <c r="EI172" s="207"/>
      <c r="EJ172" s="207"/>
      <c r="EK172" s="207"/>
      <c r="EL172" s="207"/>
      <c r="EM172" s="207"/>
      <c r="EN172" s="207"/>
      <c r="EO172" s="207"/>
      <c r="EP172" s="207"/>
      <c r="EQ172" s="207"/>
      <c r="ER172" s="207"/>
      <c r="ES172" s="207"/>
      <c r="ET172" s="207"/>
      <c r="EU172" s="207"/>
      <c r="EV172" s="207"/>
      <c r="EW172" s="207"/>
      <c r="EX172" s="207"/>
      <c r="EY172" s="207"/>
      <c r="EZ172" s="207"/>
      <c r="FA172" s="207"/>
      <c r="FB172" s="207"/>
      <c r="FC172" s="207"/>
      <c r="FD172" s="207"/>
      <c r="FE172" s="207"/>
      <c r="FF172" s="207"/>
      <c r="FG172" s="207"/>
      <c r="FH172" s="207"/>
      <c r="FI172" s="207"/>
      <c r="FJ172" s="207"/>
      <c r="FK172" s="207"/>
      <c r="FL172" s="207"/>
      <c r="FM172" s="207"/>
      <c r="FN172" s="207"/>
      <c r="FO172" s="207"/>
      <c r="FP172" s="207"/>
      <c r="FQ172" s="207"/>
      <c r="FR172" s="207"/>
      <c r="FS172" s="208"/>
      <c r="FT172" s="156"/>
    </row>
    <row r="173" spans="1:176" ht="15" outlineLevel="1">
      <c r="A173" s="206" t="s">
        <v>1434</v>
      </c>
      <c r="B173" s="200" t="s">
        <v>1411</v>
      </c>
      <c r="C173" s="34"/>
      <c r="D173" s="34"/>
      <c r="E173" s="34"/>
      <c r="F173" s="34"/>
      <c r="G173" s="34"/>
      <c r="H173" s="37" t="s">
        <v>488</v>
      </c>
      <c r="I173" s="38"/>
      <c r="J173" s="38"/>
      <c r="K173" s="38"/>
      <c r="L173" s="38"/>
      <c r="M173" s="38"/>
      <c r="N173" s="38"/>
      <c r="O173" s="38"/>
      <c r="P173" s="38"/>
      <c r="Q173" s="38"/>
      <c r="R173" s="177">
        <f t="shared" si="25"/>
        <v>0</v>
      </c>
      <c r="S173" s="202">
        <f t="shared" si="27"/>
        <v>0</v>
      </c>
      <c r="T173" s="202">
        <f t="shared" si="28"/>
        <v>0</v>
      </c>
      <c r="U173" s="18"/>
      <c r="V173" s="206" t="str">
        <f t="shared" si="22"/>
        <v>4-11</v>
      </c>
      <c r="W173" s="215" t="str">
        <f t="shared" si="26"/>
        <v/>
      </c>
      <c r="X173" s="110"/>
      <c r="Y173" s="109"/>
      <c r="Z173" s="207"/>
      <c r="AA173" s="207"/>
      <c r="AB173" s="207"/>
      <c r="AC173" s="207"/>
      <c r="AD173" s="207"/>
      <c r="AE173" s="207"/>
      <c r="AF173" s="207"/>
      <c r="AG173" s="207"/>
      <c r="AH173" s="207"/>
      <c r="AI173" s="207"/>
      <c r="AJ173" s="207"/>
      <c r="AK173" s="207"/>
      <c r="AL173" s="207"/>
      <c r="AM173" s="207"/>
      <c r="AN173" s="207"/>
      <c r="AO173" s="207"/>
      <c r="AP173" s="207"/>
      <c r="AQ173" s="207"/>
      <c r="AR173" s="207"/>
      <c r="AS173" s="207"/>
      <c r="AT173" s="207"/>
      <c r="AU173" s="207"/>
      <c r="AV173" s="207"/>
      <c r="AW173" s="207"/>
      <c r="AX173" s="207"/>
      <c r="AY173" s="207"/>
      <c r="AZ173" s="207"/>
      <c r="BA173" s="207"/>
      <c r="BB173" s="207"/>
      <c r="BC173" s="207"/>
      <c r="BD173" s="207"/>
      <c r="BE173" s="207"/>
      <c r="BF173" s="207"/>
      <c r="BG173" s="207"/>
      <c r="BH173" s="207"/>
      <c r="BI173" s="207"/>
      <c r="BJ173" s="207"/>
      <c r="BK173" s="207"/>
      <c r="BL173" s="207"/>
      <c r="BM173" s="207"/>
      <c r="BN173" s="207"/>
      <c r="BO173" s="207"/>
      <c r="BP173" s="207"/>
      <c r="BQ173" s="207"/>
      <c r="BR173" s="207"/>
      <c r="BS173" s="207"/>
      <c r="BT173" s="207"/>
      <c r="BU173" s="207"/>
      <c r="BV173" s="207"/>
      <c r="BW173" s="207"/>
      <c r="BX173" s="207"/>
      <c r="BY173" s="207"/>
      <c r="BZ173" s="207"/>
      <c r="CA173" s="207"/>
      <c r="CB173" s="207"/>
      <c r="CC173" s="207"/>
      <c r="CD173" s="207"/>
      <c r="CE173" s="207"/>
      <c r="CF173" s="207"/>
      <c r="CG173" s="207"/>
      <c r="CH173" s="207"/>
      <c r="CI173" s="207"/>
      <c r="CJ173" s="207"/>
      <c r="CK173" s="207"/>
      <c r="CL173" s="207"/>
      <c r="CM173" s="207"/>
      <c r="CN173" s="207"/>
      <c r="CO173" s="207"/>
      <c r="CP173" s="207"/>
      <c r="CQ173" s="207"/>
      <c r="CR173" s="207"/>
      <c r="CS173" s="207"/>
      <c r="CT173" s="207"/>
      <c r="CU173" s="207"/>
      <c r="CV173" s="207"/>
      <c r="CW173" s="207"/>
      <c r="CX173" s="207"/>
      <c r="CY173" s="207"/>
      <c r="CZ173" s="207"/>
      <c r="DA173" s="207"/>
      <c r="DB173" s="207"/>
      <c r="DC173" s="207"/>
      <c r="DD173" s="207"/>
      <c r="DE173" s="207"/>
      <c r="DF173" s="207"/>
      <c r="DG173" s="207"/>
      <c r="DH173" s="207"/>
      <c r="DI173" s="207"/>
      <c r="DJ173" s="207"/>
      <c r="DK173" s="207"/>
      <c r="DL173" s="207"/>
      <c r="DM173" s="207"/>
      <c r="DN173" s="207"/>
      <c r="DO173" s="207"/>
      <c r="DP173" s="207"/>
      <c r="DQ173" s="207"/>
      <c r="DR173" s="207"/>
      <c r="DS173" s="207"/>
      <c r="DT173" s="207"/>
      <c r="DU173" s="207"/>
      <c r="DV173" s="207"/>
      <c r="DW173" s="207"/>
      <c r="DX173" s="207"/>
      <c r="DY173" s="207"/>
      <c r="DZ173" s="207"/>
      <c r="EA173" s="207"/>
      <c r="EB173" s="207"/>
      <c r="EC173" s="207"/>
      <c r="ED173" s="207"/>
      <c r="EE173" s="207"/>
      <c r="EF173" s="207"/>
      <c r="EG173" s="207"/>
      <c r="EH173" s="207"/>
      <c r="EI173" s="207"/>
      <c r="EJ173" s="207"/>
      <c r="EK173" s="207"/>
      <c r="EL173" s="207"/>
      <c r="EM173" s="207"/>
      <c r="EN173" s="207"/>
      <c r="EO173" s="207"/>
      <c r="EP173" s="207"/>
      <c r="EQ173" s="207"/>
      <c r="ER173" s="207"/>
      <c r="ES173" s="207"/>
      <c r="ET173" s="207"/>
      <c r="EU173" s="207"/>
      <c r="EV173" s="207"/>
      <c r="EW173" s="207"/>
      <c r="EX173" s="207"/>
      <c r="EY173" s="207"/>
      <c r="EZ173" s="207"/>
      <c r="FA173" s="207"/>
      <c r="FB173" s="207"/>
      <c r="FC173" s="207"/>
      <c r="FD173" s="207"/>
      <c r="FE173" s="207"/>
      <c r="FF173" s="207"/>
      <c r="FG173" s="207"/>
      <c r="FH173" s="207"/>
      <c r="FI173" s="207"/>
      <c r="FJ173" s="207"/>
      <c r="FK173" s="207"/>
      <c r="FL173" s="207"/>
      <c r="FM173" s="207"/>
      <c r="FN173" s="207"/>
      <c r="FO173" s="207"/>
      <c r="FP173" s="207"/>
      <c r="FQ173" s="207"/>
      <c r="FR173" s="207"/>
      <c r="FS173" s="208"/>
      <c r="FT173" s="156"/>
    </row>
    <row r="174" spans="1:176" ht="15" outlineLevel="1">
      <c r="A174" s="206" t="s">
        <v>1435</v>
      </c>
      <c r="B174" s="200" t="s">
        <v>1411</v>
      </c>
      <c r="C174" s="34"/>
      <c r="D174" s="34"/>
      <c r="E174" s="34"/>
      <c r="F174" s="34"/>
      <c r="G174" s="34"/>
      <c r="H174" s="37" t="s">
        <v>488</v>
      </c>
      <c r="I174" s="38"/>
      <c r="J174" s="38"/>
      <c r="K174" s="38"/>
      <c r="L174" s="38"/>
      <c r="M174" s="38"/>
      <c r="N174" s="38"/>
      <c r="O174" s="38"/>
      <c r="P174" s="38"/>
      <c r="Q174" s="38"/>
      <c r="R174" s="177">
        <f t="shared" si="25"/>
        <v>0</v>
      </c>
      <c r="S174" s="202">
        <f t="shared" si="27"/>
        <v>0</v>
      </c>
      <c r="T174" s="202">
        <f t="shared" si="28"/>
        <v>0</v>
      </c>
      <c r="U174" s="18"/>
      <c r="V174" s="206" t="str">
        <f t="shared" si="22"/>
        <v>4-12</v>
      </c>
      <c r="W174" s="215" t="str">
        <f t="shared" si="26"/>
        <v/>
      </c>
      <c r="X174" s="110"/>
      <c r="Y174" s="109"/>
      <c r="Z174" s="207"/>
      <c r="AA174" s="207"/>
      <c r="AB174" s="207"/>
      <c r="AC174" s="207"/>
      <c r="AD174" s="207"/>
      <c r="AE174" s="207"/>
      <c r="AF174" s="207"/>
      <c r="AG174" s="207"/>
      <c r="AH174" s="207"/>
      <c r="AI174" s="207"/>
      <c r="AJ174" s="207"/>
      <c r="AK174" s="207"/>
      <c r="AL174" s="207"/>
      <c r="AM174" s="207"/>
      <c r="AN174" s="207"/>
      <c r="AO174" s="207"/>
      <c r="AP174" s="207"/>
      <c r="AQ174" s="207"/>
      <c r="AR174" s="207"/>
      <c r="AS174" s="207"/>
      <c r="AT174" s="207"/>
      <c r="AU174" s="207"/>
      <c r="AV174" s="207"/>
      <c r="AW174" s="207"/>
      <c r="AX174" s="207"/>
      <c r="AY174" s="207"/>
      <c r="AZ174" s="207"/>
      <c r="BA174" s="207"/>
      <c r="BB174" s="207"/>
      <c r="BC174" s="207"/>
      <c r="BD174" s="207"/>
      <c r="BE174" s="207"/>
      <c r="BF174" s="207"/>
      <c r="BG174" s="207"/>
      <c r="BH174" s="207"/>
      <c r="BI174" s="207"/>
      <c r="BJ174" s="207"/>
      <c r="BK174" s="207"/>
      <c r="BL174" s="207"/>
      <c r="BM174" s="207"/>
      <c r="BN174" s="207"/>
      <c r="BO174" s="207"/>
      <c r="BP174" s="207"/>
      <c r="BQ174" s="207"/>
      <c r="BR174" s="207"/>
      <c r="BS174" s="207"/>
      <c r="BT174" s="207"/>
      <c r="BU174" s="207"/>
      <c r="BV174" s="207"/>
      <c r="BW174" s="207"/>
      <c r="BX174" s="207"/>
      <c r="BY174" s="207"/>
      <c r="BZ174" s="207"/>
      <c r="CA174" s="207"/>
      <c r="CB174" s="207"/>
      <c r="CC174" s="207"/>
      <c r="CD174" s="207"/>
      <c r="CE174" s="207"/>
      <c r="CF174" s="207"/>
      <c r="CG174" s="207"/>
      <c r="CH174" s="207"/>
      <c r="CI174" s="207"/>
      <c r="CJ174" s="207"/>
      <c r="CK174" s="207"/>
      <c r="CL174" s="207"/>
      <c r="CM174" s="207"/>
      <c r="CN174" s="207"/>
      <c r="CO174" s="207"/>
      <c r="CP174" s="207"/>
      <c r="CQ174" s="207"/>
      <c r="CR174" s="207"/>
      <c r="CS174" s="207"/>
      <c r="CT174" s="207"/>
      <c r="CU174" s="207"/>
      <c r="CV174" s="207"/>
      <c r="CW174" s="207"/>
      <c r="CX174" s="207"/>
      <c r="CY174" s="207"/>
      <c r="CZ174" s="207"/>
      <c r="DA174" s="207"/>
      <c r="DB174" s="207"/>
      <c r="DC174" s="207"/>
      <c r="DD174" s="207"/>
      <c r="DE174" s="207"/>
      <c r="DF174" s="207"/>
      <c r="DG174" s="207"/>
      <c r="DH174" s="207"/>
      <c r="DI174" s="207"/>
      <c r="DJ174" s="207"/>
      <c r="DK174" s="207"/>
      <c r="DL174" s="207"/>
      <c r="DM174" s="207"/>
      <c r="DN174" s="207"/>
      <c r="DO174" s="207"/>
      <c r="DP174" s="207"/>
      <c r="DQ174" s="207"/>
      <c r="DR174" s="207"/>
      <c r="DS174" s="207"/>
      <c r="DT174" s="207"/>
      <c r="DU174" s="207"/>
      <c r="DV174" s="207"/>
      <c r="DW174" s="207"/>
      <c r="DX174" s="207"/>
      <c r="DY174" s="207"/>
      <c r="DZ174" s="207"/>
      <c r="EA174" s="207"/>
      <c r="EB174" s="207"/>
      <c r="EC174" s="207"/>
      <c r="ED174" s="207"/>
      <c r="EE174" s="207"/>
      <c r="EF174" s="207"/>
      <c r="EG174" s="207"/>
      <c r="EH174" s="207"/>
      <c r="EI174" s="207"/>
      <c r="EJ174" s="207"/>
      <c r="EK174" s="207"/>
      <c r="EL174" s="207"/>
      <c r="EM174" s="207"/>
      <c r="EN174" s="207"/>
      <c r="EO174" s="207"/>
      <c r="EP174" s="207"/>
      <c r="EQ174" s="207"/>
      <c r="ER174" s="207"/>
      <c r="ES174" s="207"/>
      <c r="ET174" s="207"/>
      <c r="EU174" s="207"/>
      <c r="EV174" s="207"/>
      <c r="EW174" s="207"/>
      <c r="EX174" s="207"/>
      <c r="EY174" s="207"/>
      <c r="EZ174" s="207"/>
      <c r="FA174" s="207"/>
      <c r="FB174" s="207"/>
      <c r="FC174" s="207"/>
      <c r="FD174" s="207"/>
      <c r="FE174" s="207"/>
      <c r="FF174" s="207"/>
      <c r="FG174" s="207"/>
      <c r="FH174" s="207"/>
      <c r="FI174" s="207"/>
      <c r="FJ174" s="207"/>
      <c r="FK174" s="207"/>
      <c r="FL174" s="207"/>
      <c r="FM174" s="207"/>
      <c r="FN174" s="207"/>
      <c r="FO174" s="207"/>
      <c r="FP174" s="207"/>
      <c r="FQ174" s="207"/>
      <c r="FR174" s="207"/>
      <c r="FS174" s="208"/>
      <c r="FT174" s="156"/>
    </row>
    <row r="175" spans="1:176" ht="15" outlineLevel="1">
      <c r="A175" s="206" t="s">
        <v>1436</v>
      </c>
      <c r="B175" s="200" t="s">
        <v>1411</v>
      </c>
      <c r="C175" s="34"/>
      <c r="D175" s="34"/>
      <c r="E175" s="34"/>
      <c r="F175" s="34"/>
      <c r="G175" s="34"/>
      <c r="H175" s="37" t="s">
        <v>488</v>
      </c>
      <c r="I175" s="38"/>
      <c r="J175" s="38"/>
      <c r="K175" s="38"/>
      <c r="L175" s="38"/>
      <c r="M175" s="38"/>
      <c r="N175" s="38"/>
      <c r="O175" s="38"/>
      <c r="P175" s="38"/>
      <c r="Q175" s="38"/>
      <c r="R175" s="177">
        <f t="shared" si="25"/>
        <v>0</v>
      </c>
      <c r="S175" s="202">
        <f t="shared" si="27"/>
        <v>0</v>
      </c>
      <c r="T175" s="202">
        <f t="shared" si="28"/>
        <v>0</v>
      </c>
      <c r="U175" s="18"/>
      <c r="V175" s="206" t="str">
        <f t="shared" si="22"/>
        <v>4-13</v>
      </c>
      <c r="W175" s="215" t="str">
        <f t="shared" si="26"/>
        <v/>
      </c>
      <c r="X175" s="110"/>
      <c r="Y175" s="109"/>
      <c r="Z175" s="207"/>
      <c r="AA175" s="207"/>
      <c r="AB175" s="207"/>
      <c r="AC175" s="207"/>
      <c r="AD175" s="207"/>
      <c r="AE175" s="207"/>
      <c r="AF175" s="207"/>
      <c r="AG175" s="207"/>
      <c r="AH175" s="207"/>
      <c r="AI175" s="207"/>
      <c r="AJ175" s="207"/>
      <c r="AK175" s="207"/>
      <c r="AL175" s="207"/>
      <c r="AM175" s="207"/>
      <c r="AN175" s="207"/>
      <c r="AO175" s="207"/>
      <c r="AP175" s="207"/>
      <c r="AQ175" s="207"/>
      <c r="AR175" s="207"/>
      <c r="AS175" s="207"/>
      <c r="AT175" s="207"/>
      <c r="AU175" s="207"/>
      <c r="AV175" s="207"/>
      <c r="AW175" s="207"/>
      <c r="AX175" s="207"/>
      <c r="AY175" s="207"/>
      <c r="AZ175" s="207"/>
      <c r="BA175" s="207"/>
      <c r="BB175" s="207"/>
      <c r="BC175" s="207"/>
      <c r="BD175" s="207"/>
      <c r="BE175" s="207"/>
      <c r="BF175" s="207"/>
      <c r="BG175" s="207"/>
      <c r="BH175" s="207"/>
      <c r="BI175" s="207"/>
      <c r="BJ175" s="207"/>
      <c r="BK175" s="207"/>
      <c r="BL175" s="207"/>
      <c r="BM175" s="207"/>
      <c r="BN175" s="207"/>
      <c r="BO175" s="207"/>
      <c r="BP175" s="207"/>
      <c r="BQ175" s="207"/>
      <c r="BR175" s="207"/>
      <c r="BS175" s="207"/>
      <c r="BT175" s="207"/>
      <c r="BU175" s="207"/>
      <c r="BV175" s="207"/>
      <c r="BW175" s="207"/>
      <c r="BX175" s="207"/>
      <c r="BY175" s="207"/>
      <c r="BZ175" s="207"/>
      <c r="CA175" s="207"/>
      <c r="CB175" s="207"/>
      <c r="CC175" s="207"/>
      <c r="CD175" s="207"/>
      <c r="CE175" s="207"/>
      <c r="CF175" s="207"/>
      <c r="CG175" s="207"/>
      <c r="CH175" s="207"/>
      <c r="CI175" s="207"/>
      <c r="CJ175" s="207"/>
      <c r="CK175" s="207"/>
      <c r="CL175" s="207"/>
      <c r="CM175" s="207"/>
      <c r="CN175" s="207"/>
      <c r="CO175" s="207"/>
      <c r="CP175" s="207"/>
      <c r="CQ175" s="207"/>
      <c r="CR175" s="207"/>
      <c r="CS175" s="207"/>
      <c r="CT175" s="207"/>
      <c r="CU175" s="207"/>
      <c r="CV175" s="207"/>
      <c r="CW175" s="207"/>
      <c r="CX175" s="207"/>
      <c r="CY175" s="207"/>
      <c r="CZ175" s="207"/>
      <c r="DA175" s="207"/>
      <c r="DB175" s="207"/>
      <c r="DC175" s="207"/>
      <c r="DD175" s="207"/>
      <c r="DE175" s="207"/>
      <c r="DF175" s="207"/>
      <c r="DG175" s="207"/>
      <c r="DH175" s="207"/>
      <c r="DI175" s="207"/>
      <c r="DJ175" s="207"/>
      <c r="DK175" s="207"/>
      <c r="DL175" s="207"/>
      <c r="DM175" s="207"/>
      <c r="DN175" s="207"/>
      <c r="DO175" s="207"/>
      <c r="DP175" s="207"/>
      <c r="DQ175" s="207"/>
      <c r="DR175" s="207"/>
      <c r="DS175" s="207"/>
      <c r="DT175" s="207"/>
      <c r="DU175" s="207"/>
      <c r="DV175" s="207"/>
      <c r="DW175" s="207"/>
      <c r="DX175" s="207"/>
      <c r="DY175" s="207"/>
      <c r="DZ175" s="207"/>
      <c r="EA175" s="207"/>
      <c r="EB175" s="207"/>
      <c r="EC175" s="207"/>
      <c r="ED175" s="207"/>
      <c r="EE175" s="207"/>
      <c r="EF175" s="207"/>
      <c r="EG175" s="207"/>
      <c r="EH175" s="207"/>
      <c r="EI175" s="207"/>
      <c r="EJ175" s="207"/>
      <c r="EK175" s="207"/>
      <c r="EL175" s="207"/>
      <c r="EM175" s="207"/>
      <c r="EN175" s="207"/>
      <c r="EO175" s="207"/>
      <c r="EP175" s="207"/>
      <c r="EQ175" s="207"/>
      <c r="ER175" s="207"/>
      <c r="ES175" s="207"/>
      <c r="ET175" s="207"/>
      <c r="EU175" s="207"/>
      <c r="EV175" s="207"/>
      <c r="EW175" s="207"/>
      <c r="EX175" s="207"/>
      <c r="EY175" s="207"/>
      <c r="EZ175" s="207"/>
      <c r="FA175" s="207"/>
      <c r="FB175" s="207"/>
      <c r="FC175" s="207"/>
      <c r="FD175" s="207"/>
      <c r="FE175" s="207"/>
      <c r="FF175" s="207"/>
      <c r="FG175" s="207"/>
      <c r="FH175" s="207"/>
      <c r="FI175" s="207"/>
      <c r="FJ175" s="207"/>
      <c r="FK175" s="207"/>
      <c r="FL175" s="207"/>
      <c r="FM175" s="207"/>
      <c r="FN175" s="207"/>
      <c r="FO175" s="207"/>
      <c r="FP175" s="207"/>
      <c r="FQ175" s="207"/>
      <c r="FR175" s="207"/>
      <c r="FS175" s="208"/>
      <c r="FT175" s="156"/>
    </row>
    <row r="176" spans="1:176" ht="15" outlineLevel="1">
      <c r="A176" s="206" t="s">
        <v>1437</v>
      </c>
      <c r="B176" s="200" t="s">
        <v>1411</v>
      </c>
      <c r="C176" s="34"/>
      <c r="D176" s="34"/>
      <c r="E176" s="34"/>
      <c r="F176" s="34"/>
      <c r="G176" s="34"/>
      <c r="H176" s="37" t="s">
        <v>488</v>
      </c>
      <c r="I176" s="38"/>
      <c r="J176" s="38"/>
      <c r="K176" s="38"/>
      <c r="L176" s="38"/>
      <c r="M176" s="38"/>
      <c r="N176" s="38"/>
      <c r="O176" s="38"/>
      <c r="P176" s="38"/>
      <c r="Q176" s="38"/>
      <c r="R176" s="177">
        <f t="shared" si="25"/>
        <v>0</v>
      </c>
      <c r="S176" s="202">
        <f t="shared" si="27"/>
        <v>0</v>
      </c>
      <c r="T176" s="202">
        <f t="shared" si="28"/>
        <v>0</v>
      </c>
      <c r="U176" s="18"/>
      <c r="V176" s="206" t="str">
        <f t="shared" si="22"/>
        <v>4-14</v>
      </c>
      <c r="W176" s="215" t="str">
        <f t="shared" si="26"/>
        <v/>
      </c>
      <c r="X176" s="110"/>
      <c r="Y176" s="109"/>
      <c r="Z176" s="207"/>
      <c r="AA176" s="207"/>
      <c r="AB176" s="207"/>
      <c r="AC176" s="207"/>
      <c r="AD176" s="207"/>
      <c r="AE176" s="207"/>
      <c r="AF176" s="207"/>
      <c r="AG176" s="207"/>
      <c r="AH176" s="207"/>
      <c r="AI176" s="207"/>
      <c r="AJ176" s="207"/>
      <c r="AK176" s="207"/>
      <c r="AL176" s="207"/>
      <c r="AM176" s="207"/>
      <c r="AN176" s="207"/>
      <c r="AO176" s="207"/>
      <c r="AP176" s="207"/>
      <c r="AQ176" s="207"/>
      <c r="AR176" s="207"/>
      <c r="AS176" s="207"/>
      <c r="AT176" s="207"/>
      <c r="AU176" s="207"/>
      <c r="AV176" s="207"/>
      <c r="AW176" s="207"/>
      <c r="AX176" s="207"/>
      <c r="AY176" s="207"/>
      <c r="AZ176" s="207"/>
      <c r="BA176" s="207"/>
      <c r="BB176" s="207"/>
      <c r="BC176" s="207"/>
      <c r="BD176" s="207"/>
      <c r="BE176" s="207"/>
      <c r="BF176" s="207"/>
      <c r="BG176" s="207"/>
      <c r="BH176" s="207"/>
      <c r="BI176" s="207"/>
      <c r="BJ176" s="207"/>
      <c r="BK176" s="207"/>
      <c r="BL176" s="207"/>
      <c r="BM176" s="207"/>
      <c r="BN176" s="207"/>
      <c r="BO176" s="207"/>
      <c r="BP176" s="207"/>
      <c r="BQ176" s="207"/>
      <c r="BR176" s="207"/>
      <c r="BS176" s="207"/>
      <c r="BT176" s="207"/>
      <c r="BU176" s="207"/>
      <c r="BV176" s="207"/>
      <c r="BW176" s="207"/>
      <c r="BX176" s="207"/>
      <c r="BY176" s="207"/>
      <c r="BZ176" s="207"/>
      <c r="CA176" s="207"/>
      <c r="CB176" s="207"/>
      <c r="CC176" s="207"/>
      <c r="CD176" s="207"/>
      <c r="CE176" s="207"/>
      <c r="CF176" s="207"/>
      <c r="CG176" s="207"/>
      <c r="CH176" s="207"/>
      <c r="CI176" s="207"/>
      <c r="CJ176" s="207"/>
      <c r="CK176" s="207"/>
      <c r="CL176" s="207"/>
      <c r="CM176" s="207"/>
      <c r="CN176" s="207"/>
      <c r="CO176" s="207"/>
      <c r="CP176" s="207"/>
      <c r="CQ176" s="207"/>
      <c r="CR176" s="207"/>
      <c r="CS176" s="207"/>
      <c r="CT176" s="207"/>
      <c r="CU176" s="207"/>
      <c r="CV176" s="207"/>
      <c r="CW176" s="207"/>
      <c r="CX176" s="207"/>
      <c r="CY176" s="207"/>
      <c r="CZ176" s="207"/>
      <c r="DA176" s="207"/>
      <c r="DB176" s="207"/>
      <c r="DC176" s="207"/>
      <c r="DD176" s="207"/>
      <c r="DE176" s="207"/>
      <c r="DF176" s="207"/>
      <c r="DG176" s="207"/>
      <c r="DH176" s="207"/>
      <c r="DI176" s="207"/>
      <c r="DJ176" s="207"/>
      <c r="DK176" s="207"/>
      <c r="DL176" s="207"/>
      <c r="DM176" s="207"/>
      <c r="DN176" s="207"/>
      <c r="DO176" s="207"/>
      <c r="DP176" s="207"/>
      <c r="DQ176" s="207"/>
      <c r="DR176" s="207"/>
      <c r="DS176" s="207"/>
      <c r="DT176" s="207"/>
      <c r="DU176" s="207"/>
      <c r="DV176" s="207"/>
      <c r="DW176" s="207"/>
      <c r="DX176" s="207"/>
      <c r="DY176" s="207"/>
      <c r="DZ176" s="207"/>
      <c r="EA176" s="207"/>
      <c r="EB176" s="207"/>
      <c r="EC176" s="207"/>
      <c r="ED176" s="207"/>
      <c r="EE176" s="207"/>
      <c r="EF176" s="207"/>
      <c r="EG176" s="207"/>
      <c r="EH176" s="207"/>
      <c r="EI176" s="207"/>
      <c r="EJ176" s="207"/>
      <c r="EK176" s="207"/>
      <c r="EL176" s="207"/>
      <c r="EM176" s="207"/>
      <c r="EN176" s="207"/>
      <c r="EO176" s="207"/>
      <c r="EP176" s="207"/>
      <c r="EQ176" s="207"/>
      <c r="ER176" s="207"/>
      <c r="ES176" s="207"/>
      <c r="ET176" s="207"/>
      <c r="EU176" s="207"/>
      <c r="EV176" s="207"/>
      <c r="EW176" s="207"/>
      <c r="EX176" s="207"/>
      <c r="EY176" s="207"/>
      <c r="EZ176" s="207"/>
      <c r="FA176" s="207"/>
      <c r="FB176" s="207"/>
      <c r="FC176" s="207"/>
      <c r="FD176" s="207"/>
      <c r="FE176" s="207"/>
      <c r="FF176" s="207"/>
      <c r="FG176" s="207"/>
      <c r="FH176" s="207"/>
      <c r="FI176" s="207"/>
      <c r="FJ176" s="207"/>
      <c r="FK176" s="207"/>
      <c r="FL176" s="207"/>
      <c r="FM176" s="207"/>
      <c r="FN176" s="207"/>
      <c r="FO176" s="207"/>
      <c r="FP176" s="207"/>
      <c r="FQ176" s="207"/>
      <c r="FR176" s="207"/>
      <c r="FS176" s="208"/>
      <c r="FT176" s="156"/>
    </row>
    <row r="177" spans="1:176" ht="15" outlineLevel="1">
      <c r="A177" s="206" t="s">
        <v>1438</v>
      </c>
      <c r="B177" s="200" t="s">
        <v>1411</v>
      </c>
      <c r="C177" s="34"/>
      <c r="D177" s="34"/>
      <c r="E177" s="34"/>
      <c r="F177" s="34"/>
      <c r="G177" s="34"/>
      <c r="H177" s="37" t="s">
        <v>488</v>
      </c>
      <c r="I177" s="38"/>
      <c r="J177" s="38"/>
      <c r="K177" s="38"/>
      <c r="L177" s="38"/>
      <c r="M177" s="38"/>
      <c r="N177" s="38"/>
      <c r="O177" s="38"/>
      <c r="P177" s="38"/>
      <c r="Q177" s="38"/>
      <c r="R177" s="177">
        <f t="shared" si="25"/>
        <v>0</v>
      </c>
      <c r="S177" s="202">
        <f t="shared" si="27"/>
        <v>0</v>
      </c>
      <c r="T177" s="202">
        <f t="shared" si="28"/>
        <v>0</v>
      </c>
      <c r="U177" s="18"/>
      <c r="V177" s="206" t="str">
        <f t="shared" si="22"/>
        <v>4-15</v>
      </c>
      <c r="W177" s="215" t="str">
        <f t="shared" si="26"/>
        <v/>
      </c>
      <c r="X177" s="110"/>
      <c r="Y177" s="109"/>
      <c r="Z177" s="207"/>
      <c r="AA177" s="207"/>
      <c r="AB177" s="207"/>
      <c r="AC177" s="207"/>
      <c r="AD177" s="207"/>
      <c r="AE177" s="207"/>
      <c r="AF177" s="207"/>
      <c r="AG177" s="207"/>
      <c r="AH177" s="207"/>
      <c r="AI177" s="207"/>
      <c r="AJ177" s="207"/>
      <c r="AK177" s="207"/>
      <c r="AL177" s="207"/>
      <c r="AM177" s="207"/>
      <c r="AN177" s="207"/>
      <c r="AO177" s="207"/>
      <c r="AP177" s="207"/>
      <c r="AQ177" s="207"/>
      <c r="AR177" s="207"/>
      <c r="AS177" s="207"/>
      <c r="AT177" s="207"/>
      <c r="AU177" s="207"/>
      <c r="AV177" s="207"/>
      <c r="AW177" s="207"/>
      <c r="AX177" s="207"/>
      <c r="AY177" s="207"/>
      <c r="AZ177" s="207"/>
      <c r="BA177" s="207"/>
      <c r="BB177" s="207"/>
      <c r="BC177" s="207"/>
      <c r="BD177" s="207"/>
      <c r="BE177" s="207"/>
      <c r="BF177" s="207"/>
      <c r="BG177" s="207"/>
      <c r="BH177" s="207"/>
      <c r="BI177" s="207"/>
      <c r="BJ177" s="207"/>
      <c r="BK177" s="207"/>
      <c r="BL177" s="207"/>
      <c r="BM177" s="207"/>
      <c r="BN177" s="207"/>
      <c r="BO177" s="207"/>
      <c r="BP177" s="207"/>
      <c r="BQ177" s="207"/>
      <c r="BR177" s="207"/>
      <c r="BS177" s="207"/>
      <c r="BT177" s="207"/>
      <c r="BU177" s="207"/>
      <c r="BV177" s="207"/>
      <c r="BW177" s="207"/>
      <c r="BX177" s="207"/>
      <c r="BY177" s="207"/>
      <c r="BZ177" s="207"/>
      <c r="CA177" s="207"/>
      <c r="CB177" s="207"/>
      <c r="CC177" s="207"/>
      <c r="CD177" s="207"/>
      <c r="CE177" s="207"/>
      <c r="CF177" s="207"/>
      <c r="CG177" s="207"/>
      <c r="CH177" s="207"/>
      <c r="CI177" s="207"/>
      <c r="CJ177" s="207"/>
      <c r="CK177" s="207"/>
      <c r="CL177" s="207"/>
      <c r="CM177" s="207"/>
      <c r="CN177" s="207"/>
      <c r="CO177" s="207"/>
      <c r="CP177" s="207"/>
      <c r="CQ177" s="207"/>
      <c r="CR177" s="207"/>
      <c r="CS177" s="207"/>
      <c r="CT177" s="207"/>
      <c r="CU177" s="207"/>
      <c r="CV177" s="207"/>
      <c r="CW177" s="207"/>
      <c r="CX177" s="207"/>
      <c r="CY177" s="207"/>
      <c r="CZ177" s="207"/>
      <c r="DA177" s="207"/>
      <c r="DB177" s="207"/>
      <c r="DC177" s="207"/>
      <c r="DD177" s="207"/>
      <c r="DE177" s="207"/>
      <c r="DF177" s="207"/>
      <c r="DG177" s="207"/>
      <c r="DH177" s="207"/>
      <c r="DI177" s="207"/>
      <c r="DJ177" s="207"/>
      <c r="DK177" s="207"/>
      <c r="DL177" s="207"/>
      <c r="DM177" s="207"/>
      <c r="DN177" s="207"/>
      <c r="DO177" s="207"/>
      <c r="DP177" s="207"/>
      <c r="DQ177" s="207"/>
      <c r="DR177" s="207"/>
      <c r="DS177" s="207"/>
      <c r="DT177" s="207"/>
      <c r="DU177" s="207"/>
      <c r="DV177" s="207"/>
      <c r="DW177" s="207"/>
      <c r="DX177" s="207"/>
      <c r="DY177" s="207"/>
      <c r="DZ177" s="207"/>
      <c r="EA177" s="207"/>
      <c r="EB177" s="207"/>
      <c r="EC177" s="207"/>
      <c r="ED177" s="207"/>
      <c r="EE177" s="207"/>
      <c r="EF177" s="207"/>
      <c r="EG177" s="207"/>
      <c r="EH177" s="207"/>
      <c r="EI177" s="207"/>
      <c r="EJ177" s="207"/>
      <c r="EK177" s="207"/>
      <c r="EL177" s="207"/>
      <c r="EM177" s="207"/>
      <c r="EN177" s="207"/>
      <c r="EO177" s="207"/>
      <c r="EP177" s="207"/>
      <c r="EQ177" s="207"/>
      <c r="ER177" s="207"/>
      <c r="ES177" s="207"/>
      <c r="ET177" s="207"/>
      <c r="EU177" s="207"/>
      <c r="EV177" s="207"/>
      <c r="EW177" s="207"/>
      <c r="EX177" s="207"/>
      <c r="EY177" s="207"/>
      <c r="EZ177" s="207"/>
      <c r="FA177" s="207"/>
      <c r="FB177" s="207"/>
      <c r="FC177" s="207"/>
      <c r="FD177" s="207"/>
      <c r="FE177" s="207"/>
      <c r="FF177" s="207"/>
      <c r="FG177" s="207"/>
      <c r="FH177" s="207"/>
      <c r="FI177" s="207"/>
      <c r="FJ177" s="207"/>
      <c r="FK177" s="207"/>
      <c r="FL177" s="207"/>
      <c r="FM177" s="207"/>
      <c r="FN177" s="207"/>
      <c r="FO177" s="207"/>
      <c r="FP177" s="207"/>
      <c r="FQ177" s="207"/>
      <c r="FR177" s="207"/>
      <c r="FS177" s="208"/>
      <c r="FT177" s="156"/>
    </row>
    <row r="178" spans="1:176" ht="15" outlineLevel="1">
      <c r="A178" s="206" t="s">
        <v>1439</v>
      </c>
      <c r="B178" s="200" t="s">
        <v>1411</v>
      </c>
      <c r="C178" s="34"/>
      <c r="D178" s="34"/>
      <c r="E178" s="34"/>
      <c r="F178" s="34"/>
      <c r="G178" s="34"/>
      <c r="H178" s="37" t="s">
        <v>488</v>
      </c>
      <c r="I178" s="38"/>
      <c r="J178" s="38"/>
      <c r="K178" s="38"/>
      <c r="L178" s="38"/>
      <c r="M178" s="38"/>
      <c r="N178" s="38"/>
      <c r="O178" s="38"/>
      <c r="P178" s="38"/>
      <c r="Q178" s="38"/>
      <c r="R178" s="177">
        <f t="shared" si="25"/>
        <v>0</v>
      </c>
      <c r="S178" s="202">
        <f t="shared" si="27"/>
        <v>0</v>
      </c>
      <c r="T178" s="202">
        <f t="shared" si="28"/>
        <v>0</v>
      </c>
      <c r="U178" s="18"/>
      <c r="V178" s="206" t="str">
        <f t="shared" si="22"/>
        <v>4-16</v>
      </c>
      <c r="W178" s="215" t="str">
        <f t="shared" si="26"/>
        <v/>
      </c>
      <c r="X178" s="110"/>
      <c r="Y178" s="109"/>
      <c r="Z178" s="207"/>
      <c r="AA178" s="207"/>
      <c r="AB178" s="207"/>
      <c r="AC178" s="207"/>
      <c r="AD178" s="207"/>
      <c r="AE178" s="207"/>
      <c r="AF178" s="207"/>
      <c r="AG178" s="207"/>
      <c r="AH178" s="207"/>
      <c r="AI178" s="207"/>
      <c r="AJ178" s="207"/>
      <c r="AK178" s="207"/>
      <c r="AL178" s="207"/>
      <c r="AM178" s="207"/>
      <c r="AN178" s="207"/>
      <c r="AO178" s="207"/>
      <c r="AP178" s="207"/>
      <c r="AQ178" s="207"/>
      <c r="AR178" s="207"/>
      <c r="AS178" s="207"/>
      <c r="AT178" s="207"/>
      <c r="AU178" s="207"/>
      <c r="AV178" s="207"/>
      <c r="AW178" s="207"/>
      <c r="AX178" s="207"/>
      <c r="AY178" s="207"/>
      <c r="AZ178" s="207"/>
      <c r="BA178" s="207"/>
      <c r="BB178" s="207"/>
      <c r="BC178" s="207"/>
      <c r="BD178" s="207"/>
      <c r="BE178" s="207"/>
      <c r="BF178" s="207"/>
      <c r="BG178" s="207"/>
      <c r="BH178" s="207"/>
      <c r="BI178" s="207"/>
      <c r="BJ178" s="207"/>
      <c r="BK178" s="207"/>
      <c r="BL178" s="207"/>
      <c r="BM178" s="207"/>
      <c r="BN178" s="207"/>
      <c r="BO178" s="207"/>
      <c r="BP178" s="207"/>
      <c r="BQ178" s="207"/>
      <c r="BR178" s="207"/>
      <c r="BS178" s="207"/>
      <c r="BT178" s="207"/>
      <c r="BU178" s="207"/>
      <c r="BV178" s="207"/>
      <c r="BW178" s="207"/>
      <c r="BX178" s="207"/>
      <c r="BY178" s="207"/>
      <c r="BZ178" s="207"/>
      <c r="CA178" s="207"/>
      <c r="CB178" s="207"/>
      <c r="CC178" s="207"/>
      <c r="CD178" s="207"/>
      <c r="CE178" s="207"/>
      <c r="CF178" s="207"/>
      <c r="CG178" s="207"/>
      <c r="CH178" s="207"/>
      <c r="CI178" s="207"/>
      <c r="CJ178" s="207"/>
      <c r="CK178" s="207"/>
      <c r="CL178" s="207"/>
      <c r="CM178" s="207"/>
      <c r="CN178" s="207"/>
      <c r="CO178" s="207"/>
      <c r="CP178" s="207"/>
      <c r="CQ178" s="207"/>
      <c r="CR178" s="207"/>
      <c r="CS178" s="207"/>
      <c r="CT178" s="207"/>
      <c r="CU178" s="207"/>
      <c r="CV178" s="207"/>
      <c r="CW178" s="207"/>
      <c r="CX178" s="207"/>
      <c r="CY178" s="207"/>
      <c r="CZ178" s="207"/>
      <c r="DA178" s="207"/>
      <c r="DB178" s="207"/>
      <c r="DC178" s="207"/>
      <c r="DD178" s="207"/>
      <c r="DE178" s="207"/>
      <c r="DF178" s="207"/>
      <c r="DG178" s="207"/>
      <c r="DH178" s="207"/>
      <c r="DI178" s="207"/>
      <c r="DJ178" s="207"/>
      <c r="DK178" s="207"/>
      <c r="DL178" s="207"/>
      <c r="DM178" s="207"/>
      <c r="DN178" s="207"/>
      <c r="DO178" s="207"/>
      <c r="DP178" s="207"/>
      <c r="DQ178" s="207"/>
      <c r="DR178" s="207"/>
      <c r="DS178" s="207"/>
      <c r="DT178" s="207"/>
      <c r="DU178" s="207"/>
      <c r="DV178" s="207"/>
      <c r="DW178" s="207"/>
      <c r="DX178" s="207"/>
      <c r="DY178" s="207"/>
      <c r="DZ178" s="207"/>
      <c r="EA178" s="207"/>
      <c r="EB178" s="207"/>
      <c r="EC178" s="207"/>
      <c r="ED178" s="207"/>
      <c r="EE178" s="207"/>
      <c r="EF178" s="207"/>
      <c r="EG178" s="207"/>
      <c r="EH178" s="207"/>
      <c r="EI178" s="207"/>
      <c r="EJ178" s="207"/>
      <c r="EK178" s="207"/>
      <c r="EL178" s="207"/>
      <c r="EM178" s="207"/>
      <c r="EN178" s="207"/>
      <c r="EO178" s="207"/>
      <c r="EP178" s="207"/>
      <c r="EQ178" s="207"/>
      <c r="ER178" s="207"/>
      <c r="ES178" s="207"/>
      <c r="ET178" s="207"/>
      <c r="EU178" s="207"/>
      <c r="EV178" s="207"/>
      <c r="EW178" s="207"/>
      <c r="EX178" s="207"/>
      <c r="EY178" s="207"/>
      <c r="EZ178" s="207"/>
      <c r="FA178" s="207"/>
      <c r="FB178" s="207"/>
      <c r="FC178" s="207"/>
      <c r="FD178" s="207"/>
      <c r="FE178" s="207"/>
      <c r="FF178" s="207"/>
      <c r="FG178" s="207"/>
      <c r="FH178" s="207"/>
      <c r="FI178" s="207"/>
      <c r="FJ178" s="207"/>
      <c r="FK178" s="207"/>
      <c r="FL178" s="207"/>
      <c r="FM178" s="207"/>
      <c r="FN178" s="207"/>
      <c r="FO178" s="207"/>
      <c r="FP178" s="207"/>
      <c r="FQ178" s="207"/>
      <c r="FR178" s="207"/>
      <c r="FS178" s="208"/>
      <c r="FT178" s="156"/>
    </row>
    <row r="179" spans="1:176" ht="15" outlineLevel="1">
      <c r="A179" s="206" t="s">
        <v>1440</v>
      </c>
      <c r="B179" s="200" t="s">
        <v>1411</v>
      </c>
      <c r="C179" s="34"/>
      <c r="D179" s="34"/>
      <c r="E179" s="34"/>
      <c r="F179" s="34"/>
      <c r="G179" s="34"/>
      <c r="H179" s="37" t="s">
        <v>488</v>
      </c>
      <c r="I179" s="38"/>
      <c r="J179" s="38"/>
      <c r="K179" s="38"/>
      <c r="L179" s="38"/>
      <c r="M179" s="38"/>
      <c r="N179" s="38"/>
      <c r="O179" s="38"/>
      <c r="P179" s="38"/>
      <c r="Q179" s="38"/>
      <c r="R179" s="177">
        <f t="shared" si="25"/>
        <v>0</v>
      </c>
      <c r="S179" s="202">
        <f t="shared" si="27"/>
        <v>0</v>
      </c>
      <c r="T179" s="202">
        <f t="shared" si="28"/>
        <v>0</v>
      </c>
      <c r="U179" s="18"/>
      <c r="V179" s="206" t="str">
        <f t="shared" si="22"/>
        <v>4-17</v>
      </c>
      <c r="W179" s="215" t="str">
        <f t="shared" si="26"/>
        <v/>
      </c>
      <c r="X179" s="110"/>
      <c r="Y179" s="109"/>
      <c r="Z179" s="207"/>
      <c r="AA179" s="207"/>
      <c r="AB179" s="207"/>
      <c r="AC179" s="207"/>
      <c r="AD179" s="207"/>
      <c r="AE179" s="207"/>
      <c r="AF179" s="207"/>
      <c r="AG179" s="207"/>
      <c r="AH179" s="207"/>
      <c r="AI179" s="207"/>
      <c r="AJ179" s="207"/>
      <c r="AK179" s="207"/>
      <c r="AL179" s="207"/>
      <c r="AM179" s="207"/>
      <c r="AN179" s="207"/>
      <c r="AO179" s="207"/>
      <c r="AP179" s="207"/>
      <c r="AQ179" s="207"/>
      <c r="AR179" s="207"/>
      <c r="AS179" s="207"/>
      <c r="AT179" s="207"/>
      <c r="AU179" s="207"/>
      <c r="AV179" s="207"/>
      <c r="AW179" s="207"/>
      <c r="AX179" s="207"/>
      <c r="AY179" s="207"/>
      <c r="AZ179" s="207"/>
      <c r="BA179" s="207"/>
      <c r="BB179" s="207"/>
      <c r="BC179" s="207"/>
      <c r="BD179" s="207"/>
      <c r="BE179" s="207"/>
      <c r="BF179" s="207"/>
      <c r="BG179" s="207"/>
      <c r="BH179" s="207"/>
      <c r="BI179" s="207"/>
      <c r="BJ179" s="207"/>
      <c r="BK179" s="207"/>
      <c r="BL179" s="207"/>
      <c r="BM179" s="207"/>
      <c r="BN179" s="207"/>
      <c r="BO179" s="207"/>
      <c r="BP179" s="207"/>
      <c r="BQ179" s="207"/>
      <c r="BR179" s="207"/>
      <c r="BS179" s="207"/>
      <c r="BT179" s="207"/>
      <c r="BU179" s="207"/>
      <c r="BV179" s="207"/>
      <c r="BW179" s="207"/>
      <c r="BX179" s="207"/>
      <c r="BY179" s="207"/>
      <c r="BZ179" s="207"/>
      <c r="CA179" s="207"/>
      <c r="CB179" s="207"/>
      <c r="CC179" s="207"/>
      <c r="CD179" s="207"/>
      <c r="CE179" s="207"/>
      <c r="CF179" s="207"/>
      <c r="CG179" s="207"/>
      <c r="CH179" s="207"/>
      <c r="CI179" s="207"/>
      <c r="CJ179" s="207"/>
      <c r="CK179" s="207"/>
      <c r="CL179" s="207"/>
      <c r="CM179" s="207"/>
      <c r="CN179" s="207"/>
      <c r="CO179" s="207"/>
      <c r="CP179" s="207"/>
      <c r="CQ179" s="207"/>
      <c r="CR179" s="207"/>
      <c r="CS179" s="207"/>
      <c r="CT179" s="207"/>
      <c r="CU179" s="207"/>
      <c r="CV179" s="207"/>
      <c r="CW179" s="207"/>
      <c r="CX179" s="207"/>
      <c r="CY179" s="207"/>
      <c r="CZ179" s="207"/>
      <c r="DA179" s="207"/>
      <c r="DB179" s="207"/>
      <c r="DC179" s="207"/>
      <c r="DD179" s="207"/>
      <c r="DE179" s="207"/>
      <c r="DF179" s="207"/>
      <c r="DG179" s="207"/>
      <c r="DH179" s="207"/>
      <c r="DI179" s="207"/>
      <c r="DJ179" s="207"/>
      <c r="DK179" s="207"/>
      <c r="DL179" s="207"/>
      <c r="DM179" s="207"/>
      <c r="DN179" s="207"/>
      <c r="DO179" s="207"/>
      <c r="DP179" s="207"/>
      <c r="DQ179" s="207"/>
      <c r="DR179" s="207"/>
      <c r="DS179" s="207"/>
      <c r="DT179" s="207"/>
      <c r="DU179" s="207"/>
      <c r="DV179" s="207"/>
      <c r="DW179" s="207"/>
      <c r="DX179" s="207"/>
      <c r="DY179" s="207"/>
      <c r="DZ179" s="207"/>
      <c r="EA179" s="207"/>
      <c r="EB179" s="207"/>
      <c r="EC179" s="207"/>
      <c r="ED179" s="207"/>
      <c r="EE179" s="207"/>
      <c r="EF179" s="207"/>
      <c r="EG179" s="207"/>
      <c r="EH179" s="207"/>
      <c r="EI179" s="207"/>
      <c r="EJ179" s="207"/>
      <c r="EK179" s="207"/>
      <c r="EL179" s="207"/>
      <c r="EM179" s="207"/>
      <c r="EN179" s="207"/>
      <c r="EO179" s="207"/>
      <c r="EP179" s="207"/>
      <c r="EQ179" s="207"/>
      <c r="ER179" s="207"/>
      <c r="ES179" s="207"/>
      <c r="ET179" s="207"/>
      <c r="EU179" s="207"/>
      <c r="EV179" s="207"/>
      <c r="EW179" s="207"/>
      <c r="EX179" s="207"/>
      <c r="EY179" s="207"/>
      <c r="EZ179" s="207"/>
      <c r="FA179" s="207"/>
      <c r="FB179" s="207"/>
      <c r="FC179" s="207"/>
      <c r="FD179" s="207"/>
      <c r="FE179" s="207"/>
      <c r="FF179" s="207"/>
      <c r="FG179" s="207"/>
      <c r="FH179" s="207"/>
      <c r="FI179" s="207"/>
      <c r="FJ179" s="207"/>
      <c r="FK179" s="207"/>
      <c r="FL179" s="207"/>
      <c r="FM179" s="207"/>
      <c r="FN179" s="207"/>
      <c r="FO179" s="207"/>
      <c r="FP179" s="207"/>
      <c r="FQ179" s="207"/>
      <c r="FR179" s="207"/>
      <c r="FS179" s="208"/>
      <c r="FT179" s="156"/>
    </row>
    <row r="180" spans="1:176" ht="15" outlineLevel="1">
      <c r="A180" s="206" t="s">
        <v>1441</v>
      </c>
      <c r="B180" s="200" t="s">
        <v>1411</v>
      </c>
      <c r="C180" s="34"/>
      <c r="D180" s="34"/>
      <c r="E180" s="34"/>
      <c r="F180" s="34"/>
      <c r="G180" s="34"/>
      <c r="H180" s="37" t="s">
        <v>488</v>
      </c>
      <c r="I180" s="38"/>
      <c r="J180" s="38"/>
      <c r="K180" s="38"/>
      <c r="L180" s="38"/>
      <c r="M180" s="38"/>
      <c r="N180" s="38"/>
      <c r="O180" s="38"/>
      <c r="P180" s="38"/>
      <c r="Q180" s="38"/>
      <c r="R180" s="177">
        <f t="shared" si="25"/>
        <v>0</v>
      </c>
      <c r="S180" s="202">
        <f t="shared" si="27"/>
        <v>0</v>
      </c>
      <c r="T180" s="202">
        <f t="shared" si="28"/>
        <v>0</v>
      </c>
      <c r="U180" s="18"/>
      <c r="V180" s="206" t="str">
        <f t="shared" si="22"/>
        <v>4-18</v>
      </c>
      <c r="W180" s="215" t="str">
        <f t="shared" si="26"/>
        <v/>
      </c>
      <c r="X180" s="110"/>
      <c r="Y180" s="109"/>
      <c r="Z180" s="207"/>
      <c r="AA180" s="207"/>
      <c r="AB180" s="207"/>
      <c r="AC180" s="207"/>
      <c r="AD180" s="207"/>
      <c r="AE180" s="207"/>
      <c r="AF180" s="207"/>
      <c r="AG180" s="207"/>
      <c r="AH180" s="207"/>
      <c r="AI180" s="207"/>
      <c r="AJ180" s="207"/>
      <c r="AK180" s="207"/>
      <c r="AL180" s="207"/>
      <c r="AM180" s="207"/>
      <c r="AN180" s="207"/>
      <c r="AO180" s="207"/>
      <c r="AP180" s="207"/>
      <c r="AQ180" s="207"/>
      <c r="AR180" s="207"/>
      <c r="AS180" s="207"/>
      <c r="AT180" s="207"/>
      <c r="AU180" s="207"/>
      <c r="AV180" s="207"/>
      <c r="AW180" s="207"/>
      <c r="AX180" s="207"/>
      <c r="AY180" s="207"/>
      <c r="AZ180" s="207"/>
      <c r="BA180" s="207"/>
      <c r="BB180" s="207"/>
      <c r="BC180" s="207"/>
      <c r="BD180" s="207"/>
      <c r="BE180" s="207"/>
      <c r="BF180" s="207"/>
      <c r="BG180" s="207"/>
      <c r="BH180" s="207"/>
      <c r="BI180" s="207"/>
      <c r="BJ180" s="207"/>
      <c r="BK180" s="207"/>
      <c r="BL180" s="207"/>
      <c r="BM180" s="207"/>
      <c r="BN180" s="207"/>
      <c r="BO180" s="207"/>
      <c r="BP180" s="207"/>
      <c r="BQ180" s="207"/>
      <c r="BR180" s="207"/>
      <c r="BS180" s="207"/>
      <c r="BT180" s="207"/>
      <c r="BU180" s="207"/>
      <c r="BV180" s="207"/>
      <c r="BW180" s="207"/>
      <c r="BX180" s="207"/>
      <c r="BY180" s="207"/>
      <c r="BZ180" s="207"/>
      <c r="CA180" s="207"/>
      <c r="CB180" s="207"/>
      <c r="CC180" s="207"/>
      <c r="CD180" s="207"/>
      <c r="CE180" s="207"/>
      <c r="CF180" s="207"/>
      <c r="CG180" s="207"/>
      <c r="CH180" s="207"/>
      <c r="CI180" s="207"/>
      <c r="CJ180" s="207"/>
      <c r="CK180" s="207"/>
      <c r="CL180" s="207"/>
      <c r="CM180" s="207"/>
      <c r="CN180" s="207"/>
      <c r="CO180" s="207"/>
      <c r="CP180" s="207"/>
      <c r="CQ180" s="207"/>
      <c r="CR180" s="207"/>
      <c r="CS180" s="207"/>
      <c r="CT180" s="207"/>
      <c r="CU180" s="207"/>
      <c r="CV180" s="207"/>
      <c r="CW180" s="207"/>
      <c r="CX180" s="207"/>
      <c r="CY180" s="207"/>
      <c r="CZ180" s="207"/>
      <c r="DA180" s="207"/>
      <c r="DB180" s="207"/>
      <c r="DC180" s="207"/>
      <c r="DD180" s="207"/>
      <c r="DE180" s="207"/>
      <c r="DF180" s="207"/>
      <c r="DG180" s="207"/>
      <c r="DH180" s="207"/>
      <c r="DI180" s="207"/>
      <c r="DJ180" s="207"/>
      <c r="DK180" s="207"/>
      <c r="DL180" s="207"/>
      <c r="DM180" s="207"/>
      <c r="DN180" s="207"/>
      <c r="DO180" s="207"/>
      <c r="DP180" s="207"/>
      <c r="DQ180" s="207"/>
      <c r="DR180" s="207"/>
      <c r="DS180" s="207"/>
      <c r="DT180" s="207"/>
      <c r="DU180" s="207"/>
      <c r="DV180" s="207"/>
      <c r="DW180" s="207"/>
      <c r="DX180" s="207"/>
      <c r="DY180" s="207"/>
      <c r="DZ180" s="207"/>
      <c r="EA180" s="207"/>
      <c r="EB180" s="207"/>
      <c r="EC180" s="207"/>
      <c r="ED180" s="207"/>
      <c r="EE180" s="207"/>
      <c r="EF180" s="207"/>
      <c r="EG180" s="207"/>
      <c r="EH180" s="207"/>
      <c r="EI180" s="207"/>
      <c r="EJ180" s="207"/>
      <c r="EK180" s="207"/>
      <c r="EL180" s="207"/>
      <c r="EM180" s="207"/>
      <c r="EN180" s="207"/>
      <c r="EO180" s="207"/>
      <c r="EP180" s="207"/>
      <c r="EQ180" s="207"/>
      <c r="ER180" s="207"/>
      <c r="ES180" s="207"/>
      <c r="ET180" s="207"/>
      <c r="EU180" s="207"/>
      <c r="EV180" s="207"/>
      <c r="EW180" s="207"/>
      <c r="EX180" s="207"/>
      <c r="EY180" s="207"/>
      <c r="EZ180" s="207"/>
      <c r="FA180" s="207"/>
      <c r="FB180" s="207"/>
      <c r="FC180" s="207"/>
      <c r="FD180" s="207"/>
      <c r="FE180" s="207"/>
      <c r="FF180" s="207"/>
      <c r="FG180" s="207"/>
      <c r="FH180" s="207"/>
      <c r="FI180" s="207"/>
      <c r="FJ180" s="207"/>
      <c r="FK180" s="207"/>
      <c r="FL180" s="207"/>
      <c r="FM180" s="207"/>
      <c r="FN180" s="207"/>
      <c r="FO180" s="207"/>
      <c r="FP180" s="207"/>
      <c r="FQ180" s="207"/>
      <c r="FR180" s="207"/>
      <c r="FS180" s="208"/>
      <c r="FT180" s="156"/>
    </row>
    <row r="181" spans="1:176" ht="15" outlineLevel="1">
      <c r="A181" s="206" t="s">
        <v>1442</v>
      </c>
      <c r="B181" s="200" t="s">
        <v>1411</v>
      </c>
      <c r="C181" s="34"/>
      <c r="D181" s="34"/>
      <c r="E181" s="34"/>
      <c r="F181" s="34"/>
      <c r="G181" s="34"/>
      <c r="H181" s="37" t="s">
        <v>488</v>
      </c>
      <c r="I181" s="38"/>
      <c r="J181" s="38"/>
      <c r="K181" s="38"/>
      <c r="L181" s="38"/>
      <c r="M181" s="38"/>
      <c r="N181" s="38"/>
      <c r="O181" s="38"/>
      <c r="P181" s="38"/>
      <c r="Q181" s="38"/>
      <c r="R181" s="177">
        <f t="shared" si="25"/>
        <v>0</v>
      </c>
      <c r="S181" s="202">
        <f t="shared" si="27"/>
        <v>0</v>
      </c>
      <c r="T181" s="202">
        <f t="shared" si="28"/>
        <v>0</v>
      </c>
      <c r="U181" s="18"/>
      <c r="V181" s="206" t="str">
        <f t="shared" si="22"/>
        <v>4-19</v>
      </c>
      <c r="W181" s="215" t="str">
        <f t="shared" si="26"/>
        <v/>
      </c>
      <c r="X181" s="110"/>
      <c r="Y181" s="109"/>
      <c r="Z181" s="207"/>
      <c r="AA181" s="207"/>
      <c r="AB181" s="207"/>
      <c r="AC181" s="207"/>
      <c r="AD181" s="207"/>
      <c r="AE181" s="207"/>
      <c r="AF181" s="207"/>
      <c r="AG181" s="207"/>
      <c r="AH181" s="207"/>
      <c r="AI181" s="207"/>
      <c r="AJ181" s="207"/>
      <c r="AK181" s="207"/>
      <c r="AL181" s="207"/>
      <c r="AM181" s="207"/>
      <c r="AN181" s="207"/>
      <c r="AO181" s="207"/>
      <c r="AP181" s="207"/>
      <c r="AQ181" s="207"/>
      <c r="AR181" s="207"/>
      <c r="AS181" s="207"/>
      <c r="AT181" s="207"/>
      <c r="AU181" s="207"/>
      <c r="AV181" s="207"/>
      <c r="AW181" s="207"/>
      <c r="AX181" s="207"/>
      <c r="AY181" s="207"/>
      <c r="AZ181" s="207"/>
      <c r="BA181" s="207"/>
      <c r="BB181" s="207"/>
      <c r="BC181" s="207"/>
      <c r="BD181" s="207"/>
      <c r="BE181" s="207"/>
      <c r="BF181" s="207"/>
      <c r="BG181" s="207"/>
      <c r="BH181" s="207"/>
      <c r="BI181" s="207"/>
      <c r="BJ181" s="207"/>
      <c r="BK181" s="207"/>
      <c r="BL181" s="207"/>
      <c r="BM181" s="207"/>
      <c r="BN181" s="207"/>
      <c r="BO181" s="207"/>
      <c r="BP181" s="207"/>
      <c r="BQ181" s="207"/>
      <c r="BR181" s="207"/>
      <c r="BS181" s="207"/>
      <c r="BT181" s="207"/>
      <c r="BU181" s="207"/>
      <c r="BV181" s="207"/>
      <c r="BW181" s="207"/>
      <c r="BX181" s="207"/>
      <c r="BY181" s="207"/>
      <c r="BZ181" s="207"/>
      <c r="CA181" s="207"/>
      <c r="CB181" s="207"/>
      <c r="CC181" s="207"/>
      <c r="CD181" s="207"/>
      <c r="CE181" s="207"/>
      <c r="CF181" s="207"/>
      <c r="CG181" s="207"/>
      <c r="CH181" s="207"/>
      <c r="CI181" s="207"/>
      <c r="CJ181" s="207"/>
      <c r="CK181" s="207"/>
      <c r="CL181" s="207"/>
      <c r="CM181" s="207"/>
      <c r="CN181" s="207"/>
      <c r="CO181" s="207"/>
      <c r="CP181" s="207"/>
      <c r="CQ181" s="207"/>
      <c r="CR181" s="207"/>
      <c r="CS181" s="207"/>
      <c r="CT181" s="207"/>
      <c r="CU181" s="207"/>
      <c r="CV181" s="207"/>
      <c r="CW181" s="207"/>
      <c r="CX181" s="207"/>
      <c r="CY181" s="207"/>
      <c r="CZ181" s="207"/>
      <c r="DA181" s="207"/>
      <c r="DB181" s="207"/>
      <c r="DC181" s="207"/>
      <c r="DD181" s="207"/>
      <c r="DE181" s="207"/>
      <c r="DF181" s="207"/>
      <c r="DG181" s="207"/>
      <c r="DH181" s="207"/>
      <c r="DI181" s="207"/>
      <c r="DJ181" s="207"/>
      <c r="DK181" s="207"/>
      <c r="DL181" s="207"/>
      <c r="DM181" s="207"/>
      <c r="DN181" s="207"/>
      <c r="DO181" s="207"/>
      <c r="DP181" s="207"/>
      <c r="DQ181" s="207"/>
      <c r="DR181" s="207"/>
      <c r="DS181" s="207"/>
      <c r="DT181" s="207"/>
      <c r="DU181" s="207"/>
      <c r="DV181" s="207"/>
      <c r="DW181" s="207"/>
      <c r="DX181" s="207"/>
      <c r="DY181" s="207"/>
      <c r="DZ181" s="207"/>
      <c r="EA181" s="207"/>
      <c r="EB181" s="207"/>
      <c r="EC181" s="207"/>
      <c r="ED181" s="207"/>
      <c r="EE181" s="207"/>
      <c r="EF181" s="207"/>
      <c r="EG181" s="207"/>
      <c r="EH181" s="207"/>
      <c r="EI181" s="207"/>
      <c r="EJ181" s="207"/>
      <c r="EK181" s="207"/>
      <c r="EL181" s="207"/>
      <c r="EM181" s="207"/>
      <c r="EN181" s="207"/>
      <c r="EO181" s="207"/>
      <c r="EP181" s="207"/>
      <c r="EQ181" s="207"/>
      <c r="ER181" s="207"/>
      <c r="ES181" s="207"/>
      <c r="ET181" s="207"/>
      <c r="EU181" s="207"/>
      <c r="EV181" s="207"/>
      <c r="EW181" s="207"/>
      <c r="EX181" s="207"/>
      <c r="EY181" s="207"/>
      <c r="EZ181" s="207"/>
      <c r="FA181" s="207"/>
      <c r="FB181" s="207"/>
      <c r="FC181" s="207"/>
      <c r="FD181" s="207"/>
      <c r="FE181" s="207"/>
      <c r="FF181" s="207"/>
      <c r="FG181" s="207"/>
      <c r="FH181" s="207"/>
      <c r="FI181" s="207"/>
      <c r="FJ181" s="207"/>
      <c r="FK181" s="207"/>
      <c r="FL181" s="207"/>
      <c r="FM181" s="207"/>
      <c r="FN181" s="207"/>
      <c r="FO181" s="207"/>
      <c r="FP181" s="207"/>
      <c r="FQ181" s="207"/>
      <c r="FR181" s="207"/>
      <c r="FS181" s="208"/>
      <c r="FT181" s="156"/>
    </row>
    <row r="182" spans="1:176" ht="15" outlineLevel="1">
      <c r="A182" s="206" t="s">
        <v>1443</v>
      </c>
      <c r="B182" s="200" t="s">
        <v>1411</v>
      </c>
      <c r="C182" s="34"/>
      <c r="D182" s="34"/>
      <c r="E182" s="34"/>
      <c r="F182" s="34"/>
      <c r="G182" s="34"/>
      <c r="H182" s="37" t="s">
        <v>488</v>
      </c>
      <c r="I182" s="38"/>
      <c r="J182" s="38"/>
      <c r="K182" s="38"/>
      <c r="L182" s="38"/>
      <c r="M182" s="38"/>
      <c r="N182" s="38"/>
      <c r="O182" s="38"/>
      <c r="P182" s="38"/>
      <c r="Q182" s="38"/>
      <c r="R182" s="177">
        <f t="shared" si="25"/>
        <v>0</v>
      </c>
      <c r="S182" s="202">
        <f t="shared" si="27"/>
        <v>0</v>
      </c>
      <c r="T182" s="202">
        <f t="shared" si="28"/>
        <v>0</v>
      </c>
      <c r="U182" s="18"/>
      <c r="V182" s="206" t="str">
        <f t="shared" si="22"/>
        <v>4-20</v>
      </c>
      <c r="W182" s="215" t="str">
        <f t="shared" si="26"/>
        <v/>
      </c>
      <c r="X182" s="110"/>
      <c r="Y182" s="109"/>
      <c r="Z182" s="207"/>
      <c r="AA182" s="207"/>
      <c r="AB182" s="207"/>
      <c r="AC182" s="207"/>
      <c r="AD182" s="207"/>
      <c r="AE182" s="207"/>
      <c r="AF182" s="207"/>
      <c r="AG182" s="207"/>
      <c r="AH182" s="207"/>
      <c r="AI182" s="207"/>
      <c r="AJ182" s="207"/>
      <c r="AK182" s="207"/>
      <c r="AL182" s="207"/>
      <c r="AM182" s="207"/>
      <c r="AN182" s="207"/>
      <c r="AO182" s="207"/>
      <c r="AP182" s="207"/>
      <c r="AQ182" s="207"/>
      <c r="AR182" s="207"/>
      <c r="AS182" s="207"/>
      <c r="AT182" s="207"/>
      <c r="AU182" s="207"/>
      <c r="AV182" s="207"/>
      <c r="AW182" s="207"/>
      <c r="AX182" s="207"/>
      <c r="AY182" s="207"/>
      <c r="AZ182" s="207"/>
      <c r="BA182" s="207"/>
      <c r="BB182" s="207"/>
      <c r="BC182" s="207"/>
      <c r="BD182" s="207"/>
      <c r="BE182" s="207"/>
      <c r="BF182" s="207"/>
      <c r="BG182" s="207"/>
      <c r="BH182" s="207"/>
      <c r="BI182" s="207"/>
      <c r="BJ182" s="207"/>
      <c r="BK182" s="207"/>
      <c r="BL182" s="207"/>
      <c r="BM182" s="207"/>
      <c r="BN182" s="207"/>
      <c r="BO182" s="207"/>
      <c r="BP182" s="207"/>
      <c r="BQ182" s="207"/>
      <c r="BR182" s="207"/>
      <c r="BS182" s="207"/>
      <c r="BT182" s="207"/>
      <c r="BU182" s="207"/>
      <c r="BV182" s="207"/>
      <c r="BW182" s="207"/>
      <c r="BX182" s="207"/>
      <c r="BY182" s="207"/>
      <c r="BZ182" s="207"/>
      <c r="CA182" s="207"/>
      <c r="CB182" s="207"/>
      <c r="CC182" s="207"/>
      <c r="CD182" s="207"/>
      <c r="CE182" s="207"/>
      <c r="CF182" s="207"/>
      <c r="CG182" s="207"/>
      <c r="CH182" s="207"/>
      <c r="CI182" s="207"/>
      <c r="CJ182" s="207"/>
      <c r="CK182" s="207"/>
      <c r="CL182" s="207"/>
      <c r="CM182" s="207"/>
      <c r="CN182" s="207"/>
      <c r="CO182" s="207"/>
      <c r="CP182" s="207"/>
      <c r="CQ182" s="207"/>
      <c r="CR182" s="207"/>
      <c r="CS182" s="207"/>
      <c r="CT182" s="207"/>
      <c r="CU182" s="207"/>
      <c r="CV182" s="207"/>
      <c r="CW182" s="207"/>
      <c r="CX182" s="207"/>
      <c r="CY182" s="207"/>
      <c r="CZ182" s="207"/>
      <c r="DA182" s="207"/>
      <c r="DB182" s="207"/>
      <c r="DC182" s="207"/>
      <c r="DD182" s="207"/>
      <c r="DE182" s="207"/>
      <c r="DF182" s="207"/>
      <c r="DG182" s="207"/>
      <c r="DH182" s="207"/>
      <c r="DI182" s="207"/>
      <c r="DJ182" s="207"/>
      <c r="DK182" s="207"/>
      <c r="DL182" s="207"/>
      <c r="DM182" s="207"/>
      <c r="DN182" s="207"/>
      <c r="DO182" s="207"/>
      <c r="DP182" s="207"/>
      <c r="DQ182" s="207"/>
      <c r="DR182" s="207"/>
      <c r="DS182" s="207"/>
      <c r="DT182" s="207"/>
      <c r="DU182" s="207"/>
      <c r="DV182" s="207"/>
      <c r="DW182" s="207"/>
      <c r="DX182" s="207"/>
      <c r="DY182" s="207"/>
      <c r="DZ182" s="207"/>
      <c r="EA182" s="207"/>
      <c r="EB182" s="207"/>
      <c r="EC182" s="207"/>
      <c r="ED182" s="207"/>
      <c r="EE182" s="207"/>
      <c r="EF182" s="207"/>
      <c r="EG182" s="207"/>
      <c r="EH182" s="207"/>
      <c r="EI182" s="207"/>
      <c r="EJ182" s="207"/>
      <c r="EK182" s="207"/>
      <c r="EL182" s="207"/>
      <c r="EM182" s="207"/>
      <c r="EN182" s="207"/>
      <c r="EO182" s="207"/>
      <c r="EP182" s="207"/>
      <c r="EQ182" s="207"/>
      <c r="ER182" s="207"/>
      <c r="ES182" s="207"/>
      <c r="ET182" s="207"/>
      <c r="EU182" s="207"/>
      <c r="EV182" s="207"/>
      <c r="EW182" s="207"/>
      <c r="EX182" s="207"/>
      <c r="EY182" s="207"/>
      <c r="EZ182" s="207"/>
      <c r="FA182" s="207"/>
      <c r="FB182" s="207"/>
      <c r="FC182" s="207"/>
      <c r="FD182" s="207"/>
      <c r="FE182" s="207"/>
      <c r="FF182" s="207"/>
      <c r="FG182" s="207"/>
      <c r="FH182" s="207"/>
      <c r="FI182" s="207"/>
      <c r="FJ182" s="207"/>
      <c r="FK182" s="207"/>
      <c r="FL182" s="207"/>
      <c r="FM182" s="207"/>
      <c r="FN182" s="207"/>
      <c r="FO182" s="207"/>
      <c r="FP182" s="207"/>
      <c r="FQ182" s="207"/>
      <c r="FR182" s="207"/>
      <c r="FS182" s="208"/>
      <c r="FT182" s="156"/>
    </row>
    <row r="183" spans="1:176" ht="15" outlineLevel="1">
      <c r="A183" s="206" t="s">
        <v>1444</v>
      </c>
      <c r="B183" s="200" t="s">
        <v>1411</v>
      </c>
      <c r="C183" s="34"/>
      <c r="D183" s="34"/>
      <c r="E183" s="34"/>
      <c r="F183" s="34"/>
      <c r="G183" s="34"/>
      <c r="H183" s="37" t="s">
        <v>488</v>
      </c>
      <c r="I183" s="38"/>
      <c r="J183" s="38"/>
      <c r="K183" s="38"/>
      <c r="L183" s="38"/>
      <c r="M183" s="38"/>
      <c r="N183" s="38"/>
      <c r="O183" s="38"/>
      <c r="P183" s="38"/>
      <c r="Q183" s="38"/>
      <c r="R183" s="177">
        <f t="shared" si="25"/>
        <v>0</v>
      </c>
      <c r="S183" s="202">
        <f t="shared" si="27"/>
        <v>0</v>
      </c>
      <c r="T183" s="202">
        <f t="shared" si="28"/>
        <v>0</v>
      </c>
      <c r="U183" s="18"/>
      <c r="V183" s="206" t="str">
        <f t="shared" si="22"/>
        <v>4-21</v>
      </c>
      <c r="W183" s="215" t="str">
        <f t="shared" si="26"/>
        <v/>
      </c>
      <c r="X183" s="110"/>
      <c r="Y183" s="109"/>
      <c r="Z183" s="207"/>
      <c r="AA183" s="207"/>
      <c r="AB183" s="207"/>
      <c r="AC183" s="207"/>
      <c r="AD183" s="207"/>
      <c r="AE183" s="207"/>
      <c r="AF183" s="207"/>
      <c r="AG183" s="207"/>
      <c r="AH183" s="207"/>
      <c r="AI183" s="207"/>
      <c r="AJ183" s="207"/>
      <c r="AK183" s="207"/>
      <c r="AL183" s="207"/>
      <c r="AM183" s="207"/>
      <c r="AN183" s="207"/>
      <c r="AO183" s="207"/>
      <c r="AP183" s="207"/>
      <c r="AQ183" s="207"/>
      <c r="AR183" s="207"/>
      <c r="AS183" s="207"/>
      <c r="AT183" s="207"/>
      <c r="AU183" s="207"/>
      <c r="AV183" s="207"/>
      <c r="AW183" s="207"/>
      <c r="AX183" s="207"/>
      <c r="AY183" s="207"/>
      <c r="AZ183" s="207"/>
      <c r="BA183" s="207"/>
      <c r="BB183" s="207"/>
      <c r="BC183" s="207"/>
      <c r="BD183" s="207"/>
      <c r="BE183" s="207"/>
      <c r="BF183" s="207"/>
      <c r="BG183" s="207"/>
      <c r="BH183" s="207"/>
      <c r="BI183" s="207"/>
      <c r="BJ183" s="207"/>
      <c r="BK183" s="207"/>
      <c r="BL183" s="207"/>
      <c r="BM183" s="207"/>
      <c r="BN183" s="207"/>
      <c r="BO183" s="207"/>
      <c r="BP183" s="207"/>
      <c r="BQ183" s="207"/>
      <c r="BR183" s="207"/>
      <c r="BS183" s="207"/>
      <c r="BT183" s="207"/>
      <c r="BU183" s="207"/>
      <c r="BV183" s="207"/>
      <c r="BW183" s="207"/>
      <c r="BX183" s="207"/>
      <c r="BY183" s="207"/>
      <c r="BZ183" s="207"/>
      <c r="CA183" s="207"/>
      <c r="CB183" s="207"/>
      <c r="CC183" s="207"/>
      <c r="CD183" s="207"/>
      <c r="CE183" s="207"/>
      <c r="CF183" s="207"/>
      <c r="CG183" s="207"/>
      <c r="CH183" s="207"/>
      <c r="CI183" s="207"/>
      <c r="CJ183" s="207"/>
      <c r="CK183" s="207"/>
      <c r="CL183" s="207"/>
      <c r="CM183" s="207"/>
      <c r="CN183" s="207"/>
      <c r="CO183" s="207"/>
      <c r="CP183" s="207"/>
      <c r="CQ183" s="207"/>
      <c r="CR183" s="207"/>
      <c r="CS183" s="207"/>
      <c r="CT183" s="207"/>
      <c r="CU183" s="207"/>
      <c r="CV183" s="207"/>
      <c r="CW183" s="207"/>
      <c r="CX183" s="207"/>
      <c r="CY183" s="207"/>
      <c r="CZ183" s="207"/>
      <c r="DA183" s="207"/>
      <c r="DB183" s="207"/>
      <c r="DC183" s="207"/>
      <c r="DD183" s="207"/>
      <c r="DE183" s="207"/>
      <c r="DF183" s="207"/>
      <c r="DG183" s="207"/>
      <c r="DH183" s="207"/>
      <c r="DI183" s="207"/>
      <c r="DJ183" s="207"/>
      <c r="DK183" s="207"/>
      <c r="DL183" s="207"/>
      <c r="DM183" s="207"/>
      <c r="DN183" s="207"/>
      <c r="DO183" s="207"/>
      <c r="DP183" s="207"/>
      <c r="DQ183" s="207"/>
      <c r="DR183" s="207"/>
      <c r="DS183" s="207"/>
      <c r="DT183" s="207"/>
      <c r="DU183" s="207"/>
      <c r="DV183" s="207"/>
      <c r="DW183" s="207"/>
      <c r="DX183" s="207"/>
      <c r="DY183" s="207"/>
      <c r="DZ183" s="207"/>
      <c r="EA183" s="207"/>
      <c r="EB183" s="207"/>
      <c r="EC183" s="207"/>
      <c r="ED183" s="207"/>
      <c r="EE183" s="207"/>
      <c r="EF183" s="207"/>
      <c r="EG183" s="207"/>
      <c r="EH183" s="207"/>
      <c r="EI183" s="207"/>
      <c r="EJ183" s="207"/>
      <c r="EK183" s="207"/>
      <c r="EL183" s="207"/>
      <c r="EM183" s="207"/>
      <c r="EN183" s="207"/>
      <c r="EO183" s="207"/>
      <c r="EP183" s="207"/>
      <c r="EQ183" s="207"/>
      <c r="ER183" s="207"/>
      <c r="ES183" s="207"/>
      <c r="ET183" s="207"/>
      <c r="EU183" s="207"/>
      <c r="EV183" s="207"/>
      <c r="EW183" s="207"/>
      <c r="EX183" s="207"/>
      <c r="EY183" s="207"/>
      <c r="EZ183" s="207"/>
      <c r="FA183" s="207"/>
      <c r="FB183" s="207"/>
      <c r="FC183" s="207"/>
      <c r="FD183" s="207"/>
      <c r="FE183" s="207"/>
      <c r="FF183" s="207"/>
      <c r="FG183" s="207"/>
      <c r="FH183" s="207"/>
      <c r="FI183" s="207"/>
      <c r="FJ183" s="207"/>
      <c r="FK183" s="207"/>
      <c r="FL183" s="207"/>
      <c r="FM183" s="207"/>
      <c r="FN183" s="207"/>
      <c r="FO183" s="207"/>
      <c r="FP183" s="207"/>
      <c r="FQ183" s="207"/>
      <c r="FR183" s="207"/>
      <c r="FS183" s="208"/>
      <c r="FT183" s="156"/>
    </row>
    <row r="184" spans="1:176" ht="15" outlineLevel="1">
      <c r="A184" s="206" t="s">
        <v>1445</v>
      </c>
      <c r="B184" s="200" t="s">
        <v>1411</v>
      </c>
      <c r="C184" s="34"/>
      <c r="D184" s="34"/>
      <c r="E184" s="34"/>
      <c r="F184" s="34"/>
      <c r="G184" s="34"/>
      <c r="H184" s="37" t="s">
        <v>488</v>
      </c>
      <c r="I184" s="38"/>
      <c r="J184" s="38"/>
      <c r="K184" s="38"/>
      <c r="L184" s="38"/>
      <c r="M184" s="38"/>
      <c r="N184" s="38"/>
      <c r="O184" s="38"/>
      <c r="P184" s="38"/>
      <c r="Q184" s="38"/>
      <c r="R184" s="177">
        <f t="shared" si="25"/>
        <v>0</v>
      </c>
      <c r="S184" s="202">
        <f t="shared" si="27"/>
        <v>0</v>
      </c>
      <c r="T184" s="202">
        <f t="shared" si="28"/>
        <v>0</v>
      </c>
      <c r="U184" s="18"/>
      <c r="V184" s="206" t="str">
        <f t="shared" si="22"/>
        <v>4-22</v>
      </c>
      <c r="W184" s="215" t="str">
        <f t="shared" si="26"/>
        <v/>
      </c>
      <c r="X184" s="110"/>
      <c r="Y184" s="109"/>
      <c r="Z184" s="207"/>
      <c r="AA184" s="207"/>
      <c r="AB184" s="207"/>
      <c r="AC184" s="207"/>
      <c r="AD184" s="207"/>
      <c r="AE184" s="207"/>
      <c r="AF184" s="207"/>
      <c r="AG184" s="207"/>
      <c r="AH184" s="207"/>
      <c r="AI184" s="207"/>
      <c r="AJ184" s="207"/>
      <c r="AK184" s="207"/>
      <c r="AL184" s="207"/>
      <c r="AM184" s="207"/>
      <c r="AN184" s="207"/>
      <c r="AO184" s="207"/>
      <c r="AP184" s="207"/>
      <c r="AQ184" s="207"/>
      <c r="AR184" s="207"/>
      <c r="AS184" s="207"/>
      <c r="AT184" s="207"/>
      <c r="AU184" s="207"/>
      <c r="AV184" s="207"/>
      <c r="AW184" s="207"/>
      <c r="AX184" s="207"/>
      <c r="AY184" s="207"/>
      <c r="AZ184" s="207"/>
      <c r="BA184" s="207"/>
      <c r="BB184" s="207"/>
      <c r="BC184" s="207"/>
      <c r="BD184" s="207"/>
      <c r="BE184" s="207"/>
      <c r="BF184" s="207"/>
      <c r="BG184" s="207"/>
      <c r="BH184" s="207"/>
      <c r="BI184" s="207"/>
      <c r="BJ184" s="207"/>
      <c r="BK184" s="207"/>
      <c r="BL184" s="207"/>
      <c r="BM184" s="207"/>
      <c r="BN184" s="207"/>
      <c r="BO184" s="207"/>
      <c r="BP184" s="207"/>
      <c r="BQ184" s="207"/>
      <c r="BR184" s="207"/>
      <c r="BS184" s="207"/>
      <c r="BT184" s="207"/>
      <c r="BU184" s="207"/>
      <c r="BV184" s="207"/>
      <c r="BW184" s="207"/>
      <c r="BX184" s="207"/>
      <c r="BY184" s="207"/>
      <c r="BZ184" s="207"/>
      <c r="CA184" s="207"/>
      <c r="CB184" s="207"/>
      <c r="CC184" s="207"/>
      <c r="CD184" s="207"/>
      <c r="CE184" s="207"/>
      <c r="CF184" s="207"/>
      <c r="CG184" s="207"/>
      <c r="CH184" s="207"/>
      <c r="CI184" s="207"/>
      <c r="CJ184" s="207"/>
      <c r="CK184" s="207"/>
      <c r="CL184" s="207"/>
      <c r="CM184" s="207"/>
      <c r="CN184" s="207"/>
      <c r="CO184" s="207"/>
      <c r="CP184" s="207"/>
      <c r="CQ184" s="207"/>
      <c r="CR184" s="207"/>
      <c r="CS184" s="207"/>
      <c r="CT184" s="207"/>
      <c r="CU184" s="207"/>
      <c r="CV184" s="207"/>
      <c r="CW184" s="207"/>
      <c r="CX184" s="207"/>
      <c r="CY184" s="207"/>
      <c r="CZ184" s="207"/>
      <c r="DA184" s="207"/>
      <c r="DB184" s="207"/>
      <c r="DC184" s="207"/>
      <c r="DD184" s="207"/>
      <c r="DE184" s="207"/>
      <c r="DF184" s="207"/>
      <c r="DG184" s="207"/>
      <c r="DH184" s="207"/>
      <c r="DI184" s="207"/>
      <c r="DJ184" s="207"/>
      <c r="DK184" s="207"/>
      <c r="DL184" s="207"/>
      <c r="DM184" s="207"/>
      <c r="DN184" s="207"/>
      <c r="DO184" s="207"/>
      <c r="DP184" s="207"/>
      <c r="DQ184" s="207"/>
      <c r="DR184" s="207"/>
      <c r="DS184" s="207"/>
      <c r="DT184" s="207"/>
      <c r="DU184" s="207"/>
      <c r="DV184" s="207"/>
      <c r="DW184" s="207"/>
      <c r="DX184" s="207"/>
      <c r="DY184" s="207"/>
      <c r="DZ184" s="207"/>
      <c r="EA184" s="207"/>
      <c r="EB184" s="207"/>
      <c r="EC184" s="207"/>
      <c r="ED184" s="207"/>
      <c r="EE184" s="207"/>
      <c r="EF184" s="207"/>
      <c r="EG184" s="207"/>
      <c r="EH184" s="207"/>
      <c r="EI184" s="207"/>
      <c r="EJ184" s="207"/>
      <c r="EK184" s="207"/>
      <c r="EL184" s="207"/>
      <c r="EM184" s="207"/>
      <c r="EN184" s="207"/>
      <c r="EO184" s="207"/>
      <c r="EP184" s="207"/>
      <c r="EQ184" s="207"/>
      <c r="ER184" s="207"/>
      <c r="ES184" s="207"/>
      <c r="ET184" s="207"/>
      <c r="EU184" s="207"/>
      <c r="EV184" s="207"/>
      <c r="EW184" s="207"/>
      <c r="EX184" s="207"/>
      <c r="EY184" s="207"/>
      <c r="EZ184" s="207"/>
      <c r="FA184" s="207"/>
      <c r="FB184" s="207"/>
      <c r="FC184" s="207"/>
      <c r="FD184" s="207"/>
      <c r="FE184" s="207"/>
      <c r="FF184" s="207"/>
      <c r="FG184" s="207"/>
      <c r="FH184" s="207"/>
      <c r="FI184" s="207"/>
      <c r="FJ184" s="207"/>
      <c r="FK184" s="207"/>
      <c r="FL184" s="207"/>
      <c r="FM184" s="207"/>
      <c r="FN184" s="207"/>
      <c r="FO184" s="207"/>
      <c r="FP184" s="207"/>
      <c r="FQ184" s="207"/>
      <c r="FR184" s="207"/>
      <c r="FS184" s="208"/>
      <c r="FT184" s="156"/>
    </row>
    <row r="185" spans="1:176" ht="15" outlineLevel="1">
      <c r="A185" s="206" t="s">
        <v>1446</v>
      </c>
      <c r="B185" s="200" t="s">
        <v>1411</v>
      </c>
      <c r="C185" s="34"/>
      <c r="D185" s="34"/>
      <c r="E185" s="34"/>
      <c r="F185" s="34"/>
      <c r="G185" s="34"/>
      <c r="H185" s="37" t="s">
        <v>488</v>
      </c>
      <c r="I185" s="38"/>
      <c r="J185" s="38"/>
      <c r="K185" s="38"/>
      <c r="L185" s="38"/>
      <c r="M185" s="38"/>
      <c r="N185" s="38"/>
      <c r="O185" s="38"/>
      <c r="P185" s="38"/>
      <c r="Q185" s="38"/>
      <c r="R185" s="177">
        <f t="shared" si="25"/>
        <v>0</v>
      </c>
      <c r="S185" s="202">
        <f t="shared" si="27"/>
        <v>0</v>
      </c>
      <c r="T185" s="202">
        <f t="shared" si="28"/>
        <v>0</v>
      </c>
      <c r="U185" s="18"/>
      <c r="V185" s="206" t="str">
        <f t="shared" si="22"/>
        <v>4-23</v>
      </c>
      <c r="W185" s="215" t="str">
        <f t="shared" si="26"/>
        <v/>
      </c>
      <c r="X185" s="110"/>
      <c r="Y185" s="109"/>
      <c r="Z185" s="207"/>
      <c r="AA185" s="207"/>
      <c r="AB185" s="207"/>
      <c r="AC185" s="207"/>
      <c r="AD185" s="207"/>
      <c r="AE185" s="207"/>
      <c r="AF185" s="207"/>
      <c r="AG185" s="207"/>
      <c r="AH185" s="207"/>
      <c r="AI185" s="207"/>
      <c r="AJ185" s="207"/>
      <c r="AK185" s="207"/>
      <c r="AL185" s="207"/>
      <c r="AM185" s="207"/>
      <c r="AN185" s="207"/>
      <c r="AO185" s="207"/>
      <c r="AP185" s="207"/>
      <c r="AQ185" s="207"/>
      <c r="AR185" s="207"/>
      <c r="AS185" s="207"/>
      <c r="AT185" s="207"/>
      <c r="AU185" s="207"/>
      <c r="AV185" s="207"/>
      <c r="AW185" s="207"/>
      <c r="AX185" s="207"/>
      <c r="AY185" s="207"/>
      <c r="AZ185" s="207"/>
      <c r="BA185" s="207"/>
      <c r="BB185" s="207"/>
      <c r="BC185" s="207"/>
      <c r="BD185" s="207"/>
      <c r="BE185" s="207"/>
      <c r="BF185" s="207"/>
      <c r="BG185" s="207"/>
      <c r="BH185" s="207"/>
      <c r="BI185" s="207"/>
      <c r="BJ185" s="207"/>
      <c r="BK185" s="207"/>
      <c r="BL185" s="207"/>
      <c r="BM185" s="207"/>
      <c r="BN185" s="207"/>
      <c r="BO185" s="207"/>
      <c r="BP185" s="207"/>
      <c r="BQ185" s="207"/>
      <c r="BR185" s="207"/>
      <c r="BS185" s="207"/>
      <c r="BT185" s="207"/>
      <c r="BU185" s="207"/>
      <c r="BV185" s="207"/>
      <c r="BW185" s="207"/>
      <c r="BX185" s="207"/>
      <c r="BY185" s="207"/>
      <c r="BZ185" s="207"/>
      <c r="CA185" s="207"/>
      <c r="CB185" s="207"/>
      <c r="CC185" s="207"/>
      <c r="CD185" s="207"/>
      <c r="CE185" s="207"/>
      <c r="CF185" s="207"/>
      <c r="CG185" s="207"/>
      <c r="CH185" s="207"/>
      <c r="CI185" s="207"/>
      <c r="CJ185" s="207"/>
      <c r="CK185" s="207"/>
      <c r="CL185" s="207"/>
      <c r="CM185" s="207"/>
      <c r="CN185" s="207"/>
      <c r="CO185" s="207"/>
      <c r="CP185" s="207"/>
      <c r="CQ185" s="207"/>
      <c r="CR185" s="207"/>
      <c r="CS185" s="207"/>
      <c r="CT185" s="207"/>
      <c r="CU185" s="207"/>
      <c r="CV185" s="207"/>
      <c r="CW185" s="207"/>
      <c r="CX185" s="207"/>
      <c r="CY185" s="207"/>
      <c r="CZ185" s="207"/>
      <c r="DA185" s="207"/>
      <c r="DB185" s="207"/>
      <c r="DC185" s="207"/>
      <c r="DD185" s="207"/>
      <c r="DE185" s="207"/>
      <c r="DF185" s="207"/>
      <c r="DG185" s="207"/>
      <c r="DH185" s="207"/>
      <c r="DI185" s="207"/>
      <c r="DJ185" s="207"/>
      <c r="DK185" s="207"/>
      <c r="DL185" s="207"/>
      <c r="DM185" s="207"/>
      <c r="DN185" s="207"/>
      <c r="DO185" s="207"/>
      <c r="DP185" s="207"/>
      <c r="DQ185" s="207"/>
      <c r="DR185" s="207"/>
      <c r="DS185" s="207"/>
      <c r="DT185" s="207"/>
      <c r="DU185" s="207"/>
      <c r="DV185" s="207"/>
      <c r="DW185" s="207"/>
      <c r="DX185" s="207"/>
      <c r="DY185" s="207"/>
      <c r="DZ185" s="207"/>
      <c r="EA185" s="207"/>
      <c r="EB185" s="207"/>
      <c r="EC185" s="207"/>
      <c r="ED185" s="207"/>
      <c r="EE185" s="207"/>
      <c r="EF185" s="207"/>
      <c r="EG185" s="207"/>
      <c r="EH185" s="207"/>
      <c r="EI185" s="207"/>
      <c r="EJ185" s="207"/>
      <c r="EK185" s="207"/>
      <c r="EL185" s="207"/>
      <c r="EM185" s="207"/>
      <c r="EN185" s="207"/>
      <c r="EO185" s="207"/>
      <c r="EP185" s="207"/>
      <c r="EQ185" s="207"/>
      <c r="ER185" s="207"/>
      <c r="ES185" s="207"/>
      <c r="ET185" s="207"/>
      <c r="EU185" s="207"/>
      <c r="EV185" s="207"/>
      <c r="EW185" s="207"/>
      <c r="EX185" s="207"/>
      <c r="EY185" s="207"/>
      <c r="EZ185" s="207"/>
      <c r="FA185" s="207"/>
      <c r="FB185" s="207"/>
      <c r="FC185" s="207"/>
      <c r="FD185" s="207"/>
      <c r="FE185" s="207"/>
      <c r="FF185" s="207"/>
      <c r="FG185" s="207"/>
      <c r="FH185" s="207"/>
      <c r="FI185" s="207"/>
      <c r="FJ185" s="207"/>
      <c r="FK185" s="207"/>
      <c r="FL185" s="207"/>
      <c r="FM185" s="207"/>
      <c r="FN185" s="207"/>
      <c r="FO185" s="207"/>
      <c r="FP185" s="207"/>
      <c r="FQ185" s="207"/>
      <c r="FR185" s="207"/>
      <c r="FS185" s="208"/>
      <c r="FT185" s="156"/>
    </row>
    <row r="186" spans="1:176" ht="15" outlineLevel="1">
      <c r="A186" s="206" t="s">
        <v>1447</v>
      </c>
      <c r="B186" s="200" t="s">
        <v>1411</v>
      </c>
      <c r="C186" s="34"/>
      <c r="D186" s="34"/>
      <c r="E186" s="34"/>
      <c r="F186" s="34"/>
      <c r="G186" s="34"/>
      <c r="H186" s="37" t="s">
        <v>488</v>
      </c>
      <c r="I186" s="38"/>
      <c r="J186" s="38"/>
      <c r="K186" s="38"/>
      <c r="L186" s="38"/>
      <c r="M186" s="38"/>
      <c r="N186" s="38"/>
      <c r="O186" s="38"/>
      <c r="P186" s="38"/>
      <c r="Q186" s="38"/>
      <c r="R186" s="177">
        <f t="shared" si="25"/>
        <v>0</v>
      </c>
      <c r="S186" s="202">
        <f t="shared" si="27"/>
        <v>0</v>
      </c>
      <c r="T186" s="202">
        <f t="shared" si="28"/>
        <v>0</v>
      </c>
      <c r="U186" s="18"/>
      <c r="V186" s="206" t="str">
        <f t="shared" si="22"/>
        <v>4-24</v>
      </c>
      <c r="W186" s="215" t="str">
        <f t="shared" si="26"/>
        <v/>
      </c>
      <c r="X186" s="110"/>
      <c r="Y186" s="109"/>
      <c r="Z186" s="207"/>
      <c r="AA186" s="207"/>
      <c r="AB186" s="207"/>
      <c r="AC186" s="207"/>
      <c r="AD186" s="207"/>
      <c r="AE186" s="207"/>
      <c r="AF186" s="207"/>
      <c r="AG186" s="207"/>
      <c r="AH186" s="207"/>
      <c r="AI186" s="207"/>
      <c r="AJ186" s="207"/>
      <c r="AK186" s="207"/>
      <c r="AL186" s="207"/>
      <c r="AM186" s="207"/>
      <c r="AN186" s="207"/>
      <c r="AO186" s="207"/>
      <c r="AP186" s="207"/>
      <c r="AQ186" s="207"/>
      <c r="AR186" s="207"/>
      <c r="AS186" s="207"/>
      <c r="AT186" s="207"/>
      <c r="AU186" s="207"/>
      <c r="AV186" s="207"/>
      <c r="AW186" s="207"/>
      <c r="AX186" s="207"/>
      <c r="AY186" s="207"/>
      <c r="AZ186" s="207"/>
      <c r="BA186" s="207"/>
      <c r="BB186" s="207"/>
      <c r="BC186" s="207"/>
      <c r="BD186" s="207"/>
      <c r="BE186" s="207"/>
      <c r="BF186" s="207"/>
      <c r="BG186" s="207"/>
      <c r="BH186" s="207"/>
      <c r="BI186" s="207"/>
      <c r="BJ186" s="207"/>
      <c r="BK186" s="207"/>
      <c r="BL186" s="207"/>
      <c r="BM186" s="207"/>
      <c r="BN186" s="207"/>
      <c r="BO186" s="207"/>
      <c r="BP186" s="207"/>
      <c r="BQ186" s="207"/>
      <c r="BR186" s="207"/>
      <c r="BS186" s="207"/>
      <c r="BT186" s="207"/>
      <c r="BU186" s="207"/>
      <c r="BV186" s="207"/>
      <c r="BW186" s="207"/>
      <c r="BX186" s="207"/>
      <c r="BY186" s="207"/>
      <c r="BZ186" s="207"/>
      <c r="CA186" s="207"/>
      <c r="CB186" s="207"/>
      <c r="CC186" s="207"/>
      <c r="CD186" s="207"/>
      <c r="CE186" s="207"/>
      <c r="CF186" s="207"/>
      <c r="CG186" s="207"/>
      <c r="CH186" s="207"/>
      <c r="CI186" s="207"/>
      <c r="CJ186" s="207"/>
      <c r="CK186" s="207"/>
      <c r="CL186" s="207"/>
      <c r="CM186" s="207"/>
      <c r="CN186" s="207"/>
      <c r="CO186" s="207"/>
      <c r="CP186" s="207"/>
      <c r="CQ186" s="207"/>
      <c r="CR186" s="207"/>
      <c r="CS186" s="207"/>
      <c r="CT186" s="207"/>
      <c r="CU186" s="207"/>
      <c r="CV186" s="207"/>
      <c r="CW186" s="207"/>
      <c r="CX186" s="207"/>
      <c r="CY186" s="207"/>
      <c r="CZ186" s="207"/>
      <c r="DA186" s="207"/>
      <c r="DB186" s="207"/>
      <c r="DC186" s="207"/>
      <c r="DD186" s="207"/>
      <c r="DE186" s="207"/>
      <c r="DF186" s="207"/>
      <c r="DG186" s="207"/>
      <c r="DH186" s="207"/>
      <c r="DI186" s="207"/>
      <c r="DJ186" s="207"/>
      <c r="DK186" s="207"/>
      <c r="DL186" s="207"/>
      <c r="DM186" s="207"/>
      <c r="DN186" s="207"/>
      <c r="DO186" s="207"/>
      <c r="DP186" s="207"/>
      <c r="DQ186" s="207"/>
      <c r="DR186" s="207"/>
      <c r="DS186" s="207"/>
      <c r="DT186" s="207"/>
      <c r="DU186" s="207"/>
      <c r="DV186" s="207"/>
      <c r="DW186" s="207"/>
      <c r="DX186" s="207"/>
      <c r="DY186" s="207"/>
      <c r="DZ186" s="207"/>
      <c r="EA186" s="207"/>
      <c r="EB186" s="207"/>
      <c r="EC186" s="207"/>
      <c r="ED186" s="207"/>
      <c r="EE186" s="207"/>
      <c r="EF186" s="207"/>
      <c r="EG186" s="207"/>
      <c r="EH186" s="207"/>
      <c r="EI186" s="207"/>
      <c r="EJ186" s="207"/>
      <c r="EK186" s="207"/>
      <c r="EL186" s="207"/>
      <c r="EM186" s="207"/>
      <c r="EN186" s="207"/>
      <c r="EO186" s="207"/>
      <c r="EP186" s="207"/>
      <c r="EQ186" s="207"/>
      <c r="ER186" s="207"/>
      <c r="ES186" s="207"/>
      <c r="ET186" s="207"/>
      <c r="EU186" s="207"/>
      <c r="EV186" s="207"/>
      <c r="EW186" s="207"/>
      <c r="EX186" s="207"/>
      <c r="EY186" s="207"/>
      <c r="EZ186" s="207"/>
      <c r="FA186" s="207"/>
      <c r="FB186" s="207"/>
      <c r="FC186" s="207"/>
      <c r="FD186" s="207"/>
      <c r="FE186" s="207"/>
      <c r="FF186" s="207"/>
      <c r="FG186" s="207"/>
      <c r="FH186" s="207"/>
      <c r="FI186" s="207"/>
      <c r="FJ186" s="207"/>
      <c r="FK186" s="207"/>
      <c r="FL186" s="207"/>
      <c r="FM186" s="207"/>
      <c r="FN186" s="207"/>
      <c r="FO186" s="207"/>
      <c r="FP186" s="207"/>
      <c r="FQ186" s="207"/>
      <c r="FR186" s="207"/>
      <c r="FS186" s="208"/>
      <c r="FT186" s="156"/>
    </row>
    <row r="187" spans="1:176" ht="15" outlineLevel="1">
      <c r="A187" s="206" t="s">
        <v>1448</v>
      </c>
      <c r="B187" s="200" t="s">
        <v>1411</v>
      </c>
      <c r="C187" s="34"/>
      <c r="D187" s="34"/>
      <c r="E187" s="34"/>
      <c r="F187" s="34"/>
      <c r="G187" s="34"/>
      <c r="H187" s="37" t="s">
        <v>488</v>
      </c>
      <c r="I187" s="38"/>
      <c r="J187" s="38"/>
      <c r="K187" s="38"/>
      <c r="L187" s="38"/>
      <c r="M187" s="38"/>
      <c r="N187" s="38"/>
      <c r="O187" s="38"/>
      <c r="P187" s="38"/>
      <c r="Q187" s="38"/>
      <c r="R187" s="177">
        <f t="shared" si="25"/>
        <v>0</v>
      </c>
      <c r="S187" s="202">
        <f t="shared" si="27"/>
        <v>0</v>
      </c>
      <c r="T187" s="202">
        <f t="shared" si="28"/>
        <v>0</v>
      </c>
      <c r="U187" s="18"/>
      <c r="V187" s="206" t="str">
        <f t="shared" si="22"/>
        <v>4-25</v>
      </c>
      <c r="W187" s="215" t="str">
        <f t="shared" si="26"/>
        <v/>
      </c>
      <c r="X187" s="110"/>
      <c r="Y187" s="109"/>
      <c r="Z187" s="207"/>
      <c r="AA187" s="207"/>
      <c r="AB187" s="207"/>
      <c r="AC187" s="207"/>
      <c r="AD187" s="207"/>
      <c r="AE187" s="207"/>
      <c r="AF187" s="207"/>
      <c r="AG187" s="207"/>
      <c r="AH187" s="207"/>
      <c r="AI187" s="207"/>
      <c r="AJ187" s="207"/>
      <c r="AK187" s="207"/>
      <c r="AL187" s="207"/>
      <c r="AM187" s="207"/>
      <c r="AN187" s="207"/>
      <c r="AO187" s="207"/>
      <c r="AP187" s="207"/>
      <c r="AQ187" s="207"/>
      <c r="AR187" s="207"/>
      <c r="AS187" s="207"/>
      <c r="AT187" s="207"/>
      <c r="AU187" s="207"/>
      <c r="AV187" s="207"/>
      <c r="AW187" s="207"/>
      <c r="AX187" s="207"/>
      <c r="AY187" s="207"/>
      <c r="AZ187" s="207"/>
      <c r="BA187" s="207"/>
      <c r="BB187" s="207"/>
      <c r="BC187" s="207"/>
      <c r="BD187" s="207"/>
      <c r="BE187" s="207"/>
      <c r="BF187" s="207"/>
      <c r="BG187" s="207"/>
      <c r="BH187" s="207"/>
      <c r="BI187" s="207"/>
      <c r="BJ187" s="207"/>
      <c r="BK187" s="207"/>
      <c r="BL187" s="207"/>
      <c r="BM187" s="207"/>
      <c r="BN187" s="207"/>
      <c r="BO187" s="207"/>
      <c r="BP187" s="207"/>
      <c r="BQ187" s="207"/>
      <c r="BR187" s="207"/>
      <c r="BS187" s="207"/>
      <c r="BT187" s="207"/>
      <c r="BU187" s="207"/>
      <c r="BV187" s="207"/>
      <c r="BW187" s="207"/>
      <c r="BX187" s="207"/>
      <c r="BY187" s="207"/>
      <c r="BZ187" s="207"/>
      <c r="CA187" s="207"/>
      <c r="CB187" s="207"/>
      <c r="CC187" s="207"/>
      <c r="CD187" s="207"/>
      <c r="CE187" s="207"/>
      <c r="CF187" s="207"/>
      <c r="CG187" s="207"/>
      <c r="CH187" s="207"/>
      <c r="CI187" s="207"/>
      <c r="CJ187" s="207"/>
      <c r="CK187" s="207"/>
      <c r="CL187" s="207"/>
      <c r="CM187" s="207"/>
      <c r="CN187" s="207"/>
      <c r="CO187" s="207"/>
      <c r="CP187" s="207"/>
      <c r="CQ187" s="207"/>
      <c r="CR187" s="207"/>
      <c r="CS187" s="207"/>
      <c r="CT187" s="207"/>
      <c r="CU187" s="207"/>
      <c r="CV187" s="207"/>
      <c r="CW187" s="207"/>
      <c r="CX187" s="207"/>
      <c r="CY187" s="207"/>
      <c r="CZ187" s="207"/>
      <c r="DA187" s="207"/>
      <c r="DB187" s="207"/>
      <c r="DC187" s="207"/>
      <c r="DD187" s="207"/>
      <c r="DE187" s="207"/>
      <c r="DF187" s="207"/>
      <c r="DG187" s="207"/>
      <c r="DH187" s="207"/>
      <c r="DI187" s="207"/>
      <c r="DJ187" s="207"/>
      <c r="DK187" s="207"/>
      <c r="DL187" s="207"/>
      <c r="DM187" s="207"/>
      <c r="DN187" s="207"/>
      <c r="DO187" s="207"/>
      <c r="DP187" s="207"/>
      <c r="DQ187" s="207"/>
      <c r="DR187" s="207"/>
      <c r="DS187" s="207"/>
      <c r="DT187" s="207"/>
      <c r="DU187" s="207"/>
      <c r="DV187" s="207"/>
      <c r="DW187" s="207"/>
      <c r="DX187" s="207"/>
      <c r="DY187" s="207"/>
      <c r="DZ187" s="207"/>
      <c r="EA187" s="207"/>
      <c r="EB187" s="207"/>
      <c r="EC187" s="207"/>
      <c r="ED187" s="207"/>
      <c r="EE187" s="207"/>
      <c r="EF187" s="207"/>
      <c r="EG187" s="207"/>
      <c r="EH187" s="207"/>
      <c r="EI187" s="207"/>
      <c r="EJ187" s="207"/>
      <c r="EK187" s="207"/>
      <c r="EL187" s="207"/>
      <c r="EM187" s="207"/>
      <c r="EN187" s="207"/>
      <c r="EO187" s="207"/>
      <c r="EP187" s="207"/>
      <c r="EQ187" s="207"/>
      <c r="ER187" s="207"/>
      <c r="ES187" s="207"/>
      <c r="ET187" s="207"/>
      <c r="EU187" s="207"/>
      <c r="EV187" s="207"/>
      <c r="EW187" s="207"/>
      <c r="EX187" s="207"/>
      <c r="EY187" s="207"/>
      <c r="EZ187" s="207"/>
      <c r="FA187" s="207"/>
      <c r="FB187" s="207"/>
      <c r="FC187" s="207"/>
      <c r="FD187" s="207"/>
      <c r="FE187" s="207"/>
      <c r="FF187" s="207"/>
      <c r="FG187" s="207"/>
      <c r="FH187" s="207"/>
      <c r="FI187" s="207"/>
      <c r="FJ187" s="207"/>
      <c r="FK187" s="207"/>
      <c r="FL187" s="207"/>
      <c r="FM187" s="207"/>
      <c r="FN187" s="207"/>
      <c r="FO187" s="207"/>
      <c r="FP187" s="207"/>
      <c r="FQ187" s="207"/>
      <c r="FR187" s="207"/>
      <c r="FS187" s="208"/>
      <c r="FT187" s="156"/>
    </row>
    <row r="188" spans="1:176" ht="15" outlineLevel="1">
      <c r="A188" s="206" t="s">
        <v>1449</v>
      </c>
      <c r="B188" s="200" t="s">
        <v>1411</v>
      </c>
      <c r="C188" s="34"/>
      <c r="D188" s="34"/>
      <c r="E188" s="34"/>
      <c r="F188" s="34"/>
      <c r="G188" s="34"/>
      <c r="H188" s="37" t="s">
        <v>488</v>
      </c>
      <c r="I188" s="38"/>
      <c r="J188" s="38"/>
      <c r="K188" s="38"/>
      <c r="L188" s="38"/>
      <c r="M188" s="38"/>
      <c r="N188" s="38"/>
      <c r="O188" s="38"/>
      <c r="P188" s="38"/>
      <c r="Q188" s="38"/>
      <c r="R188" s="177">
        <f t="shared" si="25"/>
        <v>0</v>
      </c>
      <c r="S188" s="202">
        <f t="shared" si="27"/>
        <v>0</v>
      </c>
      <c r="T188" s="202">
        <f t="shared" si="28"/>
        <v>0</v>
      </c>
      <c r="U188" s="18"/>
      <c r="V188" s="206" t="str">
        <f t="shared" si="22"/>
        <v>4-26</v>
      </c>
      <c r="W188" s="215" t="str">
        <f t="shared" si="26"/>
        <v/>
      </c>
      <c r="X188" s="110"/>
      <c r="Y188" s="109"/>
      <c r="Z188" s="207"/>
      <c r="AA188" s="207"/>
      <c r="AB188" s="207"/>
      <c r="AC188" s="207"/>
      <c r="AD188" s="207"/>
      <c r="AE188" s="207"/>
      <c r="AF188" s="207"/>
      <c r="AG188" s="207"/>
      <c r="AH188" s="207"/>
      <c r="AI188" s="207"/>
      <c r="AJ188" s="207"/>
      <c r="AK188" s="207"/>
      <c r="AL188" s="207"/>
      <c r="AM188" s="207"/>
      <c r="AN188" s="207"/>
      <c r="AO188" s="207"/>
      <c r="AP188" s="207"/>
      <c r="AQ188" s="207"/>
      <c r="AR188" s="207"/>
      <c r="AS188" s="207"/>
      <c r="AT188" s="207"/>
      <c r="AU188" s="207"/>
      <c r="AV188" s="207"/>
      <c r="AW188" s="207"/>
      <c r="AX188" s="207"/>
      <c r="AY188" s="207"/>
      <c r="AZ188" s="207"/>
      <c r="BA188" s="207"/>
      <c r="BB188" s="207"/>
      <c r="BC188" s="207"/>
      <c r="BD188" s="207"/>
      <c r="BE188" s="207"/>
      <c r="BF188" s="207"/>
      <c r="BG188" s="207"/>
      <c r="BH188" s="207"/>
      <c r="BI188" s="207"/>
      <c r="BJ188" s="207"/>
      <c r="BK188" s="207"/>
      <c r="BL188" s="207"/>
      <c r="BM188" s="207"/>
      <c r="BN188" s="207"/>
      <c r="BO188" s="207"/>
      <c r="BP188" s="207"/>
      <c r="BQ188" s="207"/>
      <c r="BR188" s="207"/>
      <c r="BS188" s="207"/>
      <c r="BT188" s="207"/>
      <c r="BU188" s="207"/>
      <c r="BV188" s="207"/>
      <c r="BW188" s="207"/>
      <c r="BX188" s="207"/>
      <c r="BY188" s="207"/>
      <c r="BZ188" s="207"/>
      <c r="CA188" s="207"/>
      <c r="CB188" s="207"/>
      <c r="CC188" s="207"/>
      <c r="CD188" s="207"/>
      <c r="CE188" s="207"/>
      <c r="CF188" s="207"/>
      <c r="CG188" s="207"/>
      <c r="CH188" s="207"/>
      <c r="CI188" s="207"/>
      <c r="CJ188" s="207"/>
      <c r="CK188" s="207"/>
      <c r="CL188" s="207"/>
      <c r="CM188" s="207"/>
      <c r="CN188" s="207"/>
      <c r="CO188" s="207"/>
      <c r="CP188" s="207"/>
      <c r="CQ188" s="207"/>
      <c r="CR188" s="207"/>
      <c r="CS188" s="207"/>
      <c r="CT188" s="207"/>
      <c r="CU188" s="207"/>
      <c r="CV188" s="207"/>
      <c r="CW188" s="207"/>
      <c r="CX188" s="207"/>
      <c r="CY188" s="207"/>
      <c r="CZ188" s="207"/>
      <c r="DA188" s="207"/>
      <c r="DB188" s="207"/>
      <c r="DC188" s="207"/>
      <c r="DD188" s="207"/>
      <c r="DE188" s="207"/>
      <c r="DF188" s="207"/>
      <c r="DG188" s="207"/>
      <c r="DH188" s="207"/>
      <c r="DI188" s="207"/>
      <c r="DJ188" s="207"/>
      <c r="DK188" s="207"/>
      <c r="DL188" s="207"/>
      <c r="DM188" s="207"/>
      <c r="DN188" s="207"/>
      <c r="DO188" s="207"/>
      <c r="DP188" s="207"/>
      <c r="DQ188" s="207"/>
      <c r="DR188" s="207"/>
      <c r="DS188" s="207"/>
      <c r="DT188" s="207"/>
      <c r="DU188" s="207"/>
      <c r="DV188" s="207"/>
      <c r="DW188" s="207"/>
      <c r="DX188" s="207"/>
      <c r="DY188" s="207"/>
      <c r="DZ188" s="207"/>
      <c r="EA188" s="207"/>
      <c r="EB188" s="207"/>
      <c r="EC188" s="207"/>
      <c r="ED188" s="207"/>
      <c r="EE188" s="207"/>
      <c r="EF188" s="207"/>
      <c r="EG188" s="207"/>
      <c r="EH188" s="207"/>
      <c r="EI188" s="207"/>
      <c r="EJ188" s="207"/>
      <c r="EK188" s="207"/>
      <c r="EL188" s="207"/>
      <c r="EM188" s="207"/>
      <c r="EN188" s="207"/>
      <c r="EO188" s="207"/>
      <c r="EP188" s="207"/>
      <c r="EQ188" s="207"/>
      <c r="ER188" s="207"/>
      <c r="ES188" s="207"/>
      <c r="ET188" s="207"/>
      <c r="EU188" s="207"/>
      <c r="EV188" s="207"/>
      <c r="EW188" s="207"/>
      <c r="EX188" s="207"/>
      <c r="EY188" s="207"/>
      <c r="EZ188" s="207"/>
      <c r="FA188" s="207"/>
      <c r="FB188" s="207"/>
      <c r="FC188" s="207"/>
      <c r="FD188" s="207"/>
      <c r="FE188" s="207"/>
      <c r="FF188" s="207"/>
      <c r="FG188" s="207"/>
      <c r="FH188" s="207"/>
      <c r="FI188" s="207"/>
      <c r="FJ188" s="207"/>
      <c r="FK188" s="207"/>
      <c r="FL188" s="207"/>
      <c r="FM188" s="207"/>
      <c r="FN188" s="207"/>
      <c r="FO188" s="207"/>
      <c r="FP188" s="207"/>
      <c r="FQ188" s="207"/>
      <c r="FR188" s="207"/>
      <c r="FS188" s="208"/>
      <c r="FT188" s="156"/>
    </row>
    <row r="189" spans="1:176" ht="15" outlineLevel="1">
      <c r="A189" s="206" t="s">
        <v>1450</v>
      </c>
      <c r="B189" s="200" t="s">
        <v>1411</v>
      </c>
      <c r="C189" s="34"/>
      <c r="D189" s="34"/>
      <c r="E189" s="34"/>
      <c r="F189" s="34"/>
      <c r="G189" s="34"/>
      <c r="H189" s="37" t="s">
        <v>488</v>
      </c>
      <c r="I189" s="38"/>
      <c r="J189" s="38"/>
      <c r="K189" s="38"/>
      <c r="L189" s="38"/>
      <c r="M189" s="38"/>
      <c r="N189" s="38"/>
      <c r="O189" s="38"/>
      <c r="P189" s="38"/>
      <c r="Q189" s="38"/>
      <c r="R189" s="177">
        <f t="shared" si="25"/>
        <v>0</v>
      </c>
      <c r="S189" s="202">
        <f t="shared" si="27"/>
        <v>0</v>
      </c>
      <c r="T189" s="202">
        <f t="shared" si="28"/>
        <v>0</v>
      </c>
      <c r="U189" s="18"/>
      <c r="V189" s="206" t="str">
        <f t="shared" si="22"/>
        <v>4-27</v>
      </c>
      <c r="W189" s="215" t="str">
        <f t="shared" si="26"/>
        <v/>
      </c>
      <c r="X189" s="110"/>
      <c r="Y189" s="109"/>
      <c r="Z189" s="207"/>
      <c r="AA189" s="207"/>
      <c r="AB189" s="207"/>
      <c r="AC189" s="207"/>
      <c r="AD189" s="207"/>
      <c r="AE189" s="207"/>
      <c r="AF189" s="207"/>
      <c r="AG189" s="207"/>
      <c r="AH189" s="207"/>
      <c r="AI189" s="207"/>
      <c r="AJ189" s="207"/>
      <c r="AK189" s="207"/>
      <c r="AL189" s="207"/>
      <c r="AM189" s="207"/>
      <c r="AN189" s="207"/>
      <c r="AO189" s="207"/>
      <c r="AP189" s="207"/>
      <c r="AQ189" s="207"/>
      <c r="AR189" s="207"/>
      <c r="AS189" s="207"/>
      <c r="AT189" s="207"/>
      <c r="AU189" s="207"/>
      <c r="AV189" s="207"/>
      <c r="AW189" s="207"/>
      <c r="AX189" s="207"/>
      <c r="AY189" s="207"/>
      <c r="AZ189" s="207"/>
      <c r="BA189" s="207"/>
      <c r="BB189" s="207"/>
      <c r="BC189" s="207"/>
      <c r="BD189" s="207"/>
      <c r="BE189" s="207"/>
      <c r="BF189" s="207"/>
      <c r="BG189" s="207"/>
      <c r="BH189" s="207"/>
      <c r="BI189" s="207"/>
      <c r="BJ189" s="207"/>
      <c r="BK189" s="207"/>
      <c r="BL189" s="207"/>
      <c r="BM189" s="207"/>
      <c r="BN189" s="207"/>
      <c r="BO189" s="207"/>
      <c r="BP189" s="207"/>
      <c r="BQ189" s="207"/>
      <c r="BR189" s="207"/>
      <c r="BS189" s="207"/>
      <c r="BT189" s="207"/>
      <c r="BU189" s="207"/>
      <c r="BV189" s="207"/>
      <c r="BW189" s="207"/>
      <c r="BX189" s="207"/>
      <c r="BY189" s="207"/>
      <c r="BZ189" s="207"/>
      <c r="CA189" s="207"/>
      <c r="CB189" s="207"/>
      <c r="CC189" s="207"/>
      <c r="CD189" s="207"/>
      <c r="CE189" s="207"/>
      <c r="CF189" s="207"/>
      <c r="CG189" s="207"/>
      <c r="CH189" s="207"/>
      <c r="CI189" s="207"/>
      <c r="CJ189" s="207"/>
      <c r="CK189" s="207"/>
      <c r="CL189" s="207"/>
      <c r="CM189" s="207"/>
      <c r="CN189" s="207"/>
      <c r="CO189" s="207"/>
      <c r="CP189" s="207"/>
      <c r="CQ189" s="207"/>
      <c r="CR189" s="207"/>
      <c r="CS189" s="207"/>
      <c r="CT189" s="207"/>
      <c r="CU189" s="207"/>
      <c r="CV189" s="207"/>
      <c r="CW189" s="207"/>
      <c r="CX189" s="207"/>
      <c r="CY189" s="207"/>
      <c r="CZ189" s="207"/>
      <c r="DA189" s="207"/>
      <c r="DB189" s="207"/>
      <c r="DC189" s="207"/>
      <c r="DD189" s="207"/>
      <c r="DE189" s="207"/>
      <c r="DF189" s="207"/>
      <c r="DG189" s="207"/>
      <c r="DH189" s="207"/>
      <c r="DI189" s="207"/>
      <c r="DJ189" s="207"/>
      <c r="DK189" s="207"/>
      <c r="DL189" s="207"/>
      <c r="DM189" s="207"/>
      <c r="DN189" s="207"/>
      <c r="DO189" s="207"/>
      <c r="DP189" s="207"/>
      <c r="DQ189" s="207"/>
      <c r="DR189" s="207"/>
      <c r="DS189" s="207"/>
      <c r="DT189" s="207"/>
      <c r="DU189" s="207"/>
      <c r="DV189" s="207"/>
      <c r="DW189" s="207"/>
      <c r="DX189" s="207"/>
      <c r="DY189" s="207"/>
      <c r="DZ189" s="207"/>
      <c r="EA189" s="207"/>
      <c r="EB189" s="207"/>
      <c r="EC189" s="207"/>
      <c r="ED189" s="207"/>
      <c r="EE189" s="207"/>
      <c r="EF189" s="207"/>
      <c r="EG189" s="207"/>
      <c r="EH189" s="207"/>
      <c r="EI189" s="207"/>
      <c r="EJ189" s="207"/>
      <c r="EK189" s="207"/>
      <c r="EL189" s="207"/>
      <c r="EM189" s="207"/>
      <c r="EN189" s="207"/>
      <c r="EO189" s="207"/>
      <c r="EP189" s="207"/>
      <c r="EQ189" s="207"/>
      <c r="ER189" s="207"/>
      <c r="ES189" s="207"/>
      <c r="ET189" s="207"/>
      <c r="EU189" s="207"/>
      <c r="EV189" s="207"/>
      <c r="EW189" s="207"/>
      <c r="EX189" s="207"/>
      <c r="EY189" s="207"/>
      <c r="EZ189" s="207"/>
      <c r="FA189" s="207"/>
      <c r="FB189" s="207"/>
      <c r="FC189" s="207"/>
      <c r="FD189" s="207"/>
      <c r="FE189" s="207"/>
      <c r="FF189" s="207"/>
      <c r="FG189" s="207"/>
      <c r="FH189" s="207"/>
      <c r="FI189" s="207"/>
      <c r="FJ189" s="207"/>
      <c r="FK189" s="207"/>
      <c r="FL189" s="207"/>
      <c r="FM189" s="207"/>
      <c r="FN189" s="207"/>
      <c r="FO189" s="207"/>
      <c r="FP189" s="207"/>
      <c r="FQ189" s="207"/>
      <c r="FR189" s="207"/>
      <c r="FS189" s="208"/>
      <c r="FT189" s="156"/>
    </row>
    <row r="190" spans="1:176" ht="15" outlineLevel="1">
      <c r="A190" s="206" t="s">
        <v>1451</v>
      </c>
      <c r="B190" s="200" t="s">
        <v>1411</v>
      </c>
      <c r="C190" s="34"/>
      <c r="D190" s="34"/>
      <c r="E190" s="34"/>
      <c r="F190" s="34"/>
      <c r="G190" s="34"/>
      <c r="H190" s="37" t="s">
        <v>488</v>
      </c>
      <c r="I190" s="38"/>
      <c r="J190" s="38"/>
      <c r="K190" s="38"/>
      <c r="L190" s="38"/>
      <c r="M190" s="38"/>
      <c r="N190" s="38"/>
      <c r="O190" s="38"/>
      <c r="P190" s="38"/>
      <c r="Q190" s="38"/>
      <c r="R190" s="177">
        <f t="shared" si="25"/>
        <v>0</v>
      </c>
      <c r="S190" s="202">
        <f t="shared" si="27"/>
        <v>0</v>
      </c>
      <c r="T190" s="202">
        <f t="shared" si="28"/>
        <v>0</v>
      </c>
      <c r="U190" s="18"/>
      <c r="V190" s="206" t="str">
        <f t="shared" si="22"/>
        <v>4-28</v>
      </c>
      <c r="W190" s="215" t="str">
        <f t="shared" si="26"/>
        <v/>
      </c>
      <c r="X190" s="110"/>
      <c r="Y190" s="109"/>
      <c r="Z190" s="207"/>
      <c r="AA190" s="207"/>
      <c r="AB190" s="207"/>
      <c r="AC190" s="207"/>
      <c r="AD190" s="207"/>
      <c r="AE190" s="207"/>
      <c r="AF190" s="207"/>
      <c r="AG190" s="207"/>
      <c r="AH190" s="207"/>
      <c r="AI190" s="207"/>
      <c r="AJ190" s="207"/>
      <c r="AK190" s="207"/>
      <c r="AL190" s="207"/>
      <c r="AM190" s="207"/>
      <c r="AN190" s="207"/>
      <c r="AO190" s="207"/>
      <c r="AP190" s="207"/>
      <c r="AQ190" s="207"/>
      <c r="AR190" s="207"/>
      <c r="AS190" s="207"/>
      <c r="AT190" s="207"/>
      <c r="AU190" s="207"/>
      <c r="AV190" s="207"/>
      <c r="AW190" s="207"/>
      <c r="AX190" s="207"/>
      <c r="AY190" s="207"/>
      <c r="AZ190" s="207"/>
      <c r="BA190" s="207"/>
      <c r="BB190" s="207"/>
      <c r="BC190" s="207"/>
      <c r="BD190" s="207"/>
      <c r="BE190" s="207"/>
      <c r="BF190" s="207"/>
      <c r="BG190" s="207"/>
      <c r="BH190" s="207"/>
      <c r="BI190" s="207"/>
      <c r="BJ190" s="207"/>
      <c r="BK190" s="207"/>
      <c r="BL190" s="207"/>
      <c r="BM190" s="207"/>
      <c r="BN190" s="207"/>
      <c r="BO190" s="207"/>
      <c r="BP190" s="207"/>
      <c r="BQ190" s="207"/>
      <c r="BR190" s="207"/>
      <c r="BS190" s="207"/>
      <c r="BT190" s="207"/>
      <c r="BU190" s="207"/>
      <c r="BV190" s="207"/>
      <c r="BW190" s="207"/>
      <c r="BX190" s="207"/>
      <c r="BY190" s="207"/>
      <c r="BZ190" s="207"/>
      <c r="CA190" s="207"/>
      <c r="CB190" s="207"/>
      <c r="CC190" s="207"/>
      <c r="CD190" s="207"/>
      <c r="CE190" s="207"/>
      <c r="CF190" s="207"/>
      <c r="CG190" s="207"/>
      <c r="CH190" s="207"/>
      <c r="CI190" s="207"/>
      <c r="CJ190" s="207"/>
      <c r="CK190" s="207"/>
      <c r="CL190" s="207"/>
      <c r="CM190" s="207"/>
      <c r="CN190" s="207"/>
      <c r="CO190" s="207"/>
      <c r="CP190" s="207"/>
      <c r="CQ190" s="207"/>
      <c r="CR190" s="207"/>
      <c r="CS190" s="207"/>
      <c r="CT190" s="207"/>
      <c r="CU190" s="207"/>
      <c r="CV190" s="207"/>
      <c r="CW190" s="207"/>
      <c r="CX190" s="207"/>
      <c r="CY190" s="207"/>
      <c r="CZ190" s="207"/>
      <c r="DA190" s="207"/>
      <c r="DB190" s="207"/>
      <c r="DC190" s="207"/>
      <c r="DD190" s="207"/>
      <c r="DE190" s="207"/>
      <c r="DF190" s="207"/>
      <c r="DG190" s="207"/>
      <c r="DH190" s="207"/>
      <c r="DI190" s="207"/>
      <c r="DJ190" s="207"/>
      <c r="DK190" s="207"/>
      <c r="DL190" s="207"/>
      <c r="DM190" s="207"/>
      <c r="DN190" s="207"/>
      <c r="DO190" s="207"/>
      <c r="DP190" s="207"/>
      <c r="DQ190" s="207"/>
      <c r="DR190" s="207"/>
      <c r="DS190" s="207"/>
      <c r="DT190" s="207"/>
      <c r="DU190" s="207"/>
      <c r="DV190" s="207"/>
      <c r="DW190" s="207"/>
      <c r="DX190" s="207"/>
      <c r="DY190" s="207"/>
      <c r="DZ190" s="207"/>
      <c r="EA190" s="207"/>
      <c r="EB190" s="207"/>
      <c r="EC190" s="207"/>
      <c r="ED190" s="207"/>
      <c r="EE190" s="207"/>
      <c r="EF190" s="207"/>
      <c r="EG190" s="207"/>
      <c r="EH190" s="207"/>
      <c r="EI190" s="207"/>
      <c r="EJ190" s="207"/>
      <c r="EK190" s="207"/>
      <c r="EL190" s="207"/>
      <c r="EM190" s="207"/>
      <c r="EN190" s="207"/>
      <c r="EO190" s="207"/>
      <c r="EP190" s="207"/>
      <c r="EQ190" s="207"/>
      <c r="ER190" s="207"/>
      <c r="ES190" s="207"/>
      <c r="ET190" s="207"/>
      <c r="EU190" s="207"/>
      <c r="EV190" s="207"/>
      <c r="EW190" s="207"/>
      <c r="EX190" s="207"/>
      <c r="EY190" s="207"/>
      <c r="EZ190" s="207"/>
      <c r="FA190" s="207"/>
      <c r="FB190" s="207"/>
      <c r="FC190" s="207"/>
      <c r="FD190" s="207"/>
      <c r="FE190" s="207"/>
      <c r="FF190" s="207"/>
      <c r="FG190" s="207"/>
      <c r="FH190" s="207"/>
      <c r="FI190" s="207"/>
      <c r="FJ190" s="207"/>
      <c r="FK190" s="207"/>
      <c r="FL190" s="207"/>
      <c r="FM190" s="207"/>
      <c r="FN190" s="207"/>
      <c r="FO190" s="207"/>
      <c r="FP190" s="207"/>
      <c r="FQ190" s="207"/>
      <c r="FR190" s="207"/>
      <c r="FS190" s="208"/>
      <c r="FT190" s="156"/>
    </row>
    <row r="191" spans="1:176" ht="15" outlineLevel="1">
      <c r="A191" s="206" t="s">
        <v>1452</v>
      </c>
      <c r="B191" s="200" t="s">
        <v>1411</v>
      </c>
      <c r="C191" s="34"/>
      <c r="D191" s="34"/>
      <c r="E191" s="34"/>
      <c r="F191" s="34"/>
      <c r="G191" s="34"/>
      <c r="H191" s="37" t="s">
        <v>488</v>
      </c>
      <c r="I191" s="38"/>
      <c r="J191" s="38"/>
      <c r="K191" s="38"/>
      <c r="L191" s="38"/>
      <c r="M191" s="38"/>
      <c r="N191" s="38"/>
      <c r="O191" s="38"/>
      <c r="P191" s="38"/>
      <c r="Q191" s="38"/>
      <c r="R191" s="177">
        <f t="shared" si="25"/>
        <v>0</v>
      </c>
      <c r="S191" s="202">
        <f t="shared" si="27"/>
        <v>0</v>
      </c>
      <c r="T191" s="202">
        <f t="shared" si="28"/>
        <v>0</v>
      </c>
      <c r="U191" s="18"/>
      <c r="V191" s="206" t="str">
        <f t="shared" si="22"/>
        <v>4-29</v>
      </c>
      <c r="W191" s="215" t="str">
        <f t="shared" si="26"/>
        <v/>
      </c>
      <c r="X191" s="110"/>
      <c r="Y191" s="109"/>
      <c r="Z191" s="207"/>
      <c r="AA191" s="207"/>
      <c r="AB191" s="207"/>
      <c r="AC191" s="207"/>
      <c r="AD191" s="207"/>
      <c r="AE191" s="207"/>
      <c r="AF191" s="207"/>
      <c r="AG191" s="207"/>
      <c r="AH191" s="207"/>
      <c r="AI191" s="207"/>
      <c r="AJ191" s="207"/>
      <c r="AK191" s="207"/>
      <c r="AL191" s="207"/>
      <c r="AM191" s="207"/>
      <c r="AN191" s="207"/>
      <c r="AO191" s="207"/>
      <c r="AP191" s="207"/>
      <c r="AQ191" s="207"/>
      <c r="AR191" s="207"/>
      <c r="AS191" s="207"/>
      <c r="AT191" s="207"/>
      <c r="AU191" s="207"/>
      <c r="AV191" s="207"/>
      <c r="AW191" s="207"/>
      <c r="AX191" s="207"/>
      <c r="AY191" s="207"/>
      <c r="AZ191" s="207"/>
      <c r="BA191" s="207"/>
      <c r="BB191" s="207"/>
      <c r="BC191" s="207"/>
      <c r="BD191" s="207"/>
      <c r="BE191" s="207"/>
      <c r="BF191" s="207"/>
      <c r="BG191" s="207"/>
      <c r="BH191" s="207"/>
      <c r="BI191" s="207"/>
      <c r="BJ191" s="207"/>
      <c r="BK191" s="207"/>
      <c r="BL191" s="207"/>
      <c r="BM191" s="207"/>
      <c r="BN191" s="207"/>
      <c r="BO191" s="207"/>
      <c r="BP191" s="207"/>
      <c r="BQ191" s="207"/>
      <c r="BR191" s="207"/>
      <c r="BS191" s="207"/>
      <c r="BT191" s="207"/>
      <c r="BU191" s="207"/>
      <c r="BV191" s="207"/>
      <c r="BW191" s="207"/>
      <c r="BX191" s="207"/>
      <c r="BY191" s="207"/>
      <c r="BZ191" s="207"/>
      <c r="CA191" s="207"/>
      <c r="CB191" s="207"/>
      <c r="CC191" s="207"/>
      <c r="CD191" s="207"/>
      <c r="CE191" s="207"/>
      <c r="CF191" s="207"/>
      <c r="CG191" s="207"/>
      <c r="CH191" s="207"/>
      <c r="CI191" s="207"/>
      <c r="CJ191" s="207"/>
      <c r="CK191" s="207"/>
      <c r="CL191" s="207"/>
      <c r="CM191" s="207"/>
      <c r="CN191" s="207"/>
      <c r="CO191" s="207"/>
      <c r="CP191" s="207"/>
      <c r="CQ191" s="207"/>
      <c r="CR191" s="207"/>
      <c r="CS191" s="207"/>
      <c r="CT191" s="207"/>
      <c r="CU191" s="207"/>
      <c r="CV191" s="207"/>
      <c r="CW191" s="207"/>
      <c r="CX191" s="207"/>
      <c r="CY191" s="207"/>
      <c r="CZ191" s="207"/>
      <c r="DA191" s="207"/>
      <c r="DB191" s="207"/>
      <c r="DC191" s="207"/>
      <c r="DD191" s="207"/>
      <c r="DE191" s="207"/>
      <c r="DF191" s="207"/>
      <c r="DG191" s="207"/>
      <c r="DH191" s="207"/>
      <c r="DI191" s="207"/>
      <c r="DJ191" s="207"/>
      <c r="DK191" s="207"/>
      <c r="DL191" s="207"/>
      <c r="DM191" s="207"/>
      <c r="DN191" s="207"/>
      <c r="DO191" s="207"/>
      <c r="DP191" s="207"/>
      <c r="DQ191" s="207"/>
      <c r="DR191" s="207"/>
      <c r="DS191" s="207"/>
      <c r="DT191" s="207"/>
      <c r="DU191" s="207"/>
      <c r="DV191" s="207"/>
      <c r="DW191" s="207"/>
      <c r="DX191" s="207"/>
      <c r="DY191" s="207"/>
      <c r="DZ191" s="207"/>
      <c r="EA191" s="207"/>
      <c r="EB191" s="207"/>
      <c r="EC191" s="207"/>
      <c r="ED191" s="207"/>
      <c r="EE191" s="207"/>
      <c r="EF191" s="207"/>
      <c r="EG191" s="207"/>
      <c r="EH191" s="207"/>
      <c r="EI191" s="207"/>
      <c r="EJ191" s="207"/>
      <c r="EK191" s="207"/>
      <c r="EL191" s="207"/>
      <c r="EM191" s="207"/>
      <c r="EN191" s="207"/>
      <c r="EO191" s="207"/>
      <c r="EP191" s="207"/>
      <c r="EQ191" s="207"/>
      <c r="ER191" s="207"/>
      <c r="ES191" s="207"/>
      <c r="ET191" s="207"/>
      <c r="EU191" s="207"/>
      <c r="EV191" s="207"/>
      <c r="EW191" s="207"/>
      <c r="EX191" s="207"/>
      <c r="EY191" s="207"/>
      <c r="EZ191" s="207"/>
      <c r="FA191" s="207"/>
      <c r="FB191" s="207"/>
      <c r="FC191" s="207"/>
      <c r="FD191" s="207"/>
      <c r="FE191" s="207"/>
      <c r="FF191" s="207"/>
      <c r="FG191" s="207"/>
      <c r="FH191" s="207"/>
      <c r="FI191" s="207"/>
      <c r="FJ191" s="207"/>
      <c r="FK191" s="207"/>
      <c r="FL191" s="207"/>
      <c r="FM191" s="207"/>
      <c r="FN191" s="207"/>
      <c r="FO191" s="207"/>
      <c r="FP191" s="207"/>
      <c r="FQ191" s="207"/>
      <c r="FR191" s="207"/>
      <c r="FS191" s="208"/>
      <c r="FT191" s="156"/>
    </row>
    <row r="192" spans="1:176" ht="15" outlineLevel="1">
      <c r="A192" s="206" t="s">
        <v>1453</v>
      </c>
      <c r="B192" s="200" t="s">
        <v>1411</v>
      </c>
      <c r="C192" s="34"/>
      <c r="D192" s="34"/>
      <c r="E192" s="34"/>
      <c r="F192" s="34"/>
      <c r="G192" s="34"/>
      <c r="H192" s="37" t="s">
        <v>488</v>
      </c>
      <c r="I192" s="38"/>
      <c r="J192" s="38"/>
      <c r="K192" s="38"/>
      <c r="L192" s="38"/>
      <c r="M192" s="38"/>
      <c r="N192" s="38"/>
      <c r="O192" s="38"/>
      <c r="P192" s="38"/>
      <c r="Q192" s="38"/>
      <c r="R192" s="177">
        <f t="shared" si="25"/>
        <v>0</v>
      </c>
      <c r="S192" s="202">
        <f t="shared" si="27"/>
        <v>0</v>
      </c>
      <c r="T192" s="202">
        <f t="shared" si="28"/>
        <v>0</v>
      </c>
      <c r="U192" s="18"/>
      <c r="V192" s="206" t="str">
        <f t="shared" si="22"/>
        <v>4-30</v>
      </c>
      <c r="W192" s="215" t="str">
        <f t="shared" si="26"/>
        <v/>
      </c>
      <c r="X192" s="110"/>
      <c r="Y192" s="109"/>
      <c r="Z192" s="207"/>
      <c r="AA192" s="207"/>
      <c r="AB192" s="207"/>
      <c r="AC192" s="207"/>
      <c r="AD192" s="207"/>
      <c r="AE192" s="207"/>
      <c r="AF192" s="207"/>
      <c r="AG192" s="207"/>
      <c r="AH192" s="207"/>
      <c r="AI192" s="207"/>
      <c r="AJ192" s="207"/>
      <c r="AK192" s="207"/>
      <c r="AL192" s="207"/>
      <c r="AM192" s="207"/>
      <c r="AN192" s="207"/>
      <c r="AO192" s="207"/>
      <c r="AP192" s="207"/>
      <c r="AQ192" s="207"/>
      <c r="AR192" s="207"/>
      <c r="AS192" s="207"/>
      <c r="AT192" s="207"/>
      <c r="AU192" s="207"/>
      <c r="AV192" s="207"/>
      <c r="AW192" s="207"/>
      <c r="AX192" s="207"/>
      <c r="AY192" s="207"/>
      <c r="AZ192" s="207"/>
      <c r="BA192" s="207"/>
      <c r="BB192" s="207"/>
      <c r="BC192" s="207"/>
      <c r="BD192" s="207"/>
      <c r="BE192" s="207"/>
      <c r="BF192" s="207"/>
      <c r="BG192" s="207"/>
      <c r="BH192" s="207"/>
      <c r="BI192" s="207"/>
      <c r="BJ192" s="207"/>
      <c r="BK192" s="207"/>
      <c r="BL192" s="207"/>
      <c r="BM192" s="207"/>
      <c r="BN192" s="207"/>
      <c r="BO192" s="207"/>
      <c r="BP192" s="207"/>
      <c r="BQ192" s="207"/>
      <c r="BR192" s="207"/>
      <c r="BS192" s="207"/>
      <c r="BT192" s="207"/>
      <c r="BU192" s="207"/>
      <c r="BV192" s="207"/>
      <c r="BW192" s="207"/>
      <c r="BX192" s="207"/>
      <c r="BY192" s="207"/>
      <c r="BZ192" s="207"/>
      <c r="CA192" s="207"/>
      <c r="CB192" s="207"/>
      <c r="CC192" s="207"/>
      <c r="CD192" s="207"/>
      <c r="CE192" s="207"/>
      <c r="CF192" s="207"/>
      <c r="CG192" s="207"/>
      <c r="CH192" s="207"/>
      <c r="CI192" s="207"/>
      <c r="CJ192" s="207"/>
      <c r="CK192" s="207"/>
      <c r="CL192" s="207"/>
      <c r="CM192" s="207"/>
      <c r="CN192" s="207"/>
      <c r="CO192" s="207"/>
      <c r="CP192" s="207"/>
      <c r="CQ192" s="207"/>
      <c r="CR192" s="207"/>
      <c r="CS192" s="207"/>
      <c r="CT192" s="207"/>
      <c r="CU192" s="207"/>
      <c r="CV192" s="207"/>
      <c r="CW192" s="207"/>
      <c r="CX192" s="207"/>
      <c r="CY192" s="207"/>
      <c r="CZ192" s="207"/>
      <c r="DA192" s="207"/>
      <c r="DB192" s="207"/>
      <c r="DC192" s="207"/>
      <c r="DD192" s="207"/>
      <c r="DE192" s="207"/>
      <c r="DF192" s="207"/>
      <c r="DG192" s="207"/>
      <c r="DH192" s="207"/>
      <c r="DI192" s="207"/>
      <c r="DJ192" s="207"/>
      <c r="DK192" s="207"/>
      <c r="DL192" s="207"/>
      <c r="DM192" s="207"/>
      <c r="DN192" s="207"/>
      <c r="DO192" s="207"/>
      <c r="DP192" s="207"/>
      <c r="DQ192" s="207"/>
      <c r="DR192" s="207"/>
      <c r="DS192" s="207"/>
      <c r="DT192" s="207"/>
      <c r="DU192" s="207"/>
      <c r="DV192" s="207"/>
      <c r="DW192" s="207"/>
      <c r="DX192" s="207"/>
      <c r="DY192" s="207"/>
      <c r="DZ192" s="207"/>
      <c r="EA192" s="207"/>
      <c r="EB192" s="207"/>
      <c r="EC192" s="207"/>
      <c r="ED192" s="207"/>
      <c r="EE192" s="207"/>
      <c r="EF192" s="207"/>
      <c r="EG192" s="207"/>
      <c r="EH192" s="207"/>
      <c r="EI192" s="207"/>
      <c r="EJ192" s="207"/>
      <c r="EK192" s="207"/>
      <c r="EL192" s="207"/>
      <c r="EM192" s="207"/>
      <c r="EN192" s="207"/>
      <c r="EO192" s="207"/>
      <c r="EP192" s="207"/>
      <c r="EQ192" s="207"/>
      <c r="ER192" s="207"/>
      <c r="ES192" s="207"/>
      <c r="ET192" s="207"/>
      <c r="EU192" s="207"/>
      <c r="EV192" s="207"/>
      <c r="EW192" s="207"/>
      <c r="EX192" s="207"/>
      <c r="EY192" s="207"/>
      <c r="EZ192" s="207"/>
      <c r="FA192" s="207"/>
      <c r="FB192" s="207"/>
      <c r="FC192" s="207"/>
      <c r="FD192" s="207"/>
      <c r="FE192" s="207"/>
      <c r="FF192" s="207"/>
      <c r="FG192" s="207"/>
      <c r="FH192" s="207"/>
      <c r="FI192" s="207"/>
      <c r="FJ192" s="207"/>
      <c r="FK192" s="207"/>
      <c r="FL192" s="207"/>
      <c r="FM192" s="207"/>
      <c r="FN192" s="207"/>
      <c r="FO192" s="207"/>
      <c r="FP192" s="207"/>
      <c r="FQ192" s="207"/>
      <c r="FR192" s="207"/>
      <c r="FS192" s="208"/>
      <c r="FT192" s="156"/>
    </row>
    <row r="193" spans="1:176" ht="15" outlineLevel="1">
      <c r="A193" s="206" t="s">
        <v>1454</v>
      </c>
      <c r="B193" s="200" t="s">
        <v>1411</v>
      </c>
      <c r="C193" s="34"/>
      <c r="D193" s="34"/>
      <c r="E193" s="34"/>
      <c r="F193" s="34"/>
      <c r="G193" s="34"/>
      <c r="H193" s="37" t="s">
        <v>488</v>
      </c>
      <c r="I193" s="38"/>
      <c r="J193" s="38"/>
      <c r="K193" s="38"/>
      <c r="L193" s="38"/>
      <c r="M193" s="38"/>
      <c r="N193" s="38"/>
      <c r="O193" s="38"/>
      <c r="P193" s="38"/>
      <c r="Q193" s="38"/>
      <c r="R193" s="177">
        <f t="shared" si="25"/>
        <v>0</v>
      </c>
      <c r="S193" s="202">
        <f t="shared" si="27"/>
        <v>0</v>
      </c>
      <c r="T193" s="202">
        <f t="shared" si="28"/>
        <v>0</v>
      </c>
      <c r="U193" s="18"/>
      <c r="V193" s="206" t="str">
        <f t="shared" si="22"/>
        <v>4-31</v>
      </c>
      <c r="W193" s="215" t="str">
        <f t="shared" si="26"/>
        <v/>
      </c>
      <c r="X193" s="110"/>
      <c r="Y193" s="109"/>
      <c r="Z193" s="207"/>
      <c r="AA193" s="207"/>
      <c r="AB193" s="207"/>
      <c r="AC193" s="207"/>
      <c r="AD193" s="207"/>
      <c r="AE193" s="207"/>
      <c r="AF193" s="207"/>
      <c r="AG193" s="207"/>
      <c r="AH193" s="207"/>
      <c r="AI193" s="207"/>
      <c r="AJ193" s="207"/>
      <c r="AK193" s="207"/>
      <c r="AL193" s="207"/>
      <c r="AM193" s="207"/>
      <c r="AN193" s="207"/>
      <c r="AO193" s="207"/>
      <c r="AP193" s="207"/>
      <c r="AQ193" s="207"/>
      <c r="AR193" s="207"/>
      <c r="AS193" s="207"/>
      <c r="AT193" s="207"/>
      <c r="AU193" s="207"/>
      <c r="AV193" s="207"/>
      <c r="AW193" s="207"/>
      <c r="AX193" s="207"/>
      <c r="AY193" s="207"/>
      <c r="AZ193" s="207"/>
      <c r="BA193" s="207"/>
      <c r="BB193" s="207"/>
      <c r="BC193" s="207"/>
      <c r="BD193" s="207"/>
      <c r="BE193" s="207"/>
      <c r="BF193" s="207"/>
      <c r="BG193" s="207"/>
      <c r="BH193" s="207"/>
      <c r="BI193" s="207"/>
      <c r="BJ193" s="207"/>
      <c r="BK193" s="207"/>
      <c r="BL193" s="207"/>
      <c r="BM193" s="207"/>
      <c r="BN193" s="207"/>
      <c r="BO193" s="207"/>
      <c r="BP193" s="207"/>
      <c r="BQ193" s="207"/>
      <c r="BR193" s="207"/>
      <c r="BS193" s="207"/>
      <c r="BT193" s="207"/>
      <c r="BU193" s="207"/>
      <c r="BV193" s="207"/>
      <c r="BW193" s="207"/>
      <c r="BX193" s="207"/>
      <c r="BY193" s="207"/>
      <c r="BZ193" s="207"/>
      <c r="CA193" s="207"/>
      <c r="CB193" s="207"/>
      <c r="CC193" s="207"/>
      <c r="CD193" s="207"/>
      <c r="CE193" s="207"/>
      <c r="CF193" s="207"/>
      <c r="CG193" s="207"/>
      <c r="CH193" s="207"/>
      <c r="CI193" s="207"/>
      <c r="CJ193" s="207"/>
      <c r="CK193" s="207"/>
      <c r="CL193" s="207"/>
      <c r="CM193" s="207"/>
      <c r="CN193" s="207"/>
      <c r="CO193" s="207"/>
      <c r="CP193" s="207"/>
      <c r="CQ193" s="207"/>
      <c r="CR193" s="207"/>
      <c r="CS193" s="207"/>
      <c r="CT193" s="207"/>
      <c r="CU193" s="207"/>
      <c r="CV193" s="207"/>
      <c r="CW193" s="207"/>
      <c r="CX193" s="207"/>
      <c r="CY193" s="207"/>
      <c r="CZ193" s="207"/>
      <c r="DA193" s="207"/>
      <c r="DB193" s="207"/>
      <c r="DC193" s="207"/>
      <c r="DD193" s="207"/>
      <c r="DE193" s="207"/>
      <c r="DF193" s="207"/>
      <c r="DG193" s="207"/>
      <c r="DH193" s="207"/>
      <c r="DI193" s="207"/>
      <c r="DJ193" s="207"/>
      <c r="DK193" s="207"/>
      <c r="DL193" s="207"/>
      <c r="DM193" s="207"/>
      <c r="DN193" s="207"/>
      <c r="DO193" s="207"/>
      <c r="DP193" s="207"/>
      <c r="DQ193" s="207"/>
      <c r="DR193" s="207"/>
      <c r="DS193" s="207"/>
      <c r="DT193" s="207"/>
      <c r="DU193" s="207"/>
      <c r="DV193" s="207"/>
      <c r="DW193" s="207"/>
      <c r="DX193" s="207"/>
      <c r="DY193" s="207"/>
      <c r="DZ193" s="207"/>
      <c r="EA193" s="207"/>
      <c r="EB193" s="207"/>
      <c r="EC193" s="207"/>
      <c r="ED193" s="207"/>
      <c r="EE193" s="207"/>
      <c r="EF193" s="207"/>
      <c r="EG193" s="207"/>
      <c r="EH193" s="207"/>
      <c r="EI193" s="207"/>
      <c r="EJ193" s="207"/>
      <c r="EK193" s="207"/>
      <c r="EL193" s="207"/>
      <c r="EM193" s="207"/>
      <c r="EN193" s="207"/>
      <c r="EO193" s="207"/>
      <c r="EP193" s="207"/>
      <c r="EQ193" s="207"/>
      <c r="ER193" s="207"/>
      <c r="ES193" s="207"/>
      <c r="ET193" s="207"/>
      <c r="EU193" s="207"/>
      <c r="EV193" s="207"/>
      <c r="EW193" s="207"/>
      <c r="EX193" s="207"/>
      <c r="EY193" s="207"/>
      <c r="EZ193" s="207"/>
      <c r="FA193" s="207"/>
      <c r="FB193" s="207"/>
      <c r="FC193" s="207"/>
      <c r="FD193" s="207"/>
      <c r="FE193" s="207"/>
      <c r="FF193" s="207"/>
      <c r="FG193" s="207"/>
      <c r="FH193" s="207"/>
      <c r="FI193" s="207"/>
      <c r="FJ193" s="207"/>
      <c r="FK193" s="207"/>
      <c r="FL193" s="207"/>
      <c r="FM193" s="207"/>
      <c r="FN193" s="207"/>
      <c r="FO193" s="207"/>
      <c r="FP193" s="207"/>
      <c r="FQ193" s="207"/>
      <c r="FR193" s="207"/>
      <c r="FS193" s="208"/>
      <c r="FT193" s="156"/>
    </row>
    <row r="194" spans="1:176" ht="15" outlineLevel="1">
      <c r="A194" s="206" t="s">
        <v>1455</v>
      </c>
      <c r="B194" s="200" t="s">
        <v>1411</v>
      </c>
      <c r="C194" s="34"/>
      <c r="D194" s="34"/>
      <c r="E194" s="34"/>
      <c r="F194" s="34"/>
      <c r="G194" s="34"/>
      <c r="H194" s="37" t="s">
        <v>488</v>
      </c>
      <c r="I194" s="38"/>
      <c r="J194" s="38"/>
      <c r="K194" s="38"/>
      <c r="L194" s="38"/>
      <c r="M194" s="38"/>
      <c r="N194" s="38"/>
      <c r="O194" s="38"/>
      <c r="P194" s="38"/>
      <c r="Q194" s="38"/>
      <c r="R194" s="177">
        <f t="shared" si="25"/>
        <v>0</v>
      </c>
      <c r="S194" s="202">
        <f t="shared" si="27"/>
        <v>0</v>
      </c>
      <c r="T194" s="202">
        <f t="shared" si="28"/>
        <v>0</v>
      </c>
      <c r="U194" s="18"/>
      <c r="V194" s="206" t="str">
        <f t="shared" si="22"/>
        <v>4-32</v>
      </c>
      <c r="W194" s="215" t="str">
        <f t="shared" si="26"/>
        <v/>
      </c>
      <c r="X194" s="110"/>
      <c r="Y194" s="109"/>
      <c r="Z194" s="207"/>
      <c r="AA194" s="207"/>
      <c r="AB194" s="207"/>
      <c r="AC194" s="207"/>
      <c r="AD194" s="207"/>
      <c r="AE194" s="207"/>
      <c r="AF194" s="207"/>
      <c r="AG194" s="207"/>
      <c r="AH194" s="207"/>
      <c r="AI194" s="207"/>
      <c r="AJ194" s="207"/>
      <c r="AK194" s="207"/>
      <c r="AL194" s="207"/>
      <c r="AM194" s="207"/>
      <c r="AN194" s="207"/>
      <c r="AO194" s="207"/>
      <c r="AP194" s="207"/>
      <c r="AQ194" s="207"/>
      <c r="AR194" s="207"/>
      <c r="AS194" s="207"/>
      <c r="AT194" s="207"/>
      <c r="AU194" s="207"/>
      <c r="AV194" s="207"/>
      <c r="AW194" s="207"/>
      <c r="AX194" s="207"/>
      <c r="AY194" s="207"/>
      <c r="AZ194" s="207"/>
      <c r="BA194" s="207"/>
      <c r="BB194" s="207"/>
      <c r="BC194" s="207"/>
      <c r="BD194" s="207"/>
      <c r="BE194" s="207"/>
      <c r="BF194" s="207"/>
      <c r="BG194" s="207"/>
      <c r="BH194" s="207"/>
      <c r="BI194" s="207"/>
      <c r="BJ194" s="207"/>
      <c r="BK194" s="207"/>
      <c r="BL194" s="207"/>
      <c r="BM194" s="207"/>
      <c r="BN194" s="207"/>
      <c r="BO194" s="207"/>
      <c r="BP194" s="207"/>
      <c r="BQ194" s="207"/>
      <c r="BR194" s="207"/>
      <c r="BS194" s="207"/>
      <c r="BT194" s="207"/>
      <c r="BU194" s="207"/>
      <c r="BV194" s="207"/>
      <c r="BW194" s="207"/>
      <c r="BX194" s="207"/>
      <c r="BY194" s="207"/>
      <c r="BZ194" s="207"/>
      <c r="CA194" s="207"/>
      <c r="CB194" s="207"/>
      <c r="CC194" s="207"/>
      <c r="CD194" s="207"/>
      <c r="CE194" s="207"/>
      <c r="CF194" s="207"/>
      <c r="CG194" s="207"/>
      <c r="CH194" s="207"/>
      <c r="CI194" s="207"/>
      <c r="CJ194" s="207"/>
      <c r="CK194" s="207"/>
      <c r="CL194" s="207"/>
      <c r="CM194" s="207"/>
      <c r="CN194" s="207"/>
      <c r="CO194" s="207"/>
      <c r="CP194" s="207"/>
      <c r="CQ194" s="207"/>
      <c r="CR194" s="207"/>
      <c r="CS194" s="207"/>
      <c r="CT194" s="207"/>
      <c r="CU194" s="207"/>
      <c r="CV194" s="207"/>
      <c r="CW194" s="207"/>
      <c r="CX194" s="207"/>
      <c r="CY194" s="207"/>
      <c r="CZ194" s="207"/>
      <c r="DA194" s="207"/>
      <c r="DB194" s="207"/>
      <c r="DC194" s="207"/>
      <c r="DD194" s="207"/>
      <c r="DE194" s="207"/>
      <c r="DF194" s="207"/>
      <c r="DG194" s="207"/>
      <c r="DH194" s="207"/>
      <c r="DI194" s="207"/>
      <c r="DJ194" s="207"/>
      <c r="DK194" s="207"/>
      <c r="DL194" s="207"/>
      <c r="DM194" s="207"/>
      <c r="DN194" s="207"/>
      <c r="DO194" s="207"/>
      <c r="DP194" s="207"/>
      <c r="DQ194" s="207"/>
      <c r="DR194" s="207"/>
      <c r="DS194" s="207"/>
      <c r="DT194" s="207"/>
      <c r="DU194" s="207"/>
      <c r="DV194" s="207"/>
      <c r="DW194" s="207"/>
      <c r="DX194" s="207"/>
      <c r="DY194" s="207"/>
      <c r="DZ194" s="207"/>
      <c r="EA194" s="207"/>
      <c r="EB194" s="207"/>
      <c r="EC194" s="207"/>
      <c r="ED194" s="207"/>
      <c r="EE194" s="207"/>
      <c r="EF194" s="207"/>
      <c r="EG194" s="207"/>
      <c r="EH194" s="207"/>
      <c r="EI194" s="207"/>
      <c r="EJ194" s="207"/>
      <c r="EK194" s="207"/>
      <c r="EL194" s="207"/>
      <c r="EM194" s="207"/>
      <c r="EN194" s="207"/>
      <c r="EO194" s="207"/>
      <c r="EP194" s="207"/>
      <c r="EQ194" s="207"/>
      <c r="ER194" s="207"/>
      <c r="ES194" s="207"/>
      <c r="ET194" s="207"/>
      <c r="EU194" s="207"/>
      <c r="EV194" s="207"/>
      <c r="EW194" s="207"/>
      <c r="EX194" s="207"/>
      <c r="EY194" s="207"/>
      <c r="EZ194" s="207"/>
      <c r="FA194" s="207"/>
      <c r="FB194" s="207"/>
      <c r="FC194" s="207"/>
      <c r="FD194" s="207"/>
      <c r="FE194" s="207"/>
      <c r="FF194" s="207"/>
      <c r="FG194" s="207"/>
      <c r="FH194" s="207"/>
      <c r="FI194" s="207"/>
      <c r="FJ194" s="207"/>
      <c r="FK194" s="207"/>
      <c r="FL194" s="207"/>
      <c r="FM194" s="207"/>
      <c r="FN194" s="207"/>
      <c r="FO194" s="207"/>
      <c r="FP194" s="207"/>
      <c r="FQ194" s="207"/>
      <c r="FR194" s="207"/>
      <c r="FS194" s="208"/>
      <c r="FT194" s="156"/>
    </row>
    <row r="195" spans="1:176" ht="15" outlineLevel="1">
      <c r="A195" s="206" t="s">
        <v>1456</v>
      </c>
      <c r="B195" s="200" t="s">
        <v>1411</v>
      </c>
      <c r="C195" s="34"/>
      <c r="D195" s="34"/>
      <c r="E195" s="34"/>
      <c r="F195" s="34"/>
      <c r="G195" s="34"/>
      <c r="H195" s="37" t="s">
        <v>488</v>
      </c>
      <c r="I195" s="38"/>
      <c r="J195" s="38"/>
      <c r="K195" s="38"/>
      <c r="L195" s="38"/>
      <c r="M195" s="38"/>
      <c r="N195" s="38"/>
      <c r="O195" s="38"/>
      <c r="P195" s="38"/>
      <c r="Q195" s="38"/>
      <c r="R195" s="177">
        <f t="shared" ref="R195:R212" si="29">SUM(I195:M195)</f>
        <v>0</v>
      </c>
      <c r="S195" s="202">
        <f t="shared" si="27"/>
        <v>0</v>
      </c>
      <c r="T195" s="202">
        <f t="shared" si="28"/>
        <v>0</v>
      </c>
      <c r="U195" s="18"/>
      <c r="V195" s="206" t="str">
        <f t="shared" si="22"/>
        <v>4-33</v>
      </c>
      <c r="W195" s="215" t="str">
        <f t="shared" ref="W195:W212" si="30">IF(ISBLANK(C195),"",C195)</f>
        <v/>
      </c>
      <c r="X195" s="110"/>
      <c r="Y195" s="109"/>
      <c r="Z195" s="207"/>
      <c r="AA195" s="207"/>
      <c r="AB195" s="207"/>
      <c r="AC195" s="207"/>
      <c r="AD195" s="207"/>
      <c r="AE195" s="207"/>
      <c r="AF195" s="207"/>
      <c r="AG195" s="207"/>
      <c r="AH195" s="207"/>
      <c r="AI195" s="207"/>
      <c r="AJ195" s="207"/>
      <c r="AK195" s="207"/>
      <c r="AL195" s="207"/>
      <c r="AM195" s="207"/>
      <c r="AN195" s="207"/>
      <c r="AO195" s="207"/>
      <c r="AP195" s="207"/>
      <c r="AQ195" s="207"/>
      <c r="AR195" s="207"/>
      <c r="AS195" s="207"/>
      <c r="AT195" s="207"/>
      <c r="AU195" s="207"/>
      <c r="AV195" s="207"/>
      <c r="AW195" s="207"/>
      <c r="AX195" s="207"/>
      <c r="AY195" s="207"/>
      <c r="AZ195" s="207"/>
      <c r="BA195" s="207"/>
      <c r="BB195" s="207"/>
      <c r="BC195" s="207"/>
      <c r="BD195" s="207"/>
      <c r="BE195" s="207"/>
      <c r="BF195" s="207"/>
      <c r="BG195" s="207"/>
      <c r="BH195" s="207"/>
      <c r="BI195" s="207"/>
      <c r="BJ195" s="207"/>
      <c r="BK195" s="207"/>
      <c r="BL195" s="207"/>
      <c r="BM195" s="207"/>
      <c r="BN195" s="207"/>
      <c r="BO195" s="207"/>
      <c r="BP195" s="207"/>
      <c r="BQ195" s="207"/>
      <c r="BR195" s="207"/>
      <c r="BS195" s="207"/>
      <c r="BT195" s="207"/>
      <c r="BU195" s="207"/>
      <c r="BV195" s="207"/>
      <c r="BW195" s="207"/>
      <c r="BX195" s="207"/>
      <c r="BY195" s="207"/>
      <c r="BZ195" s="207"/>
      <c r="CA195" s="207"/>
      <c r="CB195" s="207"/>
      <c r="CC195" s="207"/>
      <c r="CD195" s="207"/>
      <c r="CE195" s="207"/>
      <c r="CF195" s="207"/>
      <c r="CG195" s="207"/>
      <c r="CH195" s="207"/>
      <c r="CI195" s="207"/>
      <c r="CJ195" s="207"/>
      <c r="CK195" s="207"/>
      <c r="CL195" s="207"/>
      <c r="CM195" s="207"/>
      <c r="CN195" s="207"/>
      <c r="CO195" s="207"/>
      <c r="CP195" s="207"/>
      <c r="CQ195" s="207"/>
      <c r="CR195" s="207"/>
      <c r="CS195" s="207"/>
      <c r="CT195" s="207"/>
      <c r="CU195" s="207"/>
      <c r="CV195" s="207"/>
      <c r="CW195" s="207"/>
      <c r="CX195" s="207"/>
      <c r="CY195" s="207"/>
      <c r="CZ195" s="207"/>
      <c r="DA195" s="207"/>
      <c r="DB195" s="207"/>
      <c r="DC195" s="207"/>
      <c r="DD195" s="207"/>
      <c r="DE195" s="207"/>
      <c r="DF195" s="207"/>
      <c r="DG195" s="207"/>
      <c r="DH195" s="207"/>
      <c r="DI195" s="207"/>
      <c r="DJ195" s="207"/>
      <c r="DK195" s="207"/>
      <c r="DL195" s="207"/>
      <c r="DM195" s="207"/>
      <c r="DN195" s="207"/>
      <c r="DO195" s="207"/>
      <c r="DP195" s="207"/>
      <c r="DQ195" s="207"/>
      <c r="DR195" s="207"/>
      <c r="DS195" s="207"/>
      <c r="DT195" s="207"/>
      <c r="DU195" s="207"/>
      <c r="DV195" s="207"/>
      <c r="DW195" s="207"/>
      <c r="DX195" s="207"/>
      <c r="DY195" s="207"/>
      <c r="DZ195" s="207"/>
      <c r="EA195" s="207"/>
      <c r="EB195" s="207"/>
      <c r="EC195" s="207"/>
      <c r="ED195" s="207"/>
      <c r="EE195" s="207"/>
      <c r="EF195" s="207"/>
      <c r="EG195" s="207"/>
      <c r="EH195" s="207"/>
      <c r="EI195" s="207"/>
      <c r="EJ195" s="207"/>
      <c r="EK195" s="207"/>
      <c r="EL195" s="207"/>
      <c r="EM195" s="207"/>
      <c r="EN195" s="207"/>
      <c r="EO195" s="207"/>
      <c r="EP195" s="207"/>
      <c r="EQ195" s="207"/>
      <c r="ER195" s="207"/>
      <c r="ES195" s="207"/>
      <c r="ET195" s="207"/>
      <c r="EU195" s="207"/>
      <c r="EV195" s="207"/>
      <c r="EW195" s="207"/>
      <c r="EX195" s="207"/>
      <c r="EY195" s="207"/>
      <c r="EZ195" s="207"/>
      <c r="FA195" s="207"/>
      <c r="FB195" s="207"/>
      <c r="FC195" s="207"/>
      <c r="FD195" s="207"/>
      <c r="FE195" s="207"/>
      <c r="FF195" s="207"/>
      <c r="FG195" s="207"/>
      <c r="FH195" s="207"/>
      <c r="FI195" s="207"/>
      <c r="FJ195" s="207"/>
      <c r="FK195" s="207"/>
      <c r="FL195" s="207"/>
      <c r="FM195" s="207"/>
      <c r="FN195" s="207"/>
      <c r="FO195" s="207"/>
      <c r="FP195" s="207"/>
      <c r="FQ195" s="207"/>
      <c r="FR195" s="207"/>
      <c r="FS195" s="208"/>
      <c r="FT195" s="156"/>
    </row>
    <row r="196" spans="1:176" ht="15" outlineLevel="1">
      <c r="A196" s="206" t="s">
        <v>1457</v>
      </c>
      <c r="B196" s="200" t="s">
        <v>1411</v>
      </c>
      <c r="C196" s="34"/>
      <c r="D196" s="34"/>
      <c r="E196" s="34"/>
      <c r="F196" s="34"/>
      <c r="G196" s="34"/>
      <c r="H196" s="37" t="s">
        <v>488</v>
      </c>
      <c r="I196" s="38"/>
      <c r="J196" s="38"/>
      <c r="K196" s="38"/>
      <c r="L196" s="38"/>
      <c r="M196" s="38"/>
      <c r="N196" s="38"/>
      <c r="O196" s="38"/>
      <c r="P196" s="38"/>
      <c r="Q196" s="38"/>
      <c r="R196" s="177">
        <f t="shared" si="29"/>
        <v>0</v>
      </c>
      <c r="S196" s="202">
        <f t="shared" si="27"/>
        <v>0</v>
      </c>
      <c r="T196" s="202">
        <f t="shared" si="28"/>
        <v>0</v>
      </c>
      <c r="U196" s="18"/>
      <c r="V196" s="206" t="str">
        <f t="shared" si="22"/>
        <v>4-34</v>
      </c>
      <c r="W196" s="215" t="str">
        <f t="shared" si="30"/>
        <v/>
      </c>
      <c r="X196" s="110"/>
      <c r="Y196" s="109"/>
      <c r="Z196" s="207"/>
      <c r="AA196" s="207"/>
      <c r="AB196" s="207"/>
      <c r="AC196" s="207"/>
      <c r="AD196" s="207"/>
      <c r="AE196" s="207"/>
      <c r="AF196" s="207"/>
      <c r="AG196" s="207"/>
      <c r="AH196" s="207"/>
      <c r="AI196" s="207"/>
      <c r="AJ196" s="207"/>
      <c r="AK196" s="207"/>
      <c r="AL196" s="207"/>
      <c r="AM196" s="207"/>
      <c r="AN196" s="207"/>
      <c r="AO196" s="207"/>
      <c r="AP196" s="207"/>
      <c r="AQ196" s="207"/>
      <c r="AR196" s="207"/>
      <c r="AS196" s="207"/>
      <c r="AT196" s="207"/>
      <c r="AU196" s="207"/>
      <c r="AV196" s="207"/>
      <c r="AW196" s="207"/>
      <c r="AX196" s="207"/>
      <c r="AY196" s="207"/>
      <c r="AZ196" s="207"/>
      <c r="BA196" s="207"/>
      <c r="BB196" s="207"/>
      <c r="BC196" s="207"/>
      <c r="BD196" s="207"/>
      <c r="BE196" s="207"/>
      <c r="BF196" s="207"/>
      <c r="BG196" s="207"/>
      <c r="BH196" s="207"/>
      <c r="BI196" s="207"/>
      <c r="BJ196" s="207"/>
      <c r="BK196" s="207"/>
      <c r="BL196" s="207"/>
      <c r="BM196" s="207"/>
      <c r="BN196" s="207"/>
      <c r="BO196" s="207"/>
      <c r="BP196" s="207"/>
      <c r="BQ196" s="207"/>
      <c r="BR196" s="207"/>
      <c r="BS196" s="207"/>
      <c r="BT196" s="207"/>
      <c r="BU196" s="207"/>
      <c r="BV196" s="207"/>
      <c r="BW196" s="207"/>
      <c r="BX196" s="207"/>
      <c r="BY196" s="207"/>
      <c r="BZ196" s="207"/>
      <c r="CA196" s="207"/>
      <c r="CB196" s="207"/>
      <c r="CC196" s="207"/>
      <c r="CD196" s="207"/>
      <c r="CE196" s="207"/>
      <c r="CF196" s="207"/>
      <c r="CG196" s="207"/>
      <c r="CH196" s="207"/>
      <c r="CI196" s="207"/>
      <c r="CJ196" s="207"/>
      <c r="CK196" s="207"/>
      <c r="CL196" s="207"/>
      <c r="CM196" s="207"/>
      <c r="CN196" s="207"/>
      <c r="CO196" s="207"/>
      <c r="CP196" s="207"/>
      <c r="CQ196" s="207"/>
      <c r="CR196" s="207"/>
      <c r="CS196" s="207"/>
      <c r="CT196" s="207"/>
      <c r="CU196" s="207"/>
      <c r="CV196" s="207"/>
      <c r="CW196" s="207"/>
      <c r="CX196" s="207"/>
      <c r="CY196" s="207"/>
      <c r="CZ196" s="207"/>
      <c r="DA196" s="207"/>
      <c r="DB196" s="207"/>
      <c r="DC196" s="207"/>
      <c r="DD196" s="207"/>
      <c r="DE196" s="207"/>
      <c r="DF196" s="207"/>
      <c r="DG196" s="207"/>
      <c r="DH196" s="207"/>
      <c r="DI196" s="207"/>
      <c r="DJ196" s="207"/>
      <c r="DK196" s="207"/>
      <c r="DL196" s="207"/>
      <c r="DM196" s="207"/>
      <c r="DN196" s="207"/>
      <c r="DO196" s="207"/>
      <c r="DP196" s="207"/>
      <c r="DQ196" s="207"/>
      <c r="DR196" s="207"/>
      <c r="DS196" s="207"/>
      <c r="DT196" s="207"/>
      <c r="DU196" s="207"/>
      <c r="DV196" s="207"/>
      <c r="DW196" s="207"/>
      <c r="DX196" s="207"/>
      <c r="DY196" s="207"/>
      <c r="DZ196" s="207"/>
      <c r="EA196" s="207"/>
      <c r="EB196" s="207"/>
      <c r="EC196" s="207"/>
      <c r="ED196" s="207"/>
      <c r="EE196" s="207"/>
      <c r="EF196" s="207"/>
      <c r="EG196" s="207"/>
      <c r="EH196" s="207"/>
      <c r="EI196" s="207"/>
      <c r="EJ196" s="207"/>
      <c r="EK196" s="207"/>
      <c r="EL196" s="207"/>
      <c r="EM196" s="207"/>
      <c r="EN196" s="207"/>
      <c r="EO196" s="207"/>
      <c r="EP196" s="207"/>
      <c r="EQ196" s="207"/>
      <c r="ER196" s="207"/>
      <c r="ES196" s="207"/>
      <c r="ET196" s="207"/>
      <c r="EU196" s="207"/>
      <c r="EV196" s="207"/>
      <c r="EW196" s="207"/>
      <c r="EX196" s="207"/>
      <c r="EY196" s="207"/>
      <c r="EZ196" s="207"/>
      <c r="FA196" s="207"/>
      <c r="FB196" s="207"/>
      <c r="FC196" s="207"/>
      <c r="FD196" s="207"/>
      <c r="FE196" s="207"/>
      <c r="FF196" s="207"/>
      <c r="FG196" s="207"/>
      <c r="FH196" s="207"/>
      <c r="FI196" s="207"/>
      <c r="FJ196" s="207"/>
      <c r="FK196" s="207"/>
      <c r="FL196" s="207"/>
      <c r="FM196" s="207"/>
      <c r="FN196" s="207"/>
      <c r="FO196" s="207"/>
      <c r="FP196" s="207"/>
      <c r="FQ196" s="207"/>
      <c r="FR196" s="207"/>
      <c r="FS196" s="208"/>
      <c r="FT196" s="156"/>
    </row>
    <row r="197" spans="1:176" ht="15" outlineLevel="1">
      <c r="A197" s="206" t="s">
        <v>1458</v>
      </c>
      <c r="B197" s="200" t="s">
        <v>1411</v>
      </c>
      <c r="C197" s="34"/>
      <c r="D197" s="34"/>
      <c r="E197" s="34"/>
      <c r="F197" s="34"/>
      <c r="G197" s="34"/>
      <c r="H197" s="37" t="s">
        <v>488</v>
      </c>
      <c r="I197" s="38"/>
      <c r="J197" s="38"/>
      <c r="K197" s="38"/>
      <c r="L197" s="38"/>
      <c r="M197" s="38"/>
      <c r="N197" s="38"/>
      <c r="O197" s="38"/>
      <c r="P197" s="38"/>
      <c r="Q197" s="38"/>
      <c r="R197" s="177">
        <f t="shared" si="29"/>
        <v>0</v>
      </c>
      <c r="S197" s="202">
        <f t="shared" si="27"/>
        <v>0</v>
      </c>
      <c r="T197" s="202">
        <f t="shared" si="28"/>
        <v>0</v>
      </c>
      <c r="U197" s="18"/>
      <c r="V197" s="206" t="str">
        <f t="shared" si="22"/>
        <v>4-35</v>
      </c>
      <c r="W197" s="215" t="str">
        <f t="shared" si="30"/>
        <v/>
      </c>
      <c r="X197" s="110"/>
      <c r="Y197" s="109"/>
      <c r="Z197" s="207"/>
      <c r="AA197" s="207"/>
      <c r="AB197" s="207"/>
      <c r="AC197" s="207"/>
      <c r="AD197" s="207"/>
      <c r="AE197" s="207"/>
      <c r="AF197" s="207"/>
      <c r="AG197" s="207"/>
      <c r="AH197" s="207"/>
      <c r="AI197" s="207"/>
      <c r="AJ197" s="207"/>
      <c r="AK197" s="207"/>
      <c r="AL197" s="207"/>
      <c r="AM197" s="207"/>
      <c r="AN197" s="207"/>
      <c r="AO197" s="207"/>
      <c r="AP197" s="207"/>
      <c r="AQ197" s="207"/>
      <c r="AR197" s="207"/>
      <c r="AS197" s="207"/>
      <c r="AT197" s="207"/>
      <c r="AU197" s="207"/>
      <c r="AV197" s="207"/>
      <c r="AW197" s="207"/>
      <c r="AX197" s="207"/>
      <c r="AY197" s="207"/>
      <c r="AZ197" s="207"/>
      <c r="BA197" s="207"/>
      <c r="BB197" s="207"/>
      <c r="BC197" s="207"/>
      <c r="BD197" s="207"/>
      <c r="BE197" s="207"/>
      <c r="BF197" s="207"/>
      <c r="BG197" s="207"/>
      <c r="BH197" s="207"/>
      <c r="BI197" s="207"/>
      <c r="BJ197" s="207"/>
      <c r="BK197" s="207"/>
      <c r="BL197" s="207"/>
      <c r="BM197" s="207"/>
      <c r="BN197" s="207"/>
      <c r="BO197" s="207"/>
      <c r="BP197" s="207"/>
      <c r="BQ197" s="207"/>
      <c r="BR197" s="207"/>
      <c r="BS197" s="207"/>
      <c r="BT197" s="207"/>
      <c r="BU197" s="207"/>
      <c r="BV197" s="207"/>
      <c r="BW197" s="207"/>
      <c r="BX197" s="207"/>
      <c r="BY197" s="207"/>
      <c r="BZ197" s="207"/>
      <c r="CA197" s="207"/>
      <c r="CB197" s="207"/>
      <c r="CC197" s="207"/>
      <c r="CD197" s="207"/>
      <c r="CE197" s="207"/>
      <c r="CF197" s="207"/>
      <c r="CG197" s="207"/>
      <c r="CH197" s="207"/>
      <c r="CI197" s="207"/>
      <c r="CJ197" s="207"/>
      <c r="CK197" s="207"/>
      <c r="CL197" s="207"/>
      <c r="CM197" s="207"/>
      <c r="CN197" s="207"/>
      <c r="CO197" s="207"/>
      <c r="CP197" s="207"/>
      <c r="CQ197" s="207"/>
      <c r="CR197" s="207"/>
      <c r="CS197" s="207"/>
      <c r="CT197" s="207"/>
      <c r="CU197" s="207"/>
      <c r="CV197" s="207"/>
      <c r="CW197" s="207"/>
      <c r="CX197" s="207"/>
      <c r="CY197" s="207"/>
      <c r="CZ197" s="207"/>
      <c r="DA197" s="207"/>
      <c r="DB197" s="207"/>
      <c r="DC197" s="207"/>
      <c r="DD197" s="207"/>
      <c r="DE197" s="207"/>
      <c r="DF197" s="207"/>
      <c r="DG197" s="207"/>
      <c r="DH197" s="207"/>
      <c r="DI197" s="207"/>
      <c r="DJ197" s="207"/>
      <c r="DK197" s="207"/>
      <c r="DL197" s="207"/>
      <c r="DM197" s="207"/>
      <c r="DN197" s="207"/>
      <c r="DO197" s="207"/>
      <c r="DP197" s="207"/>
      <c r="DQ197" s="207"/>
      <c r="DR197" s="207"/>
      <c r="DS197" s="207"/>
      <c r="DT197" s="207"/>
      <c r="DU197" s="207"/>
      <c r="DV197" s="207"/>
      <c r="DW197" s="207"/>
      <c r="DX197" s="207"/>
      <c r="DY197" s="207"/>
      <c r="DZ197" s="207"/>
      <c r="EA197" s="207"/>
      <c r="EB197" s="207"/>
      <c r="EC197" s="207"/>
      <c r="ED197" s="207"/>
      <c r="EE197" s="207"/>
      <c r="EF197" s="207"/>
      <c r="EG197" s="207"/>
      <c r="EH197" s="207"/>
      <c r="EI197" s="207"/>
      <c r="EJ197" s="207"/>
      <c r="EK197" s="207"/>
      <c r="EL197" s="207"/>
      <c r="EM197" s="207"/>
      <c r="EN197" s="207"/>
      <c r="EO197" s="207"/>
      <c r="EP197" s="207"/>
      <c r="EQ197" s="207"/>
      <c r="ER197" s="207"/>
      <c r="ES197" s="207"/>
      <c r="ET197" s="207"/>
      <c r="EU197" s="207"/>
      <c r="EV197" s="207"/>
      <c r="EW197" s="207"/>
      <c r="EX197" s="207"/>
      <c r="EY197" s="207"/>
      <c r="EZ197" s="207"/>
      <c r="FA197" s="207"/>
      <c r="FB197" s="207"/>
      <c r="FC197" s="207"/>
      <c r="FD197" s="207"/>
      <c r="FE197" s="207"/>
      <c r="FF197" s="207"/>
      <c r="FG197" s="207"/>
      <c r="FH197" s="207"/>
      <c r="FI197" s="207"/>
      <c r="FJ197" s="207"/>
      <c r="FK197" s="207"/>
      <c r="FL197" s="207"/>
      <c r="FM197" s="207"/>
      <c r="FN197" s="207"/>
      <c r="FO197" s="207"/>
      <c r="FP197" s="207"/>
      <c r="FQ197" s="207"/>
      <c r="FR197" s="207"/>
      <c r="FS197" s="208"/>
      <c r="FT197" s="156"/>
    </row>
    <row r="198" spans="1:176" ht="15" outlineLevel="1">
      <c r="A198" s="206" t="s">
        <v>1459</v>
      </c>
      <c r="B198" s="200" t="s">
        <v>1411</v>
      </c>
      <c r="C198" s="34"/>
      <c r="D198" s="34"/>
      <c r="E198" s="34"/>
      <c r="F198" s="34"/>
      <c r="G198" s="34"/>
      <c r="H198" s="37" t="s">
        <v>488</v>
      </c>
      <c r="I198" s="38"/>
      <c r="J198" s="38"/>
      <c r="K198" s="38"/>
      <c r="L198" s="38"/>
      <c r="M198" s="38"/>
      <c r="N198" s="38"/>
      <c r="O198" s="38"/>
      <c r="P198" s="38"/>
      <c r="Q198" s="38"/>
      <c r="R198" s="177">
        <f t="shared" si="29"/>
        <v>0</v>
      </c>
      <c r="S198" s="202">
        <f t="shared" si="27"/>
        <v>0</v>
      </c>
      <c r="T198" s="202">
        <f t="shared" si="28"/>
        <v>0</v>
      </c>
      <c r="U198" s="18"/>
      <c r="V198" s="206" t="str">
        <f t="shared" si="22"/>
        <v>4-36</v>
      </c>
      <c r="W198" s="215" t="str">
        <f t="shared" si="30"/>
        <v/>
      </c>
      <c r="X198" s="110"/>
      <c r="Y198" s="109"/>
      <c r="Z198" s="207"/>
      <c r="AA198" s="207"/>
      <c r="AB198" s="207"/>
      <c r="AC198" s="207"/>
      <c r="AD198" s="207"/>
      <c r="AE198" s="207"/>
      <c r="AF198" s="207"/>
      <c r="AG198" s="207"/>
      <c r="AH198" s="207"/>
      <c r="AI198" s="207"/>
      <c r="AJ198" s="207"/>
      <c r="AK198" s="207"/>
      <c r="AL198" s="207"/>
      <c r="AM198" s="207"/>
      <c r="AN198" s="207"/>
      <c r="AO198" s="207"/>
      <c r="AP198" s="207"/>
      <c r="AQ198" s="207"/>
      <c r="AR198" s="207"/>
      <c r="AS198" s="207"/>
      <c r="AT198" s="207"/>
      <c r="AU198" s="207"/>
      <c r="AV198" s="207"/>
      <c r="AW198" s="207"/>
      <c r="AX198" s="207"/>
      <c r="AY198" s="207"/>
      <c r="AZ198" s="207"/>
      <c r="BA198" s="207"/>
      <c r="BB198" s="207"/>
      <c r="BC198" s="207"/>
      <c r="BD198" s="207"/>
      <c r="BE198" s="207"/>
      <c r="BF198" s="207"/>
      <c r="BG198" s="207"/>
      <c r="BH198" s="207"/>
      <c r="BI198" s="207"/>
      <c r="BJ198" s="207"/>
      <c r="BK198" s="207"/>
      <c r="BL198" s="207"/>
      <c r="BM198" s="207"/>
      <c r="BN198" s="207"/>
      <c r="BO198" s="207"/>
      <c r="BP198" s="207"/>
      <c r="BQ198" s="207"/>
      <c r="BR198" s="207"/>
      <c r="BS198" s="207"/>
      <c r="BT198" s="207"/>
      <c r="BU198" s="207"/>
      <c r="BV198" s="207"/>
      <c r="BW198" s="207"/>
      <c r="BX198" s="207"/>
      <c r="BY198" s="207"/>
      <c r="BZ198" s="207"/>
      <c r="CA198" s="207"/>
      <c r="CB198" s="207"/>
      <c r="CC198" s="207"/>
      <c r="CD198" s="207"/>
      <c r="CE198" s="207"/>
      <c r="CF198" s="207"/>
      <c r="CG198" s="207"/>
      <c r="CH198" s="207"/>
      <c r="CI198" s="207"/>
      <c r="CJ198" s="207"/>
      <c r="CK198" s="207"/>
      <c r="CL198" s="207"/>
      <c r="CM198" s="207"/>
      <c r="CN198" s="207"/>
      <c r="CO198" s="207"/>
      <c r="CP198" s="207"/>
      <c r="CQ198" s="207"/>
      <c r="CR198" s="207"/>
      <c r="CS198" s="207"/>
      <c r="CT198" s="207"/>
      <c r="CU198" s="207"/>
      <c r="CV198" s="207"/>
      <c r="CW198" s="207"/>
      <c r="CX198" s="207"/>
      <c r="CY198" s="207"/>
      <c r="CZ198" s="207"/>
      <c r="DA198" s="207"/>
      <c r="DB198" s="207"/>
      <c r="DC198" s="207"/>
      <c r="DD198" s="207"/>
      <c r="DE198" s="207"/>
      <c r="DF198" s="207"/>
      <c r="DG198" s="207"/>
      <c r="DH198" s="207"/>
      <c r="DI198" s="207"/>
      <c r="DJ198" s="207"/>
      <c r="DK198" s="207"/>
      <c r="DL198" s="207"/>
      <c r="DM198" s="207"/>
      <c r="DN198" s="207"/>
      <c r="DO198" s="207"/>
      <c r="DP198" s="207"/>
      <c r="DQ198" s="207"/>
      <c r="DR198" s="207"/>
      <c r="DS198" s="207"/>
      <c r="DT198" s="207"/>
      <c r="DU198" s="207"/>
      <c r="DV198" s="207"/>
      <c r="DW198" s="207"/>
      <c r="DX198" s="207"/>
      <c r="DY198" s="207"/>
      <c r="DZ198" s="207"/>
      <c r="EA198" s="207"/>
      <c r="EB198" s="207"/>
      <c r="EC198" s="207"/>
      <c r="ED198" s="207"/>
      <c r="EE198" s="207"/>
      <c r="EF198" s="207"/>
      <c r="EG198" s="207"/>
      <c r="EH198" s="207"/>
      <c r="EI198" s="207"/>
      <c r="EJ198" s="207"/>
      <c r="EK198" s="207"/>
      <c r="EL198" s="207"/>
      <c r="EM198" s="207"/>
      <c r="EN198" s="207"/>
      <c r="EO198" s="207"/>
      <c r="EP198" s="207"/>
      <c r="EQ198" s="207"/>
      <c r="ER198" s="207"/>
      <c r="ES198" s="207"/>
      <c r="ET198" s="207"/>
      <c r="EU198" s="207"/>
      <c r="EV198" s="207"/>
      <c r="EW198" s="207"/>
      <c r="EX198" s="207"/>
      <c r="EY198" s="207"/>
      <c r="EZ198" s="207"/>
      <c r="FA198" s="207"/>
      <c r="FB198" s="207"/>
      <c r="FC198" s="207"/>
      <c r="FD198" s="207"/>
      <c r="FE198" s="207"/>
      <c r="FF198" s="207"/>
      <c r="FG198" s="207"/>
      <c r="FH198" s="207"/>
      <c r="FI198" s="207"/>
      <c r="FJ198" s="207"/>
      <c r="FK198" s="207"/>
      <c r="FL198" s="207"/>
      <c r="FM198" s="207"/>
      <c r="FN198" s="207"/>
      <c r="FO198" s="207"/>
      <c r="FP198" s="207"/>
      <c r="FQ198" s="207"/>
      <c r="FR198" s="207"/>
      <c r="FS198" s="208"/>
      <c r="FT198" s="156"/>
    </row>
    <row r="199" spans="1:176" ht="15" outlineLevel="1">
      <c r="A199" s="206" t="s">
        <v>1460</v>
      </c>
      <c r="B199" s="200" t="s">
        <v>1411</v>
      </c>
      <c r="C199" s="34"/>
      <c r="D199" s="34"/>
      <c r="E199" s="34"/>
      <c r="F199" s="34"/>
      <c r="G199" s="34"/>
      <c r="H199" s="37" t="s">
        <v>488</v>
      </c>
      <c r="I199" s="38"/>
      <c r="J199" s="38"/>
      <c r="K199" s="38"/>
      <c r="L199" s="38"/>
      <c r="M199" s="38"/>
      <c r="N199" s="38"/>
      <c r="O199" s="38"/>
      <c r="P199" s="38"/>
      <c r="Q199" s="38"/>
      <c r="R199" s="177">
        <f t="shared" si="29"/>
        <v>0</v>
      </c>
      <c r="S199" s="202">
        <f t="shared" si="27"/>
        <v>0</v>
      </c>
      <c r="T199" s="202">
        <f t="shared" si="28"/>
        <v>0</v>
      </c>
      <c r="U199" s="18"/>
      <c r="V199" s="206" t="str">
        <f t="shared" si="22"/>
        <v>4-37</v>
      </c>
      <c r="W199" s="215" t="str">
        <f t="shared" si="30"/>
        <v/>
      </c>
      <c r="X199" s="110"/>
      <c r="Y199" s="109"/>
      <c r="Z199" s="207"/>
      <c r="AA199" s="207"/>
      <c r="AB199" s="207"/>
      <c r="AC199" s="207"/>
      <c r="AD199" s="207"/>
      <c r="AE199" s="207"/>
      <c r="AF199" s="207"/>
      <c r="AG199" s="207"/>
      <c r="AH199" s="207"/>
      <c r="AI199" s="207"/>
      <c r="AJ199" s="207"/>
      <c r="AK199" s="207"/>
      <c r="AL199" s="207"/>
      <c r="AM199" s="207"/>
      <c r="AN199" s="207"/>
      <c r="AO199" s="207"/>
      <c r="AP199" s="207"/>
      <c r="AQ199" s="207"/>
      <c r="AR199" s="207"/>
      <c r="AS199" s="207"/>
      <c r="AT199" s="207"/>
      <c r="AU199" s="207"/>
      <c r="AV199" s="207"/>
      <c r="AW199" s="207"/>
      <c r="AX199" s="207"/>
      <c r="AY199" s="207"/>
      <c r="AZ199" s="207"/>
      <c r="BA199" s="207"/>
      <c r="BB199" s="207"/>
      <c r="BC199" s="207"/>
      <c r="BD199" s="207"/>
      <c r="BE199" s="207"/>
      <c r="BF199" s="207"/>
      <c r="BG199" s="207"/>
      <c r="BH199" s="207"/>
      <c r="BI199" s="207"/>
      <c r="BJ199" s="207"/>
      <c r="BK199" s="207"/>
      <c r="BL199" s="207"/>
      <c r="BM199" s="207"/>
      <c r="BN199" s="207"/>
      <c r="BO199" s="207"/>
      <c r="BP199" s="207"/>
      <c r="BQ199" s="207"/>
      <c r="BR199" s="207"/>
      <c r="BS199" s="207"/>
      <c r="BT199" s="207"/>
      <c r="BU199" s="207"/>
      <c r="BV199" s="207"/>
      <c r="BW199" s="207"/>
      <c r="BX199" s="207"/>
      <c r="BY199" s="207"/>
      <c r="BZ199" s="207"/>
      <c r="CA199" s="207"/>
      <c r="CB199" s="207"/>
      <c r="CC199" s="207"/>
      <c r="CD199" s="207"/>
      <c r="CE199" s="207"/>
      <c r="CF199" s="207"/>
      <c r="CG199" s="207"/>
      <c r="CH199" s="207"/>
      <c r="CI199" s="207"/>
      <c r="CJ199" s="207"/>
      <c r="CK199" s="207"/>
      <c r="CL199" s="207"/>
      <c r="CM199" s="207"/>
      <c r="CN199" s="207"/>
      <c r="CO199" s="207"/>
      <c r="CP199" s="207"/>
      <c r="CQ199" s="207"/>
      <c r="CR199" s="207"/>
      <c r="CS199" s="207"/>
      <c r="CT199" s="207"/>
      <c r="CU199" s="207"/>
      <c r="CV199" s="207"/>
      <c r="CW199" s="207"/>
      <c r="CX199" s="207"/>
      <c r="CY199" s="207"/>
      <c r="CZ199" s="207"/>
      <c r="DA199" s="207"/>
      <c r="DB199" s="207"/>
      <c r="DC199" s="207"/>
      <c r="DD199" s="207"/>
      <c r="DE199" s="207"/>
      <c r="DF199" s="207"/>
      <c r="DG199" s="207"/>
      <c r="DH199" s="207"/>
      <c r="DI199" s="207"/>
      <c r="DJ199" s="207"/>
      <c r="DK199" s="207"/>
      <c r="DL199" s="207"/>
      <c r="DM199" s="207"/>
      <c r="DN199" s="207"/>
      <c r="DO199" s="207"/>
      <c r="DP199" s="207"/>
      <c r="DQ199" s="207"/>
      <c r="DR199" s="207"/>
      <c r="DS199" s="207"/>
      <c r="DT199" s="207"/>
      <c r="DU199" s="207"/>
      <c r="DV199" s="207"/>
      <c r="DW199" s="207"/>
      <c r="DX199" s="207"/>
      <c r="DY199" s="207"/>
      <c r="DZ199" s="207"/>
      <c r="EA199" s="207"/>
      <c r="EB199" s="207"/>
      <c r="EC199" s="207"/>
      <c r="ED199" s="207"/>
      <c r="EE199" s="207"/>
      <c r="EF199" s="207"/>
      <c r="EG199" s="207"/>
      <c r="EH199" s="207"/>
      <c r="EI199" s="207"/>
      <c r="EJ199" s="207"/>
      <c r="EK199" s="207"/>
      <c r="EL199" s="207"/>
      <c r="EM199" s="207"/>
      <c r="EN199" s="207"/>
      <c r="EO199" s="207"/>
      <c r="EP199" s="207"/>
      <c r="EQ199" s="207"/>
      <c r="ER199" s="207"/>
      <c r="ES199" s="207"/>
      <c r="ET199" s="207"/>
      <c r="EU199" s="207"/>
      <c r="EV199" s="207"/>
      <c r="EW199" s="207"/>
      <c r="EX199" s="207"/>
      <c r="EY199" s="207"/>
      <c r="EZ199" s="207"/>
      <c r="FA199" s="207"/>
      <c r="FB199" s="207"/>
      <c r="FC199" s="207"/>
      <c r="FD199" s="207"/>
      <c r="FE199" s="207"/>
      <c r="FF199" s="207"/>
      <c r="FG199" s="207"/>
      <c r="FH199" s="207"/>
      <c r="FI199" s="207"/>
      <c r="FJ199" s="207"/>
      <c r="FK199" s="207"/>
      <c r="FL199" s="207"/>
      <c r="FM199" s="207"/>
      <c r="FN199" s="207"/>
      <c r="FO199" s="207"/>
      <c r="FP199" s="207"/>
      <c r="FQ199" s="207"/>
      <c r="FR199" s="207"/>
      <c r="FS199" s="208"/>
      <c r="FT199" s="156"/>
    </row>
    <row r="200" spans="1:176" ht="15" outlineLevel="1">
      <c r="A200" s="206" t="s">
        <v>1461</v>
      </c>
      <c r="B200" s="200" t="s">
        <v>1411</v>
      </c>
      <c r="C200" s="34"/>
      <c r="D200" s="34"/>
      <c r="E200" s="34"/>
      <c r="F200" s="34"/>
      <c r="G200" s="34"/>
      <c r="H200" s="37" t="s">
        <v>488</v>
      </c>
      <c r="I200" s="38"/>
      <c r="J200" s="38"/>
      <c r="K200" s="38"/>
      <c r="L200" s="38"/>
      <c r="M200" s="38"/>
      <c r="N200" s="38"/>
      <c r="O200" s="38"/>
      <c r="P200" s="38"/>
      <c r="Q200" s="38"/>
      <c r="R200" s="177">
        <f t="shared" si="29"/>
        <v>0</v>
      </c>
      <c r="S200" s="202">
        <f t="shared" si="27"/>
        <v>0</v>
      </c>
      <c r="T200" s="202">
        <f t="shared" si="28"/>
        <v>0</v>
      </c>
      <c r="U200" s="18"/>
      <c r="V200" s="206" t="str">
        <f t="shared" si="22"/>
        <v>4-38</v>
      </c>
      <c r="W200" s="215" t="str">
        <f t="shared" si="30"/>
        <v/>
      </c>
      <c r="X200" s="110"/>
      <c r="Y200" s="109"/>
      <c r="Z200" s="207"/>
      <c r="AA200" s="207"/>
      <c r="AB200" s="207"/>
      <c r="AC200" s="207"/>
      <c r="AD200" s="207"/>
      <c r="AE200" s="207"/>
      <c r="AF200" s="207"/>
      <c r="AG200" s="207"/>
      <c r="AH200" s="207"/>
      <c r="AI200" s="207"/>
      <c r="AJ200" s="207"/>
      <c r="AK200" s="207"/>
      <c r="AL200" s="207"/>
      <c r="AM200" s="207"/>
      <c r="AN200" s="207"/>
      <c r="AO200" s="207"/>
      <c r="AP200" s="207"/>
      <c r="AQ200" s="207"/>
      <c r="AR200" s="207"/>
      <c r="AS200" s="207"/>
      <c r="AT200" s="207"/>
      <c r="AU200" s="207"/>
      <c r="AV200" s="207"/>
      <c r="AW200" s="207"/>
      <c r="AX200" s="207"/>
      <c r="AY200" s="207"/>
      <c r="AZ200" s="207"/>
      <c r="BA200" s="207"/>
      <c r="BB200" s="207"/>
      <c r="BC200" s="207"/>
      <c r="BD200" s="207"/>
      <c r="BE200" s="207"/>
      <c r="BF200" s="207"/>
      <c r="BG200" s="207"/>
      <c r="BH200" s="207"/>
      <c r="BI200" s="207"/>
      <c r="BJ200" s="207"/>
      <c r="BK200" s="207"/>
      <c r="BL200" s="207"/>
      <c r="BM200" s="207"/>
      <c r="BN200" s="207"/>
      <c r="BO200" s="207"/>
      <c r="BP200" s="207"/>
      <c r="BQ200" s="207"/>
      <c r="BR200" s="207"/>
      <c r="BS200" s="207"/>
      <c r="BT200" s="207"/>
      <c r="BU200" s="207"/>
      <c r="BV200" s="207"/>
      <c r="BW200" s="207"/>
      <c r="BX200" s="207"/>
      <c r="BY200" s="207"/>
      <c r="BZ200" s="207"/>
      <c r="CA200" s="207"/>
      <c r="CB200" s="207"/>
      <c r="CC200" s="207"/>
      <c r="CD200" s="207"/>
      <c r="CE200" s="207"/>
      <c r="CF200" s="207"/>
      <c r="CG200" s="207"/>
      <c r="CH200" s="207"/>
      <c r="CI200" s="207"/>
      <c r="CJ200" s="207"/>
      <c r="CK200" s="207"/>
      <c r="CL200" s="207"/>
      <c r="CM200" s="207"/>
      <c r="CN200" s="207"/>
      <c r="CO200" s="207"/>
      <c r="CP200" s="207"/>
      <c r="CQ200" s="207"/>
      <c r="CR200" s="207"/>
      <c r="CS200" s="207"/>
      <c r="CT200" s="207"/>
      <c r="CU200" s="207"/>
      <c r="CV200" s="207"/>
      <c r="CW200" s="207"/>
      <c r="CX200" s="207"/>
      <c r="CY200" s="207"/>
      <c r="CZ200" s="207"/>
      <c r="DA200" s="207"/>
      <c r="DB200" s="207"/>
      <c r="DC200" s="207"/>
      <c r="DD200" s="207"/>
      <c r="DE200" s="207"/>
      <c r="DF200" s="207"/>
      <c r="DG200" s="207"/>
      <c r="DH200" s="207"/>
      <c r="DI200" s="207"/>
      <c r="DJ200" s="207"/>
      <c r="DK200" s="207"/>
      <c r="DL200" s="207"/>
      <c r="DM200" s="207"/>
      <c r="DN200" s="207"/>
      <c r="DO200" s="207"/>
      <c r="DP200" s="207"/>
      <c r="DQ200" s="207"/>
      <c r="DR200" s="207"/>
      <c r="DS200" s="207"/>
      <c r="DT200" s="207"/>
      <c r="DU200" s="207"/>
      <c r="DV200" s="207"/>
      <c r="DW200" s="207"/>
      <c r="DX200" s="207"/>
      <c r="DY200" s="207"/>
      <c r="DZ200" s="207"/>
      <c r="EA200" s="207"/>
      <c r="EB200" s="207"/>
      <c r="EC200" s="207"/>
      <c r="ED200" s="207"/>
      <c r="EE200" s="207"/>
      <c r="EF200" s="207"/>
      <c r="EG200" s="207"/>
      <c r="EH200" s="207"/>
      <c r="EI200" s="207"/>
      <c r="EJ200" s="207"/>
      <c r="EK200" s="207"/>
      <c r="EL200" s="207"/>
      <c r="EM200" s="207"/>
      <c r="EN200" s="207"/>
      <c r="EO200" s="207"/>
      <c r="EP200" s="207"/>
      <c r="EQ200" s="207"/>
      <c r="ER200" s="207"/>
      <c r="ES200" s="207"/>
      <c r="ET200" s="207"/>
      <c r="EU200" s="207"/>
      <c r="EV200" s="207"/>
      <c r="EW200" s="207"/>
      <c r="EX200" s="207"/>
      <c r="EY200" s="207"/>
      <c r="EZ200" s="207"/>
      <c r="FA200" s="207"/>
      <c r="FB200" s="207"/>
      <c r="FC200" s="207"/>
      <c r="FD200" s="207"/>
      <c r="FE200" s="207"/>
      <c r="FF200" s="207"/>
      <c r="FG200" s="207"/>
      <c r="FH200" s="207"/>
      <c r="FI200" s="207"/>
      <c r="FJ200" s="207"/>
      <c r="FK200" s="207"/>
      <c r="FL200" s="207"/>
      <c r="FM200" s="207"/>
      <c r="FN200" s="207"/>
      <c r="FO200" s="207"/>
      <c r="FP200" s="207"/>
      <c r="FQ200" s="207"/>
      <c r="FR200" s="207"/>
      <c r="FS200" s="208"/>
      <c r="FT200" s="156"/>
    </row>
    <row r="201" spans="1:176" ht="15" outlineLevel="1">
      <c r="A201" s="206" t="s">
        <v>1462</v>
      </c>
      <c r="B201" s="200" t="s">
        <v>1411</v>
      </c>
      <c r="C201" s="34"/>
      <c r="D201" s="34"/>
      <c r="E201" s="34"/>
      <c r="F201" s="34"/>
      <c r="G201" s="34"/>
      <c r="H201" s="37" t="s">
        <v>488</v>
      </c>
      <c r="I201" s="38"/>
      <c r="J201" s="38"/>
      <c r="K201" s="38"/>
      <c r="L201" s="38"/>
      <c r="M201" s="38"/>
      <c r="N201" s="38"/>
      <c r="O201" s="38"/>
      <c r="P201" s="38"/>
      <c r="Q201" s="38"/>
      <c r="R201" s="177">
        <f t="shared" si="29"/>
        <v>0</v>
      </c>
      <c r="S201" s="202">
        <f t="shared" si="27"/>
        <v>0</v>
      </c>
      <c r="T201" s="202">
        <f t="shared" si="28"/>
        <v>0</v>
      </c>
      <c r="U201" s="18"/>
      <c r="V201" s="206" t="str">
        <f t="shared" si="22"/>
        <v>4-39</v>
      </c>
      <c r="W201" s="215" t="str">
        <f t="shared" si="30"/>
        <v/>
      </c>
      <c r="X201" s="110"/>
      <c r="Y201" s="109"/>
      <c r="Z201" s="207"/>
      <c r="AA201" s="207"/>
      <c r="AB201" s="207"/>
      <c r="AC201" s="207"/>
      <c r="AD201" s="207"/>
      <c r="AE201" s="207"/>
      <c r="AF201" s="207"/>
      <c r="AG201" s="207"/>
      <c r="AH201" s="207"/>
      <c r="AI201" s="207"/>
      <c r="AJ201" s="207"/>
      <c r="AK201" s="207"/>
      <c r="AL201" s="207"/>
      <c r="AM201" s="207"/>
      <c r="AN201" s="207"/>
      <c r="AO201" s="207"/>
      <c r="AP201" s="207"/>
      <c r="AQ201" s="207"/>
      <c r="AR201" s="207"/>
      <c r="AS201" s="207"/>
      <c r="AT201" s="207"/>
      <c r="AU201" s="207"/>
      <c r="AV201" s="207"/>
      <c r="AW201" s="207"/>
      <c r="AX201" s="207"/>
      <c r="AY201" s="207"/>
      <c r="AZ201" s="207"/>
      <c r="BA201" s="207"/>
      <c r="BB201" s="207"/>
      <c r="BC201" s="207"/>
      <c r="BD201" s="207"/>
      <c r="BE201" s="207"/>
      <c r="BF201" s="207"/>
      <c r="BG201" s="207"/>
      <c r="BH201" s="207"/>
      <c r="BI201" s="207"/>
      <c r="BJ201" s="207"/>
      <c r="BK201" s="207"/>
      <c r="BL201" s="207"/>
      <c r="BM201" s="207"/>
      <c r="BN201" s="207"/>
      <c r="BO201" s="207"/>
      <c r="BP201" s="207"/>
      <c r="BQ201" s="207"/>
      <c r="BR201" s="207"/>
      <c r="BS201" s="207"/>
      <c r="BT201" s="207"/>
      <c r="BU201" s="207"/>
      <c r="BV201" s="207"/>
      <c r="BW201" s="207"/>
      <c r="BX201" s="207"/>
      <c r="BY201" s="207"/>
      <c r="BZ201" s="207"/>
      <c r="CA201" s="207"/>
      <c r="CB201" s="207"/>
      <c r="CC201" s="207"/>
      <c r="CD201" s="207"/>
      <c r="CE201" s="207"/>
      <c r="CF201" s="207"/>
      <c r="CG201" s="207"/>
      <c r="CH201" s="207"/>
      <c r="CI201" s="207"/>
      <c r="CJ201" s="207"/>
      <c r="CK201" s="207"/>
      <c r="CL201" s="207"/>
      <c r="CM201" s="207"/>
      <c r="CN201" s="207"/>
      <c r="CO201" s="207"/>
      <c r="CP201" s="207"/>
      <c r="CQ201" s="207"/>
      <c r="CR201" s="207"/>
      <c r="CS201" s="207"/>
      <c r="CT201" s="207"/>
      <c r="CU201" s="207"/>
      <c r="CV201" s="207"/>
      <c r="CW201" s="207"/>
      <c r="CX201" s="207"/>
      <c r="CY201" s="207"/>
      <c r="CZ201" s="207"/>
      <c r="DA201" s="207"/>
      <c r="DB201" s="207"/>
      <c r="DC201" s="207"/>
      <c r="DD201" s="207"/>
      <c r="DE201" s="207"/>
      <c r="DF201" s="207"/>
      <c r="DG201" s="207"/>
      <c r="DH201" s="207"/>
      <c r="DI201" s="207"/>
      <c r="DJ201" s="207"/>
      <c r="DK201" s="207"/>
      <c r="DL201" s="207"/>
      <c r="DM201" s="207"/>
      <c r="DN201" s="207"/>
      <c r="DO201" s="207"/>
      <c r="DP201" s="207"/>
      <c r="DQ201" s="207"/>
      <c r="DR201" s="207"/>
      <c r="DS201" s="207"/>
      <c r="DT201" s="207"/>
      <c r="DU201" s="207"/>
      <c r="DV201" s="207"/>
      <c r="DW201" s="207"/>
      <c r="DX201" s="207"/>
      <c r="DY201" s="207"/>
      <c r="DZ201" s="207"/>
      <c r="EA201" s="207"/>
      <c r="EB201" s="207"/>
      <c r="EC201" s="207"/>
      <c r="ED201" s="207"/>
      <c r="EE201" s="207"/>
      <c r="EF201" s="207"/>
      <c r="EG201" s="207"/>
      <c r="EH201" s="207"/>
      <c r="EI201" s="207"/>
      <c r="EJ201" s="207"/>
      <c r="EK201" s="207"/>
      <c r="EL201" s="207"/>
      <c r="EM201" s="207"/>
      <c r="EN201" s="207"/>
      <c r="EO201" s="207"/>
      <c r="EP201" s="207"/>
      <c r="EQ201" s="207"/>
      <c r="ER201" s="207"/>
      <c r="ES201" s="207"/>
      <c r="ET201" s="207"/>
      <c r="EU201" s="207"/>
      <c r="EV201" s="207"/>
      <c r="EW201" s="207"/>
      <c r="EX201" s="207"/>
      <c r="EY201" s="207"/>
      <c r="EZ201" s="207"/>
      <c r="FA201" s="207"/>
      <c r="FB201" s="207"/>
      <c r="FC201" s="207"/>
      <c r="FD201" s="207"/>
      <c r="FE201" s="207"/>
      <c r="FF201" s="207"/>
      <c r="FG201" s="207"/>
      <c r="FH201" s="207"/>
      <c r="FI201" s="207"/>
      <c r="FJ201" s="207"/>
      <c r="FK201" s="207"/>
      <c r="FL201" s="207"/>
      <c r="FM201" s="207"/>
      <c r="FN201" s="207"/>
      <c r="FO201" s="207"/>
      <c r="FP201" s="207"/>
      <c r="FQ201" s="207"/>
      <c r="FR201" s="207"/>
      <c r="FS201" s="208"/>
      <c r="FT201" s="156"/>
    </row>
    <row r="202" spans="1:176" ht="15" outlineLevel="1">
      <c r="A202" s="206" t="s">
        <v>1463</v>
      </c>
      <c r="B202" s="200" t="s">
        <v>1411</v>
      </c>
      <c r="C202" s="34"/>
      <c r="D202" s="34"/>
      <c r="E202" s="34"/>
      <c r="F202" s="34"/>
      <c r="G202" s="34"/>
      <c r="H202" s="37" t="s">
        <v>488</v>
      </c>
      <c r="I202" s="38"/>
      <c r="J202" s="38"/>
      <c r="K202" s="38"/>
      <c r="L202" s="38"/>
      <c r="M202" s="38"/>
      <c r="N202" s="38"/>
      <c r="O202" s="38"/>
      <c r="P202" s="38"/>
      <c r="Q202" s="38"/>
      <c r="R202" s="177">
        <f t="shared" si="29"/>
        <v>0</v>
      </c>
      <c r="S202" s="202">
        <f t="shared" si="27"/>
        <v>0</v>
      </c>
      <c r="T202" s="202">
        <f t="shared" si="28"/>
        <v>0</v>
      </c>
      <c r="U202" s="18"/>
      <c r="V202" s="206" t="str">
        <f t="shared" ref="V202:V263" si="31">A202</f>
        <v>4-40</v>
      </c>
      <c r="W202" s="215" t="str">
        <f t="shared" si="30"/>
        <v/>
      </c>
      <c r="X202" s="110"/>
      <c r="Y202" s="109"/>
      <c r="Z202" s="207"/>
      <c r="AA202" s="207"/>
      <c r="AB202" s="207"/>
      <c r="AC202" s="207"/>
      <c r="AD202" s="207"/>
      <c r="AE202" s="207"/>
      <c r="AF202" s="207"/>
      <c r="AG202" s="207"/>
      <c r="AH202" s="207"/>
      <c r="AI202" s="207"/>
      <c r="AJ202" s="207"/>
      <c r="AK202" s="207"/>
      <c r="AL202" s="207"/>
      <c r="AM202" s="207"/>
      <c r="AN202" s="207"/>
      <c r="AO202" s="207"/>
      <c r="AP202" s="207"/>
      <c r="AQ202" s="207"/>
      <c r="AR202" s="207"/>
      <c r="AS202" s="207"/>
      <c r="AT202" s="207"/>
      <c r="AU202" s="207"/>
      <c r="AV202" s="207"/>
      <c r="AW202" s="207"/>
      <c r="AX202" s="207"/>
      <c r="AY202" s="207"/>
      <c r="AZ202" s="207"/>
      <c r="BA202" s="207"/>
      <c r="BB202" s="207"/>
      <c r="BC202" s="207"/>
      <c r="BD202" s="207"/>
      <c r="BE202" s="207"/>
      <c r="BF202" s="207"/>
      <c r="BG202" s="207"/>
      <c r="BH202" s="207"/>
      <c r="BI202" s="207"/>
      <c r="BJ202" s="207"/>
      <c r="BK202" s="207"/>
      <c r="BL202" s="207"/>
      <c r="BM202" s="207"/>
      <c r="BN202" s="207"/>
      <c r="BO202" s="207"/>
      <c r="BP202" s="207"/>
      <c r="BQ202" s="207"/>
      <c r="BR202" s="207"/>
      <c r="BS202" s="207"/>
      <c r="BT202" s="207"/>
      <c r="BU202" s="207"/>
      <c r="BV202" s="207"/>
      <c r="BW202" s="207"/>
      <c r="BX202" s="207"/>
      <c r="BY202" s="207"/>
      <c r="BZ202" s="207"/>
      <c r="CA202" s="207"/>
      <c r="CB202" s="207"/>
      <c r="CC202" s="207"/>
      <c r="CD202" s="207"/>
      <c r="CE202" s="207"/>
      <c r="CF202" s="207"/>
      <c r="CG202" s="207"/>
      <c r="CH202" s="207"/>
      <c r="CI202" s="207"/>
      <c r="CJ202" s="207"/>
      <c r="CK202" s="207"/>
      <c r="CL202" s="207"/>
      <c r="CM202" s="207"/>
      <c r="CN202" s="207"/>
      <c r="CO202" s="207"/>
      <c r="CP202" s="207"/>
      <c r="CQ202" s="207"/>
      <c r="CR202" s="207"/>
      <c r="CS202" s="207"/>
      <c r="CT202" s="207"/>
      <c r="CU202" s="207"/>
      <c r="CV202" s="207"/>
      <c r="CW202" s="207"/>
      <c r="CX202" s="207"/>
      <c r="CY202" s="207"/>
      <c r="CZ202" s="207"/>
      <c r="DA202" s="207"/>
      <c r="DB202" s="207"/>
      <c r="DC202" s="207"/>
      <c r="DD202" s="207"/>
      <c r="DE202" s="207"/>
      <c r="DF202" s="207"/>
      <c r="DG202" s="207"/>
      <c r="DH202" s="207"/>
      <c r="DI202" s="207"/>
      <c r="DJ202" s="207"/>
      <c r="DK202" s="207"/>
      <c r="DL202" s="207"/>
      <c r="DM202" s="207"/>
      <c r="DN202" s="207"/>
      <c r="DO202" s="207"/>
      <c r="DP202" s="207"/>
      <c r="DQ202" s="207"/>
      <c r="DR202" s="207"/>
      <c r="DS202" s="207"/>
      <c r="DT202" s="207"/>
      <c r="DU202" s="207"/>
      <c r="DV202" s="207"/>
      <c r="DW202" s="207"/>
      <c r="DX202" s="207"/>
      <c r="DY202" s="207"/>
      <c r="DZ202" s="207"/>
      <c r="EA202" s="207"/>
      <c r="EB202" s="207"/>
      <c r="EC202" s="207"/>
      <c r="ED202" s="207"/>
      <c r="EE202" s="207"/>
      <c r="EF202" s="207"/>
      <c r="EG202" s="207"/>
      <c r="EH202" s="207"/>
      <c r="EI202" s="207"/>
      <c r="EJ202" s="207"/>
      <c r="EK202" s="207"/>
      <c r="EL202" s="207"/>
      <c r="EM202" s="207"/>
      <c r="EN202" s="207"/>
      <c r="EO202" s="207"/>
      <c r="EP202" s="207"/>
      <c r="EQ202" s="207"/>
      <c r="ER202" s="207"/>
      <c r="ES202" s="207"/>
      <c r="ET202" s="207"/>
      <c r="EU202" s="207"/>
      <c r="EV202" s="207"/>
      <c r="EW202" s="207"/>
      <c r="EX202" s="207"/>
      <c r="EY202" s="207"/>
      <c r="EZ202" s="207"/>
      <c r="FA202" s="207"/>
      <c r="FB202" s="207"/>
      <c r="FC202" s="207"/>
      <c r="FD202" s="207"/>
      <c r="FE202" s="207"/>
      <c r="FF202" s="207"/>
      <c r="FG202" s="207"/>
      <c r="FH202" s="207"/>
      <c r="FI202" s="207"/>
      <c r="FJ202" s="207"/>
      <c r="FK202" s="207"/>
      <c r="FL202" s="207"/>
      <c r="FM202" s="207"/>
      <c r="FN202" s="207"/>
      <c r="FO202" s="207"/>
      <c r="FP202" s="207"/>
      <c r="FQ202" s="207"/>
      <c r="FR202" s="207"/>
      <c r="FS202" s="208"/>
      <c r="FT202" s="156"/>
    </row>
    <row r="203" spans="1:176" ht="15" outlineLevel="1">
      <c r="A203" s="206" t="s">
        <v>1464</v>
      </c>
      <c r="B203" s="200" t="s">
        <v>1411</v>
      </c>
      <c r="C203" s="34"/>
      <c r="D203" s="34"/>
      <c r="E203" s="34"/>
      <c r="F203" s="34"/>
      <c r="G203" s="34"/>
      <c r="H203" s="37" t="s">
        <v>488</v>
      </c>
      <c r="I203" s="38"/>
      <c r="J203" s="38"/>
      <c r="K203" s="38"/>
      <c r="L203" s="38"/>
      <c r="M203" s="38"/>
      <c r="N203" s="38"/>
      <c r="O203" s="38"/>
      <c r="P203" s="38"/>
      <c r="Q203" s="38"/>
      <c r="R203" s="177">
        <f t="shared" si="29"/>
        <v>0</v>
      </c>
      <c r="S203" s="202">
        <f t="shared" si="27"/>
        <v>0</v>
      </c>
      <c r="T203" s="202">
        <f t="shared" si="28"/>
        <v>0</v>
      </c>
      <c r="U203" s="18"/>
      <c r="V203" s="206" t="str">
        <f t="shared" si="31"/>
        <v>4-41</v>
      </c>
      <c r="W203" s="215" t="str">
        <f t="shared" si="30"/>
        <v/>
      </c>
      <c r="X203" s="110"/>
      <c r="Y203" s="109"/>
      <c r="Z203" s="207"/>
      <c r="AA203" s="207"/>
      <c r="AB203" s="207"/>
      <c r="AC203" s="207"/>
      <c r="AD203" s="207"/>
      <c r="AE203" s="207"/>
      <c r="AF203" s="207"/>
      <c r="AG203" s="207"/>
      <c r="AH203" s="207"/>
      <c r="AI203" s="207"/>
      <c r="AJ203" s="207"/>
      <c r="AK203" s="207"/>
      <c r="AL203" s="207"/>
      <c r="AM203" s="207"/>
      <c r="AN203" s="207"/>
      <c r="AO203" s="207"/>
      <c r="AP203" s="207"/>
      <c r="AQ203" s="207"/>
      <c r="AR203" s="207"/>
      <c r="AS203" s="207"/>
      <c r="AT203" s="207"/>
      <c r="AU203" s="207"/>
      <c r="AV203" s="207"/>
      <c r="AW203" s="207"/>
      <c r="AX203" s="207"/>
      <c r="AY203" s="207"/>
      <c r="AZ203" s="207"/>
      <c r="BA203" s="207"/>
      <c r="BB203" s="207"/>
      <c r="BC203" s="207"/>
      <c r="BD203" s="207"/>
      <c r="BE203" s="207"/>
      <c r="BF203" s="207"/>
      <c r="BG203" s="207"/>
      <c r="BH203" s="207"/>
      <c r="BI203" s="207"/>
      <c r="BJ203" s="207"/>
      <c r="BK203" s="207"/>
      <c r="BL203" s="207"/>
      <c r="BM203" s="207"/>
      <c r="BN203" s="207"/>
      <c r="BO203" s="207"/>
      <c r="BP203" s="207"/>
      <c r="BQ203" s="207"/>
      <c r="BR203" s="207"/>
      <c r="BS203" s="207"/>
      <c r="BT203" s="207"/>
      <c r="BU203" s="207"/>
      <c r="BV203" s="207"/>
      <c r="BW203" s="207"/>
      <c r="BX203" s="207"/>
      <c r="BY203" s="207"/>
      <c r="BZ203" s="207"/>
      <c r="CA203" s="207"/>
      <c r="CB203" s="207"/>
      <c r="CC203" s="207"/>
      <c r="CD203" s="207"/>
      <c r="CE203" s="207"/>
      <c r="CF203" s="207"/>
      <c r="CG203" s="207"/>
      <c r="CH203" s="207"/>
      <c r="CI203" s="207"/>
      <c r="CJ203" s="207"/>
      <c r="CK203" s="207"/>
      <c r="CL203" s="207"/>
      <c r="CM203" s="207"/>
      <c r="CN203" s="207"/>
      <c r="CO203" s="207"/>
      <c r="CP203" s="207"/>
      <c r="CQ203" s="207"/>
      <c r="CR203" s="207"/>
      <c r="CS203" s="207"/>
      <c r="CT203" s="207"/>
      <c r="CU203" s="207"/>
      <c r="CV203" s="207"/>
      <c r="CW203" s="207"/>
      <c r="CX203" s="207"/>
      <c r="CY203" s="207"/>
      <c r="CZ203" s="207"/>
      <c r="DA203" s="207"/>
      <c r="DB203" s="207"/>
      <c r="DC203" s="207"/>
      <c r="DD203" s="207"/>
      <c r="DE203" s="207"/>
      <c r="DF203" s="207"/>
      <c r="DG203" s="207"/>
      <c r="DH203" s="207"/>
      <c r="DI203" s="207"/>
      <c r="DJ203" s="207"/>
      <c r="DK203" s="207"/>
      <c r="DL203" s="207"/>
      <c r="DM203" s="207"/>
      <c r="DN203" s="207"/>
      <c r="DO203" s="207"/>
      <c r="DP203" s="207"/>
      <c r="DQ203" s="207"/>
      <c r="DR203" s="207"/>
      <c r="DS203" s="207"/>
      <c r="DT203" s="207"/>
      <c r="DU203" s="207"/>
      <c r="DV203" s="207"/>
      <c r="DW203" s="207"/>
      <c r="DX203" s="207"/>
      <c r="DY203" s="207"/>
      <c r="DZ203" s="207"/>
      <c r="EA203" s="207"/>
      <c r="EB203" s="207"/>
      <c r="EC203" s="207"/>
      <c r="ED203" s="207"/>
      <c r="EE203" s="207"/>
      <c r="EF203" s="207"/>
      <c r="EG203" s="207"/>
      <c r="EH203" s="207"/>
      <c r="EI203" s="207"/>
      <c r="EJ203" s="207"/>
      <c r="EK203" s="207"/>
      <c r="EL203" s="207"/>
      <c r="EM203" s="207"/>
      <c r="EN203" s="207"/>
      <c r="EO203" s="207"/>
      <c r="EP203" s="207"/>
      <c r="EQ203" s="207"/>
      <c r="ER203" s="207"/>
      <c r="ES203" s="207"/>
      <c r="ET203" s="207"/>
      <c r="EU203" s="207"/>
      <c r="EV203" s="207"/>
      <c r="EW203" s="207"/>
      <c r="EX203" s="207"/>
      <c r="EY203" s="207"/>
      <c r="EZ203" s="207"/>
      <c r="FA203" s="207"/>
      <c r="FB203" s="207"/>
      <c r="FC203" s="207"/>
      <c r="FD203" s="207"/>
      <c r="FE203" s="207"/>
      <c r="FF203" s="207"/>
      <c r="FG203" s="207"/>
      <c r="FH203" s="207"/>
      <c r="FI203" s="207"/>
      <c r="FJ203" s="207"/>
      <c r="FK203" s="207"/>
      <c r="FL203" s="207"/>
      <c r="FM203" s="207"/>
      <c r="FN203" s="207"/>
      <c r="FO203" s="207"/>
      <c r="FP203" s="207"/>
      <c r="FQ203" s="207"/>
      <c r="FR203" s="207"/>
      <c r="FS203" s="208"/>
      <c r="FT203" s="156"/>
    </row>
    <row r="204" spans="1:176" ht="15" outlineLevel="1">
      <c r="A204" s="206" t="s">
        <v>1465</v>
      </c>
      <c r="B204" s="200" t="s">
        <v>1411</v>
      </c>
      <c r="C204" s="34"/>
      <c r="D204" s="34"/>
      <c r="E204" s="34"/>
      <c r="F204" s="34"/>
      <c r="G204" s="34"/>
      <c r="H204" s="37" t="s">
        <v>488</v>
      </c>
      <c r="I204" s="38"/>
      <c r="J204" s="38"/>
      <c r="K204" s="38"/>
      <c r="L204" s="38"/>
      <c r="M204" s="38"/>
      <c r="N204" s="38"/>
      <c r="O204" s="38"/>
      <c r="P204" s="38"/>
      <c r="Q204" s="38"/>
      <c r="R204" s="177">
        <f t="shared" si="29"/>
        <v>0</v>
      </c>
      <c r="S204" s="202">
        <f t="shared" si="27"/>
        <v>0</v>
      </c>
      <c r="T204" s="202">
        <f t="shared" si="28"/>
        <v>0</v>
      </c>
      <c r="U204" s="18"/>
      <c r="V204" s="206" t="str">
        <f t="shared" si="31"/>
        <v>4-42</v>
      </c>
      <c r="W204" s="215" t="str">
        <f t="shared" si="30"/>
        <v/>
      </c>
      <c r="X204" s="110"/>
      <c r="Y204" s="109"/>
      <c r="Z204" s="207"/>
      <c r="AA204" s="207"/>
      <c r="AB204" s="207"/>
      <c r="AC204" s="207"/>
      <c r="AD204" s="207"/>
      <c r="AE204" s="207"/>
      <c r="AF204" s="207"/>
      <c r="AG204" s="207"/>
      <c r="AH204" s="207"/>
      <c r="AI204" s="207"/>
      <c r="AJ204" s="207"/>
      <c r="AK204" s="207"/>
      <c r="AL204" s="207"/>
      <c r="AM204" s="207"/>
      <c r="AN204" s="207"/>
      <c r="AO204" s="207"/>
      <c r="AP204" s="207"/>
      <c r="AQ204" s="207"/>
      <c r="AR204" s="207"/>
      <c r="AS204" s="207"/>
      <c r="AT204" s="207"/>
      <c r="AU204" s="207"/>
      <c r="AV204" s="207"/>
      <c r="AW204" s="207"/>
      <c r="AX204" s="207"/>
      <c r="AY204" s="207"/>
      <c r="AZ204" s="207"/>
      <c r="BA204" s="207"/>
      <c r="BB204" s="207"/>
      <c r="BC204" s="207"/>
      <c r="BD204" s="207"/>
      <c r="BE204" s="207"/>
      <c r="BF204" s="207"/>
      <c r="BG204" s="207"/>
      <c r="BH204" s="207"/>
      <c r="BI204" s="207"/>
      <c r="BJ204" s="207"/>
      <c r="BK204" s="207"/>
      <c r="BL204" s="207"/>
      <c r="BM204" s="207"/>
      <c r="BN204" s="207"/>
      <c r="BO204" s="207"/>
      <c r="BP204" s="207"/>
      <c r="BQ204" s="207"/>
      <c r="BR204" s="207"/>
      <c r="BS204" s="207"/>
      <c r="BT204" s="207"/>
      <c r="BU204" s="207"/>
      <c r="BV204" s="207"/>
      <c r="BW204" s="207"/>
      <c r="BX204" s="207"/>
      <c r="BY204" s="207"/>
      <c r="BZ204" s="207"/>
      <c r="CA204" s="207"/>
      <c r="CB204" s="207"/>
      <c r="CC204" s="207"/>
      <c r="CD204" s="207"/>
      <c r="CE204" s="207"/>
      <c r="CF204" s="207"/>
      <c r="CG204" s="207"/>
      <c r="CH204" s="207"/>
      <c r="CI204" s="207"/>
      <c r="CJ204" s="207"/>
      <c r="CK204" s="207"/>
      <c r="CL204" s="207"/>
      <c r="CM204" s="207"/>
      <c r="CN204" s="207"/>
      <c r="CO204" s="207"/>
      <c r="CP204" s="207"/>
      <c r="CQ204" s="207"/>
      <c r="CR204" s="207"/>
      <c r="CS204" s="207"/>
      <c r="CT204" s="207"/>
      <c r="CU204" s="207"/>
      <c r="CV204" s="207"/>
      <c r="CW204" s="207"/>
      <c r="CX204" s="207"/>
      <c r="CY204" s="207"/>
      <c r="CZ204" s="207"/>
      <c r="DA204" s="207"/>
      <c r="DB204" s="207"/>
      <c r="DC204" s="207"/>
      <c r="DD204" s="207"/>
      <c r="DE204" s="207"/>
      <c r="DF204" s="207"/>
      <c r="DG204" s="207"/>
      <c r="DH204" s="207"/>
      <c r="DI204" s="207"/>
      <c r="DJ204" s="207"/>
      <c r="DK204" s="207"/>
      <c r="DL204" s="207"/>
      <c r="DM204" s="207"/>
      <c r="DN204" s="207"/>
      <c r="DO204" s="207"/>
      <c r="DP204" s="207"/>
      <c r="DQ204" s="207"/>
      <c r="DR204" s="207"/>
      <c r="DS204" s="207"/>
      <c r="DT204" s="207"/>
      <c r="DU204" s="207"/>
      <c r="DV204" s="207"/>
      <c r="DW204" s="207"/>
      <c r="DX204" s="207"/>
      <c r="DY204" s="207"/>
      <c r="DZ204" s="207"/>
      <c r="EA204" s="207"/>
      <c r="EB204" s="207"/>
      <c r="EC204" s="207"/>
      <c r="ED204" s="207"/>
      <c r="EE204" s="207"/>
      <c r="EF204" s="207"/>
      <c r="EG204" s="207"/>
      <c r="EH204" s="207"/>
      <c r="EI204" s="207"/>
      <c r="EJ204" s="207"/>
      <c r="EK204" s="207"/>
      <c r="EL204" s="207"/>
      <c r="EM204" s="207"/>
      <c r="EN204" s="207"/>
      <c r="EO204" s="207"/>
      <c r="EP204" s="207"/>
      <c r="EQ204" s="207"/>
      <c r="ER204" s="207"/>
      <c r="ES204" s="207"/>
      <c r="ET204" s="207"/>
      <c r="EU204" s="207"/>
      <c r="EV204" s="207"/>
      <c r="EW204" s="207"/>
      <c r="EX204" s="207"/>
      <c r="EY204" s="207"/>
      <c r="EZ204" s="207"/>
      <c r="FA204" s="207"/>
      <c r="FB204" s="207"/>
      <c r="FC204" s="207"/>
      <c r="FD204" s="207"/>
      <c r="FE204" s="207"/>
      <c r="FF204" s="207"/>
      <c r="FG204" s="207"/>
      <c r="FH204" s="207"/>
      <c r="FI204" s="207"/>
      <c r="FJ204" s="207"/>
      <c r="FK204" s="207"/>
      <c r="FL204" s="207"/>
      <c r="FM204" s="207"/>
      <c r="FN204" s="207"/>
      <c r="FO204" s="207"/>
      <c r="FP204" s="207"/>
      <c r="FQ204" s="207"/>
      <c r="FR204" s="207"/>
      <c r="FS204" s="208"/>
      <c r="FT204" s="156"/>
    </row>
    <row r="205" spans="1:176" ht="15" outlineLevel="1">
      <c r="A205" s="206" t="s">
        <v>1466</v>
      </c>
      <c r="B205" s="200" t="s">
        <v>1411</v>
      </c>
      <c r="C205" s="34"/>
      <c r="D205" s="34"/>
      <c r="E205" s="34"/>
      <c r="F205" s="34"/>
      <c r="G205" s="34"/>
      <c r="H205" s="37" t="s">
        <v>488</v>
      </c>
      <c r="I205" s="38"/>
      <c r="J205" s="38"/>
      <c r="K205" s="38"/>
      <c r="L205" s="38"/>
      <c r="M205" s="38"/>
      <c r="N205" s="38"/>
      <c r="O205" s="38"/>
      <c r="P205" s="38"/>
      <c r="Q205" s="38"/>
      <c r="R205" s="177">
        <f t="shared" si="29"/>
        <v>0</v>
      </c>
      <c r="S205" s="202">
        <f t="shared" si="27"/>
        <v>0</v>
      </c>
      <c r="T205" s="202">
        <f t="shared" si="28"/>
        <v>0</v>
      </c>
      <c r="U205" s="18"/>
      <c r="V205" s="206" t="str">
        <f t="shared" si="31"/>
        <v>4-43</v>
      </c>
      <c r="W205" s="215" t="str">
        <f t="shared" si="30"/>
        <v/>
      </c>
      <c r="X205" s="110"/>
      <c r="Y205" s="109"/>
      <c r="Z205" s="207"/>
      <c r="AA205" s="207"/>
      <c r="AB205" s="207"/>
      <c r="AC205" s="207"/>
      <c r="AD205" s="207"/>
      <c r="AE205" s="207"/>
      <c r="AF205" s="207"/>
      <c r="AG205" s="207"/>
      <c r="AH205" s="207"/>
      <c r="AI205" s="207"/>
      <c r="AJ205" s="207"/>
      <c r="AK205" s="207"/>
      <c r="AL205" s="207"/>
      <c r="AM205" s="207"/>
      <c r="AN205" s="207"/>
      <c r="AO205" s="207"/>
      <c r="AP205" s="207"/>
      <c r="AQ205" s="207"/>
      <c r="AR205" s="207"/>
      <c r="AS205" s="207"/>
      <c r="AT205" s="207"/>
      <c r="AU205" s="207"/>
      <c r="AV205" s="207"/>
      <c r="AW205" s="207"/>
      <c r="AX205" s="207"/>
      <c r="AY205" s="207"/>
      <c r="AZ205" s="207"/>
      <c r="BA205" s="207"/>
      <c r="BB205" s="207"/>
      <c r="BC205" s="207"/>
      <c r="BD205" s="207"/>
      <c r="BE205" s="207"/>
      <c r="BF205" s="207"/>
      <c r="BG205" s="207"/>
      <c r="BH205" s="207"/>
      <c r="BI205" s="207"/>
      <c r="BJ205" s="207"/>
      <c r="BK205" s="207"/>
      <c r="BL205" s="207"/>
      <c r="BM205" s="207"/>
      <c r="BN205" s="207"/>
      <c r="BO205" s="207"/>
      <c r="BP205" s="207"/>
      <c r="BQ205" s="207"/>
      <c r="BR205" s="207"/>
      <c r="BS205" s="207"/>
      <c r="BT205" s="207"/>
      <c r="BU205" s="207"/>
      <c r="BV205" s="207"/>
      <c r="BW205" s="207"/>
      <c r="BX205" s="207"/>
      <c r="BY205" s="207"/>
      <c r="BZ205" s="207"/>
      <c r="CA205" s="207"/>
      <c r="CB205" s="207"/>
      <c r="CC205" s="207"/>
      <c r="CD205" s="207"/>
      <c r="CE205" s="207"/>
      <c r="CF205" s="207"/>
      <c r="CG205" s="207"/>
      <c r="CH205" s="207"/>
      <c r="CI205" s="207"/>
      <c r="CJ205" s="207"/>
      <c r="CK205" s="207"/>
      <c r="CL205" s="207"/>
      <c r="CM205" s="207"/>
      <c r="CN205" s="207"/>
      <c r="CO205" s="207"/>
      <c r="CP205" s="207"/>
      <c r="CQ205" s="207"/>
      <c r="CR205" s="207"/>
      <c r="CS205" s="207"/>
      <c r="CT205" s="207"/>
      <c r="CU205" s="207"/>
      <c r="CV205" s="207"/>
      <c r="CW205" s="207"/>
      <c r="CX205" s="207"/>
      <c r="CY205" s="207"/>
      <c r="CZ205" s="207"/>
      <c r="DA205" s="207"/>
      <c r="DB205" s="207"/>
      <c r="DC205" s="207"/>
      <c r="DD205" s="207"/>
      <c r="DE205" s="207"/>
      <c r="DF205" s="207"/>
      <c r="DG205" s="207"/>
      <c r="DH205" s="207"/>
      <c r="DI205" s="207"/>
      <c r="DJ205" s="207"/>
      <c r="DK205" s="207"/>
      <c r="DL205" s="207"/>
      <c r="DM205" s="207"/>
      <c r="DN205" s="207"/>
      <c r="DO205" s="207"/>
      <c r="DP205" s="207"/>
      <c r="DQ205" s="207"/>
      <c r="DR205" s="207"/>
      <c r="DS205" s="207"/>
      <c r="DT205" s="207"/>
      <c r="DU205" s="207"/>
      <c r="DV205" s="207"/>
      <c r="DW205" s="207"/>
      <c r="DX205" s="207"/>
      <c r="DY205" s="207"/>
      <c r="DZ205" s="207"/>
      <c r="EA205" s="207"/>
      <c r="EB205" s="207"/>
      <c r="EC205" s="207"/>
      <c r="ED205" s="207"/>
      <c r="EE205" s="207"/>
      <c r="EF205" s="207"/>
      <c r="EG205" s="207"/>
      <c r="EH205" s="207"/>
      <c r="EI205" s="207"/>
      <c r="EJ205" s="207"/>
      <c r="EK205" s="207"/>
      <c r="EL205" s="207"/>
      <c r="EM205" s="207"/>
      <c r="EN205" s="207"/>
      <c r="EO205" s="207"/>
      <c r="EP205" s="207"/>
      <c r="EQ205" s="207"/>
      <c r="ER205" s="207"/>
      <c r="ES205" s="207"/>
      <c r="ET205" s="207"/>
      <c r="EU205" s="207"/>
      <c r="EV205" s="207"/>
      <c r="EW205" s="207"/>
      <c r="EX205" s="207"/>
      <c r="EY205" s="207"/>
      <c r="EZ205" s="207"/>
      <c r="FA205" s="207"/>
      <c r="FB205" s="207"/>
      <c r="FC205" s="207"/>
      <c r="FD205" s="207"/>
      <c r="FE205" s="207"/>
      <c r="FF205" s="207"/>
      <c r="FG205" s="207"/>
      <c r="FH205" s="207"/>
      <c r="FI205" s="207"/>
      <c r="FJ205" s="207"/>
      <c r="FK205" s="207"/>
      <c r="FL205" s="207"/>
      <c r="FM205" s="207"/>
      <c r="FN205" s="207"/>
      <c r="FO205" s="207"/>
      <c r="FP205" s="207"/>
      <c r="FQ205" s="207"/>
      <c r="FR205" s="207"/>
      <c r="FS205" s="208"/>
      <c r="FT205" s="156"/>
    </row>
    <row r="206" spans="1:176" ht="15" outlineLevel="1">
      <c r="A206" s="206" t="s">
        <v>1467</v>
      </c>
      <c r="B206" s="200" t="s">
        <v>1411</v>
      </c>
      <c r="C206" s="34"/>
      <c r="D206" s="34"/>
      <c r="E206" s="34"/>
      <c r="F206" s="34"/>
      <c r="G206" s="34"/>
      <c r="H206" s="37" t="s">
        <v>488</v>
      </c>
      <c r="I206" s="38"/>
      <c r="J206" s="38"/>
      <c r="K206" s="38"/>
      <c r="L206" s="38"/>
      <c r="M206" s="38"/>
      <c r="N206" s="38"/>
      <c r="O206" s="38"/>
      <c r="P206" s="38"/>
      <c r="Q206" s="38"/>
      <c r="R206" s="177">
        <f t="shared" si="29"/>
        <v>0</v>
      </c>
      <c r="S206" s="202">
        <f t="shared" si="27"/>
        <v>0</v>
      </c>
      <c r="T206" s="202">
        <f t="shared" si="28"/>
        <v>0</v>
      </c>
      <c r="U206" s="18"/>
      <c r="V206" s="206" t="str">
        <f t="shared" si="31"/>
        <v>4-44</v>
      </c>
      <c r="W206" s="215" t="str">
        <f t="shared" si="30"/>
        <v/>
      </c>
      <c r="X206" s="110"/>
      <c r="Y206" s="109"/>
      <c r="Z206" s="207"/>
      <c r="AA206" s="207"/>
      <c r="AB206" s="207"/>
      <c r="AC206" s="207"/>
      <c r="AD206" s="207"/>
      <c r="AE206" s="207"/>
      <c r="AF206" s="207"/>
      <c r="AG206" s="207"/>
      <c r="AH206" s="207"/>
      <c r="AI206" s="207"/>
      <c r="AJ206" s="207"/>
      <c r="AK206" s="207"/>
      <c r="AL206" s="207"/>
      <c r="AM206" s="207"/>
      <c r="AN206" s="207"/>
      <c r="AO206" s="207"/>
      <c r="AP206" s="207"/>
      <c r="AQ206" s="207"/>
      <c r="AR206" s="207"/>
      <c r="AS206" s="207"/>
      <c r="AT206" s="207"/>
      <c r="AU206" s="207"/>
      <c r="AV206" s="207"/>
      <c r="AW206" s="207"/>
      <c r="AX206" s="207"/>
      <c r="AY206" s="207"/>
      <c r="AZ206" s="207"/>
      <c r="BA206" s="207"/>
      <c r="BB206" s="207"/>
      <c r="BC206" s="207"/>
      <c r="BD206" s="207"/>
      <c r="BE206" s="207"/>
      <c r="BF206" s="207"/>
      <c r="BG206" s="207"/>
      <c r="BH206" s="207"/>
      <c r="BI206" s="207"/>
      <c r="BJ206" s="207"/>
      <c r="BK206" s="207"/>
      <c r="BL206" s="207"/>
      <c r="BM206" s="207"/>
      <c r="BN206" s="207"/>
      <c r="BO206" s="207"/>
      <c r="BP206" s="207"/>
      <c r="BQ206" s="207"/>
      <c r="BR206" s="207"/>
      <c r="BS206" s="207"/>
      <c r="BT206" s="207"/>
      <c r="BU206" s="207"/>
      <c r="BV206" s="207"/>
      <c r="BW206" s="207"/>
      <c r="BX206" s="207"/>
      <c r="BY206" s="207"/>
      <c r="BZ206" s="207"/>
      <c r="CA206" s="207"/>
      <c r="CB206" s="207"/>
      <c r="CC206" s="207"/>
      <c r="CD206" s="207"/>
      <c r="CE206" s="207"/>
      <c r="CF206" s="207"/>
      <c r="CG206" s="207"/>
      <c r="CH206" s="207"/>
      <c r="CI206" s="207"/>
      <c r="CJ206" s="207"/>
      <c r="CK206" s="207"/>
      <c r="CL206" s="207"/>
      <c r="CM206" s="207"/>
      <c r="CN206" s="207"/>
      <c r="CO206" s="207"/>
      <c r="CP206" s="207"/>
      <c r="CQ206" s="207"/>
      <c r="CR206" s="207"/>
      <c r="CS206" s="207"/>
      <c r="CT206" s="207"/>
      <c r="CU206" s="207"/>
      <c r="CV206" s="207"/>
      <c r="CW206" s="207"/>
      <c r="CX206" s="207"/>
      <c r="CY206" s="207"/>
      <c r="CZ206" s="207"/>
      <c r="DA206" s="207"/>
      <c r="DB206" s="207"/>
      <c r="DC206" s="207"/>
      <c r="DD206" s="207"/>
      <c r="DE206" s="207"/>
      <c r="DF206" s="207"/>
      <c r="DG206" s="207"/>
      <c r="DH206" s="207"/>
      <c r="DI206" s="207"/>
      <c r="DJ206" s="207"/>
      <c r="DK206" s="207"/>
      <c r="DL206" s="207"/>
      <c r="DM206" s="207"/>
      <c r="DN206" s="207"/>
      <c r="DO206" s="207"/>
      <c r="DP206" s="207"/>
      <c r="DQ206" s="207"/>
      <c r="DR206" s="207"/>
      <c r="DS206" s="207"/>
      <c r="DT206" s="207"/>
      <c r="DU206" s="207"/>
      <c r="DV206" s="207"/>
      <c r="DW206" s="207"/>
      <c r="DX206" s="207"/>
      <c r="DY206" s="207"/>
      <c r="DZ206" s="207"/>
      <c r="EA206" s="207"/>
      <c r="EB206" s="207"/>
      <c r="EC206" s="207"/>
      <c r="ED206" s="207"/>
      <c r="EE206" s="207"/>
      <c r="EF206" s="207"/>
      <c r="EG206" s="207"/>
      <c r="EH206" s="207"/>
      <c r="EI206" s="207"/>
      <c r="EJ206" s="207"/>
      <c r="EK206" s="207"/>
      <c r="EL206" s="207"/>
      <c r="EM206" s="207"/>
      <c r="EN206" s="207"/>
      <c r="EO206" s="207"/>
      <c r="EP206" s="207"/>
      <c r="EQ206" s="207"/>
      <c r="ER206" s="207"/>
      <c r="ES206" s="207"/>
      <c r="ET206" s="207"/>
      <c r="EU206" s="207"/>
      <c r="EV206" s="207"/>
      <c r="EW206" s="207"/>
      <c r="EX206" s="207"/>
      <c r="EY206" s="207"/>
      <c r="EZ206" s="207"/>
      <c r="FA206" s="207"/>
      <c r="FB206" s="207"/>
      <c r="FC206" s="207"/>
      <c r="FD206" s="207"/>
      <c r="FE206" s="207"/>
      <c r="FF206" s="207"/>
      <c r="FG206" s="207"/>
      <c r="FH206" s="207"/>
      <c r="FI206" s="207"/>
      <c r="FJ206" s="207"/>
      <c r="FK206" s="207"/>
      <c r="FL206" s="207"/>
      <c r="FM206" s="207"/>
      <c r="FN206" s="207"/>
      <c r="FO206" s="207"/>
      <c r="FP206" s="207"/>
      <c r="FQ206" s="207"/>
      <c r="FR206" s="207"/>
      <c r="FS206" s="208"/>
      <c r="FT206" s="156"/>
    </row>
    <row r="207" spans="1:176" ht="15" outlineLevel="1">
      <c r="A207" s="206" t="s">
        <v>1468</v>
      </c>
      <c r="B207" s="200" t="s">
        <v>1411</v>
      </c>
      <c r="C207" s="34"/>
      <c r="D207" s="34"/>
      <c r="E207" s="34"/>
      <c r="F207" s="34"/>
      <c r="G207" s="34"/>
      <c r="H207" s="37" t="s">
        <v>488</v>
      </c>
      <c r="I207" s="38"/>
      <c r="J207" s="38"/>
      <c r="K207" s="38"/>
      <c r="L207" s="38"/>
      <c r="M207" s="38"/>
      <c r="N207" s="38"/>
      <c r="O207" s="38"/>
      <c r="P207" s="38"/>
      <c r="Q207" s="38"/>
      <c r="R207" s="177">
        <f t="shared" si="29"/>
        <v>0</v>
      </c>
      <c r="S207" s="202">
        <f t="shared" si="27"/>
        <v>0</v>
      </c>
      <c r="T207" s="202">
        <f t="shared" si="28"/>
        <v>0</v>
      </c>
      <c r="U207" s="18"/>
      <c r="V207" s="206" t="str">
        <f t="shared" si="31"/>
        <v>4-45</v>
      </c>
      <c r="W207" s="215" t="str">
        <f t="shared" si="30"/>
        <v/>
      </c>
      <c r="X207" s="110"/>
      <c r="Y207" s="109"/>
      <c r="Z207" s="207"/>
      <c r="AA207" s="207"/>
      <c r="AB207" s="207"/>
      <c r="AC207" s="207"/>
      <c r="AD207" s="207"/>
      <c r="AE207" s="207"/>
      <c r="AF207" s="207"/>
      <c r="AG207" s="207"/>
      <c r="AH207" s="207"/>
      <c r="AI207" s="207"/>
      <c r="AJ207" s="207"/>
      <c r="AK207" s="207"/>
      <c r="AL207" s="207"/>
      <c r="AM207" s="207"/>
      <c r="AN207" s="207"/>
      <c r="AO207" s="207"/>
      <c r="AP207" s="207"/>
      <c r="AQ207" s="207"/>
      <c r="AR207" s="207"/>
      <c r="AS207" s="207"/>
      <c r="AT207" s="207"/>
      <c r="AU207" s="207"/>
      <c r="AV207" s="207"/>
      <c r="AW207" s="207"/>
      <c r="AX207" s="207"/>
      <c r="AY207" s="207"/>
      <c r="AZ207" s="207"/>
      <c r="BA207" s="207"/>
      <c r="BB207" s="207"/>
      <c r="BC207" s="207"/>
      <c r="BD207" s="207"/>
      <c r="BE207" s="207"/>
      <c r="BF207" s="207"/>
      <c r="BG207" s="207"/>
      <c r="BH207" s="207"/>
      <c r="BI207" s="207"/>
      <c r="BJ207" s="207"/>
      <c r="BK207" s="207"/>
      <c r="BL207" s="207"/>
      <c r="BM207" s="207"/>
      <c r="BN207" s="207"/>
      <c r="BO207" s="207"/>
      <c r="BP207" s="207"/>
      <c r="BQ207" s="207"/>
      <c r="BR207" s="207"/>
      <c r="BS207" s="207"/>
      <c r="BT207" s="207"/>
      <c r="BU207" s="207"/>
      <c r="BV207" s="207"/>
      <c r="BW207" s="207"/>
      <c r="BX207" s="207"/>
      <c r="BY207" s="207"/>
      <c r="BZ207" s="207"/>
      <c r="CA207" s="207"/>
      <c r="CB207" s="207"/>
      <c r="CC207" s="207"/>
      <c r="CD207" s="207"/>
      <c r="CE207" s="207"/>
      <c r="CF207" s="207"/>
      <c r="CG207" s="207"/>
      <c r="CH207" s="207"/>
      <c r="CI207" s="207"/>
      <c r="CJ207" s="207"/>
      <c r="CK207" s="207"/>
      <c r="CL207" s="207"/>
      <c r="CM207" s="207"/>
      <c r="CN207" s="207"/>
      <c r="CO207" s="207"/>
      <c r="CP207" s="207"/>
      <c r="CQ207" s="207"/>
      <c r="CR207" s="207"/>
      <c r="CS207" s="207"/>
      <c r="CT207" s="207"/>
      <c r="CU207" s="207"/>
      <c r="CV207" s="207"/>
      <c r="CW207" s="207"/>
      <c r="CX207" s="207"/>
      <c r="CY207" s="207"/>
      <c r="CZ207" s="207"/>
      <c r="DA207" s="207"/>
      <c r="DB207" s="207"/>
      <c r="DC207" s="207"/>
      <c r="DD207" s="207"/>
      <c r="DE207" s="207"/>
      <c r="DF207" s="207"/>
      <c r="DG207" s="207"/>
      <c r="DH207" s="207"/>
      <c r="DI207" s="207"/>
      <c r="DJ207" s="207"/>
      <c r="DK207" s="207"/>
      <c r="DL207" s="207"/>
      <c r="DM207" s="207"/>
      <c r="DN207" s="207"/>
      <c r="DO207" s="207"/>
      <c r="DP207" s="207"/>
      <c r="DQ207" s="207"/>
      <c r="DR207" s="207"/>
      <c r="DS207" s="207"/>
      <c r="DT207" s="207"/>
      <c r="DU207" s="207"/>
      <c r="DV207" s="207"/>
      <c r="DW207" s="207"/>
      <c r="DX207" s="207"/>
      <c r="DY207" s="207"/>
      <c r="DZ207" s="207"/>
      <c r="EA207" s="207"/>
      <c r="EB207" s="207"/>
      <c r="EC207" s="207"/>
      <c r="ED207" s="207"/>
      <c r="EE207" s="207"/>
      <c r="EF207" s="207"/>
      <c r="EG207" s="207"/>
      <c r="EH207" s="207"/>
      <c r="EI207" s="207"/>
      <c r="EJ207" s="207"/>
      <c r="EK207" s="207"/>
      <c r="EL207" s="207"/>
      <c r="EM207" s="207"/>
      <c r="EN207" s="207"/>
      <c r="EO207" s="207"/>
      <c r="EP207" s="207"/>
      <c r="EQ207" s="207"/>
      <c r="ER207" s="207"/>
      <c r="ES207" s="207"/>
      <c r="ET207" s="207"/>
      <c r="EU207" s="207"/>
      <c r="EV207" s="207"/>
      <c r="EW207" s="207"/>
      <c r="EX207" s="207"/>
      <c r="EY207" s="207"/>
      <c r="EZ207" s="207"/>
      <c r="FA207" s="207"/>
      <c r="FB207" s="207"/>
      <c r="FC207" s="207"/>
      <c r="FD207" s="207"/>
      <c r="FE207" s="207"/>
      <c r="FF207" s="207"/>
      <c r="FG207" s="207"/>
      <c r="FH207" s="207"/>
      <c r="FI207" s="207"/>
      <c r="FJ207" s="207"/>
      <c r="FK207" s="207"/>
      <c r="FL207" s="207"/>
      <c r="FM207" s="207"/>
      <c r="FN207" s="207"/>
      <c r="FO207" s="207"/>
      <c r="FP207" s="207"/>
      <c r="FQ207" s="207"/>
      <c r="FR207" s="207"/>
      <c r="FS207" s="208"/>
      <c r="FT207" s="156"/>
    </row>
    <row r="208" spans="1:176" ht="15" outlineLevel="1">
      <c r="A208" s="206" t="s">
        <v>1469</v>
      </c>
      <c r="B208" s="200" t="s">
        <v>1411</v>
      </c>
      <c r="C208" s="34"/>
      <c r="D208" s="34"/>
      <c r="E208" s="34"/>
      <c r="F208" s="34"/>
      <c r="G208" s="34"/>
      <c r="H208" s="37" t="s">
        <v>488</v>
      </c>
      <c r="I208" s="38"/>
      <c r="J208" s="38"/>
      <c r="K208" s="38"/>
      <c r="L208" s="38"/>
      <c r="M208" s="38"/>
      <c r="N208" s="38"/>
      <c r="O208" s="38"/>
      <c r="P208" s="38"/>
      <c r="Q208" s="38"/>
      <c r="R208" s="177">
        <f t="shared" si="29"/>
        <v>0</v>
      </c>
      <c r="S208" s="202">
        <f t="shared" si="27"/>
        <v>0</v>
      </c>
      <c r="T208" s="202">
        <f t="shared" si="28"/>
        <v>0</v>
      </c>
      <c r="U208" s="18"/>
      <c r="V208" s="206" t="str">
        <f t="shared" si="31"/>
        <v>4-46</v>
      </c>
      <c r="W208" s="215" t="str">
        <f t="shared" si="30"/>
        <v/>
      </c>
      <c r="X208" s="110"/>
      <c r="Y208" s="109"/>
      <c r="Z208" s="207"/>
      <c r="AA208" s="207"/>
      <c r="AB208" s="207"/>
      <c r="AC208" s="207"/>
      <c r="AD208" s="207"/>
      <c r="AE208" s="207"/>
      <c r="AF208" s="207"/>
      <c r="AG208" s="207"/>
      <c r="AH208" s="207"/>
      <c r="AI208" s="207"/>
      <c r="AJ208" s="207"/>
      <c r="AK208" s="207"/>
      <c r="AL208" s="207"/>
      <c r="AM208" s="207"/>
      <c r="AN208" s="207"/>
      <c r="AO208" s="207"/>
      <c r="AP208" s="207"/>
      <c r="AQ208" s="207"/>
      <c r="AR208" s="207"/>
      <c r="AS208" s="207"/>
      <c r="AT208" s="207"/>
      <c r="AU208" s="207"/>
      <c r="AV208" s="207"/>
      <c r="AW208" s="207"/>
      <c r="AX208" s="207"/>
      <c r="AY208" s="207"/>
      <c r="AZ208" s="207"/>
      <c r="BA208" s="207"/>
      <c r="BB208" s="207"/>
      <c r="BC208" s="207"/>
      <c r="BD208" s="207"/>
      <c r="BE208" s="207"/>
      <c r="BF208" s="207"/>
      <c r="BG208" s="207"/>
      <c r="BH208" s="207"/>
      <c r="BI208" s="207"/>
      <c r="BJ208" s="207"/>
      <c r="BK208" s="207"/>
      <c r="BL208" s="207"/>
      <c r="BM208" s="207"/>
      <c r="BN208" s="207"/>
      <c r="BO208" s="207"/>
      <c r="BP208" s="207"/>
      <c r="BQ208" s="207"/>
      <c r="BR208" s="207"/>
      <c r="BS208" s="207"/>
      <c r="BT208" s="207"/>
      <c r="BU208" s="207"/>
      <c r="BV208" s="207"/>
      <c r="BW208" s="207"/>
      <c r="BX208" s="207"/>
      <c r="BY208" s="207"/>
      <c r="BZ208" s="207"/>
      <c r="CA208" s="207"/>
      <c r="CB208" s="207"/>
      <c r="CC208" s="207"/>
      <c r="CD208" s="207"/>
      <c r="CE208" s="207"/>
      <c r="CF208" s="207"/>
      <c r="CG208" s="207"/>
      <c r="CH208" s="207"/>
      <c r="CI208" s="207"/>
      <c r="CJ208" s="207"/>
      <c r="CK208" s="207"/>
      <c r="CL208" s="207"/>
      <c r="CM208" s="207"/>
      <c r="CN208" s="207"/>
      <c r="CO208" s="207"/>
      <c r="CP208" s="207"/>
      <c r="CQ208" s="207"/>
      <c r="CR208" s="207"/>
      <c r="CS208" s="207"/>
      <c r="CT208" s="207"/>
      <c r="CU208" s="207"/>
      <c r="CV208" s="207"/>
      <c r="CW208" s="207"/>
      <c r="CX208" s="207"/>
      <c r="CY208" s="207"/>
      <c r="CZ208" s="207"/>
      <c r="DA208" s="207"/>
      <c r="DB208" s="207"/>
      <c r="DC208" s="207"/>
      <c r="DD208" s="207"/>
      <c r="DE208" s="207"/>
      <c r="DF208" s="207"/>
      <c r="DG208" s="207"/>
      <c r="DH208" s="207"/>
      <c r="DI208" s="207"/>
      <c r="DJ208" s="207"/>
      <c r="DK208" s="207"/>
      <c r="DL208" s="207"/>
      <c r="DM208" s="207"/>
      <c r="DN208" s="207"/>
      <c r="DO208" s="207"/>
      <c r="DP208" s="207"/>
      <c r="DQ208" s="207"/>
      <c r="DR208" s="207"/>
      <c r="DS208" s="207"/>
      <c r="DT208" s="207"/>
      <c r="DU208" s="207"/>
      <c r="DV208" s="207"/>
      <c r="DW208" s="207"/>
      <c r="DX208" s="207"/>
      <c r="DY208" s="207"/>
      <c r="DZ208" s="207"/>
      <c r="EA208" s="207"/>
      <c r="EB208" s="207"/>
      <c r="EC208" s="207"/>
      <c r="ED208" s="207"/>
      <c r="EE208" s="207"/>
      <c r="EF208" s="207"/>
      <c r="EG208" s="207"/>
      <c r="EH208" s="207"/>
      <c r="EI208" s="207"/>
      <c r="EJ208" s="207"/>
      <c r="EK208" s="207"/>
      <c r="EL208" s="207"/>
      <c r="EM208" s="207"/>
      <c r="EN208" s="207"/>
      <c r="EO208" s="207"/>
      <c r="EP208" s="207"/>
      <c r="EQ208" s="207"/>
      <c r="ER208" s="207"/>
      <c r="ES208" s="207"/>
      <c r="ET208" s="207"/>
      <c r="EU208" s="207"/>
      <c r="EV208" s="207"/>
      <c r="EW208" s="207"/>
      <c r="EX208" s="207"/>
      <c r="EY208" s="207"/>
      <c r="EZ208" s="207"/>
      <c r="FA208" s="207"/>
      <c r="FB208" s="207"/>
      <c r="FC208" s="207"/>
      <c r="FD208" s="207"/>
      <c r="FE208" s="207"/>
      <c r="FF208" s="207"/>
      <c r="FG208" s="207"/>
      <c r="FH208" s="207"/>
      <c r="FI208" s="207"/>
      <c r="FJ208" s="207"/>
      <c r="FK208" s="207"/>
      <c r="FL208" s="207"/>
      <c r="FM208" s="207"/>
      <c r="FN208" s="207"/>
      <c r="FO208" s="207"/>
      <c r="FP208" s="207"/>
      <c r="FQ208" s="207"/>
      <c r="FR208" s="207"/>
      <c r="FS208" s="208"/>
      <c r="FT208" s="156"/>
    </row>
    <row r="209" spans="1:176" ht="15" outlineLevel="1">
      <c r="A209" s="206" t="s">
        <v>1470</v>
      </c>
      <c r="B209" s="200" t="s">
        <v>1411</v>
      </c>
      <c r="C209" s="34"/>
      <c r="D209" s="34"/>
      <c r="E209" s="34"/>
      <c r="F209" s="34"/>
      <c r="G209" s="34"/>
      <c r="H209" s="37" t="s">
        <v>488</v>
      </c>
      <c r="I209" s="38"/>
      <c r="J209" s="38"/>
      <c r="K209" s="38"/>
      <c r="L209" s="38"/>
      <c r="M209" s="38"/>
      <c r="N209" s="38"/>
      <c r="O209" s="38"/>
      <c r="P209" s="38"/>
      <c r="Q209" s="38"/>
      <c r="R209" s="177">
        <f t="shared" si="29"/>
        <v>0</v>
      </c>
      <c r="S209" s="202">
        <f t="shared" si="27"/>
        <v>0</v>
      </c>
      <c r="T209" s="202">
        <f t="shared" si="28"/>
        <v>0</v>
      </c>
      <c r="U209" s="18"/>
      <c r="V209" s="206" t="str">
        <f t="shared" si="31"/>
        <v>4-47</v>
      </c>
      <c r="W209" s="215" t="str">
        <f t="shared" si="30"/>
        <v/>
      </c>
      <c r="X209" s="110"/>
      <c r="Y209" s="109"/>
      <c r="Z209" s="207"/>
      <c r="AA209" s="207"/>
      <c r="AB209" s="207"/>
      <c r="AC209" s="207"/>
      <c r="AD209" s="207"/>
      <c r="AE209" s="207"/>
      <c r="AF209" s="207"/>
      <c r="AG209" s="207"/>
      <c r="AH209" s="207"/>
      <c r="AI209" s="207"/>
      <c r="AJ209" s="207"/>
      <c r="AK209" s="207"/>
      <c r="AL209" s="207"/>
      <c r="AM209" s="207"/>
      <c r="AN209" s="207"/>
      <c r="AO209" s="207"/>
      <c r="AP209" s="207"/>
      <c r="AQ209" s="207"/>
      <c r="AR209" s="207"/>
      <c r="AS209" s="207"/>
      <c r="AT209" s="207"/>
      <c r="AU209" s="207"/>
      <c r="AV209" s="207"/>
      <c r="AW209" s="207"/>
      <c r="AX209" s="207"/>
      <c r="AY209" s="207"/>
      <c r="AZ209" s="207"/>
      <c r="BA209" s="207"/>
      <c r="BB209" s="207"/>
      <c r="BC209" s="207"/>
      <c r="BD209" s="207"/>
      <c r="BE209" s="207"/>
      <c r="BF209" s="207"/>
      <c r="BG209" s="207"/>
      <c r="BH209" s="207"/>
      <c r="BI209" s="207"/>
      <c r="BJ209" s="207"/>
      <c r="BK209" s="207"/>
      <c r="BL209" s="207"/>
      <c r="BM209" s="207"/>
      <c r="BN209" s="207"/>
      <c r="BO209" s="207"/>
      <c r="BP209" s="207"/>
      <c r="BQ209" s="207"/>
      <c r="BR209" s="207"/>
      <c r="BS209" s="207"/>
      <c r="BT209" s="207"/>
      <c r="BU209" s="207"/>
      <c r="BV209" s="207"/>
      <c r="BW209" s="207"/>
      <c r="BX209" s="207"/>
      <c r="BY209" s="207"/>
      <c r="BZ209" s="207"/>
      <c r="CA209" s="207"/>
      <c r="CB209" s="207"/>
      <c r="CC209" s="207"/>
      <c r="CD209" s="207"/>
      <c r="CE209" s="207"/>
      <c r="CF209" s="207"/>
      <c r="CG209" s="207"/>
      <c r="CH209" s="207"/>
      <c r="CI209" s="207"/>
      <c r="CJ209" s="207"/>
      <c r="CK209" s="207"/>
      <c r="CL209" s="207"/>
      <c r="CM209" s="207"/>
      <c r="CN209" s="207"/>
      <c r="CO209" s="207"/>
      <c r="CP209" s="207"/>
      <c r="CQ209" s="207"/>
      <c r="CR209" s="207"/>
      <c r="CS209" s="207"/>
      <c r="CT209" s="207"/>
      <c r="CU209" s="207"/>
      <c r="CV209" s="207"/>
      <c r="CW209" s="207"/>
      <c r="CX209" s="207"/>
      <c r="CY209" s="207"/>
      <c r="CZ209" s="207"/>
      <c r="DA209" s="207"/>
      <c r="DB209" s="207"/>
      <c r="DC209" s="207"/>
      <c r="DD209" s="207"/>
      <c r="DE209" s="207"/>
      <c r="DF209" s="207"/>
      <c r="DG209" s="207"/>
      <c r="DH209" s="207"/>
      <c r="DI209" s="207"/>
      <c r="DJ209" s="207"/>
      <c r="DK209" s="207"/>
      <c r="DL209" s="207"/>
      <c r="DM209" s="207"/>
      <c r="DN209" s="207"/>
      <c r="DO209" s="207"/>
      <c r="DP209" s="207"/>
      <c r="DQ209" s="207"/>
      <c r="DR209" s="207"/>
      <c r="DS209" s="207"/>
      <c r="DT209" s="207"/>
      <c r="DU209" s="207"/>
      <c r="DV209" s="207"/>
      <c r="DW209" s="207"/>
      <c r="DX209" s="207"/>
      <c r="DY209" s="207"/>
      <c r="DZ209" s="207"/>
      <c r="EA209" s="207"/>
      <c r="EB209" s="207"/>
      <c r="EC209" s="207"/>
      <c r="ED209" s="207"/>
      <c r="EE209" s="207"/>
      <c r="EF209" s="207"/>
      <c r="EG209" s="207"/>
      <c r="EH209" s="207"/>
      <c r="EI209" s="207"/>
      <c r="EJ209" s="207"/>
      <c r="EK209" s="207"/>
      <c r="EL209" s="207"/>
      <c r="EM209" s="207"/>
      <c r="EN209" s="207"/>
      <c r="EO209" s="207"/>
      <c r="EP209" s="207"/>
      <c r="EQ209" s="207"/>
      <c r="ER209" s="207"/>
      <c r="ES209" s="207"/>
      <c r="ET209" s="207"/>
      <c r="EU209" s="207"/>
      <c r="EV209" s="207"/>
      <c r="EW209" s="207"/>
      <c r="EX209" s="207"/>
      <c r="EY209" s="207"/>
      <c r="EZ209" s="207"/>
      <c r="FA209" s="207"/>
      <c r="FB209" s="207"/>
      <c r="FC209" s="207"/>
      <c r="FD209" s="207"/>
      <c r="FE209" s="207"/>
      <c r="FF209" s="207"/>
      <c r="FG209" s="207"/>
      <c r="FH209" s="207"/>
      <c r="FI209" s="207"/>
      <c r="FJ209" s="207"/>
      <c r="FK209" s="207"/>
      <c r="FL209" s="207"/>
      <c r="FM209" s="207"/>
      <c r="FN209" s="207"/>
      <c r="FO209" s="207"/>
      <c r="FP209" s="207"/>
      <c r="FQ209" s="207"/>
      <c r="FR209" s="207"/>
      <c r="FS209" s="208"/>
      <c r="FT209" s="156"/>
    </row>
    <row r="210" spans="1:176" ht="15" outlineLevel="1">
      <c r="A210" s="206" t="s">
        <v>1471</v>
      </c>
      <c r="B210" s="200" t="s">
        <v>1411</v>
      </c>
      <c r="C210" s="34"/>
      <c r="D210" s="34"/>
      <c r="E210" s="34"/>
      <c r="F210" s="34"/>
      <c r="G210" s="34"/>
      <c r="H210" s="37" t="s">
        <v>488</v>
      </c>
      <c r="I210" s="38"/>
      <c r="J210" s="38"/>
      <c r="K210" s="38"/>
      <c r="L210" s="38"/>
      <c r="M210" s="38"/>
      <c r="N210" s="38"/>
      <c r="O210" s="38"/>
      <c r="P210" s="38"/>
      <c r="Q210" s="38"/>
      <c r="R210" s="177">
        <f t="shared" si="29"/>
        <v>0</v>
      </c>
      <c r="S210" s="202">
        <f t="shared" si="27"/>
        <v>0</v>
      </c>
      <c r="T210" s="202">
        <f t="shared" si="28"/>
        <v>0</v>
      </c>
      <c r="U210" s="18"/>
      <c r="V210" s="206" t="str">
        <f t="shared" si="31"/>
        <v>4-48</v>
      </c>
      <c r="W210" s="215" t="str">
        <f t="shared" si="30"/>
        <v/>
      </c>
      <c r="X210" s="110"/>
      <c r="Y210" s="109"/>
      <c r="Z210" s="207"/>
      <c r="AA210" s="207"/>
      <c r="AB210" s="207"/>
      <c r="AC210" s="207"/>
      <c r="AD210" s="207"/>
      <c r="AE210" s="207"/>
      <c r="AF210" s="207"/>
      <c r="AG210" s="207"/>
      <c r="AH210" s="207"/>
      <c r="AI210" s="207"/>
      <c r="AJ210" s="207"/>
      <c r="AK210" s="207"/>
      <c r="AL210" s="207"/>
      <c r="AM210" s="207"/>
      <c r="AN210" s="207"/>
      <c r="AO210" s="207"/>
      <c r="AP210" s="207"/>
      <c r="AQ210" s="207"/>
      <c r="AR210" s="207"/>
      <c r="AS210" s="207"/>
      <c r="AT210" s="207"/>
      <c r="AU210" s="207"/>
      <c r="AV210" s="207"/>
      <c r="AW210" s="207"/>
      <c r="AX210" s="207"/>
      <c r="AY210" s="207"/>
      <c r="AZ210" s="207"/>
      <c r="BA210" s="207"/>
      <c r="BB210" s="207"/>
      <c r="BC210" s="207"/>
      <c r="BD210" s="207"/>
      <c r="BE210" s="207"/>
      <c r="BF210" s="207"/>
      <c r="BG210" s="207"/>
      <c r="BH210" s="207"/>
      <c r="BI210" s="207"/>
      <c r="BJ210" s="207"/>
      <c r="BK210" s="207"/>
      <c r="BL210" s="207"/>
      <c r="BM210" s="207"/>
      <c r="BN210" s="207"/>
      <c r="BO210" s="207"/>
      <c r="BP210" s="207"/>
      <c r="BQ210" s="207"/>
      <c r="BR210" s="207"/>
      <c r="BS210" s="207"/>
      <c r="BT210" s="207"/>
      <c r="BU210" s="207"/>
      <c r="BV210" s="207"/>
      <c r="BW210" s="207"/>
      <c r="BX210" s="207"/>
      <c r="BY210" s="207"/>
      <c r="BZ210" s="207"/>
      <c r="CA210" s="207"/>
      <c r="CB210" s="207"/>
      <c r="CC210" s="207"/>
      <c r="CD210" s="207"/>
      <c r="CE210" s="207"/>
      <c r="CF210" s="207"/>
      <c r="CG210" s="207"/>
      <c r="CH210" s="207"/>
      <c r="CI210" s="207"/>
      <c r="CJ210" s="207"/>
      <c r="CK210" s="207"/>
      <c r="CL210" s="207"/>
      <c r="CM210" s="207"/>
      <c r="CN210" s="207"/>
      <c r="CO210" s="207"/>
      <c r="CP210" s="207"/>
      <c r="CQ210" s="207"/>
      <c r="CR210" s="207"/>
      <c r="CS210" s="207"/>
      <c r="CT210" s="207"/>
      <c r="CU210" s="207"/>
      <c r="CV210" s="207"/>
      <c r="CW210" s="207"/>
      <c r="CX210" s="207"/>
      <c r="CY210" s="207"/>
      <c r="CZ210" s="207"/>
      <c r="DA210" s="207"/>
      <c r="DB210" s="207"/>
      <c r="DC210" s="207"/>
      <c r="DD210" s="207"/>
      <c r="DE210" s="207"/>
      <c r="DF210" s="207"/>
      <c r="DG210" s="207"/>
      <c r="DH210" s="207"/>
      <c r="DI210" s="207"/>
      <c r="DJ210" s="207"/>
      <c r="DK210" s="207"/>
      <c r="DL210" s="207"/>
      <c r="DM210" s="207"/>
      <c r="DN210" s="207"/>
      <c r="DO210" s="207"/>
      <c r="DP210" s="207"/>
      <c r="DQ210" s="207"/>
      <c r="DR210" s="207"/>
      <c r="DS210" s="207"/>
      <c r="DT210" s="207"/>
      <c r="DU210" s="207"/>
      <c r="DV210" s="207"/>
      <c r="DW210" s="207"/>
      <c r="DX210" s="207"/>
      <c r="DY210" s="207"/>
      <c r="DZ210" s="207"/>
      <c r="EA210" s="207"/>
      <c r="EB210" s="207"/>
      <c r="EC210" s="207"/>
      <c r="ED210" s="207"/>
      <c r="EE210" s="207"/>
      <c r="EF210" s="207"/>
      <c r="EG210" s="207"/>
      <c r="EH210" s="207"/>
      <c r="EI210" s="207"/>
      <c r="EJ210" s="207"/>
      <c r="EK210" s="207"/>
      <c r="EL210" s="207"/>
      <c r="EM210" s="207"/>
      <c r="EN210" s="207"/>
      <c r="EO210" s="207"/>
      <c r="EP210" s="207"/>
      <c r="EQ210" s="207"/>
      <c r="ER210" s="207"/>
      <c r="ES210" s="207"/>
      <c r="ET210" s="207"/>
      <c r="EU210" s="207"/>
      <c r="EV210" s="207"/>
      <c r="EW210" s="207"/>
      <c r="EX210" s="207"/>
      <c r="EY210" s="207"/>
      <c r="EZ210" s="207"/>
      <c r="FA210" s="207"/>
      <c r="FB210" s="207"/>
      <c r="FC210" s="207"/>
      <c r="FD210" s="207"/>
      <c r="FE210" s="207"/>
      <c r="FF210" s="207"/>
      <c r="FG210" s="207"/>
      <c r="FH210" s="207"/>
      <c r="FI210" s="207"/>
      <c r="FJ210" s="207"/>
      <c r="FK210" s="207"/>
      <c r="FL210" s="207"/>
      <c r="FM210" s="207"/>
      <c r="FN210" s="207"/>
      <c r="FO210" s="207"/>
      <c r="FP210" s="207"/>
      <c r="FQ210" s="207"/>
      <c r="FR210" s="207"/>
      <c r="FS210" s="208"/>
      <c r="FT210" s="156"/>
    </row>
    <row r="211" spans="1:176" ht="15" outlineLevel="1">
      <c r="A211" s="206" t="s">
        <v>1472</v>
      </c>
      <c r="B211" s="200" t="s">
        <v>1411</v>
      </c>
      <c r="C211" s="34"/>
      <c r="D211" s="34"/>
      <c r="E211" s="34"/>
      <c r="F211" s="34"/>
      <c r="G211" s="34"/>
      <c r="H211" s="37" t="s">
        <v>488</v>
      </c>
      <c r="I211" s="38"/>
      <c r="J211" s="38"/>
      <c r="K211" s="38"/>
      <c r="L211" s="38"/>
      <c r="M211" s="38"/>
      <c r="N211" s="38"/>
      <c r="O211" s="38"/>
      <c r="P211" s="38"/>
      <c r="Q211" s="38"/>
      <c r="R211" s="177">
        <f t="shared" si="29"/>
        <v>0</v>
      </c>
      <c r="S211" s="202">
        <f t="shared" si="27"/>
        <v>0</v>
      </c>
      <c r="T211" s="202">
        <f t="shared" si="28"/>
        <v>0</v>
      </c>
      <c r="U211" s="18"/>
      <c r="V211" s="206" t="str">
        <f t="shared" si="31"/>
        <v>4-49</v>
      </c>
      <c r="W211" s="215" t="str">
        <f t="shared" si="30"/>
        <v/>
      </c>
      <c r="X211" s="110"/>
      <c r="Y211" s="109"/>
      <c r="Z211" s="207"/>
      <c r="AA211" s="207"/>
      <c r="AB211" s="207"/>
      <c r="AC211" s="207"/>
      <c r="AD211" s="207"/>
      <c r="AE211" s="207"/>
      <c r="AF211" s="207"/>
      <c r="AG211" s="207"/>
      <c r="AH211" s="207"/>
      <c r="AI211" s="207"/>
      <c r="AJ211" s="207"/>
      <c r="AK211" s="207"/>
      <c r="AL211" s="207"/>
      <c r="AM211" s="207"/>
      <c r="AN211" s="207"/>
      <c r="AO211" s="207"/>
      <c r="AP211" s="207"/>
      <c r="AQ211" s="207"/>
      <c r="AR211" s="207"/>
      <c r="AS211" s="207"/>
      <c r="AT211" s="207"/>
      <c r="AU211" s="207"/>
      <c r="AV211" s="207"/>
      <c r="AW211" s="207"/>
      <c r="AX211" s="207"/>
      <c r="AY211" s="207"/>
      <c r="AZ211" s="207"/>
      <c r="BA211" s="207"/>
      <c r="BB211" s="207"/>
      <c r="BC211" s="207"/>
      <c r="BD211" s="207"/>
      <c r="BE211" s="207"/>
      <c r="BF211" s="207"/>
      <c r="BG211" s="207"/>
      <c r="BH211" s="207"/>
      <c r="BI211" s="207"/>
      <c r="BJ211" s="207"/>
      <c r="BK211" s="207"/>
      <c r="BL211" s="207"/>
      <c r="BM211" s="207"/>
      <c r="BN211" s="207"/>
      <c r="BO211" s="207"/>
      <c r="BP211" s="207"/>
      <c r="BQ211" s="207"/>
      <c r="BR211" s="207"/>
      <c r="BS211" s="207"/>
      <c r="BT211" s="207"/>
      <c r="BU211" s="207"/>
      <c r="BV211" s="207"/>
      <c r="BW211" s="207"/>
      <c r="BX211" s="207"/>
      <c r="BY211" s="207"/>
      <c r="BZ211" s="207"/>
      <c r="CA211" s="207"/>
      <c r="CB211" s="207"/>
      <c r="CC211" s="207"/>
      <c r="CD211" s="207"/>
      <c r="CE211" s="207"/>
      <c r="CF211" s="207"/>
      <c r="CG211" s="207"/>
      <c r="CH211" s="207"/>
      <c r="CI211" s="207"/>
      <c r="CJ211" s="207"/>
      <c r="CK211" s="207"/>
      <c r="CL211" s="207"/>
      <c r="CM211" s="207"/>
      <c r="CN211" s="207"/>
      <c r="CO211" s="207"/>
      <c r="CP211" s="207"/>
      <c r="CQ211" s="207"/>
      <c r="CR211" s="207"/>
      <c r="CS211" s="207"/>
      <c r="CT211" s="207"/>
      <c r="CU211" s="207"/>
      <c r="CV211" s="207"/>
      <c r="CW211" s="207"/>
      <c r="CX211" s="207"/>
      <c r="CY211" s="207"/>
      <c r="CZ211" s="207"/>
      <c r="DA211" s="207"/>
      <c r="DB211" s="207"/>
      <c r="DC211" s="207"/>
      <c r="DD211" s="207"/>
      <c r="DE211" s="207"/>
      <c r="DF211" s="207"/>
      <c r="DG211" s="207"/>
      <c r="DH211" s="207"/>
      <c r="DI211" s="207"/>
      <c r="DJ211" s="207"/>
      <c r="DK211" s="207"/>
      <c r="DL211" s="207"/>
      <c r="DM211" s="207"/>
      <c r="DN211" s="207"/>
      <c r="DO211" s="207"/>
      <c r="DP211" s="207"/>
      <c r="DQ211" s="207"/>
      <c r="DR211" s="207"/>
      <c r="DS211" s="207"/>
      <c r="DT211" s="207"/>
      <c r="DU211" s="207"/>
      <c r="DV211" s="207"/>
      <c r="DW211" s="207"/>
      <c r="DX211" s="207"/>
      <c r="DY211" s="207"/>
      <c r="DZ211" s="207"/>
      <c r="EA211" s="207"/>
      <c r="EB211" s="207"/>
      <c r="EC211" s="207"/>
      <c r="ED211" s="207"/>
      <c r="EE211" s="207"/>
      <c r="EF211" s="207"/>
      <c r="EG211" s="207"/>
      <c r="EH211" s="207"/>
      <c r="EI211" s="207"/>
      <c r="EJ211" s="207"/>
      <c r="EK211" s="207"/>
      <c r="EL211" s="207"/>
      <c r="EM211" s="207"/>
      <c r="EN211" s="207"/>
      <c r="EO211" s="207"/>
      <c r="EP211" s="207"/>
      <c r="EQ211" s="207"/>
      <c r="ER211" s="207"/>
      <c r="ES211" s="207"/>
      <c r="ET211" s="207"/>
      <c r="EU211" s="207"/>
      <c r="EV211" s="207"/>
      <c r="EW211" s="207"/>
      <c r="EX211" s="207"/>
      <c r="EY211" s="207"/>
      <c r="EZ211" s="207"/>
      <c r="FA211" s="207"/>
      <c r="FB211" s="207"/>
      <c r="FC211" s="207"/>
      <c r="FD211" s="207"/>
      <c r="FE211" s="207"/>
      <c r="FF211" s="207"/>
      <c r="FG211" s="207"/>
      <c r="FH211" s="207"/>
      <c r="FI211" s="207"/>
      <c r="FJ211" s="207"/>
      <c r="FK211" s="207"/>
      <c r="FL211" s="207"/>
      <c r="FM211" s="207"/>
      <c r="FN211" s="207"/>
      <c r="FO211" s="207"/>
      <c r="FP211" s="207"/>
      <c r="FQ211" s="207"/>
      <c r="FR211" s="207"/>
      <c r="FS211" s="208"/>
      <c r="FT211" s="156"/>
    </row>
    <row r="212" spans="1:176" ht="15" outlineLevel="1">
      <c r="A212" s="206" t="s">
        <v>1473</v>
      </c>
      <c r="B212" s="200" t="s">
        <v>1411</v>
      </c>
      <c r="C212" s="34"/>
      <c r="D212" s="34"/>
      <c r="E212" s="34"/>
      <c r="F212" s="34"/>
      <c r="G212" s="34"/>
      <c r="H212" s="37" t="s">
        <v>488</v>
      </c>
      <c r="I212" s="38"/>
      <c r="J212" s="38"/>
      <c r="K212" s="38"/>
      <c r="L212" s="38"/>
      <c r="M212" s="38"/>
      <c r="N212" s="38"/>
      <c r="O212" s="38"/>
      <c r="P212" s="38"/>
      <c r="Q212" s="38"/>
      <c r="R212" s="177">
        <f t="shared" si="29"/>
        <v>0</v>
      </c>
      <c r="S212" s="202">
        <f t="shared" si="27"/>
        <v>0</v>
      </c>
      <c r="T212" s="202">
        <f t="shared" si="28"/>
        <v>0</v>
      </c>
      <c r="U212" s="18"/>
      <c r="V212" s="206" t="str">
        <f t="shared" si="31"/>
        <v>4-50</v>
      </c>
      <c r="W212" s="215" t="str">
        <f t="shared" si="30"/>
        <v/>
      </c>
      <c r="X212" s="110"/>
      <c r="Y212" s="109"/>
      <c r="Z212" s="207"/>
      <c r="AA212" s="207"/>
      <c r="AB212" s="207"/>
      <c r="AC212" s="207"/>
      <c r="AD212" s="207"/>
      <c r="AE212" s="207"/>
      <c r="AF212" s="207"/>
      <c r="AG212" s="207"/>
      <c r="AH212" s="207"/>
      <c r="AI212" s="207"/>
      <c r="AJ212" s="207"/>
      <c r="AK212" s="207"/>
      <c r="AL212" s="207"/>
      <c r="AM212" s="207"/>
      <c r="AN212" s="207"/>
      <c r="AO212" s="207"/>
      <c r="AP212" s="207"/>
      <c r="AQ212" s="207"/>
      <c r="AR212" s="207"/>
      <c r="AS212" s="207"/>
      <c r="AT212" s="207"/>
      <c r="AU212" s="207"/>
      <c r="AV212" s="207"/>
      <c r="AW212" s="207"/>
      <c r="AX212" s="207"/>
      <c r="AY212" s="207"/>
      <c r="AZ212" s="207"/>
      <c r="BA212" s="207"/>
      <c r="BB212" s="207"/>
      <c r="BC212" s="207"/>
      <c r="BD212" s="207"/>
      <c r="BE212" s="207"/>
      <c r="BF212" s="207"/>
      <c r="BG212" s="207"/>
      <c r="BH212" s="207"/>
      <c r="BI212" s="207"/>
      <c r="BJ212" s="207"/>
      <c r="BK212" s="207"/>
      <c r="BL212" s="207"/>
      <c r="BM212" s="207"/>
      <c r="BN212" s="207"/>
      <c r="BO212" s="207"/>
      <c r="BP212" s="207"/>
      <c r="BQ212" s="207"/>
      <c r="BR212" s="207"/>
      <c r="BS212" s="207"/>
      <c r="BT212" s="207"/>
      <c r="BU212" s="207"/>
      <c r="BV212" s="207"/>
      <c r="BW212" s="207"/>
      <c r="BX212" s="207"/>
      <c r="BY212" s="207"/>
      <c r="BZ212" s="207"/>
      <c r="CA212" s="207"/>
      <c r="CB212" s="207"/>
      <c r="CC212" s="207"/>
      <c r="CD212" s="207"/>
      <c r="CE212" s="207"/>
      <c r="CF212" s="207"/>
      <c r="CG212" s="207"/>
      <c r="CH212" s="207"/>
      <c r="CI212" s="207"/>
      <c r="CJ212" s="207"/>
      <c r="CK212" s="207"/>
      <c r="CL212" s="207"/>
      <c r="CM212" s="207"/>
      <c r="CN212" s="207"/>
      <c r="CO212" s="207"/>
      <c r="CP212" s="207"/>
      <c r="CQ212" s="207"/>
      <c r="CR212" s="207"/>
      <c r="CS212" s="207"/>
      <c r="CT212" s="207"/>
      <c r="CU212" s="207"/>
      <c r="CV212" s="207"/>
      <c r="CW212" s="207"/>
      <c r="CX212" s="207"/>
      <c r="CY212" s="207"/>
      <c r="CZ212" s="207"/>
      <c r="DA212" s="207"/>
      <c r="DB212" s="207"/>
      <c r="DC212" s="207"/>
      <c r="DD212" s="207"/>
      <c r="DE212" s="207"/>
      <c r="DF212" s="207"/>
      <c r="DG212" s="207"/>
      <c r="DH212" s="207"/>
      <c r="DI212" s="207"/>
      <c r="DJ212" s="207"/>
      <c r="DK212" s="207"/>
      <c r="DL212" s="207"/>
      <c r="DM212" s="207"/>
      <c r="DN212" s="207"/>
      <c r="DO212" s="207"/>
      <c r="DP212" s="207"/>
      <c r="DQ212" s="207"/>
      <c r="DR212" s="207"/>
      <c r="DS212" s="207"/>
      <c r="DT212" s="207"/>
      <c r="DU212" s="207"/>
      <c r="DV212" s="207"/>
      <c r="DW212" s="207"/>
      <c r="DX212" s="207"/>
      <c r="DY212" s="207"/>
      <c r="DZ212" s="207"/>
      <c r="EA212" s="207"/>
      <c r="EB212" s="207"/>
      <c r="EC212" s="207"/>
      <c r="ED212" s="207"/>
      <c r="EE212" s="207"/>
      <c r="EF212" s="207"/>
      <c r="EG212" s="207"/>
      <c r="EH212" s="207"/>
      <c r="EI212" s="207"/>
      <c r="EJ212" s="207"/>
      <c r="EK212" s="207"/>
      <c r="EL212" s="207"/>
      <c r="EM212" s="207"/>
      <c r="EN212" s="207"/>
      <c r="EO212" s="207"/>
      <c r="EP212" s="207"/>
      <c r="EQ212" s="207"/>
      <c r="ER212" s="207"/>
      <c r="ES212" s="207"/>
      <c r="ET212" s="207"/>
      <c r="EU212" s="207"/>
      <c r="EV212" s="207"/>
      <c r="EW212" s="207"/>
      <c r="EX212" s="207"/>
      <c r="EY212" s="207"/>
      <c r="EZ212" s="207"/>
      <c r="FA212" s="207"/>
      <c r="FB212" s="207"/>
      <c r="FC212" s="207"/>
      <c r="FD212" s="207"/>
      <c r="FE212" s="207"/>
      <c r="FF212" s="207"/>
      <c r="FG212" s="207"/>
      <c r="FH212" s="207"/>
      <c r="FI212" s="207"/>
      <c r="FJ212" s="207"/>
      <c r="FK212" s="207"/>
      <c r="FL212" s="207"/>
      <c r="FM212" s="207"/>
      <c r="FN212" s="207"/>
      <c r="FO212" s="207"/>
      <c r="FP212" s="207"/>
      <c r="FQ212" s="207"/>
      <c r="FR212" s="207"/>
      <c r="FS212" s="208"/>
      <c r="FT212" s="156"/>
    </row>
    <row r="213" spans="1:176" s="198" customFormat="1" ht="15">
      <c r="A213" s="193" t="s">
        <v>1188</v>
      </c>
      <c r="B213" s="211" t="s">
        <v>151</v>
      </c>
      <c r="C213" s="212"/>
      <c r="D213" s="212"/>
      <c r="E213" s="212" t="s">
        <v>222</v>
      </c>
      <c r="F213" s="212" t="s">
        <v>222</v>
      </c>
      <c r="G213" s="212" t="s">
        <v>222</v>
      </c>
      <c r="H213" s="213"/>
      <c r="I213" s="214"/>
      <c r="J213" s="214"/>
      <c r="K213" s="214"/>
      <c r="L213" s="214"/>
      <c r="M213" s="214"/>
      <c r="N213" s="214"/>
      <c r="O213" s="214"/>
      <c r="P213" s="214"/>
      <c r="Q213" s="214"/>
      <c r="R213" s="191">
        <f>SUM(R214:R263)</f>
        <v>0</v>
      </c>
      <c r="S213" s="192">
        <f>SUM(S214:S263)</f>
        <v>0</v>
      </c>
      <c r="T213" s="192">
        <f>SUM(T214:T263)</f>
        <v>0</v>
      </c>
      <c r="U213" s="18"/>
      <c r="V213" s="193" t="str">
        <f t="shared" si="31"/>
        <v>Phase:</v>
      </c>
      <c r="W213" s="194" t="str">
        <f>B213</f>
        <v>Close</v>
      </c>
      <c r="X213" s="223"/>
      <c r="Y213" s="223"/>
      <c r="Z213" s="196"/>
      <c r="AA213" s="196"/>
      <c r="AB213" s="196"/>
      <c r="AC213" s="196"/>
      <c r="AD213" s="196"/>
      <c r="AE213" s="196"/>
      <c r="AF213" s="196"/>
      <c r="AG213" s="196"/>
      <c r="AH213" s="196"/>
      <c r="AI213" s="196"/>
      <c r="AJ213" s="196"/>
      <c r="AK213" s="196"/>
      <c r="AL213" s="196"/>
      <c r="AM213" s="196"/>
      <c r="AN213" s="196"/>
      <c r="AO213" s="196"/>
      <c r="AP213" s="196"/>
      <c r="AQ213" s="196"/>
      <c r="AR213" s="196"/>
      <c r="AS213" s="196"/>
      <c r="AT213" s="196"/>
      <c r="AU213" s="196"/>
      <c r="AV213" s="196"/>
      <c r="AW213" s="196"/>
      <c r="AX213" s="196"/>
      <c r="AY213" s="196"/>
      <c r="AZ213" s="196"/>
      <c r="BA213" s="196"/>
      <c r="BB213" s="196"/>
      <c r="BC213" s="196"/>
      <c r="BD213" s="196"/>
      <c r="BE213" s="196"/>
      <c r="BF213" s="196"/>
      <c r="BG213" s="196"/>
      <c r="BH213" s="196"/>
      <c r="BI213" s="196"/>
      <c r="BJ213" s="196"/>
      <c r="BK213" s="196"/>
      <c r="BL213" s="196"/>
      <c r="BM213" s="196"/>
      <c r="BN213" s="196"/>
      <c r="BO213" s="196"/>
      <c r="BP213" s="196"/>
      <c r="BQ213" s="196"/>
      <c r="BR213" s="196"/>
      <c r="BS213" s="196"/>
      <c r="BT213" s="196"/>
      <c r="BU213" s="196"/>
      <c r="BV213" s="196"/>
      <c r="BW213" s="196"/>
      <c r="BX213" s="196"/>
      <c r="BY213" s="196"/>
      <c r="BZ213" s="196"/>
      <c r="CA213" s="196"/>
      <c r="CB213" s="196"/>
      <c r="CC213" s="196"/>
      <c r="CD213" s="196"/>
      <c r="CE213" s="196"/>
      <c r="CF213" s="196"/>
      <c r="CG213" s="196"/>
      <c r="CH213" s="196"/>
      <c r="CI213" s="196"/>
      <c r="CJ213" s="196"/>
      <c r="CK213" s="196"/>
      <c r="CL213" s="196"/>
      <c r="CM213" s="196"/>
      <c r="CN213" s="196"/>
      <c r="CO213" s="196"/>
      <c r="CP213" s="196"/>
      <c r="CQ213" s="196"/>
      <c r="CR213" s="196"/>
      <c r="CS213" s="196"/>
      <c r="CT213" s="196"/>
      <c r="CU213" s="196"/>
      <c r="CV213" s="196"/>
      <c r="CW213" s="196"/>
      <c r="CX213" s="196"/>
      <c r="CY213" s="196"/>
      <c r="CZ213" s="196"/>
      <c r="DA213" s="196"/>
      <c r="DB213" s="196"/>
      <c r="DC213" s="196"/>
      <c r="DD213" s="196"/>
      <c r="DE213" s="196"/>
      <c r="DF213" s="196"/>
      <c r="DG213" s="196"/>
      <c r="DH213" s="196"/>
      <c r="DI213" s="196"/>
      <c r="DJ213" s="196"/>
      <c r="DK213" s="196"/>
      <c r="DL213" s="196"/>
      <c r="DM213" s="196"/>
      <c r="DN213" s="196"/>
      <c r="DO213" s="196"/>
      <c r="DP213" s="196"/>
      <c r="DQ213" s="196"/>
      <c r="DR213" s="196"/>
      <c r="DS213" s="196"/>
      <c r="DT213" s="196"/>
      <c r="DU213" s="196"/>
      <c r="DV213" s="196"/>
      <c r="DW213" s="196"/>
      <c r="DX213" s="196"/>
      <c r="DY213" s="196"/>
      <c r="DZ213" s="196"/>
      <c r="EA213" s="196"/>
      <c r="EB213" s="196"/>
      <c r="EC213" s="196"/>
      <c r="ED213" s="196"/>
      <c r="EE213" s="196"/>
      <c r="EF213" s="196"/>
      <c r="EG213" s="196"/>
      <c r="EH213" s="196"/>
      <c r="EI213" s="196"/>
      <c r="EJ213" s="196"/>
      <c r="EK213" s="196"/>
      <c r="EL213" s="196"/>
      <c r="EM213" s="196"/>
      <c r="EN213" s="196"/>
      <c r="EO213" s="196"/>
      <c r="EP213" s="196"/>
      <c r="EQ213" s="196"/>
      <c r="ER213" s="196"/>
      <c r="ES213" s="196"/>
      <c r="ET213" s="196"/>
      <c r="EU213" s="196"/>
      <c r="EV213" s="196"/>
      <c r="EW213" s="196"/>
      <c r="EX213" s="196"/>
      <c r="EY213" s="196"/>
      <c r="EZ213" s="196"/>
      <c r="FA213" s="196"/>
      <c r="FB213" s="196"/>
      <c r="FC213" s="196"/>
      <c r="FD213" s="196"/>
      <c r="FE213" s="196"/>
      <c r="FF213" s="196"/>
      <c r="FG213" s="196"/>
      <c r="FH213" s="196"/>
      <c r="FI213" s="196"/>
      <c r="FJ213" s="196"/>
      <c r="FK213" s="196"/>
      <c r="FL213" s="196"/>
      <c r="FM213" s="196"/>
      <c r="FN213" s="196"/>
      <c r="FO213" s="196"/>
      <c r="FP213" s="196"/>
      <c r="FQ213" s="196"/>
      <c r="FR213" s="196"/>
      <c r="FS213" s="196"/>
      <c r="FT213" s="197"/>
    </row>
    <row r="214" spans="1:176" ht="30" outlineLevel="1">
      <c r="A214" s="206" t="s">
        <v>1474</v>
      </c>
      <c r="B214" s="200" t="s">
        <v>151</v>
      </c>
      <c r="C214" s="34" t="s">
        <v>1475</v>
      </c>
      <c r="D214" s="34" t="s">
        <v>1476</v>
      </c>
      <c r="E214" s="34"/>
      <c r="F214" s="34"/>
      <c r="G214" s="34"/>
      <c r="H214" s="37" t="s">
        <v>488</v>
      </c>
      <c r="I214" s="38"/>
      <c r="J214" s="38"/>
      <c r="K214" s="38"/>
      <c r="L214" s="38"/>
      <c r="M214" s="38"/>
      <c r="N214" s="38"/>
      <c r="O214" s="38"/>
      <c r="P214" s="38"/>
      <c r="Q214" s="38"/>
      <c r="R214" s="177">
        <f t="shared" ref="R214:R245" si="32">SUM(I214:M214)</f>
        <v>0</v>
      </c>
      <c r="S214" s="202">
        <f>(I214*$I$4)+(J214*$J$4)+(K214*$K$4)+(L214*$L$4)+(M214*$M$4)+(N214*$N$4)+(O214*$O$4)+(P214*$P$4)+(Q214*$Q$4)</f>
        <v>0</v>
      </c>
      <c r="T214" s="202">
        <f>IF(H214="Billable",(I214*$I$5)+(J214*$J$5)+(K214*$K$5)+(L214*$L$5)+(M214*$M$5)+(N214*$N$5)+(O214*$O$5)+(P214*$P$5)+(Q214*$Q$5),0)</f>
        <v>0</v>
      </c>
      <c r="U214" s="18"/>
      <c r="V214" s="206" t="str">
        <f t="shared" si="31"/>
        <v>5-1</v>
      </c>
      <c r="W214" s="215" t="str">
        <f t="shared" ref="W214:W245" si="33">IF(ISBLANK(C214),"",C214)</f>
        <v>Prepare for project closeout meeting</v>
      </c>
      <c r="X214" s="110"/>
      <c r="Y214" s="109"/>
      <c r="Z214" s="207"/>
      <c r="AA214" s="207"/>
      <c r="AB214" s="207"/>
      <c r="AC214" s="207"/>
      <c r="AD214" s="207"/>
      <c r="AE214" s="207"/>
      <c r="AF214" s="207"/>
      <c r="AG214" s="207"/>
      <c r="AH214" s="207"/>
      <c r="AI214" s="207"/>
      <c r="AJ214" s="207"/>
      <c r="AK214" s="207"/>
      <c r="AL214" s="207"/>
      <c r="AM214" s="207"/>
      <c r="AN214" s="207"/>
      <c r="AO214" s="207"/>
      <c r="AP214" s="207"/>
      <c r="AQ214" s="207"/>
      <c r="AR214" s="207"/>
      <c r="AS214" s="207"/>
      <c r="AT214" s="207"/>
      <c r="AU214" s="207"/>
      <c r="AV214" s="207"/>
      <c r="AW214" s="207"/>
      <c r="AX214" s="207"/>
      <c r="AY214" s="207"/>
      <c r="AZ214" s="207"/>
      <c r="BA214" s="207"/>
      <c r="BB214" s="207"/>
      <c r="BC214" s="207"/>
      <c r="BD214" s="207"/>
      <c r="BE214" s="207"/>
      <c r="BF214" s="207"/>
      <c r="BG214" s="207"/>
      <c r="BH214" s="207"/>
      <c r="BI214" s="207"/>
      <c r="BJ214" s="207"/>
      <c r="BK214" s="207"/>
      <c r="BL214" s="207"/>
      <c r="BM214" s="207"/>
      <c r="BN214" s="207"/>
      <c r="BO214" s="207"/>
      <c r="BP214" s="207"/>
      <c r="BQ214" s="207"/>
      <c r="BR214" s="207"/>
      <c r="BS214" s="207"/>
      <c r="BT214" s="207"/>
      <c r="BU214" s="207"/>
      <c r="BV214" s="207"/>
      <c r="BW214" s="207"/>
      <c r="BX214" s="207"/>
      <c r="BY214" s="207"/>
      <c r="BZ214" s="207"/>
      <c r="CA214" s="207"/>
      <c r="CB214" s="207"/>
      <c r="CC214" s="207"/>
      <c r="CD214" s="207"/>
      <c r="CE214" s="207"/>
      <c r="CF214" s="207"/>
      <c r="CG214" s="207"/>
      <c r="CH214" s="207"/>
      <c r="CI214" s="207"/>
      <c r="CJ214" s="207"/>
      <c r="CK214" s="207"/>
      <c r="CL214" s="207"/>
      <c r="CM214" s="207"/>
      <c r="CN214" s="207"/>
      <c r="CO214" s="207"/>
      <c r="CP214" s="207"/>
      <c r="CQ214" s="207"/>
      <c r="CR214" s="207"/>
      <c r="CS214" s="207"/>
      <c r="CT214" s="207"/>
      <c r="CU214" s="207"/>
      <c r="CV214" s="207"/>
      <c r="CW214" s="207"/>
      <c r="CX214" s="207"/>
      <c r="CY214" s="207"/>
      <c r="CZ214" s="207"/>
      <c r="DA214" s="207"/>
      <c r="DB214" s="207"/>
      <c r="DC214" s="207"/>
      <c r="DD214" s="207"/>
      <c r="DE214" s="207"/>
      <c r="DF214" s="207"/>
      <c r="DG214" s="207"/>
      <c r="DH214" s="207"/>
      <c r="DI214" s="207"/>
      <c r="DJ214" s="207"/>
      <c r="DK214" s="207"/>
      <c r="DL214" s="207"/>
      <c r="DM214" s="207"/>
      <c r="DN214" s="207"/>
      <c r="DO214" s="207"/>
      <c r="DP214" s="207"/>
      <c r="DQ214" s="207"/>
      <c r="DR214" s="207"/>
      <c r="DS214" s="207"/>
      <c r="DT214" s="207"/>
      <c r="DU214" s="207"/>
      <c r="DV214" s="207"/>
      <c r="DW214" s="207"/>
      <c r="DX214" s="207"/>
      <c r="DY214" s="207"/>
      <c r="DZ214" s="207"/>
      <c r="EA214" s="207"/>
      <c r="EB214" s="207"/>
      <c r="EC214" s="207"/>
      <c r="ED214" s="207"/>
      <c r="EE214" s="207"/>
      <c r="EF214" s="207"/>
      <c r="EG214" s="207"/>
      <c r="EH214" s="207"/>
      <c r="EI214" s="207"/>
      <c r="EJ214" s="207"/>
      <c r="EK214" s="207"/>
      <c r="EL214" s="207"/>
      <c r="EM214" s="207"/>
      <c r="EN214" s="207"/>
      <c r="EO214" s="207"/>
      <c r="EP214" s="207"/>
      <c r="EQ214" s="207"/>
      <c r="ER214" s="207"/>
      <c r="ES214" s="207"/>
      <c r="ET214" s="207"/>
      <c r="EU214" s="207"/>
      <c r="EV214" s="207"/>
      <c r="EW214" s="207"/>
      <c r="EX214" s="207"/>
      <c r="EY214" s="207"/>
      <c r="EZ214" s="207"/>
      <c r="FA214" s="207"/>
      <c r="FB214" s="207"/>
      <c r="FC214" s="207"/>
      <c r="FD214" s="207"/>
      <c r="FE214" s="207"/>
      <c r="FF214" s="207"/>
      <c r="FG214" s="207"/>
      <c r="FH214" s="207"/>
      <c r="FI214" s="207"/>
      <c r="FJ214" s="207"/>
      <c r="FK214" s="207"/>
      <c r="FL214" s="207"/>
      <c r="FM214" s="207"/>
      <c r="FN214" s="207"/>
      <c r="FO214" s="207"/>
      <c r="FP214" s="207"/>
      <c r="FQ214" s="207"/>
      <c r="FR214" s="207"/>
      <c r="FS214" s="208"/>
      <c r="FT214" s="156"/>
    </row>
    <row r="215" spans="1:176" ht="30" outlineLevel="1">
      <c r="A215" s="206" t="s">
        <v>1477</v>
      </c>
      <c r="B215" s="200" t="s">
        <v>151</v>
      </c>
      <c r="C215" s="34" t="s">
        <v>1478</v>
      </c>
      <c r="D215" s="34" t="s">
        <v>1479</v>
      </c>
      <c r="E215" s="34"/>
      <c r="F215" s="34"/>
      <c r="G215" s="34"/>
      <c r="H215" s="37" t="s">
        <v>488</v>
      </c>
      <c r="I215" s="38"/>
      <c r="J215" s="38"/>
      <c r="K215" s="38"/>
      <c r="L215" s="38"/>
      <c r="M215" s="38"/>
      <c r="N215" s="38"/>
      <c r="O215" s="38"/>
      <c r="P215" s="38"/>
      <c r="Q215" s="38"/>
      <c r="R215" s="177">
        <f t="shared" si="32"/>
        <v>0</v>
      </c>
      <c r="S215" s="202">
        <f t="shared" ref="S215:S263" si="34">(I215*$I$4)+(J215*$J$4)+(K215*$K$4)+(L215*$L$4)+(M215*$M$4)+(N215*$N$4)+(O215*$O$4)+(P215*$P$4)+(Q215*$Q$4)</f>
        <v>0</v>
      </c>
      <c r="T215" s="202">
        <f t="shared" ref="T215:T263" si="35">IF(H215="Billable",(I215*$I$5)+(J215*$J$5)+(K215*$K$5)+(L215*$L$5)+(M215*$M$5)+(N215*$N$5)+(O215*$O$5)+(P215*$P$5)+(Q215*$Q$5),0)</f>
        <v>0</v>
      </c>
      <c r="U215" s="18"/>
      <c r="V215" s="206" t="str">
        <f t="shared" si="31"/>
        <v>5-2</v>
      </c>
      <c r="W215" s="215" t="str">
        <f t="shared" si="33"/>
        <v>Conduct project closeout meeting</v>
      </c>
      <c r="X215" s="110"/>
      <c r="Y215" s="109"/>
      <c r="Z215" s="207"/>
      <c r="AA215" s="207"/>
      <c r="AB215" s="207"/>
      <c r="AC215" s="207"/>
      <c r="AD215" s="207"/>
      <c r="AE215" s="207"/>
      <c r="AF215" s="207"/>
      <c r="AG215" s="207"/>
      <c r="AH215" s="207"/>
      <c r="AI215" s="207"/>
      <c r="AJ215" s="207"/>
      <c r="AK215" s="207"/>
      <c r="AL215" s="207"/>
      <c r="AM215" s="207"/>
      <c r="AN215" s="207"/>
      <c r="AO215" s="207"/>
      <c r="AP215" s="207"/>
      <c r="AQ215" s="207"/>
      <c r="AR215" s="207"/>
      <c r="AS215" s="207"/>
      <c r="AT215" s="207"/>
      <c r="AU215" s="207"/>
      <c r="AV215" s="207"/>
      <c r="AW215" s="207"/>
      <c r="AX215" s="207"/>
      <c r="AY215" s="207"/>
      <c r="AZ215" s="207"/>
      <c r="BA215" s="207"/>
      <c r="BB215" s="207"/>
      <c r="BC215" s="207"/>
      <c r="BD215" s="207"/>
      <c r="BE215" s="207"/>
      <c r="BF215" s="207"/>
      <c r="BG215" s="207"/>
      <c r="BH215" s="207"/>
      <c r="BI215" s="207"/>
      <c r="BJ215" s="207"/>
      <c r="BK215" s="207"/>
      <c r="BL215" s="207"/>
      <c r="BM215" s="207"/>
      <c r="BN215" s="207"/>
      <c r="BO215" s="207"/>
      <c r="BP215" s="207"/>
      <c r="BQ215" s="207"/>
      <c r="BR215" s="207"/>
      <c r="BS215" s="207"/>
      <c r="BT215" s="207"/>
      <c r="BU215" s="207"/>
      <c r="BV215" s="207"/>
      <c r="BW215" s="207"/>
      <c r="BX215" s="207"/>
      <c r="BY215" s="207"/>
      <c r="BZ215" s="207"/>
      <c r="CA215" s="207"/>
      <c r="CB215" s="207"/>
      <c r="CC215" s="207"/>
      <c r="CD215" s="207"/>
      <c r="CE215" s="207"/>
      <c r="CF215" s="207"/>
      <c r="CG215" s="207"/>
      <c r="CH215" s="207"/>
      <c r="CI215" s="207"/>
      <c r="CJ215" s="207"/>
      <c r="CK215" s="207"/>
      <c r="CL215" s="207"/>
      <c r="CM215" s="207"/>
      <c r="CN215" s="207"/>
      <c r="CO215" s="207"/>
      <c r="CP215" s="207"/>
      <c r="CQ215" s="207"/>
      <c r="CR215" s="207"/>
      <c r="CS215" s="207"/>
      <c r="CT215" s="207"/>
      <c r="CU215" s="207"/>
      <c r="CV215" s="207"/>
      <c r="CW215" s="207"/>
      <c r="CX215" s="207"/>
      <c r="CY215" s="207"/>
      <c r="CZ215" s="207"/>
      <c r="DA215" s="207"/>
      <c r="DB215" s="207"/>
      <c r="DC215" s="207"/>
      <c r="DD215" s="207"/>
      <c r="DE215" s="207"/>
      <c r="DF215" s="207"/>
      <c r="DG215" s="207"/>
      <c r="DH215" s="207"/>
      <c r="DI215" s="207"/>
      <c r="DJ215" s="207"/>
      <c r="DK215" s="207"/>
      <c r="DL215" s="207"/>
      <c r="DM215" s="207"/>
      <c r="DN215" s="207"/>
      <c r="DO215" s="207"/>
      <c r="DP215" s="207"/>
      <c r="DQ215" s="207"/>
      <c r="DR215" s="207"/>
      <c r="DS215" s="207"/>
      <c r="DT215" s="207"/>
      <c r="DU215" s="207"/>
      <c r="DV215" s="207"/>
      <c r="DW215" s="207"/>
      <c r="DX215" s="207"/>
      <c r="DY215" s="207"/>
      <c r="DZ215" s="207"/>
      <c r="EA215" s="207"/>
      <c r="EB215" s="207"/>
      <c r="EC215" s="207"/>
      <c r="ED215" s="207"/>
      <c r="EE215" s="207"/>
      <c r="EF215" s="207"/>
      <c r="EG215" s="207"/>
      <c r="EH215" s="207"/>
      <c r="EI215" s="207"/>
      <c r="EJ215" s="207"/>
      <c r="EK215" s="207"/>
      <c r="EL215" s="207"/>
      <c r="EM215" s="207"/>
      <c r="EN215" s="207"/>
      <c r="EO215" s="207"/>
      <c r="EP215" s="207"/>
      <c r="EQ215" s="207"/>
      <c r="ER215" s="207"/>
      <c r="ES215" s="207"/>
      <c r="ET215" s="207"/>
      <c r="EU215" s="207"/>
      <c r="EV215" s="207"/>
      <c r="EW215" s="207"/>
      <c r="EX215" s="207"/>
      <c r="EY215" s="207"/>
      <c r="EZ215" s="207"/>
      <c r="FA215" s="207"/>
      <c r="FB215" s="207"/>
      <c r="FC215" s="207"/>
      <c r="FD215" s="207"/>
      <c r="FE215" s="207"/>
      <c r="FF215" s="207"/>
      <c r="FG215" s="207"/>
      <c r="FH215" s="207"/>
      <c r="FI215" s="207"/>
      <c r="FJ215" s="207"/>
      <c r="FK215" s="207"/>
      <c r="FL215" s="207"/>
      <c r="FM215" s="207"/>
      <c r="FN215" s="207"/>
      <c r="FO215" s="207"/>
      <c r="FP215" s="207"/>
      <c r="FQ215" s="207"/>
      <c r="FR215" s="207"/>
      <c r="FS215" s="208"/>
      <c r="FT215" s="156"/>
    </row>
    <row r="216" spans="1:176" ht="15" outlineLevel="1">
      <c r="A216" s="206" t="s">
        <v>1480</v>
      </c>
      <c r="B216" s="200" t="s">
        <v>151</v>
      </c>
      <c r="C216" s="34" t="s">
        <v>1481</v>
      </c>
      <c r="D216" s="34" t="s">
        <v>1482</v>
      </c>
      <c r="E216" s="34"/>
      <c r="F216" s="34"/>
      <c r="G216" s="34"/>
      <c r="H216" s="37" t="s">
        <v>488</v>
      </c>
      <c r="I216" s="38"/>
      <c r="J216" s="38"/>
      <c r="K216" s="38"/>
      <c r="L216" s="38"/>
      <c r="M216" s="38"/>
      <c r="N216" s="38"/>
      <c r="O216" s="38"/>
      <c r="P216" s="38"/>
      <c r="Q216" s="38"/>
      <c r="R216" s="177">
        <f t="shared" si="32"/>
        <v>0</v>
      </c>
      <c r="S216" s="202">
        <f t="shared" si="34"/>
        <v>0</v>
      </c>
      <c r="T216" s="202">
        <f t="shared" si="35"/>
        <v>0</v>
      </c>
      <c r="U216" s="18"/>
      <c r="V216" s="206" t="str">
        <f t="shared" si="31"/>
        <v>5-3</v>
      </c>
      <c r="W216" s="215" t="str">
        <f t="shared" si="33"/>
        <v>Conduct CSAT survey</v>
      </c>
      <c r="X216" s="110"/>
      <c r="Y216" s="109"/>
      <c r="Z216" s="207"/>
      <c r="AA216" s="207"/>
      <c r="AB216" s="207"/>
      <c r="AC216" s="207"/>
      <c r="AD216" s="207"/>
      <c r="AE216" s="207"/>
      <c r="AF216" s="207"/>
      <c r="AG216" s="207"/>
      <c r="AH216" s="207"/>
      <c r="AI216" s="207"/>
      <c r="AJ216" s="207"/>
      <c r="AK216" s="207"/>
      <c r="AL216" s="207"/>
      <c r="AM216" s="207"/>
      <c r="AN216" s="207"/>
      <c r="AO216" s="207"/>
      <c r="AP216" s="207"/>
      <c r="AQ216" s="207"/>
      <c r="AR216" s="207"/>
      <c r="AS216" s="207"/>
      <c r="AT216" s="207"/>
      <c r="AU216" s="207"/>
      <c r="AV216" s="207"/>
      <c r="AW216" s="207"/>
      <c r="AX216" s="207"/>
      <c r="AY216" s="207"/>
      <c r="AZ216" s="207"/>
      <c r="BA216" s="207"/>
      <c r="BB216" s="207"/>
      <c r="BC216" s="207"/>
      <c r="BD216" s="207"/>
      <c r="BE216" s="207"/>
      <c r="BF216" s="207"/>
      <c r="BG216" s="207"/>
      <c r="BH216" s="207"/>
      <c r="BI216" s="207"/>
      <c r="BJ216" s="207"/>
      <c r="BK216" s="207"/>
      <c r="BL216" s="207"/>
      <c r="BM216" s="207"/>
      <c r="BN216" s="207"/>
      <c r="BO216" s="207"/>
      <c r="BP216" s="207"/>
      <c r="BQ216" s="207"/>
      <c r="BR216" s="207"/>
      <c r="BS216" s="207"/>
      <c r="BT216" s="207"/>
      <c r="BU216" s="207"/>
      <c r="BV216" s="207"/>
      <c r="BW216" s="207"/>
      <c r="BX216" s="207"/>
      <c r="BY216" s="207"/>
      <c r="BZ216" s="207"/>
      <c r="CA216" s="207"/>
      <c r="CB216" s="207"/>
      <c r="CC216" s="207"/>
      <c r="CD216" s="207"/>
      <c r="CE216" s="207"/>
      <c r="CF216" s="207"/>
      <c r="CG216" s="207"/>
      <c r="CH216" s="207"/>
      <c r="CI216" s="207"/>
      <c r="CJ216" s="207"/>
      <c r="CK216" s="207"/>
      <c r="CL216" s="207"/>
      <c r="CM216" s="207"/>
      <c r="CN216" s="207"/>
      <c r="CO216" s="207"/>
      <c r="CP216" s="207"/>
      <c r="CQ216" s="207"/>
      <c r="CR216" s="207"/>
      <c r="CS216" s="207"/>
      <c r="CT216" s="207"/>
      <c r="CU216" s="207"/>
      <c r="CV216" s="207"/>
      <c r="CW216" s="207"/>
      <c r="CX216" s="207"/>
      <c r="CY216" s="207"/>
      <c r="CZ216" s="207"/>
      <c r="DA216" s="207"/>
      <c r="DB216" s="207"/>
      <c r="DC216" s="207"/>
      <c r="DD216" s="207"/>
      <c r="DE216" s="207"/>
      <c r="DF216" s="207"/>
      <c r="DG216" s="207"/>
      <c r="DH216" s="207"/>
      <c r="DI216" s="207"/>
      <c r="DJ216" s="207"/>
      <c r="DK216" s="207"/>
      <c r="DL216" s="207"/>
      <c r="DM216" s="207"/>
      <c r="DN216" s="207"/>
      <c r="DO216" s="207"/>
      <c r="DP216" s="207"/>
      <c r="DQ216" s="207"/>
      <c r="DR216" s="207"/>
      <c r="DS216" s="207"/>
      <c r="DT216" s="207"/>
      <c r="DU216" s="207"/>
      <c r="DV216" s="207"/>
      <c r="DW216" s="207"/>
      <c r="DX216" s="207"/>
      <c r="DY216" s="207"/>
      <c r="DZ216" s="207"/>
      <c r="EA216" s="207"/>
      <c r="EB216" s="207"/>
      <c r="EC216" s="207"/>
      <c r="ED216" s="207"/>
      <c r="EE216" s="207"/>
      <c r="EF216" s="207"/>
      <c r="EG216" s="207"/>
      <c r="EH216" s="207"/>
      <c r="EI216" s="207"/>
      <c r="EJ216" s="207"/>
      <c r="EK216" s="207"/>
      <c r="EL216" s="207"/>
      <c r="EM216" s="207"/>
      <c r="EN216" s="207"/>
      <c r="EO216" s="207"/>
      <c r="EP216" s="207"/>
      <c r="EQ216" s="207"/>
      <c r="ER216" s="207"/>
      <c r="ES216" s="207"/>
      <c r="ET216" s="207"/>
      <c r="EU216" s="207"/>
      <c r="EV216" s="207"/>
      <c r="EW216" s="207"/>
      <c r="EX216" s="207"/>
      <c r="EY216" s="207"/>
      <c r="EZ216" s="207"/>
      <c r="FA216" s="207"/>
      <c r="FB216" s="207"/>
      <c r="FC216" s="207"/>
      <c r="FD216" s="207"/>
      <c r="FE216" s="207"/>
      <c r="FF216" s="207"/>
      <c r="FG216" s="207"/>
      <c r="FH216" s="207"/>
      <c r="FI216" s="207"/>
      <c r="FJ216" s="207"/>
      <c r="FK216" s="207"/>
      <c r="FL216" s="207"/>
      <c r="FM216" s="207"/>
      <c r="FN216" s="207"/>
      <c r="FO216" s="207"/>
      <c r="FP216" s="207"/>
      <c r="FQ216" s="207"/>
      <c r="FR216" s="207"/>
      <c r="FS216" s="208"/>
      <c r="FT216" s="156"/>
    </row>
    <row r="217" spans="1:176" ht="15" outlineLevel="1">
      <c r="A217" s="206" t="s">
        <v>1483</v>
      </c>
      <c r="B217" s="200" t="s">
        <v>151</v>
      </c>
      <c r="C217" s="34"/>
      <c r="D217" s="34"/>
      <c r="E217" s="34"/>
      <c r="F217" s="34"/>
      <c r="G217" s="34"/>
      <c r="H217" s="37" t="s">
        <v>488</v>
      </c>
      <c r="I217" s="38"/>
      <c r="J217" s="38"/>
      <c r="K217" s="38"/>
      <c r="L217" s="38"/>
      <c r="M217" s="38"/>
      <c r="N217" s="38"/>
      <c r="O217" s="38"/>
      <c r="P217" s="38"/>
      <c r="Q217" s="38"/>
      <c r="R217" s="177">
        <f t="shared" si="32"/>
        <v>0</v>
      </c>
      <c r="S217" s="202">
        <f t="shared" si="34"/>
        <v>0</v>
      </c>
      <c r="T217" s="202">
        <f t="shared" si="35"/>
        <v>0</v>
      </c>
      <c r="U217" s="18"/>
      <c r="V217" s="206" t="str">
        <f t="shared" si="31"/>
        <v>5-4</v>
      </c>
      <c r="W217" s="215" t="str">
        <f t="shared" si="33"/>
        <v/>
      </c>
      <c r="X217" s="110"/>
      <c r="Y217" s="109"/>
      <c r="Z217" s="207"/>
      <c r="AA217" s="207"/>
      <c r="AB217" s="207"/>
      <c r="AC217" s="207"/>
      <c r="AD217" s="207"/>
      <c r="AE217" s="207"/>
      <c r="AF217" s="207"/>
      <c r="AG217" s="207"/>
      <c r="AH217" s="207"/>
      <c r="AI217" s="207"/>
      <c r="AJ217" s="207"/>
      <c r="AK217" s="207"/>
      <c r="AL217" s="207"/>
      <c r="AM217" s="207"/>
      <c r="AN217" s="207"/>
      <c r="AO217" s="207"/>
      <c r="AP217" s="207"/>
      <c r="AQ217" s="207"/>
      <c r="AR217" s="207"/>
      <c r="AS217" s="207"/>
      <c r="AT217" s="207"/>
      <c r="AU217" s="207"/>
      <c r="AV217" s="207"/>
      <c r="AW217" s="207"/>
      <c r="AX217" s="207"/>
      <c r="AY217" s="207"/>
      <c r="AZ217" s="207"/>
      <c r="BA217" s="207"/>
      <c r="BB217" s="207"/>
      <c r="BC217" s="207"/>
      <c r="BD217" s="207"/>
      <c r="BE217" s="207"/>
      <c r="BF217" s="207"/>
      <c r="BG217" s="207"/>
      <c r="BH217" s="207"/>
      <c r="BI217" s="207"/>
      <c r="BJ217" s="207"/>
      <c r="BK217" s="207"/>
      <c r="BL217" s="207"/>
      <c r="BM217" s="207"/>
      <c r="BN217" s="207"/>
      <c r="BO217" s="207"/>
      <c r="BP217" s="207"/>
      <c r="BQ217" s="207"/>
      <c r="BR217" s="207"/>
      <c r="BS217" s="207"/>
      <c r="BT217" s="207"/>
      <c r="BU217" s="207"/>
      <c r="BV217" s="207"/>
      <c r="BW217" s="207"/>
      <c r="BX217" s="207"/>
      <c r="BY217" s="207"/>
      <c r="BZ217" s="207"/>
      <c r="CA217" s="207"/>
      <c r="CB217" s="207"/>
      <c r="CC217" s="207"/>
      <c r="CD217" s="207"/>
      <c r="CE217" s="207"/>
      <c r="CF217" s="207"/>
      <c r="CG217" s="207"/>
      <c r="CH217" s="207"/>
      <c r="CI217" s="207"/>
      <c r="CJ217" s="207"/>
      <c r="CK217" s="207"/>
      <c r="CL217" s="207"/>
      <c r="CM217" s="207"/>
      <c r="CN217" s="207"/>
      <c r="CO217" s="207"/>
      <c r="CP217" s="207"/>
      <c r="CQ217" s="207"/>
      <c r="CR217" s="207"/>
      <c r="CS217" s="207"/>
      <c r="CT217" s="207"/>
      <c r="CU217" s="207"/>
      <c r="CV217" s="207"/>
      <c r="CW217" s="207"/>
      <c r="CX217" s="207"/>
      <c r="CY217" s="207"/>
      <c r="CZ217" s="207"/>
      <c r="DA217" s="207"/>
      <c r="DB217" s="207"/>
      <c r="DC217" s="207"/>
      <c r="DD217" s="207"/>
      <c r="DE217" s="207"/>
      <c r="DF217" s="207"/>
      <c r="DG217" s="207"/>
      <c r="DH217" s="207"/>
      <c r="DI217" s="207"/>
      <c r="DJ217" s="207"/>
      <c r="DK217" s="207"/>
      <c r="DL217" s="207"/>
      <c r="DM217" s="207"/>
      <c r="DN217" s="207"/>
      <c r="DO217" s="207"/>
      <c r="DP217" s="207"/>
      <c r="DQ217" s="207"/>
      <c r="DR217" s="207"/>
      <c r="DS217" s="207"/>
      <c r="DT217" s="207"/>
      <c r="DU217" s="207"/>
      <c r="DV217" s="207"/>
      <c r="DW217" s="207"/>
      <c r="DX217" s="207"/>
      <c r="DY217" s="207"/>
      <c r="DZ217" s="207"/>
      <c r="EA217" s="207"/>
      <c r="EB217" s="207"/>
      <c r="EC217" s="207"/>
      <c r="ED217" s="207"/>
      <c r="EE217" s="207"/>
      <c r="EF217" s="207"/>
      <c r="EG217" s="207"/>
      <c r="EH217" s="207"/>
      <c r="EI217" s="207"/>
      <c r="EJ217" s="207"/>
      <c r="EK217" s="207"/>
      <c r="EL217" s="207"/>
      <c r="EM217" s="207"/>
      <c r="EN217" s="207"/>
      <c r="EO217" s="207"/>
      <c r="EP217" s="207"/>
      <c r="EQ217" s="207"/>
      <c r="ER217" s="207"/>
      <c r="ES217" s="207"/>
      <c r="ET217" s="207"/>
      <c r="EU217" s="207"/>
      <c r="EV217" s="207"/>
      <c r="EW217" s="207"/>
      <c r="EX217" s="207"/>
      <c r="EY217" s="207"/>
      <c r="EZ217" s="207"/>
      <c r="FA217" s="207"/>
      <c r="FB217" s="207"/>
      <c r="FC217" s="207"/>
      <c r="FD217" s="207"/>
      <c r="FE217" s="207"/>
      <c r="FF217" s="207"/>
      <c r="FG217" s="207"/>
      <c r="FH217" s="207"/>
      <c r="FI217" s="207"/>
      <c r="FJ217" s="207"/>
      <c r="FK217" s="207"/>
      <c r="FL217" s="207"/>
      <c r="FM217" s="207"/>
      <c r="FN217" s="207"/>
      <c r="FO217" s="207"/>
      <c r="FP217" s="207"/>
      <c r="FQ217" s="207"/>
      <c r="FR217" s="207"/>
      <c r="FS217" s="208"/>
      <c r="FT217" s="156"/>
    </row>
    <row r="218" spans="1:176" ht="15" outlineLevel="1">
      <c r="A218" s="206" t="s">
        <v>1484</v>
      </c>
      <c r="B218" s="200" t="s">
        <v>151</v>
      </c>
      <c r="C218" s="34"/>
      <c r="D218" s="34"/>
      <c r="E218" s="34"/>
      <c r="F218" s="34"/>
      <c r="G218" s="34"/>
      <c r="H218" s="37" t="s">
        <v>488</v>
      </c>
      <c r="I218" s="38"/>
      <c r="J218" s="38"/>
      <c r="K218" s="38"/>
      <c r="L218" s="38"/>
      <c r="M218" s="38"/>
      <c r="N218" s="38"/>
      <c r="O218" s="38"/>
      <c r="P218" s="38"/>
      <c r="Q218" s="38"/>
      <c r="R218" s="177">
        <f t="shared" si="32"/>
        <v>0</v>
      </c>
      <c r="S218" s="202">
        <f t="shared" si="34"/>
        <v>0</v>
      </c>
      <c r="T218" s="202">
        <f t="shared" si="35"/>
        <v>0</v>
      </c>
      <c r="U218" s="18"/>
      <c r="V218" s="206" t="str">
        <f t="shared" si="31"/>
        <v>5-5</v>
      </c>
      <c r="W218" s="215" t="str">
        <f t="shared" si="33"/>
        <v/>
      </c>
      <c r="X218" s="110"/>
      <c r="Y218" s="109"/>
      <c r="Z218" s="207"/>
      <c r="AA218" s="207"/>
      <c r="AB218" s="207"/>
      <c r="AC218" s="207"/>
      <c r="AD218" s="207"/>
      <c r="AE218" s="207"/>
      <c r="AF218" s="207"/>
      <c r="AG218" s="207"/>
      <c r="AH218" s="207"/>
      <c r="AI218" s="207"/>
      <c r="AJ218" s="207"/>
      <c r="AK218" s="207"/>
      <c r="AL218" s="207"/>
      <c r="AM218" s="207"/>
      <c r="AN218" s="207"/>
      <c r="AO218" s="207"/>
      <c r="AP218" s="207"/>
      <c r="AQ218" s="207"/>
      <c r="AR218" s="207"/>
      <c r="AS218" s="207"/>
      <c r="AT218" s="207"/>
      <c r="AU218" s="207"/>
      <c r="AV218" s="207"/>
      <c r="AW218" s="207"/>
      <c r="AX218" s="207"/>
      <c r="AY218" s="207"/>
      <c r="AZ218" s="207"/>
      <c r="BA218" s="207"/>
      <c r="BB218" s="207"/>
      <c r="BC218" s="207"/>
      <c r="BD218" s="207"/>
      <c r="BE218" s="207"/>
      <c r="BF218" s="207"/>
      <c r="BG218" s="207"/>
      <c r="BH218" s="207"/>
      <c r="BI218" s="207"/>
      <c r="BJ218" s="207"/>
      <c r="BK218" s="207"/>
      <c r="BL218" s="207"/>
      <c r="BM218" s="207"/>
      <c r="BN218" s="207"/>
      <c r="BO218" s="207"/>
      <c r="BP218" s="207"/>
      <c r="BQ218" s="207"/>
      <c r="BR218" s="207"/>
      <c r="BS218" s="207"/>
      <c r="BT218" s="207"/>
      <c r="BU218" s="207"/>
      <c r="BV218" s="207"/>
      <c r="BW218" s="207"/>
      <c r="BX218" s="207"/>
      <c r="BY218" s="207"/>
      <c r="BZ218" s="207"/>
      <c r="CA218" s="207"/>
      <c r="CB218" s="207"/>
      <c r="CC218" s="207"/>
      <c r="CD218" s="207"/>
      <c r="CE218" s="207"/>
      <c r="CF218" s="207"/>
      <c r="CG218" s="207"/>
      <c r="CH218" s="207"/>
      <c r="CI218" s="207"/>
      <c r="CJ218" s="207"/>
      <c r="CK218" s="207"/>
      <c r="CL218" s="207"/>
      <c r="CM218" s="207"/>
      <c r="CN218" s="207"/>
      <c r="CO218" s="207"/>
      <c r="CP218" s="207"/>
      <c r="CQ218" s="207"/>
      <c r="CR218" s="207"/>
      <c r="CS218" s="207"/>
      <c r="CT218" s="207"/>
      <c r="CU218" s="207"/>
      <c r="CV218" s="207"/>
      <c r="CW218" s="207"/>
      <c r="CX218" s="207"/>
      <c r="CY218" s="207"/>
      <c r="CZ218" s="207"/>
      <c r="DA218" s="207"/>
      <c r="DB218" s="207"/>
      <c r="DC218" s="207"/>
      <c r="DD218" s="207"/>
      <c r="DE218" s="207"/>
      <c r="DF218" s="207"/>
      <c r="DG218" s="207"/>
      <c r="DH218" s="207"/>
      <c r="DI218" s="207"/>
      <c r="DJ218" s="207"/>
      <c r="DK218" s="207"/>
      <c r="DL218" s="207"/>
      <c r="DM218" s="207"/>
      <c r="DN218" s="207"/>
      <c r="DO218" s="207"/>
      <c r="DP218" s="207"/>
      <c r="DQ218" s="207"/>
      <c r="DR218" s="207"/>
      <c r="DS218" s="207"/>
      <c r="DT218" s="207"/>
      <c r="DU218" s="207"/>
      <c r="DV218" s="207"/>
      <c r="DW218" s="207"/>
      <c r="DX218" s="207"/>
      <c r="DY218" s="207"/>
      <c r="DZ218" s="207"/>
      <c r="EA218" s="207"/>
      <c r="EB218" s="207"/>
      <c r="EC218" s="207"/>
      <c r="ED218" s="207"/>
      <c r="EE218" s="207"/>
      <c r="EF218" s="207"/>
      <c r="EG218" s="207"/>
      <c r="EH218" s="207"/>
      <c r="EI218" s="207"/>
      <c r="EJ218" s="207"/>
      <c r="EK218" s="207"/>
      <c r="EL218" s="207"/>
      <c r="EM218" s="207"/>
      <c r="EN218" s="207"/>
      <c r="EO218" s="207"/>
      <c r="EP218" s="207"/>
      <c r="EQ218" s="207"/>
      <c r="ER218" s="207"/>
      <c r="ES218" s="207"/>
      <c r="ET218" s="207"/>
      <c r="EU218" s="207"/>
      <c r="EV218" s="207"/>
      <c r="EW218" s="207"/>
      <c r="EX218" s="207"/>
      <c r="EY218" s="207"/>
      <c r="EZ218" s="207"/>
      <c r="FA218" s="207"/>
      <c r="FB218" s="207"/>
      <c r="FC218" s="207"/>
      <c r="FD218" s="207"/>
      <c r="FE218" s="207"/>
      <c r="FF218" s="207"/>
      <c r="FG218" s="207"/>
      <c r="FH218" s="207"/>
      <c r="FI218" s="207"/>
      <c r="FJ218" s="207"/>
      <c r="FK218" s="207"/>
      <c r="FL218" s="207"/>
      <c r="FM218" s="207"/>
      <c r="FN218" s="207"/>
      <c r="FO218" s="207"/>
      <c r="FP218" s="207"/>
      <c r="FQ218" s="207"/>
      <c r="FR218" s="207"/>
      <c r="FS218" s="208"/>
      <c r="FT218" s="156"/>
    </row>
    <row r="219" spans="1:176" ht="15" outlineLevel="1">
      <c r="A219" s="206" t="s">
        <v>1485</v>
      </c>
      <c r="B219" s="200" t="s">
        <v>151</v>
      </c>
      <c r="C219" s="34"/>
      <c r="D219" s="34"/>
      <c r="E219" s="34"/>
      <c r="F219" s="34"/>
      <c r="G219" s="34"/>
      <c r="H219" s="37" t="s">
        <v>488</v>
      </c>
      <c r="I219" s="38"/>
      <c r="J219" s="38"/>
      <c r="K219" s="38"/>
      <c r="L219" s="38"/>
      <c r="M219" s="38"/>
      <c r="N219" s="38"/>
      <c r="O219" s="38"/>
      <c r="P219" s="38"/>
      <c r="Q219" s="38"/>
      <c r="R219" s="177">
        <f t="shared" si="32"/>
        <v>0</v>
      </c>
      <c r="S219" s="202">
        <f t="shared" si="34"/>
        <v>0</v>
      </c>
      <c r="T219" s="202">
        <f t="shared" si="35"/>
        <v>0</v>
      </c>
      <c r="U219" s="18"/>
      <c r="V219" s="206" t="str">
        <f t="shared" si="31"/>
        <v>5-6</v>
      </c>
      <c r="W219" s="215" t="str">
        <f t="shared" si="33"/>
        <v/>
      </c>
      <c r="X219" s="110"/>
      <c r="Y219" s="109"/>
      <c r="Z219" s="207"/>
      <c r="AA219" s="207"/>
      <c r="AB219" s="207"/>
      <c r="AC219" s="207"/>
      <c r="AD219" s="207"/>
      <c r="AE219" s="207"/>
      <c r="AF219" s="207"/>
      <c r="AG219" s="207"/>
      <c r="AH219" s="207"/>
      <c r="AI219" s="207"/>
      <c r="AJ219" s="207"/>
      <c r="AK219" s="207"/>
      <c r="AL219" s="207"/>
      <c r="AM219" s="207"/>
      <c r="AN219" s="207"/>
      <c r="AO219" s="207"/>
      <c r="AP219" s="207"/>
      <c r="AQ219" s="207"/>
      <c r="AR219" s="207"/>
      <c r="AS219" s="207"/>
      <c r="AT219" s="207"/>
      <c r="AU219" s="207"/>
      <c r="AV219" s="207"/>
      <c r="AW219" s="207"/>
      <c r="AX219" s="207"/>
      <c r="AY219" s="207"/>
      <c r="AZ219" s="207"/>
      <c r="BA219" s="207"/>
      <c r="BB219" s="207"/>
      <c r="BC219" s="207"/>
      <c r="BD219" s="207"/>
      <c r="BE219" s="207"/>
      <c r="BF219" s="207"/>
      <c r="BG219" s="207"/>
      <c r="BH219" s="207"/>
      <c r="BI219" s="207"/>
      <c r="BJ219" s="207"/>
      <c r="BK219" s="207"/>
      <c r="BL219" s="207"/>
      <c r="BM219" s="207"/>
      <c r="BN219" s="207"/>
      <c r="BO219" s="207"/>
      <c r="BP219" s="207"/>
      <c r="BQ219" s="207"/>
      <c r="BR219" s="207"/>
      <c r="BS219" s="207"/>
      <c r="BT219" s="207"/>
      <c r="BU219" s="207"/>
      <c r="BV219" s="207"/>
      <c r="BW219" s="207"/>
      <c r="BX219" s="207"/>
      <c r="BY219" s="207"/>
      <c r="BZ219" s="207"/>
      <c r="CA219" s="207"/>
      <c r="CB219" s="207"/>
      <c r="CC219" s="207"/>
      <c r="CD219" s="207"/>
      <c r="CE219" s="207"/>
      <c r="CF219" s="207"/>
      <c r="CG219" s="207"/>
      <c r="CH219" s="207"/>
      <c r="CI219" s="207"/>
      <c r="CJ219" s="207"/>
      <c r="CK219" s="207"/>
      <c r="CL219" s="207"/>
      <c r="CM219" s="207"/>
      <c r="CN219" s="207"/>
      <c r="CO219" s="207"/>
      <c r="CP219" s="207"/>
      <c r="CQ219" s="207"/>
      <c r="CR219" s="207"/>
      <c r="CS219" s="207"/>
      <c r="CT219" s="207"/>
      <c r="CU219" s="207"/>
      <c r="CV219" s="207"/>
      <c r="CW219" s="207"/>
      <c r="CX219" s="207"/>
      <c r="CY219" s="207"/>
      <c r="CZ219" s="207"/>
      <c r="DA219" s="207"/>
      <c r="DB219" s="207"/>
      <c r="DC219" s="207"/>
      <c r="DD219" s="207"/>
      <c r="DE219" s="207"/>
      <c r="DF219" s="207"/>
      <c r="DG219" s="207"/>
      <c r="DH219" s="207"/>
      <c r="DI219" s="207"/>
      <c r="DJ219" s="207"/>
      <c r="DK219" s="207"/>
      <c r="DL219" s="207"/>
      <c r="DM219" s="207"/>
      <c r="DN219" s="207"/>
      <c r="DO219" s="207"/>
      <c r="DP219" s="207"/>
      <c r="DQ219" s="207"/>
      <c r="DR219" s="207"/>
      <c r="DS219" s="207"/>
      <c r="DT219" s="207"/>
      <c r="DU219" s="207"/>
      <c r="DV219" s="207"/>
      <c r="DW219" s="207"/>
      <c r="DX219" s="207"/>
      <c r="DY219" s="207"/>
      <c r="DZ219" s="207"/>
      <c r="EA219" s="207"/>
      <c r="EB219" s="207"/>
      <c r="EC219" s="207"/>
      <c r="ED219" s="207"/>
      <c r="EE219" s="207"/>
      <c r="EF219" s="207"/>
      <c r="EG219" s="207"/>
      <c r="EH219" s="207"/>
      <c r="EI219" s="207"/>
      <c r="EJ219" s="207"/>
      <c r="EK219" s="207"/>
      <c r="EL219" s="207"/>
      <c r="EM219" s="207"/>
      <c r="EN219" s="207"/>
      <c r="EO219" s="207"/>
      <c r="EP219" s="207"/>
      <c r="EQ219" s="207"/>
      <c r="ER219" s="207"/>
      <c r="ES219" s="207"/>
      <c r="ET219" s="207"/>
      <c r="EU219" s="207"/>
      <c r="EV219" s="207"/>
      <c r="EW219" s="207"/>
      <c r="EX219" s="207"/>
      <c r="EY219" s="207"/>
      <c r="EZ219" s="207"/>
      <c r="FA219" s="207"/>
      <c r="FB219" s="207"/>
      <c r="FC219" s="207"/>
      <c r="FD219" s="207"/>
      <c r="FE219" s="207"/>
      <c r="FF219" s="207"/>
      <c r="FG219" s="207"/>
      <c r="FH219" s="207"/>
      <c r="FI219" s="207"/>
      <c r="FJ219" s="207"/>
      <c r="FK219" s="207"/>
      <c r="FL219" s="207"/>
      <c r="FM219" s="207"/>
      <c r="FN219" s="207"/>
      <c r="FO219" s="207"/>
      <c r="FP219" s="207"/>
      <c r="FQ219" s="207"/>
      <c r="FR219" s="207"/>
      <c r="FS219" s="208"/>
      <c r="FT219" s="156"/>
    </row>
    <row r="220" spans="1:176" ht="15" outlineLevel="1">
      <c r="A220" s="206" t="s">
        <v>1486</v>
      </c>
      <c r="B220" s="200" t="s">
        <v>151</v>
      </c>
      <c r="C220" s="34"/>
      <c r="D220" s="34"/>
      <c r="E220" s="34"/>
      <c r="F220" s="34"/>
      <c r="G220" s="34"/>
      <c r="H220" s="37" t="s">
        <v>488</v>
      </c>
      <c r="I220" s="38"/>
      <c r="J220" s="38"/>
      <c r="K220" s="38"/>
      <c r="L220" s="38"/>
      <c r="M220" s="38"/>
      <c r="N220" s="38"/>
      <c r="O220" s="38"/>
      <c r="P220" s="38"/>
      <c r="Q220" s="38"/>
      <c r="R220" s="177">
        <f t="shared" si="32"/>
        <v>0</v>
      </c>
      <c r="S220" s="202">
        <f t="shared" si="34"/>
        <v>0</v>
      </c>
      <c r="T220" s="202">
        <f t="shared" si="35"/>
        <v>0</v>
      </c>
      <c r="U220" s="18"/>
      <c r="V220" s="206" t="str">
        <f t="shared" si="31"/>
        <v>5-7</v>
      </c>
      <c r="W220" s="215" t="str">
        <f t="shared" si="33"/>
        <v/>
      </c>
      <c r="X220" s="110"/>
      <c r="Y220" s="109"/>
      <c r="Z220" s="207"/>
      <c r="AA220" s="207"/>
      <c r="AB220" s="207"/>
      <c r="AC220" s="207"/>
      <c r="AD220" s="207"/>
      <c r="AE220" s="207"/>
      <c r="AF220" s="207"/>
      <c r="AG220" s="207"/>
      <c r="AH220" s="207"/>
      <c r="AI220" s="207"/>
      <c r="AJ220" s="207"/>
      <c r="AK220" s="207"/>
      <c r="AL220" s="207"/>
      <c r="AM220" s="207"/>
      <c r="AN220" s="207"/>
      <c r="AO220" s="207"/>
      <c r="AP220" s="207"/>
      <c r="AQ220" s="207"/>
      <c r="AR220" s="207"/>
      <c r="AS220" s="207"/>
      <c r="AT220" s="207"/>
      <c r="AU220" s="207"/>
      <c r="AV220" s="207"/>
      <c r="AW220" s="207"/>
      <c r="AX220" s="207"/>
      <c r="AY220" s="207"/>
      <c r="AZ220" s="207"/>
      <c r="BA220" s="207"/>
      <c r="BB220" s="207"/>
      <c r="BC220" s="207"/>
      <c r="BD220" s="207"/>
      <c r="BE220" s="207"/>
      <c r="BF220" s="207"/>
      <c r="BG220" s="207"/>
      <c r="BH220" s="207"/>
      <c r="BI220" s="207"/>
      <c r="BJ220" s="207"/>
      <c r="BK220" s="207"/>
      <c r="BL220" s="207"/>
      <c r="BM220" s="207"/>
      <c r="BN220" s="207"/>
      <c r="BO220" s="207"/>
      <c r="BP220" s="207"/>
      <c r="BQ220" s="207"/>
      <c r="BR220" s="207"/>
      <c r="BS220" s="207"/>
      <c r="BT220" s="207"/>
      <c r="BU220" s="207"/>
      <c r="BV220" s="207"/>
      <c r="BW220" s="207"/>
      <c r="BX220" s="207"/>
      <c r="BY220" s="207"/>
      <c r="BZ220" s="207"/>
      <c r="CA220" s="207"/>
      <c r="CB220" s="207"/>
      <c r="CC220" s="207"/>
      <c r="CD220" s="207"/>
      <c r="CE220" s="207"/>
      <c r="CF220" s="207"/>
      <c r="CG220" s="207"/>
      <c r="CH220" s="207"/>
      <c r="CI220" s="207"/>
      <c r="CJ220" s="207"/>
      <c r="CK220" s="207"/>
      <c r="CL220" s="207"/>
      <c r="CM220" s="207"/>
      <c r="CN220" s="207"/>
      <c r="CO220" s="207"/>
      <c r="CP220" s="207"/>
      <c r="CQ220" s="207"/>
      <c r="CR220" s="207"/>
      <c r="CS220" s="207"/>
      <c r="CT220" s="207"/>
      <c r="CU220" s="207"/>
      <c r="CV220" s="207"/>
      <c r="CW220" s="207"/>
      <c r="CX220" s="207"/>
      <c r="CY220" s="207"/>
      <c r="CZ220" s="207"/>
      <c r="DA220" s="207"/>
      <c r="DB220" s="207"/>
      <c r="DC220" s="207"/>
      <c r="DD220" s="207"/>
      <c r="DE220" s="207"/>
      <c r="DF220" s="207"/>
      <c r="DG220" s="207"/>
      <c r="DH220" s="207"/>
      <c r="DI220" s="207"/>
      <c r="DJ220" s="207"/>
      <c r="DK220" s="207"/>
      <c r="DL220" s="207"/>
      <c r="DM220" s="207"/>
      <c r="DN220" s="207"/>
      <c r="DO220" s="207"/>
      <c r="DP220" s="207"/>
      <c r="DQ220" s="207"/>
      <c r="DR220" s="207"/>
      <c r="DS220" s="207"/>
      <c r="DT220" s="207"/>
      <c r="DU220" s="207"/>
      <c r="DV220" s="207"/>
      <c r="DW220" s="207"/>
      <c r="DX220" s="207"/>
      <c r="DY220" s="207"/>
      <c r="DZ220" s="207"/>
      <c r="EA220" s="207"/>
      <c r="EB220" s="207"/>
      <c r="EC220" s="207"/>
      <c r="ED220" s="207"/>
      <c r="EE220" s="207"/>
      <c r="EF220" s="207"/>
      <c r="EG220" s="207"/>
      <c r="EH220" s="207"/>
      <c r="EI220" s="207"/>
      <c r="EJ220" s="207"/>
      <c r="EK220" s="207"/>
      <c r="EL220" s="207"/>
      <c r="EM220" s="207"/>
      <c r="EN220" s="207"/>
      <c r="EO220" s="207"/>
      <c r="EP220" s="207"/>
      <c r="EQ220" s="207"/>
      <c r="ER220" s="207"/>
      <c r="ES220" s="207"/>
      <c r="ET220" s="207"/>
      <c r="EU220" s="207"/>
      <c r="EV220" s="207"/>
      <c r="EW220" s="207"/>
      <c r="EX220" s="207"/>
      <c r="EY220" s="207"/>
      <c r="EZ220" s="207"/>
      <c r="FA220" s="207"/>
      <c r="FB220" s="207"/>
      <c r="FC220" s="207"/>
      <c r="FD220" s="207"/>
      <c r="FE220" s="207"/>
      <c r="FF220" s="207"/>
      <c r="FG220" s="207"/>
      <c r="FH220" s="207"/>
      <c r="FI220" s="207"/>
      <c r="FJ220" s="207"/>
      <c r="FK220" s="207"/>
      <c r="FL220" s="207"/>
      <c r="FM220" s="207"/>
      <c r="FN220" s="207"/>
      <c r="FO220" s="207"/>
      <c r="FP220" s="207"/>
      <c r="FQ220" s="207"/>
      <c r="FR220" s="207"/>
      <c r="FS220" s="208"/>
      <c r="FT220" s="156"/>
    </row>
    <row r="221" spans="1:176" ht="15" outlineLevel="1">
      <c r="A221" s="206" t="s">
        <v>1487</v>
      </c>
      <c r="B221" s="200" t="s">
        <v>151</v>
      </c>
      <c r="C221" s="34"/>
      <c r="D221" s="34"/>
      <c r="E221" s="34"/>
      <c r="F221" s="34"/>
      <c r="G221" s="34"/>
      <c r="H221" s="37" t="s">
        <v>488</v>
      </c>
      <c r="I221" s="38"/>
      <c r="J221" s="38"/>
      <c r="K221" s="38"/>
      <c r="L221" s="38"/>
      <c r="M221" s="38"/>
      <c r="N221" s="38"/>
      <c r="O221" s="38"/>
      <c r="P221" s="38"/>
      <c r="Q221" s="38"/>
      <c r="R221" s="177">
        <f t="shared" si="32"/>
        <v>0</v>
      </c>
      <c r="S221" s="202">
        <f t="shared" si="34"/>
        <v>0</v>
      </c>
      <c r="T221" s="202">
        <f t="shared" si="35"/>
        <v>0</v>
      </c>
      <c r="U221" s="18"/>
      <c r="V221" s="206" t="str">
        <f t="shared" si="31"/>
        <v>5-8</v>
      </c>
      <c r="W221" s="215" t="str">
        <f t="shared" si="33"/>
        <v/>
      </c>
      <c r="X221" s="110"/>
      <c r="Y221" s="109"/>
      <c r="Z221" s="207"/>
      <c r="AA221" s="207"/>
      <c r="AB221" s="207"/>
      <c r="AC221" s="207"/>
      <c r="AD221" s="207"/>
      <c r="AE221" s="207"/>
      <c r="AF221" s="207"/>
      <c r="AG221" s="207"/>
      <c r="AH221" s="207"/>
      <c r="AI221" s="207"/>
      <c r="AJ221" s="207"/>
      <c r="AK221" s="207"/>
      <c r="AL221" s="207"/>
      <c r="AM221" s="207"/>
      <c r="AN221" s="207"/>
      <c r="AO221" s="207"/>
      <c r="AP221" s="207"/>
      <c r="AQ221" s="207"/>
      <c r="AR221" s="207"/>
      <c r="AS221" s="207"/>
      <c r="AT221" s="207"/>
      <c r="AU221" s="207"/>
      <c r="AV221" s="207"/>
      <c r="AW221" s="207"/>
      <c r="AX221" s="207"/>
      <c r="AY221" s="207"/>
      <c r="AZ221" s="207"/>
      <c r="BA221" s="207"/>
      <c r="BB221" s="207"/>
      <c r="BC221" s="207"/>
      <c r="BD221" s="207"/>
      <c r="BE221" s="207"/>
      <c r="BF221" s="207"/>
      <c r="BG221" s="207"/>
      <c r="BH221" s="207"/>
      <c r="BI221" s="207"/>
      <c r="BJ221" s="207"/>
      <c r="BK221" s="207"/>
      <c r="BL221" s="207"/>
      <c r="BM221" s="207"/>
      <c r="BN221" s="207"/>
      <c r="BO221" s="207"/>
      <c r="BP221" s="207"/>
      <c r="BQ221" s="207"/>
      <c r="BR221" s="207"/>
      <c r="BS221" s="207"/>
      <c r="BT221" s="207"/>
      <c r="BU221" s="207"/>
      <c r="BV221" s="207"/>
      <c r="BW221" s="207"/>
      <c r="BX221" s="207"/>
      <c r="BY221" s="207"/>
      <c r="BZ221" s="207"/>
      <c r="CA221" s="207"/>
      <c r="CB221" s="207"/>
      <c r="CC221" s="207"/>
      <c r="CD221" s="207"/>
      <c r="CE221" s="207"/>
      <c r="CF221" s="207"/>
      <c r="CG221" s="207"/>
      <c r="CH221" s="207"/>
      <c r="CI221" s="207"/>
      <c r="CJ221" s="207"/>
      <c r="CK221" s="207"/>
      <c r="CL221" s="207"/>
      <c r="CM221" s="207"/>
      <c r="CN221" s="207"/>
      <c r="CO221" s="207"/>
      <c r="CP221" s="207"/>
      <c r="CQ221" s="207"/>
      <c r="CR221" s="207"/>
      <c r="CS221" s="207"/>
      <c r="CT221" s="207"/>
      <c r="CU221" s="207"/>
      <c r="CV221" s="207"/>
      <c r="CW221" s="207"/>
      <c r="CX221" s="207"/>
      <c r="CY221" s="207"/>
      <c r="CZ221" s="207"/>
      <c r="DA221" s="207"/>
      <c r="DB221" s="207"/>
      <c r="DC221" s="207"/>
      <c r="DD221" s="207"/>
      <c r="DE221" s="207"/>
      <c r="DF221" s="207"/>
      <c r="DG221" s="207"/>
      <c r="DH221" s="207"/>
      <c r="DI221" s="207"/>
      <c r="DJ221" s="207"/>
      <c r="DK221" s="207"/>
      <c r="DL221" s="207"/>
      <c r="DM221" s="207"/>
      <c r="DN221" s="207"/>
      <c r="DO221" s="207"/>
      <c r="DP221" s="207"/>
      <c r="DQ221" s="207"/>
      <c r="DR221" s="207"/>
      <c r="DS221" s="207"/>
      <c r="DT221" s="207"/>
      <c r="DU221" s="207"/>
      <c r="DV221" s="207"/>
      <c r="DW221" s="207"/>
      <c r="DX221" s="207"/>
      <c r="DY221" s="207"/>
      <c r="DZ221" s="207"/>
      <c r="EA221" s="207"/>
      <c r="EB221" s="207"/>
      <c r="EC221" s="207"/>
      <c r="ED221" s="207"/>
      <c r="EE221" s="207"/>
      <c r="EF221" s="207"/>
      <c r="EG221" s="207"/>
      <c r="EH221" s="207"/>
      <c r="EI221" s="207"/>
      <c r="EJ221" s="207"/>
      <c r="EK221" s="207"/>
      <c r="EL221" s="207"/>
      <c r="EM221" s="207"/>
      <c r="EN221" s="207"/>
      <c r="EO221" s="207"/>
      <c r="EP221" s="207"/>
      <c r="EQ221" s="207"/>
      <c r="ER221" s="207"/>
      <c r="ES221" s="207"/>
      <c r="ET221" s="207"/>
      <c r="EU221" s="207"/>
      <c r="EV221" s="207"/>
      <c r="EW221" s="207"/>
      <c r="EX221" s="207"/>
      <c r="EY221" s="207"/>
      <c r="EZ221" s="207"/>
      <c r="FA221" s="207"/>
      <c r="FB221" s="207"/>
      <c r="FC221" s="207"/>
      <c r="FD221" s="207"/>
      <c r="FE221" s="207"/>
      <c r="FF221" s="207"/>
      <c r="FG221" s="207"/>
      <c r="FH221" s="207"/>
      <c r="FI221" s="207"/>
      <c r="FJ221" s="207"/>
      <c r="FK221" s="207"/>
      <c r="FL221" s="207"/>
      <c r="FM221" s="207"/>
      <c r="FN221" s="207"/>
      <c r="FO221" s="207"/>
      <c r="FP221" s="207"/>
      <c r="FQ221" s="207"/>
      <c r="FR221" s="207"/>
      <c r="FS221" s="208"/>
      <c r="FT221" s="156"/>
    </row>
    <row r="222" spans="1:176" ht="15" outlineLevel="1">
      <c r="A222" s="206" t="s">
        <v>1488</v>
      </c>
      <c r="B222" s="200" t="s">
        <v>151</v>
      </c>
      <c r="C222" s="34"/>
      <c r="D222" s="34"/>
      <c r="E222" s="34"/>
      <c r="F222" s="34"/>
      <c r="G222" s="34"/>
      <c r="H222" s="37" t="s">
        <v>488</v>
      </c>
      <c r="I222" s="38"/>
      <c r="J222" s="38"/>
      <c r="K222" s="38"/>
      <c r="L222" s="38"/>
      <c r="M222" s="38"/>
      <c r="N222" s="38"/>
      <c r="O222" s="38"/>
      <c r="P222" s="38"/>
      <c r="Q222" s="38"/>
      <c r="R222" s="177">
        <f t="shared" si="32"/>
        <v>0</v>
      </c>
      <c r="S222" s="202">
        <f t="shared" si="34"/>
        <v>0</v>
      </c>
      <c r="T222" s="202">
        <f t="shared" si="35"/>
        <v>0</v>
      </c>
      <c r="U222" s="18"/>
      <c r="V222" s="206" t="str">
        <f t="shared" si="31"/>
        <v>5-9</v>
      </c>
      <c r="W222" s="215" t="str">
        <f t="shared" si="33"/>
        <v/>
      </c>
      <c r="X222" s="110"/>
      <c r="Y222" s="109"/>
      <c r="Z222" s="207"/>
      <c r="AA222" s="207"/>
      <c r="AB222" s="207"/>
      <c r="AC222" s="207"/>
      <c r="AD222" s="207"/>
      <c r="AE222" s="207"/>
      <c r="AF222" s="207"/>
      <c r="AG222" s="207"/>
      <c r="AH222" s="207"/>
      <c r="AI222" s="207"/>
      <c r="AJ222" s="207"/>
      <c r="AK222" s="207"/>
      <c r="AL222" s="207"/>
      <c r="AM222" s="207"/>
      <c r="AN222" s="207"/>
      <c r="AO222" s="207"/>
      <c r="AP222" s="207"/>
      <c r="AQ222" s="207"/>
      <c r="AR222" s="207"/>
      <c r="AS222" s="207"/>
      <c r="AT222" s="207"/>
      <c r="AU222" s="207"/>
      <c r="AV222" s="207"/>
      <c r="AW222" s="207"/>
      <c r="AX222" s="207"/>
      <c r="AY222" s="207"/>
      <c r="AZ222" s="207"/>
      <c r="BA222" s="207"/>
      <c r="BB222" s="207"/>
      <c r="BC222" s="207"/>
      <c r="BD222" s="207"/>
      <c r="BE222" s="207"/>
      <c r="BF222" s="207"/>
      <c r="BG222" s="207"/>
      <c r="BH222" s="207"/>
      <c r="BI222" s="207"/>
      <c r="BJ222" s="207"/>
      <c r="BK222" s="207"/>
      <c r="BL222" s="207"/>
      <c r="BM222" s="207"/>
      <c r="BN222" s="207"/>
      <c r="BO222" s="207"/>
      <c r="BP222" s="207"/>
      <c r="BQ222" s="207"/>
      <c r="BR222" s="207"/>
      <c r="BS222" s="207"/>
      <c r="BT222" s="207"/>
      <c r="BU222" s="207"/>
      <c r="BV222" s="207"/>
      <c r="BW222" s="207"/>
      <c r="BX222" s="207"/>
      <c r="BY222" s="207"/>
      <c r="BZ222" s="207"/>
      <c r="CA222" s="207"/>
      <c r="CB222" s="207"/>
      <c r="CC222" s="207"/>
      <c r="CD222" s="207"/>
      <c r="CE222" s="207"/>
      <c r="CF222" s="207"/>
      <c r="CG222" s="207"/>
      <c r="CH222" s="207"/>
      <c r="CI222" s="207"/>
      <c r="CJ222" s="207"/>
      <c r="CK222" s="207"/>
      <c r="CL222" s="207"/>
      <c r="CM222" s="207"/>
      <c r="CN222" s="207"/>
      <c r="CO222" s="207"/>
      <c r="CP222" s="207"/>
      <c r="CQ222" s="207"/>
      <c r="CR222" s="207"/>
      <c r="CS222" s="207"/>
      <c r="CT222" s="207"/>
      <c r="CU222" s="207"/>
      <c r="CV222" s="207"/>
      <c r="CW222" s="207"/>
      <c r="CX222" s="207"/>
      <c r="CY222" s="207"/>
      <c r="CZ222" s="207"/>
      <c r="DA222" s="207"/>
      <c r="DB222" s="207"/>
      <c r="DC222" s="207"/>
      <c r="DD222" s="207"/>
      <c r="DE222" s="207"/>
      <c r="DF222" s="207"/>
      <c r="DG222" s="207"/>
      <c r="DH222" s="207"/>
      <c r="DI222" s="207"/>
      <c r="DJ222" s="207"/>
      <c r="DK222" s="207"/>
      <c r="DL222" s="207"/>
      <c r="DM222" s="207"/>
      <c r="DN222" s="207"/>
      <c r="DO222" s="207"/>
      <c r="DP222" s="207"/>
      <c r="DQ222" s="207"/>
      <c r="DR222" s="207"/>
      <c r="DS222" s="207"/>
      <c r="DT222" s="207"/>
      <c r="DU222" s="207"/>
      <c r="DV222" s="207"/>
      <c r="DW222" s="207"/>
      <c r="DX222" s="207"/>
      <c r="DY222" s="207"/>
      <c r="DZ222" s="207"/>
      <c r="EA222" s="207"/>
      <c r="EB222" s="207"/>
      <c r="EC222" s="207"/>
      <c r="ED222" s="207"/>
      <c r="EE222" s="207"/>
      <c r="EF222" s="207"/>
      <c r="EG222" s="207"/>
      <c r="EH222" s="207"/>
      <c r="EI222" s="207"/>
      <c r="EJ222" s="207"/>
      <c r="EK222" s="207"/>
      <c r="EL222" s="207"/>
      <c r="EM222" s="207"/>
      <c r="EN222" s="207"/>
      <c r="EO222" s="207"/>
      <c r="EP222" s="207"/>
      <c r="EQ222" s="207"/>
      <c r="ER222" s="207"/>
      <c r="ES222" s="207"/>
      <c r="ET222" s="207"/>
      <c r="EU222" s="207"/>
      <c r="EV222" s="207"/>
      <c r="EW222" s="207"/>
      <c r="EX222" s="207"/>
      <c r="EY222" s="207"/>
      <c r="EZ222" s="207"/>
      <c r="FA222" s="207"/>
      <c r="FB222" s="207"/>
      <c r="FC222" s="207"/>
      <c r="FD222" s="207"/>
      <c r="FE222" s="207"/>
      <c r="FF222" s="207"/>
      <c r="FG222" s="207"/>
      <c r="FH222" s="207"/>
      <c r="FI222" s="207"/>
      <c r="FJ222" s="207"/>
      <c r="FK222" s="207"/>
      <c r="FL222" s="207"/>
      <c r="FM222" s="207"/>
      <c r="FN222" s="207"/>
      <c r="FO222" s="207"/>
      <c r="FP222" s="207"/>
      <c r="FQ222" s="207"/>
      <c r="FR222" s="207"/>
      <c r="FS222" s="208"/>
      <c r="FT222" s="156"/>
    </row>
    <row r="223" spans="1:176" ht="15" outlineLevel="1">
      <c r="A223" s="206" t="s">
        <v>1489</v>
      </c>
      <c r="B223" s="200" t="s">
        <v>151</v>
      </c>
      <c r="C223" s="34"/>
      <c r="D223" s="34"/>
      <c r="E223" s="34"/>
      <c r="F223" s="34"/>
      <c r="G223" s="34"/>
      <c r="H223" s="37" t="s">
        <v>488</v>
      </c>
      <c r="I223" s="38"/>
      <c r="J223" s="38"/>
      <c r="K223" s="38"/>
      <c r="L223" s="38"/>
      <c r="M223" s="38"/>
      <c r="N223" s="38"/>
      <c r="O223" s="38"/>
      <c r="P223" s="38"/>
      <c r="Q223" s="38"/>
      <c r="R223" s="177">
        <f t="shared" si="32"/>
        <v>0</v>
      </c>
      <c r="S223" s="202">
        <f t="shared" si="34"/>
        <v>0</v>
      </c>
      <c r="T223" s="202">
        <f t="shared" si="35"/>
        <v>0</v>
      </c>
      <c r="U223" s="18"/>
      <c r="V223" s="206" t="str">
        <f t="shared" si="31"/>
        <v>5-10</v>
      </c>
      <c r="W223" s="215" t="str">
        <f t="shared" si="33"/>
        <v/>
      </c>
      <c r="X223" s="110"/>
      <c r="Y223" s="109"/>
      <c r="Z223" s="207"/>
      <c r="AA223" s="207"/>
      <c r="AB223" s="207"/>
      <c r="AC223" s="207"/>
      <c r="AD223" s="207"/>
      <c r="AE223" s="207"/>
      <c r="AF223" s="207"/>
      <c r="AG223" s="207"/>
      <c r="AH223" s="207"/>
      <c r="AI223" s="207"/>
      <c r="AJ223" s="207"/>
      <c r="AK223" s="207"/>
      <c r="AL223" s="207"/>
      <c r="AM223" s="207"/>
      <c r="AN223" s="207"/>
      <c r="AO223" s="207"/>
      <c r="AP223" s="207"/>
      <c r="AQ223" s="207"/>
      <c r="AR223" s="207"/>
      <c r="AS223" s="207"/>
      <c r="AT223" s="207"/>
      <c r="AU223" s="207"/>
      <c r="AV223" s="207"/>
      <c r="AW223" s="207"/>
      <c r="AX223" s="207"/>
      <c r="AY223" s="207"/>
      <c r="AZ223" s="207"/>
      <c r="BA223" s="207"/>
      <c r="BB223" s="207"/>
      <c r="BC223" s="207"/>
      <c r="BD223" s="207"/>
      <c r="BE223" s="207"/>
      <c r="BF223" s="207"/>
      <c r="BG223" s="207"/>
      <c r="BH223" s="207"/>
      <c r="BI223" s="207"/>
      <c r="BJ223" s="207"/>
      <c r="BK223" s="207"/>
      <c r="BL223" s="207"/>
      <c r="BM223" s="207"/>
      <c r="BN223" s="207"/>
      <c r="BO223" s="207"/>
      <c r="BP223" s="207"/>
      <c r="BQ223" s="207"/>
      <c r="BR223" s="207"/>
      <c r="BS223" s="207"/>
      <c r="BT223" s="207"/>
      <c r="BU223" s="207"/>
      <c r="BV223" s="207"/>
      <c r="BW223" s="207"/>
      <c r="BX223" s="207"/>
      <c r="BY223" s="207"/>
      <c r="BZ223" s="207"/>
      <c r="CA223" s="207"/>
      <c r="CB223" s="207"/>
      <c r="CC223" s="207"/>
      <c r="CD223" s="207"/>
      <c r="CE223" s="207"/>
      <c r="CF223" s="207"/>
      <c r="CG223" s="207"/>
      <c r="CH223" s="207"/>
      <c r="CI223" s="207"/>
      <c r="CJ223" s="207"/>
      <c r="CK223" s="207"/>
      <c r="CL223" s="207"/>
      <c r="CM223" s="207"/>
      <c r="CN223" s="207"/>
      <c r="CO223" s="207"/>
      <c r="CP223" s="207"/>
      <c r="CQ223" s="207"/>
      <c r="CR223" s="207"/>
      <c r="CS223" s="207"/>
      <c r="CT223" s="207"/>
      <c r="CU223" s="207"/>
      <c r="CV223" s="207"/>
      <c r="CW223" s="207"/>
      <c r="CX223" s="207"/>
      <c r="CY223" s="207"/>
      <c r="CZ223" s="207"/>
      <c r="DA223" s="207"/>
      <c r="DB223" s="207"/>
      <c r="DC223" s="207"/>
      <c r="DD223" s="207"/>
      <c r="DE223" s="207"/>
      <c r="DF223" s="207"/>
      <c r="DG223" s="207"/>
      <c r="DH223" s="207"/>
      <c r="DI223" s="207"/>
      <c r="DJ223" s="207"/>
      <c r="DK223" s="207"/>
      <c r="DL223" s="207"/>
      <c r="DM223" s="207"/>
      <c r="DN223" s="207"/>
      <c r="DO223" s="207"/>
      <c r="DP223" s="207"/>
      <c r="DQ223" s="207"/>
      <c r="DR223" s="207"/>
      <c r="DS223" s="207"/>
      <c r="DT223" s="207"/>
      <c r="DU223" s="207"/>
      <c r="DV223" s="207"/>
      <c r="DW223" s="207"/>
      <c r="DX223" s="207"/>
      <c r="DY223" s="207"/>
      <c r="DZ223" s="207"/>
      <c r="EA223" s="207"/>
      <c r="EB223" s="207"/>
      <c r="EC223" s="207"/>
      <c r="ED223" s="207"/>
      <c r="EE223" s="207"/>
      <c r="EF223" s="207"/>
      <c r="EG223" s="207"/>
      <c r="EH223" s="207"/>
      <c r="EI223" s="207"/>
      <c r="EJ223" s="207"/>
      <c r="EK223" s="207"/>
      <c r="EL223" s="207"/>
      <c r="EM223" s="207"/>
      <c r="EN223" s="207"/>
      <c r="EO223" s="207"/>
      <c r="EP223" s="207"/>
      <c r="EQ223" s="207"/>
      <c r="ER223" s="207"/>
      <c r="ES223" s="207"/>
      <c r="ET223" s="207"/>
      <c r="EU223" s="207"/>
      <c r="EV223" s="207"/>
      <c r="EW223" s="207"/>
      <c r="EX223" s="207"/>
      <c r="EY223" s="207"/>
      <c r="EZ223" s="207"/>
      <c r="FA223" s="207"/>
      <c r="FB223" s="207"/>
      <c r="FC223" s="207"/>
      <c r="FD223" s="207"/>
      <c r="FE223" s="207"/>
      <c r="FF223" s="207"/>
      <c r="FG223" s="207"/>
      <c r="FH223" s="207"/>
      <c r="FI223" s="207"/>
      <c r="FJ223" s="207"/>
      <c r="FK223" s="207"/>
      <c r="FL223" s="207"/>
      <c r="FM223" s="207"/>
      <c r="FN223" s="207"/>
      <c r="FO223" s="207"/>
      <c r="FP223" s="207"/>
      <c r="FQ223" s="207"/>
      <c r="FR223" s="207"/>
      <c r="FS223" s="208"/>
      <c r="FT223" s="156"/>
    </row>
    <row r="224" spans="1:176" ht="15" outlineLevel="1">
      <c r="A224" s="206" t="s">
        <v>1490</v>
      </c>
      <c r="B224" s="200" t="s">
        <v>151</v>
      </c>
      <c r="C224" s="34"/>
      <c r="D224" s="34"/>
      <c r="E224" s="34"/>
      <c r="F224" s="34"/>
      <c r="G224" s="34"/>
      <c r="H224" s="37" t="s">
        <v>488</v>
      </c>
      <c r="I224" s="38"/>
      <c r="J224" s="38"/>
      <c r="K224" s="38"/>
      <c r="L224" s="38"/>
      <c r="M224" s="38"/>
      <c r="N224" s="38"/>
      <c r="O224" s="38"/>
      <c r="P224" s="38"/>
      <c r="Q224" s="38"/>
      <c r="R224" s="177">
        <f t="shared" si="32"/>
        <v>0</v>
      </c>
      <c r="S224" s="202">
        <f t="shared" si="34"/>
        <v>0</v>
      </c>
      <c r="T224" s="202">
        <f t="shared" si="35"/>
        <v>0</v>
      </c>
      <c r="U224" s="18"/>
      <c r="V224" s="206" t="str">
        <f t="shared" si="31"/>
        <v>5-11</v>
      </c>
      <c r="W224" s="215" t="str">
        <f t="shared" si="33"/>
        <v/>
      </c>
      <c r="X224" s="110"/>
      <c r="Y224" s="109"/>
      <c r="Z224" s="207"/>
      <c r="AA224" s="207"/>
      <c r="AB224" s="207"/>
      <c r="AC224" s="207"/>
      <c r="AD224" s="207"/>
      <c r="AE224" s="207"/>
      <c r="AF224" s="207"/>
      <c r="AG224" s="207"/>
      <c r="AH224" s="207"/>
      <c r="AI224" s="207"/>
      <c r="AJ224" s="207"/>
      <c r="AK224" s="207"/>
      <c r="AL224" s="207"/>
      <c r="AM224" s="207"/>
      <c r="AN224" s="207"/>
      <c r="AO224" s="207"/>
      <c r="AP224" s="207"/>
      <c r="AQ224" s="207"/>
      <c r="AR224" s="207"/>
      <c r="AS224" s="207"/>
      <c r="AT224" s="207"/>
      <c r="AU224" s="207"/>
      <c r="AV224" s="207"/>
      <c r="AW224" s="207"/>
      <c r="AX224" s="207"/>
      <c r="AY224" s="207"/>
      <c r="AZ224" s="207"/>
      <c r="BA224" s="207"/>
      <c r="BB224" s="207"/>
      <c r="BC224" s="207"/>
      <c r="BD224" s="207"/>
      <c r="BE224" s="207"/>
      <c r="BF224" s="207"/>
      <c r="BG224" s="207"/>
      <c r="BH224" s="207"/>
      <c r="BI224" s="207"/>
      <c r="BJ224" s="207"/>
      <c r="BK224" s="207"/>
      <c r="BL224" s="207"/>
      <c r="BM224" s="207"/>
      <c r="BN224" s="207"/>
      <c r="BO224" s="207"/>
      <c r="BP224" s="207"/>
      <c r="BQ224" s="207"/>
      <c r="BR224" s="207"/>
      <c r="BS224" s="207"/>
      <c r="BT224" s="207"/>
      <c r="BU224" s="207"/>
      <c r="BV224" s="207"/>
      <c r="BW224" s="207"/>
      <c r="BX224" s="207"/>
      <c r="BY224" s="207"/>
      <c r="BZ224" s="207"/>
      <c r="CA224" s="207"/>
      <c r="CB224" s="207"/>
      <c r="CC224" s="207"/>
      <c r="CD224" s="207"/>
      <c r="CE224" s="207"/>
      <c r="CF224" s="207"/>
      <c r="CG224" s="207"/>
      <c r="CH224" s="207"/>
      <c r="CI224" s="207"/>
      <c r="CJ224" s="207"/>
      <c r="CK224" s="207"/>
      <c r="CL224" s="207"/>
      <c r="CM224" s="207"/>
      <c r="CN224" s="207"/>
      <c r="CO224" s="207"/>
      <c r="CP224" s="207"/>
      <c r="CQ224" s="207"/>
      <c r="CR224" s="207"/>
      <c r="CS224" s="207"/>
      <c r="CT224" s="207"/>
      <c r="CU224" s="207"/>
      <c r="CV224" s="207"/>
      <c r="CW224" s="207"/>
      <c r="CX224" s="207"/>
      <c r="CY224" s="207"/>
      <c r="CZ224" s="207"/>
      <c r="DA224" s="207"/>
      <c r="DB224" s="207"/>
      <c r="DC224" s="207"/>
      <c r="DD224" s="207"/>
      <c r="DE224" s="207"/>
      <c r="DF224" s="207"/>
      <c r="DG224" s="207"/>
      <c r="DH224" s="207"/>
      <c r="DI224" s="207"/>
      <c r="DJ224" s="207"/>
      <c r="DK224" s="207"/>
      <c r="DL224" s="207"/>
      <c r="DM224" s="207"/>
      <c r="DN224" s="207"/>
      <c r="DO224" s="207"/>
      <c r="DP224" s="207"/>
      <c r="DQ224" s="207"/>
      <c r="DR224" s="207"/>
      <c r="DS224" s="207"/>
      <c r="DT224" s="207"/>
      <c r="DU224" s="207"/>
      <c r="DV224" s="207"/>
      <c r="DW224" s="207"/>
      <c r="DX224" s="207"/>
      <c r="DY224" s="207"/>
      <c r="DZ224" s="207"/>
      <c r="EA224" s="207"/>
      <c r="EB224" s="207"/>
      <c r="EC224" s="207"/>
      <c r="ED224" s="207"/>
      <c r="EE224" s="207"/>
      <c r="EF224" s="207"/>
      <c r="EG224" s="207"/>
      <c r="EH224" s="207"/>
      <c r="EI224" s="207"/>
      <c r="EJ224" s="207"/>
      <c r="EK224" s="207"/>
      <c r="EL224" s="207"/>
      <c r="EM224" s="207"/>
      <c r="EN224" s="207"/>
      <c r="EO224" s="207"/>
      <c r="EP224" s="207"/>
      <c r="EQ224" s="207"/>
      <c r="ER224" s="207"/>
      <c r="ES224" s="207"/>
      <c r="ET224" s="207"/>
      <c r="EU224" s="207"/>
      <c r="EV224" s="207"/>
      <c r="EW224" s="207"/>
      <c r="EX224" s="207"/>
      <c r="EY224" s="207"/>
      <c r="EZ224" s="207"/>
      <c r="FA224" s="207"/>
      <c r="FB224" s="207"/>
      <c r="FC224" s="207"/>
      <c r="FD224" s="207"/>
      <c r="FE224" s="207"/>
      <c r="FF224" s="207"/>
      <c r="FG224" s="207"/>
      <c r="FH224" s="207"/>
      <c r="FI224" s="207"/>
      <c r="FJ224" s="207"/>
      <c r="FK224" s="207"/>
      <c r="FL224" s="207"/>
      <c r="FM224" s="207"/>
      <c r="FN224" s="207"/>
      <c r="FO224" s="207"/>
      <c r="FP224" s="207"/>
      <c r="FQ224" s="207"/>
      <c r="FR224" s="207"/>
      <c r="FS224" s="208"/>
      <c r="FT224" s="156"/>
    </row>
    <row r="225" spans="1:176" ht="15" outlineLevel="1">
      <c r="A225" s="206" t="s">
        <v>1491</v>
      </c>
      <c r="B225" s="200" t="s">
        <v>151</v>
      </c>
      <c r="C225" s="34"/>
      <c r="D225" s="34"/>
      <c r="E225" s="34"/>
      <c r="F225" s="34"/>
      <c r="G225" s="34"/>
      <c r="H225" s="37" t="s">
        <v>488</v>
      </c>
      <c r="I225" s="38"/>
      <c r="J225" s="38"/>
      <c r="K225" s="38"/>
      <c r="L225" s="38"/>
      <c r="M225" s="38"/>
      <c r="N225" s="38"/>
      <c r="O225" s="38"/>
      <c r="P225" s="38"/>
      <c r="Q225" s="38"/>
      <c r="R225" s="177">
        <f t="shared" si="32"/>
        <v>0</v>
      </c>
      <c r="S225" s="202">
        <f t="shared" si="34"/>
        <v>0</v>
      </c>
      <c r="T225" s="202">
        <f t="shared" si="35"/>
        <v>0</v>
      </c>
      <c r="U225" s="18"/>
      <c r="V225" s="206" t="str">
        <f t="shared" si="31"/>
        <v>5-12</v>
      </c>
      <c r="W225" s="215" t="str">
        <f t="shared" si="33"/>
        <v/>
      </c>
      <c r="X225" s="110"/>
      <c r="Y225" s="109"/>
      <c r="Z225" s="207"/>
      <c r="AA225" s="207"/>
      <c r="AB225" s="207"/>
      <c r="AC225" s="207"/>
      <c r="AD225" s="207"/>
      <c r="AE225" s="207"/>
      <c r="AF225" s="207"/>
      <c r="AG225" s="207"/>
      <c r="AH225" s="207"/>
      <c r="AI225" s="207"/>
      <c r="AJ225" s="207"/>
      <c r="AK225" s="207"/>
      <c r="AL225" s="207"/>
      <c r="AM225" s="207"/>
      <c r="AN225" s="207"/>
      <c r="AO225" s="207"/>
      <c r="AP225" s="207"/>
      <c r="AQ225" s="207"/>
      <c r="AR225" s="207"/>
      <c r="AS225" s="207"/>
      <c r="AT225" s="207"/>
      <c r="AU225" s="207"/>
      <c r="AV225" s="207"/>
      <c r="AW225" s="207"/>
      <c r="AX225" s="207"/>
      <c r="AY225" s="207"/>
      <c r="AZ225" s="207"/>
      <c r="BA225" s="207"/>
      <c r="BB225" s="207"/>
      <c r="BC225" s="207"/>
      <c r="BD225" s="207"/>
      <c r="BE225" s="207"/>
      <c r="BF225" s="207"/>
      <c r="BG225" s="207"/>
      <c r="BH225" s="207"/>
      <c r="BI225" s="207"/>
      <c r="BJ225" s="207"/>
      <c r="BK225" s="207"/>
      <c r="BL225" s="207"/>
      <c r="BM225" s="207"/>
      <c r="BN225" s="207"/>
      <c r="BO225" s="207"/>
      <c r="BP225" s="207"/>
      <c r="BQ225" s="207"/>
      <c r="BR225" s="207"/>
      <c r="BS225" s="207"/>
      <c r="BT225" s="207"/>
      <c r="BU225" s="207"/>
      <c r="BV225" s="207"/>
      <c r="BW225" s="207"/>
      <c r="BX225" s="207"/>
      <c r="BY225" s="207"/>
      <c r="BZ225" s="207"/>
      <c r="CA225" s="207"/>
      <c r="CB225" s="207"/>
      <c r="CC225" s="207"/>
      <c r="CD225" s="207"/>
      <c r="CE225" s="207"/>
      <c r="CF225" s="207"/>
      <c r="CG225" s="207"/>
      <c r="CH225" s="207"/>
      <c r="CI225" s="207"/>
      <c r="CJ225" s="207"/>
      <c r="CK225" s="207"/>
      <c r="CL225" s="207"/>
      <c r="CM225" s="207"/>
      <c r="CN225" s="207"/>
      <c r="CO225" s="207"/>
      <c r="CP225" s="207"/>
      <c r="CQ225" s="207"/>
      <c r="CR225" s="207"/>
      <c r="CS225" s="207"/>
      <c r="CT225" s="207"/>
      <c r="CU225" s="207"/>
      <c r="CV225" s="207"/>
      <c r="CW225" s="207"/>
      <c r="CX225" s="207"/>
      <c r="CY225" s="207"/>
      <c r="CZ225" s="207"/>
      <c r="DA225" s="207"/>
      <c r="DB225" s="207"/>
      <c r="DC225" s="207"/>
      <c r="DD225" s="207"/>
      <c r="DE225" s="207"/>
      <c r="DF225" s="207"/>
      <c r="DG225" s="207"/>
      <c r="DH225" s="207"/>
      <c r="DI225" s="207"/>
      <c r="DJ225" s="207"/>
      <c r="DK225" s="207"/>
      <c r="DL225" s="207"/>
      <c r="DM225" s="207"/>
      <c r="DN225" s="207"/>
      <c r="DO225" s="207"/>
      <c r="DP225" s="207"/>
      <c r="DQ225" s="207"/>
      <c r="DR225" s="207"/>
      <c r="DS225" s="207"/>
      <c r="DT225" s="207"/>
      <c r="DU225" s="207"/>
      <c r="DV225" s="207"/>
      <c r="DW225" s="207"/>
      <c r="DX225" s="207"/>
      <c r="DY225" s="207"/>
      <c r="DZ225" s="207"/>
      <c r="EA225" s="207"/>
      <c r="EB225" s="207"/>
      <c r="EC225" s="207"/>
      <c r="ED225" s="207"/>
      <c r="EE225" s="207"/>
      <c r="EF225" s="207"/>
      <c r="EG225" s="207"/>
      <c r="EH225" s="207"/>
      <c r="EI225" s="207"/>
      <c r="EJ225" s="207"/>
      <c r="EK225" s="207"/>
      <c r="EL225" s="207"/>
      <c r="EM225" s="207"/>
      <c r="EN225" s="207"/>
      <c r="EO225" s="207"/>
      <c r="EP225" s="207"/>
      <c r="EQ225" s="207"/>
      <c r="ER225" s="207"/>
      <c r="ES225" s="207"/>
      <c r="ET225" s="207"/>
      <c r="EU225" s="207"/>
      <c r="EV225" s="207"/>
      <c r="EW225" s="207"/>
      <c r="EX225" s="207"/>
      <c r="EY225" s="207"/>
      <c r="EZ225" s="207"/>
      <c r="FA225" s="207"/>
      <c r="FB225" s="207"/>
      <c r="FC225" s="207"/>
      <c r="FD225" s="207"/>
      <c r="FE225" s="207"/>
      <c r="FF225" s="207"/>
      <c r="FG225" s="207"/>
      <c r="FH225" s="207"/>
      <c r="FI225" s="207"/>
      <c r="FJ225" s="207"/>
      <c r="FK225" s="207"/>
      <c r="FL225" s="207"/>
      <c r="FM225" s="207"/>
      <c r="FN225" s="207"/>
      <c r="FO225" s="207"/>
      <c r="FP225" s="207"/>
      <c r="FQ225" s="207"/>
      <c r="FR225" s="207"/>
      <c r="FS225" s="208"/>
      <c r="FT225" s="156"/>
    </row>
    <row r="226" spans="1:176" ht="15" outlineLevel="1">
      <c r="A226" s="206" t="s">
        <v>1492</v>
      </c>
      <c r="B226" s="200" t="s">
        <v>151</v>
      </c>
      <c r="C226" s="34"/>
      <c r="D226" s="34"/>
      <c r="E226" s="34"/>
      <c r="F226" s="34"/>
      <c r="G226" s="34"/>
      <c r="H226" s="37" t="s">
        <v>488</v>
      </c>
      <c r="I226" s="38"/>
      <c r="J226" s="38"/>
      <c r="K226" s="38"/>
      <c r="L226" s="38"/>
      <c r="M226" s="38"/>
      <c r="N226" s="38"/>
      <c r="O226" s="38"/>
      <c r="P226" s="38"/>
      <c r="Q226" s="38"/>
      <c r="R226" s="177">
        <f t="shared" si="32"/>
        <v>0</v>
      </c>
      <c r="S226" s="202">
        <f t="shared" si="34"/>
        <v>0</v>
      </c>
      <c r="T226" s="202">
        <f t="shared" si="35"/>
        <v>0</v>
      </c>
      <c r="U226" s="18"/>
      <c r="V226" s="206" t="str">
        <f t="shared" si="31"/>
        <v>5-13</v>
      </c>
      <c r="W226" s="215" t="str">
        <f t="shared" si="33"/>
        <v/>
      </c>
      <c r="X226" s="110"/>
      <c r="Y226" s="109"/>
      <c r="Z226" s="207"/>
      <c r="AA226" s="207"/>
      <c r="AB226" s="207"/>
      <c r="AC226" s="207"/>
      <c r="AD226" s="207"/>
      <c r="AE226" s="207"/>
      <c r="AF226" s="207"/>
      <c r="AG226" s="207"/>
      <c r="AH226" s="207"/>
      <c r="AI226" s="207"/>
      <c r="AJ226" s="207"/>
      <c r="AK226" s="207"/>
      <c r="AL226" s="207"/>
      <c r="AM226" s="207"/>
      <c r="AN226" s="207"/>
      <c r="AO226" s="207"/>
      <c r="AP226" s="207"/>
      <c r="AQ226" s="207"/>
      <c r="AR226" s="207"/>
      <c r="AS226" s="207"/>
      <c r="AT226" s="207"/>
      <c r="AU226" s="207"/>
      <c r="AV226" s="207"/>
      <c r="AW226" s="207"/>
      <c r="AX226" s="207"/>
      <c r="AY226" s="207"/>
      <c r="AZ226" s="207"/>
      <c r="BA226" s="207"/>
      <c r="BB226" s="207"/>
      <c r="BC226" s="207"/>
      <c r="BD226" s="207"/>
      <c r="BE226" s="207"/>
      <c r="BF226" s="207"/>
      <c r="BG226" s="207"/>
      <c r="BH226" s="207"/>
      <c r="BI226" s="207"/>
      <c r="BJ226" s="207"/>
      <c r="BK226" s="207"/>
      <c r="BL226" s="207"/>
      <c r="BM226" s="207"/>
      <c r="BN226" s="207"/>
      <c r="BO226" s="207"/>
      <c r="BP226" s="207"/>
      <c r="BQ226" s="207"/>
      <c r="BR226" s="207"/>
      <c r="BS226" s="207"/>
      <c r="BT226" s="207"/>
      <c r="BU226" s="207"/>
      <c r="BV226" s="207"/>
      <c r="BW226" s="207"/>
      <c r="BX226" s="207"/>
      <c r="BY226" s="207"/>
      <c r="BZ226" s="207"/>
      <c r="CA226" s="207"/>
      <c r="CB226" s="207"/>
      <c r="CC226" s="207"/>
      <c r="CD226" s="207"/>
      <c r="CE226" s="207"/>
      <c r="CF226" s="207"/>
      <c r="CG226" s="207"/>
      <c r="CH226" s="207"/>
      <c r="CI226" s="207"/>
      <c r="CJ226" s="207"/>
      <c r="CK226" s="207"/>
      <c r="CL226" s="207"/>
      <c r="CM226" s="207"/>
      <c r="CN226" s="207"/>
      <c r="CO226" s="207"/>
      <c r="CP226" s="207"/>
      <c r="CQ226" s="207"/>
      <c r="CR226" s="207"/>
      <c r="CS226" s="207"/>
      <c r="CT226" s="207"/>
      <c r="CU226" s="207"/>
      <c r="CV226" s="207"/>
      <c r="CW226" s="207"/>
      <c r="CX226" s="207"/>
      <c r="CY226" s="207"/>
      <c r="CZ226" s="207"/>
      <c r="DA226" s="207"/>
      <c r="DB226" s="207"/>
      <c r="DC226" s="207"/>
      <c r="DD226" s="207"/>
      <c r="DE226" s="207"/>
      <c r="DF226" s="207"/>
      <c r="DG226" s="207"/>
      <c r="DH226" s="207"/>
      <c r="DI226" s="207"/>
      <c r="DJ226" s="207"/>
      <c r="DK226" s="207"/>
      <c r="DL226" s="207"/>
      <c r="DM226" s="207"/>
      <c r="DN226" s="207"/>
      <c r="DO226" s="207"/>
      <c r="DP226" s="207"/>
      <c r="DQ226" s="207"/>
      <c r="DR226" s="207"/>
      <c r="DS226" s="207"/>
      <c r="DT226" s="207"/>
      <c r="DU226" s="207"/>
      <c r="DV226" s="207"/>
      <c r="DW226" s="207"/>
      <c r="DX226" s="207"/>
      <c r="DY226" s="207"/>
      <c r="DZ226" s="207"/>
      <c r="EA226" s="207"/>
      <c r="EB226" s="207"/>
      <c r="EC226" s="207"/>
      <c r="ED226" s="207"/>
      <c r="EE226" s="207"/>
      <c r="EF226" s="207"/>
      <c r="EG226" s="207"/>
      <c r="EH226" s="207"/>
      <c r="EI226" s="207"/>
      <c r="EJ226" s="207"/>
      <c r="EK226" s="207"/>
      <c r="EL226" s="207"/>
      <c r="EM226" s="207"/>
      <c r="EN226" s="207"/>
      <c r="EO226" s="207"/>
      <c r="EP226" s="207"/>
      <c r="EQ226" s="207"/>
      <c r="ER226" s="207"/>
      <c r="ES226" s="207"/>
      <c r="ET226" s="207"/>
      <c r="EU226" s="207"/>
      <c r="EV226" s="207"/>
      <c r="EW226" s="207"/>
      <c r="EX226" s="207"/>
      <c r="EY226" s="207"/>
      <c r="EZ226" s="207"/>
      <c r="FA226" s="207"/>
      <c r="FB226" s="207"/>
      <c r="FC226" s="207"/>
      <c r="FD226" s="207"/>
      <c r="FE226" s="207"/>
      <c r="FF226" s="207"/>
      <c r="FG226" s="207"/>
      <c r="FH226" s="207"/>
      <c r="FI226" s="207"/>
      <c r="FJ226" s="207"/>
      <c r="FK226" s="207"/>
      <c r="FL226" s="207"/>
      <c r="FM226" s="207"/>
      <c r="FN226" s="207"/>
      <c r="FO226" s="207"/>
      <c r="FP226" s="207"/>
      <c r="FQ226" s="207"/>
      <c r="FR226" s="207"/>
      <c r="FS226" s="208"/>
      <c r="FT226" s="156"/>
    </row>
    <row r="227" spans="1:176" ht="15" outlineLevel="1">
      <c r="A227" s="206" t="s">
        <v>1493</v>
      </c>
      <c r="B227" s="200" t="s">
        <v>151</v>
      </c>
      <c r="C227" s="34"/>
      <c r="D227" s="34"/>
      <c r="E227" s="34"/>
      <c r="F227" s="34"/>
      <c r="G227" s="34"/>
      <c r="H227" s="37" t="s">
        <v>488</v>
      </c>
      <c r="I227" s="38"/>
      <c r="J227" s="38"/>
      <c r="K227" s="38"/>
      <c r="L227" s="38"/>
      <c r="M227" s="38"/>
      <c r="N227" s="38"/>
      <c r="O227" s="38"/>
      <c r="P227" s="38"/>
      <c r="Q227" s="38"/>
      <c r="R227" s="177">
        <f t="shared" si="32"/>
        <v>0</v>
      </c>
      <c r="S227" s="202">
        <f t="shared" si="34"/>
        <v>0</v>
      </c>
      <c r="T227" s="202">
        <f t="shared" si="35"/>
        <v>0</v>
      </c>
      <c r="U227" s="18"/>
      <c r="V227" s="206" t="str">
        <f t="shared" si="31"/>
        <v>5-14</v>
      </c>
      <c r="W227" s="215" t="str">
        <f t="shared" si="33"/>
        <v/>
      </c>
      <c r="X227" s="110"/>
      <c r="Y227" s="109"/>
      <c r="Z227" s="207"/>
      <c r="AA227" s="207"/>
      <c r="AB227" s="207"/>
      <c r="AC227" s="207"/>
      <c r="AD227" s="207"/>
      <c r="AE227" s="207"/>
      <c r="AF227" s="207"/>
      <c r="AG227" s="207"/>
      <c r="AH227" s="207"/>
      <c r="AI227" s="207"/>
      <c r="AJ227" s="207"/>
      <c r="AK227" s="207"/>
      <c r="AL227" s="207"/>
      <c r="AM227" s="207"/>
      <c r="AN227" s="207"/>
      <c r="AO227" s="207"/>
      <c r="AP227" s="207"/>
      <c r="AQ227" s="207"/>
      <c r="AR227" s="207"/>
      <c r="AS227" s="207"/>
      <c r="AT227" s="207"/>
      <c r="AU227" s="207"/>
      <c r="AV227" s="207"/>
      <c r="AW227" s="207"/>
      <c r="AX227" s="207"/>
      <c r="AY227" s="207"/>
      <c r="AZ227" s="207"/>
      <c r="BA227" s="207"/>
      <c r="BB227" s="207"/>
      <c r="BC227" s="207"/>
      <c r="BD227" s="207"/>
      <c r="BE227" s="207"/>
      <c r="BF227" s="207"/>
      <c r="BG227" s="207"/>
      <c r="BH227" s="207"/>
      <c r="BI227" s="207"/>
      <c r="BJ227" s="207"/>
      <c r="BK227" s="207"/>
      <c r="BL227" s="207"/>
      <c r="BM227" s="207"/>
      <c r="BN227" s="207"/>
      <c r="BO227" s="207"/>
      <c r="BP227" s="207"/>
      <c r="BQ227" s="207"/>
      <c r="BR227" s="207"/>
      <c r="BS227" s="207"/>
      <c r="BT227" s="207"/>
      <c r="BU227" s="207"/>
      <c r="BV227" s="207"/>
      <c r="BW227" s="207"/>
      <c r="BX227" s="207"/>
      <c r="BY227" s="207"/>
      <c r="BZ227" s="207"/>
      <c r="CA227" s="207"/>
      <c r="CB227" s="207"/>
      <c r="CC227" s="207"/>
      <c r="CD227" s="207"/>
      <c r="CE227" s="207"/>
      <c r="CF227" s="207"/>
      <c r="CG227" s="207"/>
      <c r="CH227" s="207"/>
      <c r="CI227" s="207"/>
      <c r="CJ227" s="207"/>
      <c r="CK227" s="207"/>
      <c r="CL227" s="207"/>
      <c r="CM227" s="207"/>
      <c r="CN227" s="207"/>
      <c r="CO227" s="207"/>
      <c r="CP227" s="207"/>
      <c r="CQ227" s="207"/>
      <c r="CR227" s="207"/>
      <c r="CS227" s="207"/>
      <c r="CT227" s="207"/>
      <c r="CU227" s="207"/>
      <c r="CV227" s="207"/>
      <c r="CW227" s="207"/>
      <c r="CX227" s="207"/>
      <c r="CY227" s="207"/>
      <c r="CZ227" s="207"/>
      <c r="DA227" s="207"/>
      <c r="DB227" s="207"/>
      <c r="DC227" s="207"/>
      <c r="DD227" s="207"/>
      <c r="DE227" s="207"/>
      <c r="DF227" s="207"/>
      <c r="DG227" s="207"/>
      <c r="DH227" s="207"/>
      <c r="DI227" s="207"/>
      <c r="DJ227" s="207"/>
      <c r="DK227" s="207"/>
      <c r="DL227" s="207"/>
      <c r="DM227" s="207"/>
      <c r="DN227" s="207"/>
      <c r="DO227" s="207"/>
      <c r="DP227" s="207"/>
      <c r="DQ227" s="207"/>
      <c r="DR227" s="207"/>
      <c r="DS227" s="207"/>
      <c r="DT227" s="207"/>
      <c r="DU227" s="207"/>
      <c r="DV227" s="207"/>
      <c r="DW227" s="207"/>
      <c r="DX227" s="207"/>
      <c r="DY227" s="207"/>
      <c r="DZ227" s="207"/>
      <c r="EA227" s="207"/>
      <c r="EB227" s="207"/>
      <c r="EC227" s="207"/>
      <c r="ED227" s="207"/>
      <c r="EE227" s="207"/>
      <c r="EF227" s="207"/>
      <c r="EG227" s="207"/>
      <c r="EH227" s="207"/>
      <c r="EI227" s="207"/>
      <c r="EJ227" s="207"/>
      <c r="EK227" s="207"/>
      <c r="EL227" s="207"/>
      <c r="EM227" s="207"/>
      <c r="EN227" s="207"/>
      <c r="EO227" s="207"/>
      <c r="EP227" s="207"/>
      <c r="EQ227" s="207"/>
      <c r="ER227" s="207"/>
      <c r="ES227" s="207"/>
      <c r="ET227" s="207"/>
      <c r="EU227" s="207"/>
      <c r="EV227" s="207"/>
      <c r="EW227" s="207"/>
      <c r="EX227" s="207"/>
      <c r="EY227" s="207"/>
      <c r="EZ227" s="207"/>
      <c r="FA227" s="207"/>
      <c r="FB227" s="207"/>
      <c r="FC227" s="207"/>
      <c r="FD227" s="207"/>
      <c r="FE227" s="207"/>
      <c r="FF227" s="207"/>
      <c r="FG227" s="207"/>
      <c r="FH227" s="207"/>
      <c r="FI227" s="207"/>
      <c r="FJ227" s="207"/>
      <c r="FK227" s="207"/>
      <c r="FL227" s="207"/>
      <c r="FM227" s="207"/>
      <c r="FN227" s="207"/>
      <c r="FO227" s="207"/>
      <c r="FP227" s="207"/>
      <c r="FQ227" s="207"/>
      <c r="FR227" s="207"/>
      <c r="FS227" s="208"/>
      <c r="FT227" s="156"/>
    </row>
    <row r="228" spans="1:176" ht="15" outlineLevel="1">
      <c r="A228" s="206" t="s">
        <v>1494</v>
      </c>
      <c r="B228" s="200" t="s">
        <v>151</v>
      </c>
      <c r="C228" s="34"/>
      <c r="D228" s="34"/>
      <c r="E228" s="34"/>
      <c r="F228" s="34"/>
      <c r="G228" s="34"/>
      <c r="H228" s="37" t="s">
        <v>488</v>
      </c>
      <c r="I228" s="38"/>
      <c r="J228" s="38"/>
      <c r="K228" s="38"/>
      <c r="L228" s="38"/>
      <c r="M228" s="38"/>
      <c r="N228" s="38"/>
      <c r="O228" s="38"/>
      <c r="P228" s="38"/>
      <c r="Q228" s="38"/>
      <c r="R228" s="177">
        <f t="shared" si="32"/>
        <v>0</v>
      </c>
      <c r="S228" s="202">
        <f t="shared" si="34"/>
        <v>0</v>
      </c>
      <c r="T228" s="202">
        <f t="shared" si="35"/>
        <v>0</v>
      </c>
      <c r="U228" s="18"/>
      <c r="V228" s="206" t="str">
        <f t="shared" si="31"/>
        <v>5-15</v>
      </c>
      <c r="W228" s="215" t="str">
        <f t="shared" si="33"/>
        <v/>
      </c>
      <c r="X228" s="110"/>
      <c r="Y228" s="109"/>
      <c r="Z228" s="207"/>
      <c r="AA228" s="207"/>
      <c r="AB228" s="207"/>
      <c r="AC228" s="207"/>
      <c r="AD228" s="207"/>
      <c r="AE228" s="207"/>
      <c r="AF228" s="207"/>
      <c r="AG228" s="207"/>
      <c r="AH228" s="207"/>
      <c r="AI228" s="207"/>
      <c r="AJ228" s="207"/>
      <c r="AK228" s="207"/>
      <c r="AL228" s="207"/>
      <c r="AM228" s="207"/>
      <c r="AN228" s="207"/>
      <c r="AO228" s="207"/>
      <c r="AP228" s="207"/>
      <c r="AQ228" s="207"/>
      <c r="AR228" s="207"/>
      <c r="AS228" s="207"/>
      <c r="AT228" s="207"/>
      <c r="AU228" s="207"/>
      <c r="AV228" s="207"/>
      <c r="AW228" s="207"/>
      <c r="AX228" s="207"/>
      <c r="AY228" s="207"/>
      <c r="AZ228" s="207"/>
      <c r="BA228" s="207"/>
      <c r="BB228" s="207"/>
      <c r="BC228" s="207"/>
      <c r="BD228" s="207"/>
      <c r="BE228" s="207"/>
      <c r="BF228" s="207"/>
      <c r="BG228" s="207"/>
      <c r="BH228" s="207"/>
      <c r="BI228" s="207"/>
      <c r="BJ228" s="207"/>
      <c r="BK228" s="207"/>
      <c r="BL228" s="207"/>
      <c r="BM228" s="207"/>
      <c r="BN228" s="207"/>
      <c r="BO228" s="207"/>
      <c r="BP228" s="207"/>
      <c r="BQ228" s="207"/>
      <c r="BR228" s="207"/>
      <c r="BS228" s="207"/>
      <c r="BT228" s="207"/>
      <c r="BU228" s="207"/>
      <c r="BV228" s="207"/>
      <c r="BW228" s="207"/>
      <c r="BX228" s="207"/>
      <c r="BY228" s="207"/>
      <c r="BZ228" s="207"/>
      <c r="CA228" s="207"/>
      <c r="CB228" s="207"/>
      <c r="CC228" s="207"/>
      <c r="CD228" s="207"/>
      <c r="CE228" s="207"/>
      <c r="CF228" s="207"/>
      <c r="CG228" s="207"/>
      <c r="CH228" s="207"/>
      <c r="CI228" s="207"/>
      <c r="CJ228" s="207"/>
      <c r="CK228" s="207"/>
      <c r="CL228" s="207"/>
      <c r="CM228" s="207"/>
      <c r="CN228" s="207"/>
      <c r="CO228" s="207"/>
      <c r="CP228" s="207"/>
      <c r="CQ228" s="207"/>
      <c r="CR228" s="207"/>
      <c r="CS228" s="207"/>
      <c r="CT228" s="207"/>
      <c r="CU228" s="207"/>
      <c r="CV228" s="207"/>
      <c r="CW228" s="207"/>
      <c r="CX228" s="207"/>
      <c r="CY228" s="207"/>
      <c r="CZ228" s="207"/>
      <c r="DA228" s="207"/>
      <c r="DB228" s="207"/>
      <c r="DC228" s="207"/>
      <c r="DD228" s="207"/>
      <c r="DE228" s="207"/>
      <c r="DF228" s="207"/>
      <c r="DG228" s="207"/>
      <c r="DH228" s="207"/>
      <c r="DI228" s="207"/>
      <c r="DJ228" s="207"/>
      <c r="DK228" s="207"/>
      <c r="DL228" s="207"/>
      <c r="DM228" s="207"/>
      <c r="DN228" s="207"/>
      <c r="DO228" s="207"/>
      <c r="DP228" s="207"/>
      <c r="DQ228" s="207"/>
      <c r="DR228" s="207"/>
      <c r="DS228" s="207"/>
      <c r="DT228" s="207"/>
      <c r="DU228" s="207"/>
      <c r="DV228" s="207"/>
      <c r="DW228" s="207"/>
      <c r="DX228" s="207"/>
      <c r="DY228" s="207"/>
      <c r="DZ228" s="207"/>
      <c r="EA228" s="207"/>
      <c r="EB228" s="207"/>
      <c r="EC228" s="207"/>
      <c r="ED228" s="207"/>
      <c r="EE228" s="207"/>
      <c r="EF228" s="207"/>
      <c r="EG228" s="207"/>
      <c r="EH228" s="207"/>
      <c r="EI228" s="207"/>
      <c r="EJ228" s="207"/>
      <c r="EK228" s="207"/>
      <c r="EL228" s="207"/>
      <c r="EM228" s="207"/>
      <c r="EN228" s="207"/>
      <c r="EO228" s="207"/>
      <c r="EP228" s="207"/>
      <c r="EQ228" s="207"/>
      <c r="ER228" s="207"/>
      <c r="ES228" s="207"/>
      <c r="ET228" s="207"/>
      <c r="EU228" s="207"/>
      <c r="EV228" s="207"/>
      <c r="EW228" s="207"/>
      <c r="EX228" s="207"/>
      <c r="EY228" s="207"/>
      <c r="EZ228" s="207"/>
      <c r="FA228" s="207"/>
      <c r="FB228" s="207"/>
      <c r="FC228" s="207"/>
      <c r="FD228" s="207"/>
      <c r="FE228" s="207"/>
      <c r="FF228" s="207"/>
      <c r="FG228" s="207"/>
      <c r="FH228" s="207"/>
      <c r="FI228" s="207"/>
      <c r="FJ228" s="207"/>
      <c r="FK228" s="207"/>
      <c r="FL228" s="207"/>
      <c r="FM228" s="207"/>
      <c r="FN228" s="207"/>
      <c r="FO228" s="207"/>
      <c r="FP228" s="207"/>
      <c r="FQ228" s="207"/>
      <c r="FR228" s="207"/>
      <c r="FS228" s="208"/>
      <c r="FT228" s="156"/>
    </row>
    <row r="229" spans="1:176" ht="15" outlineLevel="1">
      <c r="A229" s="206" t="s">
        <v>1495</v>
      </c>
      <c r="B229" s="200" t="s">
        <v>151</v>
      </c>
      <c r="C229" s="34"/>
      <c r="D229" s="34"/>
      <c r="E229" s="34"/>
      <c r="F229" s="34"/>
      <c r="G229" s="34"/>
      <c r="H229" s="37" t="s">
        <v>488</v>
      </c>
      <c r="I229" s="38"/>
      <c r="J229" s="38"/>
      <c r="K229" s="38"/>
      <c r="L229" s="38"/>
      <c r="M229" s="38"/>
      <c r="N229" s="38"/>
      <c r="O229" s="38"/>
      <c r="P229" s="38"/>
      <c r="Q229" s="38"/>
      <c r="R229" s="177">
        <f t="shared" si="32"/>
        <v>0</v>
      </c>
      <c r="S229" s="202">
        <f t="shared" si="34"/>
        <v>0</v>
      </c>
      <c r="T229" s="202">
        <f t="shared" si="35"/>
        <v>0</v>
      </c>
      <c r="U229" s="18"/>
      <c r="V229" s="206" t="str">
        <f t="shared" si="31"/>
        <v>5-16</v>
      </c>
      <c r="W229" s="215" t="str">
        <f t="shared" si="33"/>
        <v/>
      </c>
      <c r="X229" s="110"/>
      <c r="Y229" s="109"/>
      <c r="Z229" s="207"/>
      <c r="AA229" s="207"/>
      <c r="AB229" s="207"/>
      <c r="AC229" s="207"/>
      <c r="AD229" s="207"/>
      <c r="AE229" s="207"/>
      <c r="AF229" s="207"/>
      <c r="AG229" s="207"/>
      <c r="AH229" s="207"/>
      <c r="AI229" s="207"/>
      <c r="AJ229" s="207"/>
      <c r="AK229" s="207"/>
      <c r="AL229" s="207"/>
      <c r="AM229" s="207"/>
      <c r="AN229" s="207"/>
      <c r="AO229" s="207"/>
      <c r="AP229" s="207"/>
      <c r="AQ229" s="207"/>
      <c r="AR229" s="207"/>
      <c r="AS229" s="207"/>
      <c r="AT229" s="207"/>
      <c r="AU229" s="207"/>
      <c r="AV229" s="207"/>
      <c r="AW229" s="207"/>
      <c r="AX229" s="207"/>
      <c r="AY229" s="207"/>
      <c r="AZ229" s="207"/>
      <c r="BA229" s="207"/>
      <c r="BB229" s="207"/>
      <c r="BC229" s="207"/>
      <c r="BD229" s="207"/>
      <c r="BE229" s="207"/>
      <c r="BF229" s="207"/>
      <c r="BG229" s="207"/>
      <c r="BH229" s="207"/>
      <c r="BI229" s="207"/>
      <c r="BJ229" s="207"/>
      <c r="BK229" s="207"/>
      <c r="BL229" s="207"/>
      <c r="BM229" s="207"/>
      <c r="BN229" s="207"/>
      <c r="BO229" s="207"/>
      <c r="BP229" s="207"/>
      <c r="BQ229" s="207"/>
      <c r="BR229" s="207"/>
      <c r="BS229" s="207"/>
      <c r="BT229" s="207"/>
      <c r="BU229" s="207"/>
      <c r="BV229" s="207"/>
      <c r="BW229" s="207"/>
      <c r="BX229" s="207"/>
      <c r="BY229" s="207"/>
      <c r="BZ229" s="207"/>
      <c r="CA229" s="207"/>
      <c r="CB229" s="207"/>
      <c r="CC229" s="207"/>
      <c r="CD229" s="207"/>
      <c r="CE229" s="207"/>
      <c r="CF229" s="207"/>
      <c r="CG229" s="207"/>
      <c r="CH229" s="207"/>
      <c r="CI229" s="207"/>
      <c r="CJ229" s="207"/>
      <c r="CK229" s="207"/>
      <c r="CL229" s="207"/>
      <c r="CM229" s="207"/>
      <c r="CN229" s="207"/>
      <c r="CO229" s="207"/>
      <c r="CP229" s="207"/>
      <c r="CQ229" s="207"/>
      <c r="CR229" s="207"/>
      <c r="CS229" s="207"/>
      <c r="CT229" s="207"/>
      <c r="CU229" s="207"/>
      <c r="CV229" s="207"/>
      <c r="CW229" s="207"/>
      <c r="CX229" s="207"/>
      <c r="CY229" s="207"/>
      <c r="CZ229" s="207"/>
      <c r="DA229" s="207"/>
      <c r="DB229" s="207"/>
      <c r="DC229" s="207"/>
      <c r="DD229" s="207"/>
      <c r="DE229" s="207"/>
      <c r="DF229" s="207"/>
      <c r="DG229" s="207"/>
      <c r="DH229" s="207"/>
      <c r="DI229" s="207"/>
      <c r="DJ229" s="207"/>
      <c r="DK229" s="207"/>
      <c r="DL229" s="207"/>
      <c r="DM229" s="207"/>
      <c r="DN229" s="207"/>
      <c r="DO229" s="207"/>
      <c r="DP229" s="207"/>
      <c r="DQ229" s="207"/>
      <c r="DR229" s="207"/>
      <c r="DS229" s="207"/>
      <c r="DT229" s="207"/>
      <c r="DU229" s="207"/>
      <c r="DV229" s="207"/>
      <c r="DW229" s="207"/>
      <c r="DX229" s="207"/>
      <c r="DY229" s="207"/>
      <c r="DZ229" s="207"/>
      <c r="EA229" s="207"/>
      <c r="EB229" s="207"/>
      <c r="EC229" s="207"/>
      <c r="ED229" s="207"/>
      <c r="EE229" s="207"/>
      <c r="EF229" s="207"/>
      <c r="EG229" s="207"/>
      <c r="EH229" s="207"/>
      <c r="EI229" s="207"/>
      <c r="EJ229" s="207"/>
      <c r="EK229" s="207"/>
      <c r="EL229" s="207"/>
      <c r="EM229" s="207"/>
      <c r="EN229" s="207"/>
      <c r="EO229" s="207"/>
      <c r="EP229" s="207"/>
      <c r="EQ229" s="207"/>
      <c r="ER229" s="207"/>
      <c r="ES229" s="207"/>
      <c r="ET229" s="207"/>
      <c r="EU229" s="207"/>
      <c r="EV229" s="207"/>
      <c r="EW229" s="207"/>
      <c r="EX229" s="207"/>
      <c r="EY229" s="207"/>
      <c r="EZ229" s="207"/>
      <c r="FA229" s="207"/>
      <c r="FB229" s="207"/>
      <c r="FC229" s="207"/>
      <c r="FD229" s="207"/>
      <c r="FE229" s="207"/>
      <c r="FF229" s="207"/>
      <c r="FG229" s="207"/>
      <c r="FH229" s="207"/>
      <c r="FI229" s="207"/>
      <c r="FJ229" s="207"/>
      <c r="FK229" s="207"/>
      <c r="FL229" s="207"/>
      <c r="FM229" s="207"/>
      <c r="FN229" s="207"/>
      <c r="FO229" s="207"/>
      <c r="FP229" s="207"/>
      <c r="FQ229" s="207"/>
      <c r="FR229" s="207"/>
      <c r="FS229" s="208"/>
      <c r="FT229" s="156"/>
    </row>
    <row r="230" spans="1:176" ht="15" outlineLevel="1">
      <c r="A230" s="206" t="s">
        <v>1496</v>
      </c>
      <c r="B230" s="200" t="s">
        <v>151</v>
      </c>
      <c r="C230" s="34"/>
      <c r="D230" s="34"/>
      <c r="E230" s="34"/>
      <c r="F230" s="34"/>
      <c r="G230" s="34"/>
      <c r="H230" s="37" t="s">
        <v>488</v>
      </c>
      <c r="I230" s="38"/>
      <c r="J230" s="38"/>
      <c r="K230" s="38"/>
      <c r="L230" s="38"/>
      <c r="M230" s="38"/>
      <c r="N230" s="38"/>
      <c r="O230" s="38"/>
      <c r="P230" s="38"/>
      <c r="Q230" s="38"/>
      <c r="R230" s="177">
        <f t="shared" si="32"/>
        <v>0</v>
      </c>
      <c r="S230" s="202">
        <f t="shared" si="34"/>
        <v>0</v>
      </c>
      <c r="T230" s="202">
        <f t="shared" si="35"/>
        <v>0</v>
      </c>
      <c r="U230" s="18"/>
      <c r="V230" s="206" t="str">
        <f t="shared" si="31"/>
        <v>5-17</v>
      </c>
      <c r="W230" s="215" t="str">
        <f t="shared" si="33"/>
        <v/>
      </c>
      <c r="X230" s="110"/>
      <c r="Y230" s="109"/>
      <c r="Z230" s="207"/>
      <c r="AA230" s="207"/>
      <c r="AB230" s="207"/>
      <c r="AC230" s="207"/>
      <c r="AD230" s="207"/>
      <c r="AE230" s="207"/>
      <c r="AF230" s="207"/>
      <c r="AG230" s="207"/>
      <c r="AH230" s="207"/>
      <c r="AI230" s="207"/>
      <c r="AJ230" s="207"/>
      <c r="AK230" s="207"/>
      <c r="AL230" s="207"/>
      <c r="AM230" s="207"/>
      <c r="AN230" s="207"/>
      <c r="AO230" s="207"/>
      <c r="AP230" s="207"/>
      <c r="AQ230" s="207"/>
      <c r="AR230" s="207"/>
      <c r="AS230" s="207"/>
      <c r="AT230" s="207"/>
      <c r="AU230" s="207"/>
      <c r="AV230" s="207"/>
      <c r="AW230" s="207"/>
      <c r="AX230" s="207"/>
      <c r="AY230" s="207"/>
      <c r="AZ230" s="207"/>
      <c r="BA230" s="207"/>
      <c r="BB230" s="207"/>
      <c r="BC230" s="207"/>
      <c r="BD230" s="207"/>
      <c r="BE230" s="207"/>
      <c r="BF230" s="207"/>
      <c r="BG230" s="207"/>
      <c r="BH230" s="207"/>
      <c r="BI230" s="207"/>
      <c r="BJ230" s="207"/>
      <c r="BK230" s="207"/>
      <c r="BL230" s="207"/>
      <c r="BM230" s="207"/>
      <c r="BN230" s="207"/>
      <c r="BO230" s="207"/>
      <c r="BP230" s="207"/>
      <c r="BQ230" s="207"/>
      <c r="BR230" s="207"/>
      <c r="BS230" s="207"/>
      <c r="BT230" s="207"/>
      <c r="BU230" s="207"/>
      <c r="BV230" s="207"/>
      <c r="BW230" s="207"/>
      <c r="BX230" s="207"/>
      <c r="BY230" s="207"/>
      <c r="BZ230" s="207"/>
      <c r="CA230" s="207"/>
      <c r="CB230" s="207"/>
      <c r="CC230" s="207"/>
      <c r="CD230" s="207"/>
      <c r="CE230" s="207"/>
      <c r="CF230" s="207"/>
      <c r="CG230" s="207"/>
      <c r="CH230" s="207"/>
      <c r="CI230" s="207"/>
      <c r="CJ230" s="207"/>
      <c r="CK230" s="207"/>
      <c r="CL230" s="207"/>
      <c r="CM230" s="207"/>
      <c r="CN230" s="207"/>
      <c r="CO230" s="207"/>
      <c r="CP230" s="207"/>
      <c r="CQ230" s="207"/>
      <c r="CR230" s="207"/>
      <c r="CS230" s="207"/>
      <c r="CT230" s="207"/>
      <c r="CU230" s="207"/>
      <c r="CV230" s="207"/>
      <c r="CW230" s="207"/>
      <c r="CX230" s="207"/>
      <c r="CY230" s="207"/>
      <c r="CZ230" s="207"/>
      <c r="DA230" s="207"/>
      <c r="DB230" s="207"/>
      <c r="DC230" s="207"/>
      <c r="DD230" s="207"/>
      <c r="DE230" s="207"/>
      <c r="DF230" s="207"/>
      <c r="DG230" s="207"/>
      <c r="DH230" s="207"/>
      <c r="DI230" s="207"/>
      <c r="DJ230" s="207"/>
      <c r="DK230" s="207"/>
      <c r="DL230" s="207"/>
      <c r="DM230" s="207"/>
      <c r="DN230" s="207"/>
      <c r="DO230" s="207"/>
      <c r="DP230" s="207"/>
      <c r="DQ230" s="207"/>
      <c r="DR230" s="207"/>
      <c r="DS230" s="207"/>
      <c r="DT230" s="207"/>
      <c r="DU230" s="207"/>
      <c r="DV230" s="207"/>
      <c r="DW230" s="207"/>
      <c r="DX230" s="207"/>
      <c r="DY230" s="207"/>
      <c r="DZ230" s="207"/>
      <c r="EA230" s="207"/>
      <c r="EB230" s="207"/>
      <c r="EC230" s="207"/>
      <c r="ED230" s="207"/>
      <c r="EE230" s="207"/>
      <c r="EF230" s="207"/>
      <c r="EG230" s="207"/>
      <c r="EH230" s="207"/>
      <c r="EI230" s="207"/>
      <c r="EJ230" s="207"/>
      <c r="EK230" s="207"/>
      <c r="EL230" s="207"/>
      <c r="EM230" s="207"/>
      <c r="EN230" s="207"/>
      <c r="EO230" s="207"/>
      <c r="EP230" s="207"/>
      <c r="EQ230" s="207"/>
      <c r="ER230" s="207"/>
      <c r="ES230" s="207"/>
      <c r="ET230" s="207"/>
      <c r="EU230" s="207"/>
      <c r="EV230" s="207"/>
      <c r="EW230" s="207"/>
      <c r="EX230" s="207"/>
      <c r="EY230" s="207"/>
      <c r="EZ230" s="207"/>
      <c r="FA230" s="207"/>
      <c r="FB230" s="207"/>
      <c r="FC230" s="207"/>
      <c r="FD230" s="207"/>
      <c r="FE230" s="207"/>
      <c r="FF230" s="207"/>
      <c r="FG230" s="207"/>
      <c r="FH230" s="207"/>
      <c r="FI230" s="207"/>
      <c r="FJ230" s="207"/>
      <c r="FK230" s="207"/>
      <c r="FL230" s="207"/>
      <c r="FM230" s="207"/>
      <c r="FN230" s="207"/>
      <c r="FO230" s="207"/>
      <c r="FP230" s="207"/>
      <c r="FQ230" s="207"/>
      <c r="FR230" s="207"/>
      <c r="FS230" s="208"/>
      <c r="FT230" s="156"/>
    </row>
    <row r="231" spans="1:176" ht="15" outlineLevel="1">
      <c r="A231" s="206" t="s">
        <v>1497</v>
      </c>
      <c r="B231" s="200" t="s">
        <v>151</v>
      </c>
      <c r="C231" s="34"/>
      <c r="D231" s="34"/>
      <c r="E231" s="34"/>
      <c r="F231" s="34"/>
      <c r="G231" s="34"/>
      <c r="H231" s="37" t="s">
        <v>488</v>
      </c>
      <c r="I231" s="38"/>
      <c r="J231" s="38"/>
      <c r="K231" s="38"/>
      <c r="L231" s="38"/>
      <c r="M231" s="38"/>
      <c r="N231" s="38"/>
      <c r="O231" s="38"/>
      <c r="P231" s="38"/>
      <c r="Q231" s="38"/>
      <c r="R231" s="177">
        <f t="shared" si="32"/>
        <v>0</v>
      </c>
      <c r="S231" s="202">
        <f t="shared" si="34"/>
        <v>0</v>
      </c>
      <c r="T231" s="202">
        <f t="shared" si="35"/>
        <v>0</v>
      </c>
      <c r="U231" s="18"/>
      <c r="V231" s="206" t="str">
        <f t="shared" si="31"/>
        <v>5-18</v>
      </c>
      <c r="W231" s="215" t="str">
        <f t="shared" si="33"/>
        <v/>
      </c>
      <c r="X231" s="110"/>
      <c r="Y231" s="109"/>
      <c r="Z231" s="207"/>
      <c r="AA231" s="207"/>
      <c r="AB231" s="207"/>
      <c r="AC231" s="207"/>
      <c r="AD231" s="207"/>
      <c r="AE231" s="207"/>
      <c r="AF231" s="207"/>
      <c r="AG231" s="207"/>
      <c r="AH231" s="207"/>
      <c r="AI231" s="207"/>
      <c r="AJ231" s="207"/>
      <c r="AK231" s="207"/>
      <c r="AL231" s="207"/>
      <c r="AM231" s="207"/>
      <c r="AN231" s="207"/>
      <c r="AO231" s="207"/>
      <c r="AP231" s="207"/>
      <c r="AQ231" s="207"/>
      <c r="AR231" s="207"/>
      <c r="AS231" s="207"/>
      <c r="AT231" s="207"/>
      <c r="AU231" s="207"/>
      <c r="AV231" s="207"/>
      <c r="AW231" s="207"/>
      <c r="AX231" s="207"/>
      <c r="AY231" s="207"/>
      <c r="AZ231" s="207"/>
      <c r="BA231" s="207"/>
      <c r="BB231" s="207"/>
      <c r="BC231" s="207"/>
      <c r="BD231" s="207"/>
      <c r="BE231" s="207"/>
      <c r="BF231" s="207"/>
      <c r="BG231" s="207"/>
      <c r="BH231" s="207"/>
      <c r="BI231" s="207"/>
      <c r="BJ231" s="207"/>
      <c r="BK231" s="207"/>
      <c r="BL231" s="207"/>
      <c r="BM231" s="207"/>
      <c r="BN231" s="207"/>
      <c r="BO231" s="207"/>
      <c r="BP231" s="207"/>
      <c r="BQ231" s="207"/>
      <c r="BR231" s="207"/>
      <c r="BS231" s="207"/>
      <c r="BT231" s="207"/>
      <c r="BU231" s="207"/>
      <c r="BV231" s="207"/>
      <c r="BW231" s="207"/>
      <c r="BX231" s="207"/>
      <c r="BY231" s="207"/>
      <c r="BZ231" s="207"/>
      <c r="CA231" s="207"/>
      <c r="CB231" s="207"/>
      <c r="CC231" s="207"/>
      <c r="CD231" s="207"/>
      <c r="CE231" s="207"/>
      <c r="CF231" s="207"/>
      <c r="CG231" s="207"/>
      <c r="CH231" s="207"/>
      <c r="CI231" s="207"/>
      <c r="CJ231" s="207"/>
      <c r="CK231" s="207"/>
      <c r="CL231" s="207"/>
      <c r="CM231" s="207"/>
      <c r="CN231" s="207"/>
      <c r="CO231" s="207"/>
      <c r="CP231" s="207"/>
      <c r="CQ231" s="207"/>
      <c r="CR231" s="207"/>
      <c r="CS231" s="207"/>
      <c r="CT231" s="207"/>
      <c r="CU231" s="207"/>
      <c r="CV231" s="207"/>
      <c r="CW231" s="207"/>
      <c r="CX231" s="207"/>
      <c r="CY231" s="207"/>
      <c r="CZ231" s="207"/>
      <c r="DA231" s="207"/>
      <c r="DB231" s="207"/>
      <c r="DC231" s="207"/>
      <c r="DD231" s="207"/>
      <c r="DE231" s="207"/>
      <c r="DF231" s="207"/>
      <c r="DG231" s="207"/>
      <c r="DH231" s="207"/>
      <c r="DI231" s="207"/>
      <c r="DJ231" s="207"/>
      <c r="DK231" s="207"/>
      <c r="DL231" s="207"/>
      <c r="DM231" s="207"/>
      <c r="DN231" s="207"/>
      <c r="DO231" s="207"/>
      <c r="DP231" s="207"/>
      <c r="DQ231" s="207"/>
      <c r="DR231" s="207"/>
      <c r="DS231" s="207"/>
      <c r="DT231" s="207"/>
      <c r="DU231" s="207"/>
      <c r="DV231" s="207"/>
      <c r="DW231" s="207"/>
      <c r="DX231" s="207"/>
      <c r="DY231" s="207"/>
      <c r="DZ231" s="207"/>
      <c r="EA231" s="207"/>
      <c r="EB231" s="207"/>
      <c r="EC231" s="207"/>
      <c r="ED231" s="207"/>
      <c r="EE231" s="207"/>
      <c r="EF231" s="207"/>
      <c r="EG231" s="207"/>
      <c r="EH231" s="207"/>
      <c r="EI231" s="207"/>
      <c r="EJ231" s="207"/>
      <c r="EK231" s="207"/>
      <c r="EL231" s="207"/>
      <c r="EM231" s="207"/>
      <c r="EN231" s="207"/>
      <c r="EO231" s="207"/>
      <c r="EP231" s="207"/>
      <c r="EQ231" s="207"/>
      <c r="ER231" s="207"/>
      <c r="ES231" s="207"/>
      <c r="ET231" s="207"/>
      <c r="EU231" s="207"/>
      <c r="EV231" s="207"/>
      <c r="EW231" s="207"/>
      <c r="EX231" s="207"/>
      <c r="EY231" s="207"/>
      <c r="EZ231" s="207"/>
      <c r="FA231" s="207"/>
      <c r="FB231" s="207"/>
      <c r="FC231" s="207"/>
      <c r="FD231" s="207"/>
      <c r="FE231" s="207"/>
      <c r="FF231" s="207"/>
      <c r="FG231" s="207"/>
      <c r="FH231" s="207"/>
      <c r="FI231" s="207"/>
      <c r="FJ231" s="207"/>
      <c r="FK231" s="207"/>
      <c r="FL231" s="207"/>
      <c r="FM231" s="207"/>
      <c r="FN231" s="207"/>
      <c r="FO231" s="207"/>
      <c r="FP231" s="207"/>
      <c r="FQ231" s="207"/>
      <c r="FR231" s="207"/>
      <c r="FS231" s="208"/>
      <c r="FT231" s="156"/>
    </row>
    <row r="232" spans="1:176" ht="15" outlineLevel="1">
      <c r="A232" s="206" t="s">
        <v>1498</v>
      </c>
      <c r="B232" s="200" t="s">
        <v>151</v>
      </c>
      <c r="C232" s="34"/>
      <c r="D232" s="34"/>
      <c r="E232" s="34"/>
      <c r="F232" s="34"/>
      <c r="G232" s="34"/>
      <c r="H232" s="37" t="s">
        <v>488</v>
      </c>
      <c r="I232" s="38"/>
      <c r="J232" s="38"/>
      <c r="K232" s="38"/>
      <c r="L232" s="38"/>
      <c r="M232" s="38"/>
      <c r="N232" s="38"/>
      <c r="O232" s="38"/>
      <c r="P232" s="38"/>
      <c r="Q232" s="38"/>
      <c r="R232" s="177">
        <f t="shared" si="32"/>
        <v>0</v>
      </c>
      <c r="S232" s="202">
        <f t="shared" si="34"/>
        <v>0</v>
      </c>
      <c r="T232" s="202">
        <f t="shared" si="35"/>
        <v>0</v>
      </c>
      <c r="U232" s="18"/>
      <c r="V232" s="206" t="str">
        <f t="shared" si="31"/>
        <v>5-19</v>
      </c>
      <c r="W232" s="215" t="str">
        <f t="shared" si="33"/>
        <v/>
      </c>
      <c r="X232" s="110"/>
      <c r="Y232" s="109"/>
      <c r="Z232" s="207"/>
      <c r="AA232" s="207"/>
      <c r="AB232" s="207"/>
      <c r="AC232" s="207"/>
      <c r="AD232" s="207"/>
      <c r="AE232" s="207"/>
      <c r="AF232" s="207"/>
      <c r="AG232" s="207"/>
      <c r="AH232" s="207"/>
      <c r="AI232" s="207"/>
      <c r="AJ232" s="207"/>
      <c r="AK232" s="207"/>
      <c r="AL232" s="207"/>
      <c r="AM232" s="207"/>
      <c r="AN232" s="207"/>
      <c r="AO232" s="207"/>
      <c r="AP232" s="207"/>
      <c r="AQ232" s="207"/>
      <c r="AR232" s="207"/>
      <c r="AS232" s="207"/>
      <c r="AT232" s="207"/>
      <c r="AU232" s="207"/>
      <c r="AV232" s="207"/>
      <c r="AW232" s="207"/>
      <c r="AX232" s="207"/>
      <c r="AY232" s="207"/>
      <c r="AZ232" s="207"/>
      <c r="BA232" s="207"/>
      <c r="BB232" s="207"/>
      <c r="BC232" s="207"/>
      <c r="BD232" s="207"/>
      <c r="BE232" s="207"/>
      <c r="BF232" s="207"/>
      <c r="BG232" s="207"/>
      <c r="BH232" s="207"/>
      <c r="BI232" s="207"/>
      <c r="BJ232" s="207"/>
      <c r="BK232" s="207"/>
      <c r="BL232" s="207"/>
      <c r="BM232" s="207"/>
      <c r="BN232" s="207"/>
      <c r="BO232" s="207"/>
      <c r="BP232" s="207"/>
      <c r="BQ232" s="207"/>
      <c r="BR232" s="207"/>
      <c r="BS232" s="207"/>
      <c r="BT232" s="207"/>
      <c r="BU232" s="207"/>
      <c r="BV232" s="207"/>
      <c r="BW232" s="207"/>
      <c r="BX232" s="207"/>
      <c r="BY232" s="207"/>
      <c r="BZ232" s="207"/>
      <c r="CA232" s="207"/>
      <c r="CB232" s="207"/>
      <c r="CC232" s="207"/>
      <c r="CD232" s="207"/>
      <c r="CE232" s="207"/>
      <c r="CF232" s="207"/>
      <c r="CG232" s="207"/>
      <c r="CH232" s="207"/>
      <c r="CI232" s="207"/>
      <c r="CJ232" s="207"/>
      <c r="CK232" s="207"/>
      <c r="CL232" s="207"/>
      <c r="CM232" s="207"/>
      <c r="CN232" s="207"/>
      <c r="CO232" s="207"/>
      <c r="CP232" s="207"/>
      <c r="CQ232" s="207"/>
      <c r="CR232" s="207"/>
      <c r="CS232" s="207"/>
      <c r="CT232" s="207"/>
      <c r="CU232" s="207"/>
      <c r="CV232" s="207"/>
      <c r="CW232" s="207"/>
      <c r="CX232" s="207"/>
      <c r="CY232" s="207"/>
      <c r="CZ232" s="207"/>
      <c r="DA232" s="207"/>
      <c r="DB232" s="207"/>
      <c r="DC232" s="207"/>
      <c r="DD232" s="207"/>
      <c r="DE232" s="207"/>
      <c r="DF232" s="207"/>
      <c r="DG232" s="207"/>
      <c r="DH232" s="207"/>
      <c r="DI232" s="207"/>
      <c r="DJ232" s="207"/>
      <c r="DK232" s="207"/>
      <c r="DL232" s="207"/>
      <c r="DM232" s="207"/>
      <c r="DN232" s="207"/>
      <c r="DO232" s="207"/>
      <c r="DP232" s="207"/>
      <c r="DQ232" s="207"/>
      <c r="DR232" s="207"/>
      <c r="DS232" s="207"/>
      <c r="DT232" s="207"/>
      <c r="DU232" s="207"/>
      <c r="DV232" s="207"/>
      <c r="DW232" s="207"/>
      <c r="DX232" s="207"/>
      <c r="DY232" s="207"/>
      <c r="DZ232" s="207"/>
      <c r="EA232" s="207"/>
      <c r="EB232" s="207"/>
      <c r="EC232" s="207"/>
      <c r="ED232" s="207"/>
      <c r="EE232" s="207"/>
      <c r="EF232" s="207"/>
      <c r="EG232" s="207"/>
      <c r="EH232" s="207"/>
      <c r="EI232" s="207"/>
      <c r="EJ232" s="207"/>
      <c r="EK232" s="207"/>
      <c r="EL232" s="207"/>
      <c r="EM232" s="207"/>
      <c r="EN232" s="207"/>
      <c r="EO232" s="207"/>
      <c r="EP232" s="207"/>
      <c r="EQ232" s="207"/>
      <c r="ER232" s="207"/>
      <c r="ES232" s="207"/>
      <c r="ET232" s="207"/>
      <c r="EU232" s="207"/>
      <c r="EV232" s="207"/>
      <c r="EW232" s="207"/>
      <c r="EX232" s="207"/>
      <c r="EY232" s="207"/>
      <c r="EZ232" s="207"/>
      <c r="FA232" s="207"/>
      <c r="FB232" s="207"/>
      <c r="FC232" s="207"/>
      <c r="FD232" s="207"/>
      <c r="FE232" s="207"/>
      <c r="FF232" s="207"/>
      <c r="FG232" s="207"/>
      <c r="FH232" s="207"/>
      <c r="FI232" s="207"/>
      <c r="FJ232" s="207"/>
      <c r="FK232" s="207"/>
      <c r="FL232" s="207"/>
      <c r="FM232" s="207"/>
      <c r="FN232" s="207"/>
      <c r="FO232" s="207"/>
      <c r="FP232" s="207"/>
      <c r="FQ232" s="207"/>
      <c r="FR232" s="207"/>
      <c r="FS232" s="208"/>
      <c r="FT232" s="156"/>
    </row>
    <row r="233" spans="1:176" ht="15" outlineLevel="1">
      <c r="A233" s="206" t="s">
        <v>1499</v>
      </c>
      <c r="B233" s="200" t="s">
        <v>151</v>
      </c>
      <c r="C233" s="34"/>
      <c r="D233" s="34"/>
      <c r="E233" s="34"/>
      <c r="F233" s="34"/>
      <c r="G233" s="34"/>
      <c r="H233" s="37" t="s">
        <v>488</v>
      </c>
      <c r="I233" s="38"/>
      <c r="J233" s="38"/>
      <c r="K233" s="38"/>
      <c r="L233" s="38"/>
      <c r="M233" s="38"/>
      <c r="N233" s="38"/>
      <c r="O233" s="38"/>
      <c r="P233" s="38"/>
      <c r="Q233" s="38"/>
      <c r="R233" s="177">
        <f t="shared" si="32"/>
        <v>0</v>
      </c>
      <c r="S233" s="202">
        <f t="shared" si="34"/>
        <v>0</v>
      </c>
      <c r="T233" s="202">
        <f t="shared" si="35"/>
        <v>0</v>
      </c>
      <c r="U233" s="18"/>
      <c r="V233" s="206" t="str">
        <f t="shared" si="31"/>
        <v>5-20</v>
      </c>
      <c r="W233" s="215" t="str">
        <f t="shared" si="33"/>
        <v/>
      </c>
      <c r="X233" s="110"/>
      <c r="Y233" s="109"/>
      <c r="Z233" s="207"/>
      <c r="AA233" s="207"/>
      <c r="AB233" s="207"/>
      <c r="AC233" s="207"/>
      <c r="AD233" s="207"/>
      <c r="AE233" s="207"/>
      <c r="AF233" s="207"/>
      <c r="AG233" s="207"/>
      <c r="AH233" s="207"/>
      <c r="AI233" s="207"/>
      <c r="AJ233" s="207"/>
      <c r="AK233" s="207"/>
      <c r="AL233" s="207"/>
      <c r="AM233" s="207"/>
      <c r="AN233" s="207"/>
      <c r="AO233" s="207"/>
      <c r="AP233" s="207"/>
      <c r="AQ233" s="207"/>
      <c r="AR233" s="207"/>
      <c r="AS233" s="207"/>
      <c r="AT233" s="207"/>
      <c r="AU233" s="207"/>
      <c r="AV233" s="207"/>
      <c r="AW233" s="207"/>
      <c r="AX233" s="207"/>
      <c r="AY233" s="207"/>
      <c r="AZ233" s="207"/>
      <c r="BA233" s="207"/>
      <c r="BB233" s="207"/>
      <c r="BC233" s="207"/>
      <c r="BD233" s="207"/>
      <c r="BE233" s="207"/>
      <c r="BF233" s="207"/>
      <c r="BG233" s="207"/>
      <c r="BH233" s="207"/>
      <c r="BI233" s="207"/>
      <c r="BJ233" s="207"/>
      <c r="BK233" s="207"/>
      <c r="BL233" s="207"/>
      <c r="BM233" s="207"/>
      <c r="BN233" s="207"/>
      <c r="BO233" s="207"/>
      <c r="BP233" s="207"/>
      <c r="BQ233" s="207"/>
      <c r="BR233" s="207"/>
      <c r="BS233" s="207"/>
      <c r="BT233" s="207"/>
      <c r="BU233" s="207"/>
      <c r="BV233" s="207"/>
      <c r="BW233" s="207"/>
      <c r="BX233" s="207"/>
      <c r="BY233" s="207"/>
      <c r="BZ233" s="207"/>
      <c r="CA233" s="207"/>
      <c r="CB233" s="207"/>
      <c r="CC233" s="207"/>
      <c r="CD233" s="207"/>
      <c r="CE233" s="207"/>
      <c r="CF233" s="207"/>
      <c r="CG233" s="207"/>
      <c r="CH233" s="207"/>
      <c r="CI233" s="207"/>
      <c r="CJ233" s="207"/>
      <c r="CK233" s="207"/>
      <c r="CL233" s="207"/>
      <c r="CM233" s="207"/>
      <c r="CN233" s="207"/>
      <c r="CO233" s="207"/>
      <c r="CP233" s="207"/>
      <c r="CQ233" s="207"/>
      <c r="CR233" s="207"/>
      <c r="CS233" s="207"/>
      <c r="CT233" s="207"/>
      <c r="CU233" s="207"/>
      <c r="CV233" s="207"/>
      <c r="CW233" s="207"/>
      <c r="CX233" s="207"/>
      <c r="CY233" s="207"/>
      <c r="CZ233" s="207"/>
      <c r="DA233" s="207"/>
      <c r="DB233" s="207"/>
      <c r="DC233" s="207"/>
      <c r="DD233" s="207"/>
      <c r="DE233" s="207"/>
      <c r="DF233" s="207"/>
      <c r="DG233" s="207"/>
      <c r="DH233" s="207"/>
      <c r="DI233" s="207"/>
      <c r="DJ233" s="207"/>
      <c r="DK233" s="207"/>
      <c r="DL233" s="207"/>
      <c r="DM233" s="207"/>
      <c r="DN233" s="207"/>
      <c r="DO233" s="207"/>
      <c r="DP233" s="207"/>
      <c r="DQ233" s="207"/>
      <c r="DR233" s="207"/>
      <c r="DS233" s="207"/>
      <c r="DT233" s="207"/>
      <c r="DU233" s="207"/>
      <c r="DV233" s="207"/>
      <c r="DW233" s="207"/>
      <c r="DX233" s="207"/>
      <c r="DY233" s="207"/>
      <c r="DZ233" s="207"/>
      <c r="EA233" s="207"/>
      <c r="EB233" s="207"/>
      <c r="EC233" s="207"/>
      <c r="ED233" s="207"/>
      <c r="EE233" s="207"/>
      <c r="EF233" s="207"/>
      <c r="EG233" s="207"/>
      <c r="EH233" s="207"/>
      <c r="EI233" s="207"/>
      <c r="EJ233" s="207"/>
      <c r="EK233" s="207"/>
      <c r="EL233" s="207"/>
      <c r="EM233" s="207"/>
      <c r="EN233" s="207"/>
      <c r="EO233" s="207"/>
      <c r="EP233" s="207"/>
      <c r="EQ233" s="207"/>
      <c r="ER233" s="207"/>
      <c r="ES233" s="207"/>
      <c r="ET233" s="207"/>
      <c r="EU233" s="207"/>
      <c r="EV233" s="207"/>
      <c r="EW233" s="207"/>
      <c r="EX233" s="207"/>
      <c r="EY233" s="207"/>
      <c r="EZ233" s="207"/>
      <c r="FA233" s="207"/>
      <c r="FB233" s="207"/>
      <c r="FC233" s="207"/>
      <c r="FD233" s="207"/>
      <c r="FE233" s="207"/>
      <c r="FF233" s="207"/>
      <c r="FG233" s="207"/>
      <c r="FH233" s="207"/>
      <c r="FI233" s="207"/>
      <c r="FJ233" s="207"/>
      <c r="FK233" s="207"/>
      <c r="FL233" s="207"/>
      <c r="FM233" s="207"/>
      <c r="FN233" s="207"/>
      <c r="FO233" s="207"/>
      <c r="FP233" s="207"/>
      <c r="FQ233" s="207"/>
      <c r="FR233" s="207"/>
      <c r="FS233" s="208"/>
      <c r="FT233" s="156"/>
    </row>
    <row r="234" spans="1:176" ht="15" outlineLevel="1">
      <c r="A234" s="206" t="s">
        <v>1500</v>
      </c>
      <c r="B234" s="200" t="s">
        <v>151</v>
      </c>
      <c r="C234" s="34"/>
      <c r="D234" s="34"/>
      <c r="E234" s="34"/>
      <c r="F234" s="34"/>
      <c r="G234" s="34"/>
      <c r="H234" s="37" t="s">
        <v>488</v>
      </c>
      <c r="I234" s="38"/>
      <c r="J234" s="38"/>
      <c r="K234" s="38"/>
      <c r="L234" s="38"/>
      <c r="M234" s="38"/>
      <c r="N234" s="38"/>
      <c r="O234" s="38"/>
      <c r="P234" s="38"/>
      <c r="Q234" s="38"/>
      <c r="R234" s="177">
        <f t="shared" si="32"/>
        <v>0</v>
      </c>
      <c r="S234" s="202">
        <f t="shared" si="34"/>
        <v>0</v>
      </c>
      <c r="T234" s="202">
        <f t="shared" si="35"/>
        <v>0</v>
      </c>
      <c r="U234" s="18"/>
      <c r="V234" s="206" t="str">
        <f t="shared" si="31"/>
        <v>5-21</v>
      </c>
      <c r="W234" s="215" t="str">
        <f t="shared" si="33"/>
        <v/>
      </c>
      <c r="X234" s="110"/>
      <c r="Y234" s="109"/>
      <c r="Z234" s="207"/>
      <c r="AA234" s="207"/>
      <c r="AB234" s="207"/>
      <c r="AC234" s="207"/>
      <c r="AD234" s="207"/>
      <c r="AE234" s="207"/>
      <c r="AF234" s="207"/>
      <c r="AG234" s="207"/>
      <c r="AH234" s="207"/>
      <c r="AI234" s="207"/>
      <c r="AJ234" s="207"/>
      <c r="AK234" s="207"/>
      <c r="AL234" s="207"/>
      <c r="AM234" s="207"/>
      <c r="AN234" s="207"/>
      <c r="AO234" s="207"/>
      <c r="AP234" s="207"/>
      <c r="AQ234" s="207"/>
      <c r="AR234" s="207"/>
      <c r="AS234" s="207"/>
      <c r="AT234" s="207"/>
      <c r="AU234" s="207"/>
      <c r="AV234" s="207"/>
      <c r="AW234" s="207"/>
      <c r="AX234" s="207"/>
      <c r="AY234" s="207"/>
      <c r="AZ234" s="207"/>
      <c r="BA234" s="207"/>
      <c r="BB234" s="207"/>
      <c r="BC234" s="207"/>
      <c r="BD234" s="207"/>
      <c r="BE234" s="207"/>
      <c r="BF234" s="207"/>
      <c r="BG234" s="207"/>
      <c r="BH234" s="207"/>
      <c r="BI234" s="207"/>
      <c r="BJ234" s="207"/>
      <c r="BK234" s="207"/>
      <c r="BL234" s="207"/>
      <c r="BM234" s="207"/>
      <c r="BN234" s="207"/>
      <c r="BO234" s="207"/>
      <c r="BP234" s="207"/>
      <c r="BQ234" s="207"/>
      <c r="BR234" s="207"/>
      <c r="BS234" s="207"/>
      <c r="BT234" s="207"/>
      <c r="BU234" s="207"/>
      <c r="BV234" s="207"/>
      <c r="BW234" s="207"/>
      <c r="BX234" s="207"/>
      <c r="BY234" s="207"/>
      <c r="BZ234" s="207"/>
      <c r="CA234" s="207"/>
      <c r="CB234" s="207"/>
      <c r="CC234" s="207"/>
      <c r="CD234" s="207"/>
      <c r="CE234" s="207"/>
      <c r="CF234" s="207"/>
      <c r="CG234" s="207"/>
      <c r="CH234" s="207"/>
      <c r="CI234" s="207"/>
      <c r="CJ234" s="207"/>
      <c r="CK234" s="207"/>
      <c r="CL234" s="207"/>
      <c r="CM234" s="207"/>
      <c r="CN234" s="207"/>
      <c r="CO234" s="207"/>
      <c r="CP234" s="207"/>
      <c r="CQ234" s="207"/>
      <c r="CR234" s="207"/>
      <c r="CS234" s="207"/>
      <c r="CT234" s="207"/>
      <c r="CU234" s="207"/>
      <c r="CV234" s="207"/>
      <c r="CW234" s="207"/>
      <c r="CX234" s="207"/>
      <c r="CY234" s="207"/>
      <c r="CZ234" s="207"/>
      <c r="DA234" s="207"/>
      <c r="DB234" s="207"/>
      <c r="DC234" s="207"/>
      <c r="DD234" s="207"/>
      <c r="DE234" s="207"/>
      <c r="DF234" s="207"/>
      <c r="DG234" s="207"/>
      <c r="DH234" s="207"/>
      <c r="DI234" s="207"/>
      <c r="DJ234" s="207"/>
      <c r="DK234" s="207"/>
      <c r="DL234" s="207"/>
      <c r="DM234" s="207"/>
      <c r="DN234" s="207"/>
      <c r="DO234" s="207"/>
      <c r="DP234" s="207"/>
      <c r="DQ234" s="207"/>
      <c r="DR234" s="207"/>
      <c r="DS234" s="207"/>
      <c r="DT234" s="207"/>
      <c r="DU234" s="207"/>
      <c r="DV234" s="207"/>
      <c r="DW234" s="207"/>
      <c r="DX234" s="207"/>
      <c r="DY234" s="207"/>
      <c r="DZ234" s="207"/>
      <c r="EA234" s="207"/>
      <c r="EB234" s="207"/>
      <c r="EC234" s="207"/>
      <c r="ED234" s="207"/>
      <c r="EE234" s="207"/>
      <c r="EF234" s="207"/>
      <c r="EG234" s="207"/>
      <c r="EH234" s="207"/>
      <c r="EI234" s="207"/>
      <c r="EJ234" s="207"/>
      <c r="EK234" s="207"/>
      <c r="EL234" s="207"/>
      <c r="EM234" s="207"/>
      <c r="EN234" s="207"/>
      <c r="EO234" s="207"/>
      <c r="EP234" s="207"/>
      <c r="EQ234" s="207"/>
      <c r="ER234" s="207"/>
      <c r="ES234" s="207"/>
      <c r="ET234" s="207"/>
      <c r="EU234" s="207"/>
      <c r="EV234" s="207"/>
      <c r="EW234" s="207"/>
      <c r="EX234" s="207"/>
      <c r="EY234" s="207"/>
      <c r="EZ234" s="207"/>
      <c r="FA234" s="207"/>
      <c r="FB234" s="207"/>
      <c r="FC234" s="207"/>
      <c r="FD234" s="207"/>
      <c r="FE234" s="207"/>
      <c r="FF234" s="207"/>
      <c r="FG234" s="207"/>
      <c r="FH234" s="207"/>
      <c r="FI234" s="207"/>
      <c r="FJ234" s="207"/>
      <c r="FK234" s="207"/>
      <c r="FL234" s="207"/>
      <c r="FM234" s="207"/>
      <c r="FN234" s="207"/>
      <c r="FO234" s="207"/>
      <c r="FP234" s="207"/>
      <c r="FQ234" s="207"/>
      <c r="FR234" s="207"/>
      <c r="FS234" s="208"/>
      <c r="FT234" s="156"/>
    </row>
    <row r="235" spans="1:176" ht="15" outlineLevel="1">
      <c r="A235" s="206" t="s">
        <v>1501</v>
      </c>
      <c r="B235" s="200" t="s">
        <v>151</v>
      </c>
      <c r="C235" s="34"/>
      <c r="D235" s="34"/>
      <c r="E235" s="34"/>
      <c r="F235" s="34"/>
      <c r="G235" s="34"/>
      <c r="H235" s="37" t="s">
        <v>488</v>
      </c>
      <c r="I235" s="38"/>
      <c r="J235" s="38"/>
      <c r="K235" s="38"/>
      <c r="L235" s="38"/>
      <c r="M235" s="38"/>
      <c r="N235" s="38"/>
      <c r="O235" s="38"/>
      <c r="P235" s="38"/>
      <c r="Q235" s="38"/>
      <c r="R235" s="177">
        <f t="shared" si="32"/>
        <v>0</v>
      </c>
      <c r="S235" s="202">
        <f t="shared" si="34"/>
        <v>0</v>
      </c>
      <c r="T235" s="202">
        <f t="shared" si="35"/>
        <v>0</v>
      </c>
      <c r="U235" s="18"/>
      <c r="V235" s="206" t="str">
        <f t="shared" si="31"/>
        <v>5-22</v>
      </c>
      <c r="W235" s="215" t="str">
        <f t="shared" si="33"/>
        <v/>
      </c>
      <c r="X235" s="110"/>
      <c r="Y235" s="109"/>
      <c r="Z235" s="207"/>
      <c r="AA235" s="207"/>
      <c r="AB235" s="207"/>
      <c r="AC235" s="207"/>
      <c r="AD235" s="207"/>
      <c r="AE235" s="207"/>
      <c r="AF235" s="207"/>
      <c r="AG235" s="207"/>
      <c r="AH235" s="207"/>
      <c r="AI235" s="207"/>
      <c r="AJ235" s="207"/>
      <c r="AK235" s="207"/>
      <c r="AL235" s="207"/>
      <c r="AM235" s="207"/>
      <c r="AN235" s="207"/>
      <c r="AO235" s="207"/>
      <c r="AP235" s="207"/>
      <c r="AQ235" s="207"/>
      <c r="AR235" s="207"/>
      <c r="AS235" s="207"/>
      <c r="AT235" s="207"/>
      <c r="AU235" s="207"/>
      <c r="AV235" s="207"/>
      <c r="AW235" s="207"/>
      <c r="AX235" s="207"/>
      <c r="AY235" s="207"/>
      <c r="AZ235" s="207"/>
      <c r="BA235" s="207"/>
      <c r="BB235" s="207"/>
      <c r="BC235" s="207"/>
      <c r="BD235" s="207"/>
      <c r="BE235" s="207"/>
      <c r="BF235" s="207"/>
      <c r="BG235" s="207"/>
      <c r="BH235" s="207"/>
      <c r="BI235" s="207"/>
      <c r="BJ235" s="207"/>
      <c r="BK235" s="207"/>
      <c r="BL235" s="207"/>
      <c r="BM235" s="207"/>
      <c r="BN235" s="207"/>
      <c r="BO235" s="207"/>
      <c r="BP235" s="207"/>
      <c r="BQ235" s="207"/>
      <c r="BR235" s="207"/>
      <c r="BS235" s="207"/>
      <c r="BT235" s="207"/>
      <c r="BU235" s="207"/>
      <c r="BV235" s="207"/>
      <c r="BW235" s="207"/>
      <c r="BX235" s="207"/>
      <c r="BY235" s="207"/>
      <c r="BZ235" s="207"/>
      <c r="CA235" s="207"/>
      <c r="CB235" s="207"/>
      <c r="CC235" s="207"/>
      <c r="CD235" s="207"/>
      <c r="CE235" s="207"/>
      <c r="CF235" s="207"/>
      <c r="CG235" s="207"/>
      <c r="CH235" s="207"/>
      <c r="CI235" s="207"/>
      <c r="CJ235" s="207"/>
      <c r="CK235" s="207"/>
      <c r="CL235" s="207"/>
      <c r="CM235" s="207"/>
      <c r="CN235" s="207"/>
      <c r="CO235" s="207"/>
      <c r="CP235" s="207"/>
      <c r="CQ235" s="207"/>
      <c r="CR235" s="207"/>
      <c r="CS235" s="207"/>
      <c r="CT235" s="207"/>
      <c r="CU235" s="207"/>
      <c r="CV235" s="207"/>
      <c r="CW235" s="207"/>
      <c r="CX235" s="207"/>
      <c r="CY235" s="207"/>
      <c r="CZ235" s="207"/>
      <c r="DA235" s="207"/>
      <c r="DB235" s="207"/>
      <c r="DC235" s="207"/>
      <c r="DD235" s="207"/>
      <c r="DE235" s="207"/>
      <c r="DF235" s="207"/>
      <c r="DG235" s="207"/>
      <c r="DH235" s="207"/>
      <c r="DI235" s="207"/>
      <c r="DJ235" s="207"/>
      <c r="DK235" s="207"/>
      <c r="DL235" s="207"/>
      <c r="DM235" s="207"/>
      <c r="DN235" s="207"/>
      <c r="DO235" s="207"/>
      <c r="DP235" s="207"/>
      <c r="DQ235" s="207"/>
      <c r="DR235" s="207"/>
      <c r="DS235" s="207"/>
      <c r="DT235" s="207"/>
      <c r="DU235" s="207"/>
      <c r="DV235" s="207"/>
      <c r="DW235" s="207"/>
      <c r="DX235" s="207"/>
      <c r="DY235" s="207"/>
      <c r="DZ235" s="207"/>
      <c r="EA235" s="207"/>
      <c r="EB235" s="207"/>
      <c r="EC235" s="207"/>
      <c r="ED235" s="207"/>
      <c r="EE235" s="207"/>
      <c r="EF235" s="207"/>
      <c r="EG235" s="207"/>
      <c r="EH235" s="207"/>
      <c r="EI235" s="207"/>
      <c r="EJ235" s="207"/>
      <c r="EK235" s="207"/>
      <c r="EL235" s="207"/>
      <c r="EM235" s="207"/>
      <c r="EN235" s="207"/>
      <c r="EO235" s="207"/>
      <c r="EP235" s="207"/>
      <c r="EQ235" s="207"/>
      <c r="ER235" s="207"/>
      <c r="ES235" s="207"/>
      <c r="ET235" s="207"/>
      <c r="EU235" s="207"/>
      <c r="EV235" s="207"/>
      <c r="EW235" s="207"/>
      <c r="EX235" s="207"/>
      <c r="EY235" s="207"/>
      <c r="EZ235" s="207"/>
      <c r="FA235" s="207"/>
      <c r="FB235" s="207"/>
      <c r="FC235" s="207"/>
      <c r="FD235" s="207"/>
      <c r="FE235" s="207"/>
      <c r="FF235" s="207"/>
      <c r="FG235" s="207"/>
      <c r="FH235" s="207"/>
      <c r="FI235" s="207"/>
      <c r="FJ235" s="207"/>
      <c r="FK235" s="207"/>
      <c r="FL235" s="207"/>
      <c r="FM235" s="207"/>
      <c r="FN235" s="207"/>
      <c r="FO235" s="207"/>
      <c r="FP235" s="207"/>
      <c r="FQ235" s="207"/>
      <c r="FR235" s="207"/>
      <c r="FS235" s="208"/>
      <c r="FT235" s="156"/>
    </row>
    <row r="236" spans="1:176" ht="15" outlineLevel="1">
      <c r="A236" s="206" t="s">
        <v>1502</v>
      </c>
      <c r="B236" s="200" t="s">
        <v>151</v>
      </c>
      <c r="C236" s="34"/>
      <c r="D236" s="34"/>
      <c r="E236" s="34"/>
      <c r="F236" s="34"/>
      <c r="G236" s="34"/>
      <c r="H236" s="37" t="s">
        <v>488</v>
      </c>
      <c r="I236" s="38"/>
      <c r="J236" s="38"/>
      <c r="K236" s="38"/>
      <c r="L236" s="38"/>
      <c r="M236" s="38"/>
      <c r="N236" s="38"/>
      <c r="O236" s="38"/>
      <c r="P236" s="38"/>
      <c r="Q236" s="38"/>
      <c r="R236" s="177">
        <f t="shared" si="32"/>
        <v>0</v>
      </c>
      <c r="S236" s="202">
        <f t="shared" si="34"/>
        <v>0</v>
      </c>
      <c r="T236" s="202">
        <f t="shared" si="35"/>
        <v>0</v>
      </c>
      <c r="U236" s="18"/>
      <c r="V236" s="206" t="str">
        <f t="shared" si="31"/>
        <v>5-23</v>
      </c>
      <c r="W236" s="215" t="str">
        <f t="shared" si="33"/>
        <v/>
      </c>
      <c r="X236" s="110"/>
      <c r="Y236" s="109"/>
      <c r="Z236" s="207"/>
      <c r="AA236" s="207"/>
      <c r="AB236" s="207"/>
      <c r="AC236" s="207"/>
      <c r="AD236" s="207"/>
      <c r="AE236" s="207"/>
      <c r="AF236" s="207"/>
      <c r="AG236" s="207"/>
      <c r="AH236" s="207"/>
      <c r="AI236" s="207"/>
      <c r="AJ236" s="207"/>
      <c r="AK236" s="207"/>
      <c r="AL236" s="207"/>
      <c r="AM236" s="207"/>
      <c r="AN236" s="207"/>
      <c r="AO236" s="207"/>
      <c r="AP236" s="207"/>
      <c r="AQ236" s="207"/>
      <c r="AR236" s="207"/>
      <c r="AS236" s="207"/>
      <c r="AT236" s="207"/>
      <c r="AU236" s="207"/>
      <c r="AV236" s="207"/>
      <c r="AW236" s="207"/>
      <c r="AX236" s="207"/>
      <c r="AY236" s="207"/>
      <c r="AZ236" s="207"/>
      <c r="BA236" s="207"/>
      <c r="BB236" s="207"/>
      <c r="BC236" s="207"/>
      <c r="BD236" s="207"/>
      <c r="BE236" s="207"/>
      <c r="BF236" s="207"/>
      <c r="BG236" s="207"/>
      <c r="BH236" s="207"/>
      <c r="BI236" s="207"/>
      <c r="BJ236" s="207"/>
      <c r="BK236" s="207"/>
      <c r="BL236" s="207"/>
      <c r="BM236" s="207"/>
      <c r="BN236" s="207"/>
      <c r="BO236" s="207"/>
      <c r="BP236" s="207"/>
      <c r="BQ236" s="207"/>
      <c r="BR236" s="207"/>
      <c r="BS236" s="207"/>
      <c r="BT236" s="207"/>
      <c r="BU236" s="207"/>
      <c r="BV236" s="207"/>
      <c r="BW236" s="207"/>
      <c r="BX236" s="207"/>
      <c r="BY236" s="207"/>
      <c r="BZ236" s="207"/>
      <c r="CA236" s="207"/>
      <c r="CB236" s="207"/>
      <c r="CC236" s="207"/>
      <c r="CD236" s="207"/>
      <c r="CE236" s="207"/>
      <c r="CF236" s="207"/>
      <c r="CG236" s="207"/>
      <c r="CH236" s="207"/>
      <c r="CI236" s="207"/>
      <c r="CJ236" s="207"/>
      <c r="CK236" s="207"/>
      <c r="CL236" s="207"/>
      <c r="CM236" s="207"/>
      <c r="CN236" s="207"/>
      <c r="CO236" s="207"/>
      <c r="CP236" s="207"/>
      <c r="CQ236" s="207"/>
      <c r="CR236" s="207"/>
      <c r="CS236" s="207"/>
      <c r="CT236" s="207"/>
      <c r="CU236" s="207"/>
      <c r="CV236" s="207"/>
      <c r="CW236" s="207"/>
      <c r="CX236" s="207"/>
      <c r="CY236" s="207"/>
      <c r="CZ236" s="207"/>
      <c r="DA236" s="207"/>
      <c r="DB236" s="207"/>
      <c r="DC236" s="207"/>
      <c r="DD236" s="207"/>
      <c r="DE236" s="207"/>
      <c r="DF236" s="207"/>
      <c r="DG236" s="207"/>
      <c r="DH236" s="207"/>
      <c r="DI236" s="207"/>
      <c r="DJ236" s="207"/>
      <c r="DK236" s="207"/>
      <c r="DL236" s="207"/>
      <c r="DM236" s="207"/>
      <c r="DN236" s="207"/>
      <c r="DO236" s="207"/>
      <c r="DP236" s="207"/>
      <c r="DQ236" s="207"/>
      <c r="DR236" s="207"/>
      <c r="DS236" s="207"/>
      <c r="DT236" s="207"/>
      <c r="DU236" s="207"/>
      <c r="DV236" s="207"/>
      <c r="DW236" s="207"/>
      <c r="DX236" s="207"/>
      <c r="DY236" s="207"/>
      <c r="DZ236" s="207"/>
      <c r="EA236" s="207"/>
      <c r="EB236" s="207"/>
      <c r="EC236" s="207"/>
      <c r="ED236" s="207"/>
      <c r="EE236" s="207"/>
      <c r="EF236" s="207"/>
      <c r="EG236" s="207"/>
      <c r="EH236" s="207"/>
      <c r="EI236" s="207"/>
      <c r="EJ236" s="207"/>
      <c r="EK236" s="207"/>
      <c r="EL236" s="207"/>
      <c r="EM236" s="207"/>
      <c r="EN236" s="207"/>
      <c r="EO236" s="207"/>
      <c r="EP236" s="207"/>
      <c r="EQ236" s="207"/>
      <c r="ER236" s="207"/>
      <c r="ES236" s="207"/>
      <c r="ET236" s="207"/>
      <c r="EU236" s="207"/>
      <c r="EV236" s="207"/>
      <c r="EW236" s="207"/>
      <c r="EX236" s="207"/>
      <c r="EY236" s="207"/>
      <c r="EZ236" s="207"/>
      <c r="FA236" s="207"/>
      <c r="FB236" s="207"/>
      <c r="FC236" s="207"/>
      <c r="FD236" s="207"/>
      <c r="FE236" s="207"/>
      <c r="FF236" s="207"/>
      <c r="FG236" s="207"/>
      <c r="FH236" s="207"/>
      <c r="FI236" s="207"/>
      <c r="FJ236" s="207"/>
      <c r="FK236" s="207"/>
      <c r="FL236" s="207"/>
      <c r="FM236" s="207"/>
      <c r="FN236" s="207"/>
      <c r="FO236" s="207"/>
      <c r="FP236" s="207"/>
      <c r="FQ236" s="207"/>
      <c r="FR236" s="207"/>
      <c r="FS236" s="208"/>
      <c r="FT236" s="156"/>
    </row>
    <row r="237" spans="1:176" ht="15" outlineLevel="1">
      <c r="A237" s="206" t="s">
        <v>1503</v>
      </c>
      <c r="B237" s="200" t="s">
        <v>151</v>
      </c>
      <c r="C237" s="34"/>
      <c r="D237" s="34"/>
      <c r="E237" s="34"/>
      <c r="F237" s="34"/>
      <c r="G237" s="34"/>
      <c r="H237" s="37" t="s">
        <v>488</v>
      </c>
      <c r="I237" s="38"/>
      <c r="J237" s="38"/>
      <c r="K237" s="38"/>
      <c r="L237" s="38"/>
      <c r="M237" s="38"/>
      <c r="N237" s="38"/>
      <c r="O237" s="38"/>
      <c r="P237" s="38"/>
      <c r="Q237" s="38"/>
      <c r="R237" s="177">
        <f t="shared" si="32"/>
        <v>0</v>
      </c>
      <c r="S237" s="202">
        <f t="shared" si="34"/>
        <v>0</v>
      </c>
      <c r="T237" s="202">
        <f t="shared" si="35"/>
        <v>0</v>
      </c>
      <c r="U237" s="18"/>
      <c r="V237" s="206" t="str">
        <f t="shared" si="31"/>
        <v>5-24</v>
      </c>
      <c r="W237" s="215" t="str">
        <f t="shared" si="33"/>
        <v/>
      </c>
      <c r="X237" s="110"/>
      <c r="Y237" s="109"/>
      <c r="Z237" s="207"/>
      <c r="AA237" s="207"/>
      <c r="AB237" s="207"/>
      <c r="AC237" s="207"/>
      <c r="AD237" s="207"/>
      <c r="AE237" s="207"/>
      <c r="AF237" s="207"/>
      <c r="AG237" s="207"/>
      <c r="AH237" s="207"/>
      <c r="AI237" s="207"/>
      <c r="AJ237" s="207"/>
      <c r="AK237" s="207"/>
      <c r="AL237" s="207"/>
      <c r="AM237" s="207"/>
      <c r="AN237" s="207"/>
      <c r="AO237" s="207"/>
      <c r="AP237" s="207"/>
      <c r="AQ237" s="207"/>
      <c r="AR237" s="207"/>
      <c r="AS237" s="207"/>
      <c r="AT237" s="207"/>
      <c r="AU237" s="207"/>
      <c r="AV237" s="207"/>
      <c r="AW237" s="207"/>
      <c r="AX237" s="207"/>
      <c r="AY237" s="207"/>
      <c r="AZ237" s="207"/>
      <c r="BA237" s="207"/>
      <c r="BB237" s="207"/>
      <c r="BC237" s="207"/>
      <c r="BD237" s="207"/>
      <c r="BE237" s="207"/>
      <c r="BF237" s="207"/>
      <c r="BG237" s="207"/>
      <c r="BH237" s="207"/>
      <c r="BI237" s="207"/>
      <c r="BJ237" s="207"/>
      <c r="BK237" s="207"/>
      <c r="BL237" s="207"/>
      <c r="BM237" s="207"/>
      <c r="BN237" s="207"/>
      <c r="BO237" s="207"/>
      <c r="BP237" s="207"/>
      <c r="BQ237" s="207"/>
      <c r="BR237" s="207"/>
      <c r="BS237" s="207"/>
      <c r="BT237" s="207"/>
      <c r="BU237" s="207"/>
      <c r="BV237" s="207"/>
      <c r="BW237" s="207"/>
      <c r="BX237" s="207"/>
      <c r="BY237" s="207"/>
      <c r="BZ237" s="207"/>
      <c r="CA237" s="207"/>
      <c r="CB237" s="207"/>
      <c r="CC237" s="207"/>
      <c r="CD237" s="207"/>
      <c r="CE237" s="207"/>
      <c r="CF237" s="207"/>
      <c r="CG237" s="207"/>
      <c r="CH237" s="207"/>
      <c r="CI237" s="207"/>
      <c r="CJ237" s="207"/>
      <c r="CK237" s="207"/>
      <c r="CL237" s="207"/>
      <c r="CM237" s="207"/>
      <c r="CN237" s="207"/>
      <c r="CO237" s="207"/>
      <c r="CP237" s="207"/>
      <c r="CQ237" s="207"/>
      <c r="CR237" s="207"/>
      <c r="CS237" s="207"/>
      <c r="CT237" s="207"/>
      <c r="CU237" s="207"/>
      <c r="CV237" s="207"/>
      <c r="CW237" s="207"/>
      <c r="CX237" s="207"/>
      <c r="CY237" s="207"/>
      <c r="CZ237" s="207"/>
      <c r="DA237" s="207"/>
      <c r="DB237" s="207"/>
      <c r="DC237" s="207"/>
      <c r="DD237" s="207"/>
      <c r="DE237" s="207"/>
      <c r="DF237" s="207"/>
      <c r="DG237" s="207"/>
      <c r="DH237" s="207"/>
      <c r="DI237" s="207"/>
      <c r="DJ237" s="207"/>
      <c r="DK237" s="207"/>
      <c r="DL237" s="207"/>
      <c r="DM237" s="207"/>
      <c r="DN237" s="207"/>
      <c r="DO237" s="207"/>
      <c r="DP237" s="207"/>
      <c r="DQ237" s="207"/>
      <c r="DR237" s="207"/>
      <c r="DS237" s="207"/>
      <c r="DT237" s="207"/>
      <c r="DU237" s="207"/>
      <c r="DV237" s="207"/>
      <c r="DW237" s="207"/>
      <c r="DX237" s="207"/>
      <c r="DY237" s="207"/>
      <c r="DZ237" s="207"/>
      <c r="EA237" s="207"/>
      <c r="EB237" s="207"/>
      <c r="EC237" s="207"/>
      <c r="ED237" s="207"/>
      <c r="EE237" s="207"/>
      <c r="EF237" s="207"/>
      <c r="EG237" s="207"/>
      <c r="EH237" s="207"/>
      <c r="EI237" s="207"/>
      <c r="EJ237" s="207"/>
      <c r="EK237" s="207"/>
      <c r="EL237" s="207"/>
      <c r="EM237" s="207"/>
      <c r="EN237" s="207"/>
      <c r="EO237" s="207"/>
      <c r="EP237" s="207"/>
      <c r="EQ237" s="207"/>
      <c r="ER237" s="207"/>
      <c r="ES237" s="207"/>
      <c r="ET237" s="207"/>
      <c r="EU237" s="207"/>
      <c r="EV237" s="207"/>
      <c r="EW237" s="207"/>
      <c r="EX237" s="207"/>
      <c r="EY237" s="207"/>
      <c r="EZ237" s="207"/>
      <c r="FA237" s="207"/>
      <c r="FB237" s="207"/>
      <c r="FC237" s="207"/>
      <c r="FD237" s="207"/>
      <c r="FE237" s="207"/>
      <c r="FF237" s="207"/>
      <c r="FG237" s="207"/>
      <c r="FH237" s="207"/>
      <c r="FI237" s="207"/>
      <c r="FJ237" s="207"/>
      <c r="FK237" s="207"/>
      <c r="FL237" s="207"/>
      <c r="FM237" s="207"/>
      <c r="FN237" s="207"/>
      <c r="FO237" s="207"/>
      <c r="FP237" s="207"/>
      <c r="FQ237" s="207"/>
      <c r="FR237" s="207"/>
      <c r="FS237" s="208"/>
      <c r="FT237" s="156"/>
    </row>
    <row r="238" spans="1:176" ht="15" outlineLevel="1">
      <c r="A238" s="206" t="s">
        <v>1504</v>
      </c>
      <c r="B238" s="200" t="s">
        <v>151</v>
      </c>
      <c r="C238" s="34"/>
      <c r="D238" s="34"/>
      <c r="E238" s="34"/>
      <c r="F238" s="34"/>
      <c r="G238" s="34"/>
      <c r="H238" s="37" t="s">
        <v>488</v>
      </c>
      <c r="I238" s="38"/>
      <c r="J238" s="38"/>
      <c r="K238" s="38"/>
      <c r="L238" s="38"/>
      <c r="M238" s="38"/>
      <c r="N238" s="38"/>
      <c r="O238" s="38"/>
      <c r="P238" s="38"/>
      <c r="Q238" s="38"/>
      <c r="R238" s="177">
        <f t="shared" si="32"/>
        <v>0</v>
      </c>
      <c r="S238" s="202">
        <f t="shared" si="34"/>
        <v>0</v>
      </c>
      <c r="T238" s="202">
        <f t="shared" si="35"/>
        <v>0</v>
      </c>
      <c r="U238" s="18"/>
      <c r="V238" s="206" t="str">
        <f t="shared" si="31"/>
        <v>5-25</v>
      </c>
      <c r="W238" s="215" t="str">
        <f t="shared" si="33"/>
        <v/>
      </c>
      <c r="X238" s="110"/>
      <c r="Y238" s="109"/>
      <c r="Z238" s="207"/>
      <c r="AA238" s="207"/>
      <c r="AB238" s="207"/>
      <c r="AC238" s="207"/>
      <c r="AD238" s="207"/>
      <c r="AE238" s="207"/>
      <c r="AF238" s="207"/>
      <c r="AG238" s="207"/>
      <c r="AH238" s="207"/>
      <c r="AI238" s="207"/>
      <c r="AJ238" s="207"/>
      <c r="AK238" s="207"/>
      <c r="AL238" s="207"/>
      <c r="AM238" s="207"/>
      <c r="AN238" s="207"/>
      <c r="AO238" s="207"/>
      <c r="AP238" s="207"/>
      <c r="AQ238" s="207"/>
      <c r="AR238" s="207"/>
      <c r="AS238" s="207"/>
      <c r="AT238" s="207"/>
      <c r="AU238" s="207"/>
      <c r="AV238" s="207"/>
      <c r="AW238" s="207"/>
      <c r="AX238" s="207"/>
      <c r="AY238" s="207"/>
      <c r="AZ238" s="207"/>
      <c r="BA238" s="207"/>
      <c r="BB238" s="207"/>
      <c r="BC238" s="207"/>
      <c r="BD238" s="207"/>
      <c r="BE238" s="207"/>
      <c r="BF238" s="207"/>
      <c r="BG238" s="207"/>
      <c r="BH238" s="207"/>
      <c r="BI238" s="207"/>
      <c r="BJ238" s="207"/>
      <c r="BK238" s="207"/>
      <c r="BL238" s="207"/>
      <c r="BM238" s="207"/>
      <c r="BN238" s="207"/>
      <c r="BO238" s="207"/>
      <c r="BP238" s="207"/>
      <c r="BQ238" s="207"/>
      <c r="BR238" s="207"/>
      <c r="BS238" s="207"/>
      <c r="BT238" s="207"/>
      <c r="BU238" s="207"/>
      <c r="BV238" s="207"/>
      <c r="BW238" s="207"/>
      <c r="BX238" s="207"/>
      <c r="BY238" s="207"/>
      <c r="BZ238" s="207"/>
      <c r="CA238" s="207"/>
      <c r="CB238" s="207"/>
      <c r="CC238" s="207"/>
      <c r="CD238" s="207"/>
      <c r="CE238" s="207"/>
      <c r="CF238" s="207"/>
      <c r="CG238" s="207"/>
      <c r="CH238" s="207"/>
      <c r="CI238" s="207"/>
      <c r="CJ238" s="207"/>
      <c r="CK238" s="207"/>
      <c r="CL238" s="207"/>
      <c r="CM238" s="207"/>
      <c r="CN238" s="207"/>
      <c r="CO238" s="207"/>
      <c r="CP238" s="207"/>
      <c r="CQ238" s="207"/>
      <c r="CR238" s="207"/>
      <c r="CS238" s="207"/>
      <c r="CT238" s="207"/>
      <c r="CU238" s="207"/>
      <c r="CV238" s="207"/>
      <c r="CW238" s="207"/>
      <c r="CX238" s="207"/>
      <c r="CY238" s="207"/>
      <c r="CZ238" s="207"/>
      <c r="DA238" s="207"/>
      <c r="DB238" s="207"/>
      <c r="DC238" s="207"/>
      <c r="DD238" s="207"/>
      <c r="DE238" s="207"/>
      <c r="DF238" s="207"/>
      <c r="DG238" s="207"/>
      <c r="DH238" s="207"/>
      <c r="DI238" s="207"/>
      <c r="DJ238" s="207"/>
      <c r="DK238" s="207"/>
      <c r="DL238" s="207"/>
      <c r="DM238" s="207"/>
      <c r="DN238" s="207"/>
      <c r="DO238" s="207"/>
      <c r="DP238" s="207"/>
      <c r="DQ238" s="207"/>
      <c r="DR238" s="207"/>
      <c r="DS238" s="207"/>
      <c r="DT238" s="207"/>
      <c r="DU238" s="207"/>
      <c r="DV238" s="207"/>
      <c r="DW238" s="207"/>
      <c r="DX238" s="207"/>
      <c r="DY238" s="207"/>
      <c r="DZ238" s="207"/>
      <c r="EA238" s="207"/>
      <c r="EB238" s="207"/>
      <c r="EC238" s="207"/>
      <c r="ED238" s="207"/>
      <c r="EE238" s="207"/>
      <c r="EF238" s="207"/>
      <c r="EG238" s="207"/>
      <c r="EH238" s="207"/>
      <c r="EI238" s="207"/>
      <c r="EJ238" s="207"/>
      <c r="EK238" s="207"/>
      <c r="EL238" s="207"/>
      <c r="EM238" s="207"/>
      <c r="EN238" s="207"/>
      <c r="EO238" s="207"/>
      <c r="EP238" s="207"/>
      <c r="EQ238" s="207"/>
      <c r="ER238" s="207"/>
      <c r="ES238" s="207"/>
      <c r="ET238" s="207"/>
      <c r="EU238" s="207"/>
      <c r="EV238" s="207"/>
      <c r="EW238" s="207"/>
      <c r="EX238" s="207"/>
      <c r="EY238" s="207"/>
      <c r="EZ238" s="207"/>
      <c r="FA238" s="207"/>
      <c r="FB238" s="207"/>
      <c r="FC238" s="207"/>
      <c r="FD238" s="207"/>
      <c r="FE238" s="207"/>
      <c r="FF238" s="207"/>
      <c r="FG238" s="207"/>
      <c r="FH238" s="207"/>
      <c r="FI238" s="207"/>
      <c r="FJ238" s="207"/>
      <c r="FK238" s="207"/>
      <c r="FL238" s="207"/>
      <c r="FM238" s="207"/>
      <c r="FN238" s="207"/>
      <c r="FO238" s="207"/>
      <c r="FP238" s="207"/>
      <c r="FQ238" s="207"/>
      <c r="FR238" s="207"/>
      <c r="FS238" s="208"/>
      <c r="FT238" s="156"/>
    </row>
    <row r="239" spans="1:176" ht="15" outlineLevel="1">
      <c r="A239" s="206" t="s">
        <v>1505</v>
      </c>
      <c r="B239" s="200" t="s">
        <v>151</v>
      </c>
      <c r="C239" s="34"/>
      <c r="D239" s="34"/>
      <c r="E239" s="34"/>
      <c r="F239" s="34"/>
      <c r="G239" s="34"/>
      <c r="H239" s="37" t="s">
        <v>488</v>
      </c>
      <c r="I239" s="38"/>
      <c r="J239" s="38"/>
      <c r="K239" s="38"/>
      <c r="L239" s="38"/>
      <c r="M239" s="38"/>
      <c r="N239" s="38"/>
      <c r="O239" s="38"/>
      <c r="P239" s="38"/>
      <c r="Q239" s="38"/>
      <c r="R239" s="177">
        <f t="shared" si="32"/>
        <v>0</v>
      </c>
      <c r="S239" s="202">
        <f t="shared" si="34"/>
        <v>0</v>
      </c>
      <c r="T239" s="202">
        <f t="shared" si="35"/>
        <v>0</v>
      </c>
      <c r="U239" s="18"/>
      <c r="V239" s="206" t="str">
        <f t="shared" si="31"/>
        <v>5-26</v>
      </c>
      <c r="W239" s="215" t="str">
        <f t="shared" si="33"/>
        <v/>
      </c>
      <c r="X239" s="110"/>
      <c r="Y239" s="109"/>
      <c r="Z239" s="207"/>
      <c r="AA239" s="207"/>
      <c r="AB239" s="207"/>
      <c r="AC239" s="207"/>
      <c r="AD239" s="207"/>
      <c r="AE239" s="207"/>
      <c r="AF239" s="207"/>
      <c r="AG239" s="207"/>
      <c r="AH239" s="207"/>
      <c r="AI239" s="207"/>
      <c r="AJ239" s="207"/>
      <c r="AK239" s="207"/>
      <c r="AL239" s="207"/>
      <c r="AM239" s="207"/>
      <c r="AN239" s="207"/>
      <c r="AO239" s="207"/>
      <c r="AP239" s="207"/>
      <c r="AQ239" s="207"/>
      <c r="AR239" s="207"/>
      <c r="AS239" s="207"/>
      <c r="AT239" s="207"/>
      <c r="AU239" s="207"/>
      <c r="AV239" s="207"/>
      <c r="AW239" s="207"/>
      <c r="AX239" s="207"/>
      <c r="AY239" s="207"/>
      <c r="AZ239" s="207"/>
      <c r="BA239" s="207"/>
      <c r="BB239" s="207"/>
      <c r="BC239" s="207"/>
      <c r="BD239" s="207"/>
      <c r="BE239" s="207"/>
      <c r="BF239" s="207"/>
      <c r="BG239" s="207"/>
      <c r="BH239" s="207"/>
      <c r="BI239" s="207"/>
      <c r="BJ239" s="207"/>
      <c r="BK239" s="207"/>
      <c r="BL239" s="207"/>
      <c r="BM239" s="207"/>
      <c r="BN239" s="207"/>
      <c r="BO239" s="207"/>
      <c r="BP239" s="207"/>
      <c r="BQ239" s="207"/>
      <c r="BR239" s="207"/>
      <c r="BS239" s="207"/>
      <c r="BT239" s="207"/>
      <c r="BU239" s="207"/>
      <c r="BV239" s="207"/>
      <c r="BW239" s="207"/>
      <c r="BX239" s="207"/>
      <c r="BY239" s="207"/>
      <c r="BZ239" s="207"/>
      <c r="CA239" s="207"/>
      <c r="CB239" s="207"/>
      <c r="CC239" s="207"/>
      <c r="CD239" s="207"/>
      <c r="CE239" s="207"/>
      <c r="CF239" s="207"/>
      <c r="CG239" s="207"/>
      <c r="CH239" s="207"/>
      <c r="CI239" s="207"/>
      <c r="CJ239" s="207"/>
      <c r="CK239" s="207"/>
      <c r="CL239" s="207"/>
      <c r="CM239" s="207"/>
      <c r="CN239" s="207"/>
      <c r="CO239" s="207"/>
      <c r="CP239" s="207"/>
      <c r="CQ239" s="207"/>
      <c r="CR239" s="207"/>
      <c r="CS239" s="207"/>
      <c r="CT239" s="207"/>
      <c r="CU239" s="207"/>
      <c r="CV239" s="207"/>
      <c r="CW239" s="207"/>
      <c r="CX239" s="207"/>
      <c r="CY239" s="207"/>
      <c r="CZ239" s="207"/>
      <c r="DA239" s="207"/>
      <c r="DB239" s="207"/>
      <c r="DC239" s="207"/>
      <c r="DD239" s="207"/>
      <c r="DE239" s="207"/>
      <c r="DF239" s="207"/>
      <c r="DG239" s="207"/>
      <c r="DH239" s="207"/>
      <c r="DI239" s="207"/>
      <c r="DJ239" s="207"/>
      <c r="DK239" s="207"/>
      <c r="DL239" s="207"/>
      <c r="DM239" s="207"/>
      <c r="DN239" s="207"/>
      <c r="DO239" s="207"/>
      <c r="DP239" s="207"/>
      <c r="DQ239" s="207"/>
      <c r="DR239" s="207"/>
      <c r="DS239" s="207"/>
      <c r="DT239" s="207"/>
      <c r="DU239" s="207"/>
      <c r="DV239" s="207"/>
      <c r="DW239" s="207"/>
      <c r="DX239" s="207"/>
      <c r="DY239" s="207"/>
      <c r="DZ239" s="207"/>
      <c r="EA239" s="207"/>
      <c r="EB239" s="207"/>
      <c r="EC239" s="207"/>
      <c r="ED239" s="207"/>
      <c r="EE239" s="207"/>
      <c r="EF239" s="207"/>
      <c r="EG239" s="207"/>
      <c r="EH239" s="207"/>
      <c r="EI239" s="207"/>
      <c r="EJ239" s="207"/>
      <c r="EK239" s="207"/>
      <c r="EL239" s="207"/>
      <c r="EM239" s="207"/>
      <c r="EN239" s="207"/>
      <c r="EO239" s="207"/>
      <c r="EP239" s="207"/>
      <c r="EQ239" s="207"/>
      <c r="ER239" s="207"/>
      <c r="ES239" s="207"/>
      <c r="ET239" s="207"/>
      <c r="EU239" s="207"/>
      <c r="EV239" s="207"/>
      <c r="EW239" s="207"/>
      <c r="EX239" s="207"/>
      <c r="EY239" s="207"/>
      <c r="EZ239" s="207"/>
      <c r="FA239" s="207"/>
      <c r="FB239" s="207"/>
      <c r="FC239" s="207"/>
      <c r="FD239" s="207"/>
      <c r="FE239" s="207"/>
      <c r="FF239" s="207"/>
      <c r="FG239" s="207"/>
      <c r="FH239" s="207"/>
      <c r="FI239" s="207"/>
      <c r="FJ239" s="207"/>
      <c r="FK239" s="207"/>
      <c r="FL239" s="207"/>
      <c r="FM239" s="207"/>
      <c r="FN239" s="207"/>
      <c r="FO239" s="207"/>
      <c r="FP239" s="207"/>
      <c r="FQ239" s="207"/>
      <c r="FR239" s="207"/>
      <c r="FS239" s="208"/>
      <c r="FT239" s="156"/>
    </row>
    <row r="240" spans="1:176" ht="15" outlineLevel="1">
      <c r="A240" s="206" t="s">
        <v>1506</v>
      </c>
      <c r="B240" s="200" t="s">
        <v>151</v>
      </c>
      <c r="C240" s="34"/>
      <c r="D240" s="34"/>
      <c r="E240" s="34"/>
      <c r="F240" s="34"/>
      <c r="G240" s="34"/>
      <c r="H240" s="37" t="s">
        <v>488</v>
      </c>
      <c r="I240" s="38"/>
      <c r="J240" s="38"/>
      <c r="K240" s="38"/>
      <c r="L240" s="38"/>
      <c r="M240" s="38"/>
      <c r="N240" s="38"/>
      <c r="O240" s="38"/>
      <c r="P240" s="38"/>
      <c r="Q240" s="38"/>
      <c r="R240" s="177">
        <f t="shared" si="32"/>
        <v>0</v>
      </c>
      <c r="S240" s="202">
        <f t="shared" si="34"/>
        <v>0</v>
      </c>
      <c r="T240" s="202">
        <f t="shared" si="35"/>
        <v>0</v>
      </c>
      <c r="U240" s="18"/>
      <c r="V240" s="206" t="str">
        <f t="shared" si="31"/>
        <v>5-27</v>
      </c>
      <c r="W240" s="215" t="str">
        <f t="shared" si="33"/>
        <v/>
      </c>
      <c r="X240" s="110"/>
      <c r="Y240" s="109"/>
      <c r="Z240" s="207"/>
      <c r="AA240" s="207"/>
      <c r="AB240" s="207"/>
      <c r="AC240" s="207"/>
      <c r="AD240" s="207"/>
      <c r="AE240" s="207"/>
      <c r="AF240" s="207"/>
      <c r="AG240" s="207"/>
      <c r="AH240" s="207"/>
      <c r="AI240" s="207"/>
      <c r="AJ240" s="207"/>
      <c r="AK240" s="207"/>
      <c r="AL240" s="207"/>
      <c r="AM240" s="207"/>
      <c r="AN240" s="207"/>
      <c r="AO240" s="207"/>
      <c r="AP240" s="207"/>
      <c r="AQ240" s="207"/>
      <c r="AR240" s="207"/>
      <c r="AS240" s="207"/>
      <c r="AT240" s="207"/>
      <c r="AU240" s="207"/>
      <c r="AV240" s="207"/>
      <c r="AW240" s="207"/>
      <c r="AX240" s="207"/>
      <c r="AY240" s="207"/>
      <c r="AZ240" s="207"/>
      <c r="BA240" s="207"/>
      <c r="BB240" s="207"/>
      <c r="BC240" s="207"/>
      <c r="BD240" s="207"/>
      <c r="BE240" s="207"/>
      <c r="BF240" s="207"/>
      <c r="BG240" s="207"/>
      <c r="BH240" s="207"/>
      <c r="BI240" s="207"/>
      <c r="BJ240" s="207"/>
      <c r="BK240" s="207"/>
      <c r="BL240" s="207"/>
      <c r="BM240" s="207"/>
      <c r="BN240" s="207"/>
      <c r="BO240" s="207"/>
      <c r="BP240" s="207"/>
      <c r="BQ240" s="207"/>
      <c r="BR240" s="207"/>
      <c r="BS240" s="207"/>
      <c r="BT240" s="207"/>
      <c r="BU240" s="207"/>
      <c r="BV240" s="207"/>
      <c r="BW240" s="207"/>
      <c r="BX240" s="207"/>
      <c r="BY240" s="207"/>
      <c r="BZ240" s="207"/>
      <c r="CA240" s="207"/>
      <c r="CB240" s="207"/>
      <c r="CC240" s="207"/>
      <c r="CD240" s="207"/>
      <c r="CE240" s="207"/>
      <c r="CF240" s="207"/>
      <c r="CG240" s="207"/>
      <c r="CH240" s="207"/>
      <c r="CI240" s="207"/>
      <c r="CJ240" s="207"/>
      <c r="CK240" s="207"/>
      <c r="CL240" s="207"/>
      <c r="CM240" s="207"/>
      <c r="CN240" s="207"/>
      <c r="CO240" s="207"/>
      <c r="CP240" s="207"/>
      <c r="CQ240" s="207"/>
      <c r="CR240" s="207"/>
      <c r="CS240" s="207"/>
      <c r="CT240" s="207"/>
      <c r="CU240" s="207"/>
      <c r="CV240" s="207"/>
      <c r="CW240" s="207"/>
      <c r="CX240" s="207"/>
      <c r="CY240" s="207"/>
      <c r="CZ240" s="207"/>
      <c r="DA240" s="207"/>
      <c r="DB240" s="207"/>
      <c r="DC240" s="207"/>
      <c r="DD240" s="207"/>
      <c r="DE240" s="207"/>
      <c r="DF240" s="207"/>
      <c r="DG240" s="207"/>
      <c r="DH240" s="207"/>
      <c r="DI240" s="207"/>
      <c r="DJ240" s="207"/>
      <c r="DK240" s="207"/>
      <c r="DL240" s="207"/>
      <c r="DM240" s="207"/>
      <c r="DN240" s="207"/>
      <c r="DO240" s="207"/>
      <c r="DP240" s="207"/>
      <c r="DQ240" s="207"/>
      <c r="DR240" s="207"/>
      <c r="DS240" s="207"/>
      <c r="DT240" s="207"/>
      <c r="DU240" s="207"/>
      <c r="DV240" s="207"/>
      <c r="DW240" s="207"/>
      <c r="DX240" s="207"/>
      <c r="DY240" s="207"/>
      <c r="DZ240" s="207"/>
      <c r="EA240" s="207"/>
      <c r="EB240" s="207"/>
      <c r="EC240" s="207"/>
      <c r="ED240" s="207"/>
      <c r="EE240" s="207"/>
      <c r="EF240" s="207"/>
      <c r="EG240" s="207"/>
      <c r="EH240" s="207"/>
      <c r="EI240" s="207"/>
      <c r="EJ240" s="207"/>
      <c r="EK240" s="207"/>
      <c r="EL240" s="207"/>
      <c r="EM240" s="207"/>
      <c r="EN240" s="207"/>
      <c r="EO240" s="207"/>
      <c r="EP240" s="207"/>
      <c r="EQ240" s="207"/>
      <c r="ER240" s="207"/>
      <c r="ES240" s="207"/>
      <c r="ET240" s="207"/>
      <c r="EU240" s="207"/>
      <c r="EV240" s="207"/>
      <c r="EW240" s="207"/>
      <c r="EX240" s="207"/>
      <c r="EY240" s="207"/>
      <c r="EZ240" s="207"/>
      <c r="FA240" s="207"/>
      <c r="FB240" s="207"/>
      <c r="FC240" s="207"/>
      <c r="FD240" s="207"/>
      <c r="FE240" s="207"/>
      <c r="FF240" s="207"/>
      <c r="FG240" s="207"/>
      <c r="FH240" s="207"/>
      <c r="FI240" s="207"/>
      <c r="FJ240" s="207"/>
      <c r="FK240" s="207"/>
      <c r="FL240" s="207"/>
      <c r="FM240" s="207"/>
      <c r="FN240" s="207"/>
      <c r="FO240" s="207"/>
      <c r="FP240" s="207"/>
      <c r="FQ240" s="207"/>
      <c r="FR240" s="207"/>
      <c r="FS240" s="208"/>
      <c r="FT240" s="156"/>
    </row>
    <row r="241" spans="1:176" ht="15" outlineLevel="1">
      <c r="A241" s="206" t="s">
        <v>1507</v>
      </c>
      <c r="B241" s="200" t="s">
        <v>151</v>
      </c>
      <c r="C241" s="34"/>
      <c r="D241" s="34"/>
      <c r="E241" s="34"/>
      <c r="F241" s="34"/>
      <c r="G241" s="34"/>
      <c r="H241" s="37" t="s">
        <v>488</v>
      </c>
      <c r="I241" s="38"/>
      <c r="J241" s="38"/>
      <c r="K241" s="38"/>
      <c r="L241" s="38"/>
      <c r="M241" s="38"/>
      <c r="N241" s="38"/>
      <c r="O241" s="38"/>
      <c r="P241" s="38"/>
      <c r="Q241" s="38"/>
      <c r="R241" s="177">
        <f t="shared" si="32"/>
        <v>0</v>
      </c>
      <c r="S241" s="202">
        <f t="shared" si="34"/>
        <v>0</v>
      </c>
      <c r="T241" s="202">
        <f t="shared" si="35"/>
        <v>0</v>
      </c>
      <c r="U241" s="18"/>
      <c r="V241" s="206" t="str">
        <f t="shared" si="31"/>
        <v>5-28</v>
      </c>
      <c r="W241" s="215" t="str">
        <f t="shared" si="33"/>
        <v/>
      </c>
      <c r="X241" s="110"/>
      <c r="Y241" s="109"/>
      <c r="Z241" s="207"/>
      <c r="AA241" s="207"/>
      <c r="AB241" s="207"/>
      <c r="AC241" s="207"/>
      <c r="AD241" s="207"/>
      <c r="AE241" s="207"/>
      <c r="AF241" s="207"/>
      <c r="AG241" s="207"/>
      <c r="AH241" s="207"/>
      <c r="AI241" s="207"/>
      <c r="AJ241" s="207"/>
      <c r="AK241" s="207"/>
      <c r="AL241" s="207"/>
      <c r="AM241" s="207"/>
      <c r="AN241" s="207"/>
      <c r="AO241" s="207"/>
      <c r="AP241" s="207"/>
      <c r="AQ241" s="207"/>
      <c r="AR241" s="207"/>
      <c r="AS241" s="207"/>
      <c r="AT241" s="207"/>
      <c r="AU241" s="207"/>
      <c r="AV241" s="207"/>
      <c r="AW241" s="207"/>
      <c r="AX241" s="207"/>
      <c r="AY241" s="207"/>
      <c r="AZ241" s="207"/>
      <c r="BA241" s="207"/>
      <c r="BB241" s="207"/>
      <c r="BC241" s="207"/>
      <c r="BD241" s="207"/>
      <c r="BE241" s="207"/>
      <c r="BF241" s="207"/>
      <c r="BG241" s="207"/>
      <c r="BH241" s="207"/>
      <c r="BI241" s="207"/>
      <c r="BJ241" s="207"/>
      <c r="BK241" s="207"/>
      <c r="BL241" s="207"/>
      <c r="BM241" s="207"/>
      <c r="BN241" s="207"/>
      <c r="BO241" s="207"/>
      <c r="BP241" s="207"/>
      <c r="BQ241" s="207"/>
      <c r="BR241" s="207"/>
      <c r="BS241" s="207"/>
      <c r="BT241" s="207"/>
      <c r="BU241" s="207"/>
      <c r="BV241" s="207"/>
      <c r="BW241" s="207"/>
      <c r="BX241" s="207"/>
      <c r="BY241" s="207"/>
      <c r="BZ241" s="207"/>
      <c r="CA241" s="207"/>
      <c r="CB241" s="207"/>
      <c r="CC241" s="207"/>
      <c r="CD241" s="207"/>
      <c r="CE241" s="207"/>
      <c r="CF241" s="207"/>
      <c r="CG241" s="207"/>
      <c r="CH241" s="207"/>
      <c r="CI241" s="207"/>
      <c r="CJ241" s="207"/>
      <c r="CK241" s="207"/>
      <c r="CL241" s="207"/>
      <c r="CM241" s="207"/>
      <c r="CN241" s="207"/>
      <c r="CO241" s="207"/>
      <c r="CP241" s="207"/>
      <c r="CQ241" s="207"/>
      <c r="CR241" s="207"/>
      <c r="CS241" s="207"/>
      <c r="CT241" s="207"/>
      <c r="CU241" s="207"/>
      <c r="CV241" s="207"/>
      <c r="CW241" s="207"/>
      <c r="CX241" s="207"/>
      <c r="CY241" s="207"/>
      <c r="CZ241" s="207"/>
      <c r="DA241" s="207"/>
      <c r="DB241" s="207"/>
      <c r="DC241" s="207"/>
      <c r="DD241" s="207"/>
      <c r="DE241" s="207"/>
      <c r="DF241" s="207"/>
      <c r="DG241" s="207"/>
      <c r="DH241" s="207"/>
      <c r="DI241" s="207"/>
      <c r="DJ241" s="207"/>
      <c r="DK241" s="207"/>
      <c r="DL241" s="207"/>
      <c r="DM241" s="207"/>
      <c r="DN241" s="207"/>
      <c r="DO241" s="207"/>
      <c r="DP241" s="207"/>
      <c r="DQ241" s="207"/>
      <c r="DR241" s="207"/>
      <c r="DS241" s="207"/>
      <c r="DT241" s="207"/>
      <c r="DU241" s="207"/>
      <c r="DV241" s="207"/>
      <c r="DW241" s="207"/>
      <c r="DX241" s="207"/>
      <c r="DY241" s="207"/>
      <c r="DZ241" s="207"/>
      <c r="EA241" s="207"/>
      <c r="EB241" s="207"/>
      <c r="EC241" s="207"/>
      <c r="ED241" s="207"/>
      <c r="EE241" s="207"/>
      <c r="EF241" s="207"/>
      <c r="EG241" s="207"/>
      <c r="EH241" s="207"/>
      <c r="EI241" s="207"/>
      <c r="EJ241" s="207"/>
      <c r="EK241" s="207"/>
      <c r="EL241" s="207"/>
      <c r="EM241" s="207"/>
      <c r="EN241" s="207"/>
      <c r="EO241" s="207"/>
      <c r="EP241" s="207"/>
      <c r="EQ241" s="207"/>
      <c r="ER241" s="207"/>
      <c r="ES241" s="207"/>
      <c r="ET241" s="207"/>
      <c r="EU241" s="207"/>
      <c r="EV241" s="207"/>
      <c r="EW241" s="207"/>
      <c r="EX241" s="207"/>
      <c r="EY241" s="207"/>
      <c r="EZ241" s="207"/>
      <c r="FA241" s="207"/>
      <c r="FB241" s="207"/>
      <c r="FC241" s="207"/>
      <c r="FD241" s="207"/>
      <c r="FE241" s="207"/>
      <c r="FF241" s="207"/>
      <c r="FG241" s="207"/>
      <c r="FH241" s="207"/>
      <c r="FI241" s="207"/>
      <c r="FJ241" s="207"/>
      <c r="FK241" s="207"/>
      <c r="FL241" s="207"/>
      <c r="FM241" s="207"/>
      <c r="FN241" s="207"/>
      <c r="FO241" s="207"/>
      <c r="FP241" s="207"/>
      <c r="FQ241" s="207"/>
      <c r="FR241" s="207"/>
      <c r="FS241" s="208"/>
      <c r="FT241" s="156"/>
    </row>
    <row r="242" spans="1:176" ht="15" outlineLevel="1">
      <c r="A242" s="206" t="s">
        <v>1508</v>
      </c>
      <c r="B242" s="200" t="s">
        <v>151</v>
      </c>
      <c r="C242" s="34"/>
      <c r="D242" s="34"/>
      <c r="E242" s="34"/>
      <c r="F242" s="34"/>
      <c r="G242" s="34"/>
      <c r="H242" s="37" t="s">
        <v>488</v>
      </c>
      <c r="I242" s="38"/>
      <c r="J242" s="38"/>
      <c r="K242" s="38"/>
      <c r="L242" s="38"/>
      <c r="M242" s="38"/>
      <c r="N242" s="38"/>
      <c r="O242" s="38"/>
      <c r="P242" s="38"/>
      <c r="Q242" s="38"/>
      <c r="R242" s="177">
        <f t="shared" si="32"/>
        <v>0</v>
      </c>
      <c r="S242" s="202">
        <f t="shared" si="34"/>
        <v>0</v>
      </c>
      <c r="T242" s="202">
        <f t="shared" si="35"/>
        <v>0</v>
      </c>
      <c r="U242" s="18"/>
      <c r="V242" s="206" t="str">
        <f t="shared" si="31"/>
        <v>5-29</v>
      </c>
      <c r="W242" s="215" t="str">
        <f t="shared" si="33"/>
        <v/>
      </c>
      <c r="X242" s="110"/>
      <c r="Y242" s="109"/>
      <c r="Z242" s="207"/>
      <c r="AA242" s="207"/>
      <c r="AB242" s="207"/>
      <c r="AC242" s="207"/>
      <c r="AD242" s="207"/>
      <c r="AE242" s="207"/>
      <c r="AF242" s="207"/>
      <c r="AG242" s="207"/>
      <c r="AH242" s="207"/>
      <c r="AI242" s="207"/>
      <c r="AJ242" s="207"/>
      <c r="AK242" s="207"/>
      <c r="AL242" s="207"/>
      <c r="AM242" s="207"/>
      <c r="AN242" s="207"/>
      <c r="AO242" s="207"/>
      <c r="AP242" s="207"/>
      <c r="AQ242" s="207"/>
      <c r="AR242" s="207"/>
      <c r="AS242" s="207"/>
      <c r="AT242" s="207"/>
      <c r="AU242" s="207"/>
      <c r="AV242" s="207"/>
      <c r="AW242" s="207"/>
      <c r="AX242" s="207"/>
      <c r="AY242" s="207"/>
      <c r="AZ242" s="207"/>
      <c r="BA242" s="207"/>
      <c r="BB242" s="207"/>
      <c r="BC242" s="207"/>
      <c r="BD242" s="207"/>
      <c r="BE242" s="207"/>
      <c r="BF242" s="207"/>
      <c r="BG242" s="207"/>
      <c r="BH242" s="207"/>
      <c r="BI242" s="207"/>
      <c r="BJ242" s="207"/>
      <c r="BK242" s="207"/>
      <c r="BL242" s="207"/>
      <c r="BM242" s="207"/>
      <c r="BN242" s="207"/>
      <c r="BO242" s="207"/>
      <c r="BP242" s="207"/>
      <c r="BQ242" s="207"/>
      <c r="BR242" s="207"/>
      <c r="BS242" s="207"/>
      <c r="BT242" s="207"/>
      <c r="BU242" s="207"/>
      <c r="BV242" s="207"/>
      <c r="BW242" s="207"/>
      <c r="BX242" s="207"/>
      <c r="BY242" s="207"/>
      <c r="BZ242" s="207"/>
      <c r="CA242" s="207"/>
      <c r="CB242" s="207"/>
      <c r="CC242" s="207"/>
      <c r="CD242" s="207"/>
      <c r="CE242" s="207"/>
      <c r="CF242" s="207"/>
      <c r="CG242" s="207"/>
      <c r="CH242" s="207"/>
      <c r="CI242" s="207"/>
      <c r="CJ242" s="207"/>
      <c r="CK242" s="207"/>
      <c r="CL242" s="207"/>
      <c r="CM242" s="207"/>
      <c r="CN242" s="207"/>
      <c r="CO242" s="207"/>
      <c r="CP242" s="207"/>
      <c r="CQ242" s="207"/>
      <c r="CR242" s="207"/>
      <c r="CS242" s="207"/>
      <c r="CT242" s="207"/>
      <c r="CU242" s="207"/>
      <c r="CV242" s="207"/>
      <c r="CW242" s="207"/>
      <c r="CX242" s="207"/>
      <c r="CY242" s="207"/>
      <c r="CZ242" s="207"/>
      <c r="DA242" s="207"/>
      <c r="DB242" s="207"/>
      <c r="DC242" s="207"/>
      <c r="DD242" s="207"/>
      <c r="DE242" s="207"/>
      <c r="DF242" s="207"/>
      <c r="DG242" s="207"/>
      <c r="DH242" s="207"/>
      <c r="DI242" s="207"/>
      <c r="DJ242" s="207"/>
      <c r="DK242" s="207"/>
      <c r="DL242" s="207"/>
      <c r="DM242" s="207"/>
      <c r="DN242" s="207"/>
      <c r="DO242" s="207"/>
      <c r="DP242" s="207"/>
      <c r="DQ242" s="207"/>
      <c r="DR242" s="207"/>
      <c r="DS242" s="207"/>
      <c r="DT242" s="207"/>
      <c r="DU242" s="207"/>
      <c r="DV242" s="207"/>
      <c r="DW242" s="207"/>
      <c r="DX242" s="207"/>
      <c r="DY242" s="207"/>
      <c r="DZ242" s="207"/>
      <c r="EA242" s="207"/>
      <c r="EB242" s="207"/>
      <c r="EC242" s="207"/>
      <c r="ED242" s="207"/>
      <c r="EE242" s="207"/>
      <c r="EF242" s="207"/>
      <c r="EG242" s="207"/>
      <c r="EH242" s="207"/>
      <c r="EI242" s="207"/>
      <c r="EJ242" s="207"/>
      <c r="EK242" s="207"/>
      <c r="EL242" s="207"/>
      <c r="EM242" s="207"/>
      <c r="EN242" s="207"/>
      <c r="EO242" s="207"/>
      <c r="EP242" s="207"/>
      <c r="EQ242" s="207"/>
      <c r="ER242" s="207"/>
      <c r="ES242" s="207"/>
      <c r="ET242" s="207"/>
      <c r="EU242" s="207"/>
      <c r="EV242" s="207"/>
      <c r="EW242" s="207"/>
      <c r="EX242" s="207"/>
      <c r="EY242" s="207"/>
      <c r="EZ242" s="207"/>
      <c r="FA242" s="207"/>
      <c r="FB242" s="207"/>
      <c r="FC242" s="207"/>
      <c r="FD242" s="207"/>
      <c r="FE242" s="207"/>
      <c r="FF242" s="207"/>
      <c r="FG242" s="207"/>
      <c r="FH242" s="207"/>
      <c r="FI242" s="207"/>
      <c r="FJ242" s="207"/>
      <c r="FK242" s="207"/>
      <c r="FL242" s="207"/>
      <c r="FM242" s="207"/>
      <c r="FN242" s="207"/>
      <c r="FO242" s="207"/>
      <c r="FP242" s="207"/>
      <c r="FQ242" s="207"/>
      <c r="FR242" s="207"/>
      <c r="FS242" s="208"/>
      <c r="FT242" s="156"/>
    </row>
    <row r="243" spans="1:176" ht="15" outlineLevel="1">
      <c r="A243" s="206" t="s">
        <v>1509</v>
      </c>
      <c r="B243" s="200" t="s">
        <v>151</v>
      </c>
      <c r="C243" s="34"/>
      <c r="D243" s="34"/>
      <c r="E243" s="34"/>
      <c r="F243" s="34"/>
      <c r="G243" s="34"/>
      <c r="H243" s="37" t="s">
        <v>488</v>
      </c>
      <c r="I243" s="38"/>
      <c r="J243" s="38"/>
      <c r="K243" s="38"/>
      <c r="L243" s="38"/>
      <c r="M243" s="38"/>
      <c r="N243" s="38"/>
      <c r="O243" s="38"/>
      <c r="P243" s="38"/>
      <c r="Q243" s="38"/>
      <c r="R243" s="177">
        <f t="shared" si="32"/>
        <v>0</v>
      </c>
      <c r="S243" s="202">
        <f t="shared" si="34"/>
        <v>0</v>
      </c>
      <c r="T243" s="202">
        <f t="shared" si="35"/>
        <v>0</v>
      </c>
      <c r="U243" s="18"/>
      <c r="V243" s="206" t="str">
        <f t="shared" si="31"/>
        <v>5-30</v>
      </c>
      <c r="W243" s="215" t="str">
        <f t="shared" si="33"/>
        <v/>
      </c>
      <c r="X243" s="110"/>
      <c r="Y243" s="109"/>
      <c r="Z243" s="207"/>
      <c r="AA243" s="207"/>
      <c r="AB243" s="207"/>
      <c r="AC243" s="207"/>
      <c r="AD243" s="207"/>
      <c r="AE243" s="207"/>
      <c r="AF243" s="207"/>
      <c r="AG243" s="207"/>
      <c r="AH243" s="207"/>
      <c r="AI243" s="207"/>
      <c r="AJ243" s="207"/>
      <c r="AK243" s="207"/>
      <c r="AL243" s="207"/>
      <c r="AM243" s="207"/>
      <c r="AN243" s="207"/>
      <c r="AO243" s="207"/>
      <c r="AP243" s="207"/>
      <c r="AQ243" s="207"/>
      <c r="AR243" s="207"/>
      <c r="AS243" s="207"/>
      <c r="AT243" s="207"/>
      <c r="AU243" s="207"/>
      <c r="AV243" s="207"/>
      <c r="AW243" s="207"/>
      <c r="AX243" s="207"/>
      <c r="AY243" s="207"/>
      <c r="AZ243" s="207"/>
      <c r="BA243" s="207"/>
      <c r="BB243" s="207"/>
      <c r="BC243" s="207"/>
      <c r="BD243" s="207"/>
      <c r="BE243" s="207"/>
      <c r="BF243" s="207"/>
      <c r="BG243" s="207"/>
      <c r="BH243" s="207"/>
      <c r="BI243" s="207"/>
      <c r="BJ243" s="207"/>
      <c r="BK243" s="207"/>
      <c r="BL243" s="207"/>
      <c r="BM243" s="207"/>
      <c r="BN243" s="207"/>
      <c r="BO243" s="207"/>
      <c r="BP243" s="207"/>
      <c r="BQ243" s="207"/>
      <c r="BR243" s="207"/>
      <c r="BS243" s="207"/>
      <c r="BT243" s="207"/>
      <c r="BU243" s="207"/>
      <c r="BV243" s="207"/>
      <c r="BW243" s="207"/>
      <c r="BX243" s="207"/>
      <c r="BY243" s="207"/>
      <c r="BZ243" s="207"/>
      <c r="CA243" s="207"/>
      <c r="CB243" s="207"/>
      <c r="CC243" s="207"/>
      <c r="CD243" s="207"/>
      <c r="CE243" s="207"/>
      <c r="CF243" s="207"/>
      <c r="CG243" s="207"/>
      <c r="CH243" s="207"/>
      <c r="CI243" s="207"/>
      <c r="CJ243" s="207"/>
      <c r="CK243" s="207"/>
      <c r="CL243" s="207"/>
      <c r="CM243" s="207"/>
      <c r="CN243" s="207"/>
      <c r="CO243" s="207"/>
      <c r="CP243" s="207"/>
      <c r="CQ243" s="207"/>
      <c r="CR243" s="207"/>
      <c r="CS243" s="207"/>
      <c r="CT243" s="207"/>
      <c r="CU243" s="207"/>
      <c r="CV243" s="207"/>
      <c r="CW243" s="207"/>
      <c r="CX243" s="207"/>
      <c r="CY243" s="207"/>
      <c r="CZ243" s="207"/>
      <c r="DA243" s="207"/>
      <c r="DB243" s="207"/>
      <c r="DC243" s="207"/>
      <c r="DD243" s="207"/>
      <c r="DE243" s="207"/>
      <c r="DF243" s="207"/>
      <c r="DG243" s="207"/>
      <c r="DH243" s="207"/>
      <c r="DI243" s="207"/>
      <c r="DJ243" s="207"/>
      <c r="DK243" s="207"/>
      <c r="DL243" s="207"/>
      <c r="DM243" s="207"/>
      <c r="DN243" s="207"/>
      <c r="DO243" s="207"/>
      <c r="DP243" s="207"/>
      <c r="DQ243" s="207"/>
      <c r="DR243" s="207"/>
      <c r="DS243" s="207"/>
      <c r="DT243" s="207"/>
      <c r="DU243" s="207"/>
      <c r="DV243" s="207"/>
      <c r="DW243" s="207"/>
      <c r="DX243" s="207"/>
      <c r="DY243" s="207"/>
      <c r="DZ243" s="207"/>
      <c r="EA243" s="207"/>
      <c r="EB243" s="207"/>
      <c r="EC243" s="207"/>
      <c r="ED243" s="207"/>
      <c r="EE243" s="207"/>
      <c r="EF243" s="207"/>
      <c r="EG243" s="207"/>
      <c r="EH243" s="207"/>
      <c r="EI243" s="207"/>
      <c r="EJ243" s="207"/>
      <c r="EK243" s="207"/>
      <c r="EL243" s="207"/>
      <c r="EM243" s="207"/>
      <c r="EN243" s="207"/>
      <c r="EO243" s="207"/>
      <c r="EP243" s="207"/>
      <c r="EQ243" s="207"/>
      <c r="ER243" s="207"/>
      <c r="ES243" s="207"/>
      <c r="ET243" s="207"/>
      <c r="EU243" s="207"/>
      <c r="EV243" s="207"/>
      <c r="EW243" s="207"/>
      <c r="EX243" s="207"/>
      <c r="EY243" s="207"/>
      <c r="EZ243" s="207"/>
      <c r="FA243" s="207"/>
      <c r="FB243" s="207"/>
      <c r="FC243" s="207"/>
      <c r="FD243" s="207"/>
      <c r="FE243" s="207"/>
      <c r="FF243" s="207"/>
      <c r="FG243" s="207"/>
      <c r="FH243" s="207"/>
      <c r="FI243" s="207"/>
      <c r="FJ243" s="207"/>
      <c r="FK243" s="207"/>
      <c r="FL243" s="207"/>
      <c r="FM243" s="207"/>
      <c r="FN243" s="207"/>
      <c r="FO243" s="207"/>
      <c r="FP243" s="207"/>
      <c r="FQ243" s="207"/>
      <c r="FR243" s="207"/>
      <c r="FS243" s="208"/>
      <c r="FT243" s="156"/>
    </row>
    <row r="244" spans="1:176" ht="15" outlineLevel="1">
      <c r="A244" s="206" t="s">
        <v>1510</v>
      </c>
      <c r="B244" s="200" t="s">
        <v>151</v>
      </c>
      <c r="C244" s="34"/>
      <c r="D244" s="34"/>
      <c r="E244" s="34"/>
      <c r="F244" s="34"/>
      <c r="G244" s="34"/>
      <c r="H244" s="37" t="s">
        <v>488</v>
      </c>
      <c r="I244" s="38"/>
      <c r="J244" s="38"/>
      <c r="K244" s="38"/>
      <c r="L244" s="38"/>
      <c r="M244" s="38"/>
      <c r="N244" s="38"/>
      <c r="O244" s="38"/>
      <c r="P244" s="38"/>
      <c r="Q244" s="38"/>
      <c r="R244" s="177">
        <f t="shared" si="32"/>
        <v>0</v>
      </c>
      <c r="S244" s="202">
        <f t="shared" si="34"/>
        <v>0</v>
      </c>
      <c r="T244" s="202">
        <f t="shared" si="35"/>
        <v>0</v>
      </c>
      <c r="U244" s="18"/>
      <c r="V244" s="206" t="str">
        <f t="shared" si="31"/>
        <v>5-31</v>
      </c>
      <c r="W244" s="215" t="str">
        <f t="shared" si="33"/>
        <v/>
      </c>
      <c r="X244" s="110"/>
      <c r="Y244" s="109"/>
      <c r="Z244" s="207"/>
      <c r="AA244" s="207"/>
      <c r="AB244" s="207"/>
      <c r="AC244" s="207"/>
      <c r="AD244" s="207"/>
      <c r="AE244" s="207"/>
      <c r="AF244" s="207"/>
      <c r="AG244" s="207"/>
      <c r="AH244" s="207"/>
      <c r="AI244" s="207"/>
      <c r="AJ244" s="207"/>
      <c r="AK244" s="207"/>
      <c r="AL244" s="207"/>
      <c r="AM244" s="207"/>
      <c r="AN244" s="207"/>
      <c r="AO244" s="207"/>
      <c r="AP244" s="207"/>
      <c r="AQ244" s="207"/>
      <c r="AR244" s="207"/>
      <c r="AS244" s="207"/>
      <c r="AT244" s="207"/>
      <c r="AU244" s="207"/>
      <c r="AV244" s="207"/>
      <c r="AW244" s="207"/>
      <c r="AX244" s="207"/>
      <c r="AY244" s="207"/>
      <c r="AZ244" s="207"/>
      <c r="BA244" s="207"/>
      <c r="BB244" s="207"/>
      <c r="BC244" s="207"/>
      <c r="BD244" s="207"/>
      <c r="BE244" s="207"/>
      <c r="BF244" s="207"/>
      <c r="BG244" s="207"/>
      <c r="BH244" s="207"/>
      <c r="BI244" s="207"/>
      <c r="BJ244" s="207"/>
      <c r="BK244" s="207"/>
      <c r="BL244" s="207"/>
      <c r="BM244" s="207"/>
      <c r="BN244" s="207"/>
      <c r="BO244" s="207"/>
      <c r="BP244" s="207"/>
      <c r="BQ244" s="207"/>
      <c r="BR244" s="207"/>
      <c r="BS244" s="207"/>
      <c r="BT244" s="207"/>
      <c r="BU244" s="207"/>
      <c r="BV244" s="207"/>
      <c r="BW244" s="207"/>
      <c r="BX244" s="207"/>
      <c r="BY244" s="207"/>
      <c r="BZ244" s="207"/>
      <c r="CA244" s="207"/>
      <c r="CB244" s="207"/>
      <c r="CC244" s="207"/>
      <c r="CD244" s="207"/>
      <c r="CE244" s="207"/>
      <c r="CF244" s="207"/>
      <c r="CG244" s="207"/>
      <c r="CH244" s="207"/>
      <c r="CI244" s="207"/>
      <c r="CJ244" s="207"/>
      <c r="CK244" s="207"/>
      <c r="CL244" s="207"/>
      <c r="CM244" s="207"/>
      <c r="CN244" s="207"/>
      <c r="CO244" s="207"/>
      <c r="CP244" s="207"/>
      <c r="CQ244" s="207"/>
      <c r="CR244" s="207"/>
      <c r="CS244" s="207"/>
      <c r="CT244" s="207"/>
      <c r="CU244" s="207"/>
      <c r="CV244" s="207"/>
      <c r="CW244" s="207"/>
      <c r="CX244" s="207"/>
      <c r="CY244" s="207"/>
      <c r="CZ244" s="207"/>
      <c r="DA244" s="207"/>
      <c r="DB244" s="207"/>
      <c r="DC244" s="207"/>
      <c r="DD244" s="207"/>
      <c r="DE244" s="207"/>
      <c r="DF244" s="207"/>
      <c r="DG244" s="207"/>
      <c r="DH244" s="207"/>
      <c r="DI244" s="207"/>
      <c r="DJ244" s="207"/>
      <c r="DK244" s="207"/>
      <c r="DL244" s="207"/>
      <c r="DM244" s="207"/>
      <c r="DN244" s="207"/>
      <c r="DO244" s="207"/>
      <c r="DP244" s="207"/>
      <c r="DQ244" s="207"/>
      <c r="DR244" s="207"/>
      <c r="DS244" s="207"/>
      <c r="DT244" s="207"/>
      <c r="DU244" s="207"/>
      <c r="DV244" s="207"/>
      <c r="DW244" s="207"/>
      <c r="DX244" s="207"/>
      <c r="DY244" s="207"/>
      <c r="DZ244" s="207"/>
      <c r="EA244" s="207"/>
      <c r="EB244" s="207"/>
      <c r="EC244" s="207"/>
      <c r="ED244" s="207"/>
      <c r="EE244" s="207"/>
      <c r="EF244" s="207"/>
      <c r="EG244" s="207"/>
      <c r="EH244" s="207"/>
      <c r="EI244" s="207"/>
      <c r="EJ244" s="207"/>
      <c r="EK244" s="207"/>
      <c r="EL244" s="207"/>
      <c r="EM244" s="207"/>
      <c r="EN244" s="207"/>
      <c r="EO244" s="207"/>
      <c r="EP244" s="207"/>
      <c r="EQ244" s="207"/>
      <c r="ER244" s="207"/>
      <c r="ES244" s="207"/>
      <c r="ET244" s="207"/>
      <c r="EU244" s="207"/>
      <c r="EV244" s="207"/>
      <c r="EW244" s="207"/>
      <c r="EX244" s="207"/>
      <c r="EY244" s="207"/>
      <c r="EZ244" s="207"/>
      <c r="FA244" s="207"/>
      <c r="FB244" s="207"/>
      <c r="FC244" s="207"/>
      <c r="FD244" s="207"/>
      <c r="FE244" s="207"/>
      <c r="FF244" s="207"/>
      <c r="FG244" s="207"/>
      <c r="FH244" s="207"/>
      <c r="FI244" s="207"/>
      <c r="FJ244" s="207"/>
      <c r="FK244" s="207"/>
      <c r="FL244" s="207"/>
      <c r="FM244" s="207"/>
      <c r="FN244" s="207"/>
      <c r="FO244" s="207"/>
      <c r="FP244" s="207"/>
      <c r="FQ244" s="207"/>
      <c r="FR244" s="207"/>
      <c r="FS244" s="208"/>
      <c r="FT244" s="156"/>
    </row>
    <row r="245" spans="1:176" ht="15" outlineLevel="1">
      <c r="A245" s="206" t="s">
        <v>1511</v>
      </c>
      <c r="B245" s="200" t="s">
        <v>151</v>
      </c>
      <c r="C245" s="34"/>
      <c r="D245" s="34"/>
      <c r="E245" s="34"/>
      <c r="F245" s="34"/>
      <c r="G245" s="34"/>
      <c r="H245" s="37" t="s">
        <v>488</v>
      </c>
      <c r="I245" s="38"/>
      <c r="J245" s="38"/>
      <c r="K245" s="38"/>
      <c r="L245" s="38"/>
      <c r="M245" s="38"/>
      <c r="N245" s="38"/>
      <c r="O245" s="38"/>
      <c r="P245" s="38"/>
      <c r="Q245" s="38"/>
      <c r="R245" s="177">
        <f t="shared" si="32"/>
        <v>0</v>
      </c>
      <c r="S245" s="202">
        <f t="shared" si="34"/>
        <v>0</v>
      </c>
      <c r="T245" s="202">
        <f t="shared" si="35"/>
        <v>0</v>
      </c>
      <c r="U245" s="18"/>
      <c r="V245" s="206" t="str">
        <f t="shared" si="31"/>
        <v>5-32</v>
      </c>
      <c r="W245" s="215" t="str">
        <f t="shared" si="33"/>
        <v/>
      </c>
      <c r="X245" s="110"/>
      <c r="Y245" s="109"/>
      <c r="Z245" s="207"/>
      <c r="AA245" s="207"/>
      <c r="AB245" s="207"/>
      <c r="AC245" s="207"/>
      <c r="AD245" s="207"/>
      <c r="AE245" s="207"/>
      <c r="AF245" s="207"/>
      <c r="AG245" s="207"/>
      <c r="AH245" s="207"/>
      <c r="AI245" s="207"/>
      <c r="AJ245" s="207"/>
      <c r="AK245" s="207"/>
      <c r="AL245" s="207"/>
      <c r="AM245" s="207"/>
      <c r="AN245" s="207"/>
      <c r="AO245" s="207"/>
      <c r="AP245" s="207"/>
      <c r="AQ245" s="207"/>
      <c r="AR245" s="207"/>
      <c r="AS245" s="207"/>
      <c r="AT245" s="207"/>
      <c r="AU245" s="207"/>
      <c r="AV245" s="207"/>
      <c r="AW245" s="207"/>
      <c r="AX245" s="207"/>
      <c r="AY245" s="207"/>
      <c r="AZ245" s="207"/>
      <c r="BA245" s="207"/>
      <c r="BB245" s="207"/>
      <c r="BC245" s="207"/>
      <c r="BD245" s="207"/>
      <c r="BE245" s="207"/>
      <c r="BF245" s="207"/>
      <c r="BG245" s="207"/>
      <c r="BH245" s="207"/>
      <c r="BI245" s="207"/>
      <c r="BJ245" s="207"/>
      <c r="BK245" s="207"/>
      <c r="BL245" s="207"/>
      <c r="BM245" s="207"/>
      <c r="BN245" s="207"/>
      <c r="BO245" s="207"/>
      <c r="BP245" s="207"/>
      <c r="BQ245" s="207"/>
      <c r="BR245" s="207"/>
      <c r="BS245" s="207"/>
      <c r="BT245" s="207"/>
      <c r="BU245" s="207"/>
      <c r="BV245" s="207"/>
      <c r="BW245" s="207"/>
      <c r="BX245" s="207"/>
      <c r="BY245" s="207"/>
      <c r="BZ245" s="207"/>
      <c r="CA245" s="207"/>
      <c r="CB245" s="207"/>
      <c r="CC245" s="207"/>
      <c r="CD245" s="207"/>
      <c r="CE245" s="207"/>
      <c r="CF245" s="207"/>
      <c r="CG245" s="207"/>
      <c r="CH245" s="207"/>
      <c r="CI245" s="207"/>
      <c r="CJ245" s="207"/>
      <c r="CK245" s="207"/>
      <c r="CL245" s="207"/>
      <c r="CM245" s="207"/>
      <c r="CN245" s="207"/>
      <c r="CO245" s="207"/>
      <c r="CP245" s="207"/>
      <c r="CQ245" s="207"/>
      <c r="CR245" s="207"/>
      <c r="CS245" s="207"/>
      <c r="CT245" s="207"/>
      <c r="CU245" s="207"/>
      <c r="CV245" s="207"/>
      <c r="CW245" s="207"/>
      <c r="CX245" s="207"/>
      <c r="CY245" s="207"/>
      <c r="CZ245" s="207"/>
      <c r="DA245" s="207"/>
      <c r="DB245" s="207"/>
      <c r="DC245" s="207"/>
      <c r="DD245" s="207"/>
      <c r="DE245" s="207"/>
      <c r="DF245" s="207"/>
      <c r="DG245" s="207"/>
      <c r="DH245" s="207"/>
      <c r="DI245" s="207"/>
      <c r="DJ245" s="207"/>
      <c r="DK245" s="207"/>
      <c r="DL245" s="207"/>
      <c r="DM245" s="207"/>
      <c r="DN245" s="207"/>
      <c r="DO245" s="207"/>
      <c r="DP245" s="207"/>
      <c r="DQ245" s="207"/>
      <c r="DR245" s="207"/>
      <c r="DS245" s="207"/>
      <c r="DT245" s="207"/>
      <c r="DU245" s="207"/>
      <c r="DV245" s="207"/>
      <c r="DW245" s="207"/>
      <c r="DX245" s="207"/>
      <c r="DY245" s="207"/>
      <c r="DZ245" s="207"/>
      <c r="EA245" s="207"/>
      <c r="EB245" s="207"/>
      <c r="EC245" s="207"/>
      <c r="ED245" s="207"/>
      <c r="EE245" s="207"/>
      <c r="EF245" s="207"/>
      <c r="EG245" s="207"/>
      <c r="EH245" s="207"/>
      <c r="EI245" s="207"/>
      <c r="EJ245" s="207"/>
      <c r="EK245" s="207"/>
      <c r="EL245" s="207"/>
      <c r="EM245" s="207"/>
      <c r="EN245" s="207"/>
      <c r="EO245" s="207"/>
      <c r="EP245" s="207"/>
      <c r="EQ245" s="207"/>
      <c r="ER245" s="207"/>
      <c r="ES245" s="207"/>
      <c r="ET245" s="207"/>
      <c r="EU245" s="207"/>
      <c r="EV245" s="207"/>
      <c r="EW245" s="207"/>
      <c r="EX245" s="207"/>
      <c r="EY245" s="207"/>
      <c r="EZ245" s="207"/>
      <c r="FA245" s="207"/>
      <c r="FB245" s="207"/>
      <c r="FC245" s="207"/>
      <c r="FD245" s="207"/>
      <c r="FE245" s="207"/>
      <c r="FF245" s="207"/>
      <c r="FG245" s="207"/>
      <c r="FH245" s="207"/>
      <c r="FI245" s="207"/>
      <c r="FJ245" s="207"/>
      <c r="FK245" s="207"/>
      <c r="FL245" s="207"/>
      <c r="FM245" s="207"/>
      <c r="FN245" s="207"/>
      <c r="FO245" s="207"/>
      <c r="FP245" s="207"/>
      <c r="FQ245" s="207"/>
      <c r="FR245" s="207"/>
      <c r="FS245" s="208"/>
      <c r="FT245" s="156"/>
    </row>
    <row r="246" spans="1:176" ht="15" outlineLevel="1">
      <c r="A246" s="206" t="s">
        <v>1512</v>
      </c>
      <c r="B246" s="200" t="s">
        <v>151</v>
      </c>
      <c r="C246" s="34"/>
      <c r="D246" s="34"/>
      <c r="E246" s="34"/>
      <c r="F246" s="34"/>
      <c r="G246" s="34"/>
      <c r="H246" s="37" t="s">
        <v>488</v>
      </c>
      <c r="I246" s="38"/>
      <c r="J246" s="38"/>
      <c r="K246" s="38"/>
      <c r="L246" s="38"/>
      <c r="M246" s="38"/>
      <c r="N246" s="38"/>
      <c r="O246" s="38"/>
      <c r="P246" s="38"/>
      <c r="Q246" s="38"/>
      <c r="R246" s="177">
        <f t="shared" ref="R246:R263" si="36">SUM(I246:M246)</f>
        <v>0</v>
      </c>
      <c r="S246" s="202">
        <f t="shared" si="34"/>
        <v>0</v>
      </c>
      <c r="T246" s="202">
        <f t="shared" si="35"/>
        <v>0</v>
      </c>
      <c r="U246" s="18"/>
      <c r="V246" s="206" t="str">
        <f t="shared" si="31"/>
        <v>5-33</v>
      </c>
      <c r="W246" s="215" t="str">
        <f t="shared" ref="W246:W263" si="37">IF(ISBLANK(C246),"",C246)</f>
        <v/>
      </c>
      <c r="X246" s="110"/>
      <c r="Y246" s="109"/>
      <c r="Z246" s="207"/>
      <c r="AA246" s="207"/>
      <c r="AB246" s="207"/>
      <c r="AC246" s="207"/>
      <c r="AD246" s="207"/>
      <c r="AE246" s="207"/>
      <c r="AF246" s="207"/>
      <c r="AG246" s="207"/>
      <c r="AH246" s="207"/>
      <c r="AI246" s="207"/>
      <c r="AJ246" s="207"/>
      <c r="AK246" s="207"/>
      <c r="AL246" s="207"/>
      <c r="AM246" s="207"/>
      <c r="AN246" s="207"/>
      <c r="AO246" s="207"/>
      <c r="AP246" s="207"/>
      <c r="AQ246" s="207"/>
      <c r="AR246" s="207"/>
      <c r="AS246" s="207"/>
      <c r="AT246" s="207"/>
      <c r="AU246" s="207"/>
      <c r="AV246" s="207"/>
      <c r="AW246" s="207"/>
      <c r="AX246" s="207"/>
      <c r="AY246" s="207"/>
      <c r="AZ246" s="207"/>
      <c r="BA246" s="207"/>
      <c r="BB246" s="207"/>
      <c r="BC246" s="207"/>
      <c r="BD246" s="207"/>
      <c r="BE246" s="207"/>
      <c r="BF246" s="207"/>
      <c r="BG246" s="207"/>
      <c r="BH246" s="207"/>
      <c r="BI246" s="207"/>
      <c r="BJ246" s="207"/>
      <c r="BK246" s="207"/>
      <c r="BL246" s="207"/>
      <c r="BM246" s="207"/>
      <c r="BN246" s="207"/>
      <c r="BO246" s="207"/>
      <c r="BP246" s="207"/>
      <c r="BQ246" s="207"/>
      <c r="BR246" s="207"/>
      <c r="BS246" s="207"/>
      <c r="BT246" s="207"/>
      <c r="BU246" s="207"/>
      <c r="BV246" s="207"/>
      <c r="BW246" s="207"/>
      <c r="BX246" s="207"/>
      <c r="BY246" s="207"/>
      <c r="BZ246" s="207"/>
      <c r="CA246" s="207"/>
      <c r="CB246" s="207"/>
      <c r="CC246" s="207"/>
      <c r="CD246" s="207"/>
      <c r="CE246" s="207"/>
      <c r="CF246" s="207"/>
      <c r="CG246" s="207"/>
      <c r="CH246" s="207"/>
      <c r="CI246" s="207"/>
      <c r="CJ246" s="207"/>
      <c r="CK246" s="207"/>
      <c r="CL246" s="207"/>
      <c r="CM246" s="207"/>
      <c r="CN246" s="207"/>
      <c r="CO246" s="207"/>
      <c r="CP246" s="207"/>
      <c r="CQ246" s="207"/>
      <c r="CR246" s="207"/>
      <c r="CS246" s="207"/>
      <c r="CT246" s="207"/>
      <c r="CU246" s="207"/>
      <c r="CV246" s="207"/>
      <c r="CW246" s="207"/>
      <c r="CX246" s="207"/>
      <c r="CY246" s="207"/>
      <c r="CZ246" s="207"/>
      <c r="DA246" s="207"/>
      <c r="DB246" s="207"/>
      <c r="DC246" s="207"/>
      <c r="DD246" s="207"/>
      <c r="DE246" s="207"/>
      <c r="DF246" s="207"/>
      <c r="DG246" s="207"/>
      <c r="DH246" s="207"/>
      <c r="DI246" s="207"/>
      <c r="DJ246" s="207"/>
      <c r="DK246" s="207"/>
      <c r="DL246" s="207"/>
      <c r="DM246" s="207"/>
      <c r="DN246" s="207"/>
      <c r="DO246" s="207"/>
      <c r="DP246" s="207"/>
      <c r="DQ246" s="207"/>
      <c r="DR246" s="207"/>
      <c r="DS246" s="207"/>
      <c r="DT246" s="207"/>
      <c r="DU246" s="207"/>
      <c r="DV246" s="207"/>
      <c r="DW246" s="207"/>
      <c r="DX246" s="207"/>
      <c r="DY246" s="207"/>
      <c r="DZ246" s="207"/>
      <c r="EA246" s="207"/>
      <c r="EB246" s="207"/>
      <c r="EC246" s="207"/>
      <c r="ED246" s="207"/>
      <c r="EE246" s="207"/>
      <c r="EF246" s="207"/>
      <c r="EG246" s="207"/>
      <c r="EH246" s="207"/>
      <c r="EI246" s="207"/>
      <c r="EJ246" s="207"/>
      <c r="EK246" s="207"/>
      <c r="EL246" s="207"/>
      <c r="EM246" s="207"/>
      <c r="EN246" s="207"/>
      <c r="EO246" s="207"/>
      <c r="EP246" s="207"/>
      <c r="EQ246" s="207"/>
      <c r="ER246" s="207"/>
      <c r="ES246" s="207"/>
      <c r="ET246" s="207"/>
      <c r="EU246" s="207"/>
      <c r="EV246" s="207"/>
      <c r="EW246" s="207"/>
      <c r="EX246" s="207"/>
      <c r="EY246" s="207"/>
      <c r="EZ246" s="207"/>
      <c r="FA246" s="207"/>
      <c r="FB246" s="207"/>
      <c r="FC246" s="207"/>
      <c r="FD246" s="207"/>
      <c r="FE246" s="207"/>
      <c r="FF246" s="207"/>
      <c r="FG246" s="207"/>
      <c r="FH246" s="207"/>
      <c r="FI246" s="207"/>
      <c r="FJ246" s="207"/>
      <c r="FK246" s="207"/>
      <c r="FL246" s="207"/>
      <c r="FM246" s="207"/>
      <c r="FN246" s="207"/>
      <c r="FO246" s="207"/>
      <c r="FP246" s="207"/>
      <c r="FQ246" s="207"/>
      <c r="FR246" s="207"/>
      <c r="FS246" s="208"/>
      <c r="FT246" s="156"/>
    </row>
    <row r="247" spans="1:176" ht="15" outlineLevel="1">
      <c r="A247" s="206" t="s">
        <v>1513</v>
      </c>
      <c r="B247" s="200" t="s">
        <v>151</v>
      </c>
      <c r="C247" s="34"/>
      <c r="D247" s="34"/>
      <c r="E247" s="34"/>
      <c r="F247" s="34"/>
      <c r="G247" s="34"/>
      <c r="H247" s="37" t="s">
        <v>488</v>
      </c>
      <c r="I247" s="38"/>
      <c r="J247" s="38"/>
      <c r="K247" s="38"/>
      <c r="L247" s="38"/>
      <c r="M247" s="38"/>
      <c r="N247" s="38"/>
      <c r="O247" s="38"/>
      <c r="P247" s="38"/>
      <c r="Q247" s="38"/>
      <c r="R247" s="177">
        <f t="shared" si="36"/>
        <v>0</v>
      </c>
      <c r="S247" s="202">
        <f t="shared" si="34"/>
        <v>0</v>
      </c>
      <c r="T247" s="202">
        <f t="shared" si="35"/>
        <v>0</v>
      </c>
      <c r="U247" s="18"/>
      <c r="V247" s="206" t="str">
        <f t="shared" si="31"/>
        <v>5-34</v>
      </c>
      <c r="W247" s="215" t="str">
        <f t="shared" si="37"/>
        <v/>
      </c>
      <c r="X247" s="110"/>
      <c r="Y247" s="109"/>
      <c r="Z247" s="207"/>
      <c r="AA247" s="207"/>
      <c r="AB247" s="207"/>
      <c r="AC247" s="207"/>
      <c r="AD247" s="207"/>
      <c r="AE247" s="207"/>
      <c r="AF247" s="207"/>
      <c r="AG247" s="207"/>
      <c r="AH247" s="207"/>
      <c r="AI247" s="207"/>
      <c r="AJ247" s="207"/>
      <c r="AK247" s="207"/>
      <c r="AL247" s="207"/>
      <c r="AM247" s="207"/>
      <c r="AN247" s="207"/>
      <c r="AO247" s="207"/>
      <c r="AP247" s="207"/>
      <c r="AQ247" s="207"/>
      <c r="AR247" s="207"/>
      <c r="AS247" s="207"/>
      <c r="AT247" s="207"/>
      <c r="AU247" s="207"/>
      <c r="AV247" s="207"/>
      <c r="AW247" s="207"/>
      <c r="AX247" s="207"/>
      <c r="AY247" s="207"/>
      <c r="AZ247" s="207"/>
      <c r="BA247" s="207"/>
      <c r="BB247" s="207"/>
      <c r="BC247" s="207"/>
      <c r="BD247" s="207"/>
      <c r="BE247" s="207"/>
      <c r="BF247" s="207"/>
      <c r="BG247" s="207"/>
      <c r="BH247" s="207"/>
      <c r="BI247" s="207"/>
      <c r="BJ247" s="207"/>
      <c r="BK247" s="207"/>
      <c r="BL247" s="207"/>
      <c r="BM247" s="207"/>
      <c r="BN247" s="207"/>
      <c r="BO247" s="207"/>
      <c r="BP247" s="207"/>
      <c r="BQ247" s="207"/>
      <c r="BR247" s="207"/>
      <c r="BS247" s="207"/>
      <c r="BT247" s="207"/>
      <c r="BU247" s="207"/>
      <c r="BV247" s="207"/>
      <c r="BW247" s="207"/>
      <c r="BX247" s="207"/>
      <c r="BY247" s="207"/>
      <c r="BZ247" s="207"/>
      <c r="CA247" s="207"/>
      <c r="CB247" s="207"/>
      <c r="CC247" s="207"/>
      <c r="CD247" s="207"/>
      <c r="CE247" s="207"/>
      <c r="CF247" s="207"/>
      <c r="CG247" s="207"/>
      <c r="CH247" s="207"/>
      <c r="CI247" s="207"/>
      <c r="CJ247" s="207"/>
      <c r="CK247" s="207"/>
      <c r="CL247" s="207"/>
      <c r="CM247" s="207"/>
      <c r="CN247" s="207"/>
      <c r="CO247" s="207"/>
      <c r="CP247" s="207"/>
      <c r="CQ247" s="207"/>
      <c r="CR247" s="207"/>
      <c r="CS247" s="207"/>
      <c r="CT247" s="207"/>
      <c r="CU247" s="207"/>
      <c r="CV247" s="207"/>
      <c r="CW247" s="207"/>
      <c r="CX247" s="207"/>
      <c r="CY247" s="207"/>
      <c r="CZ247" s="207"/>
      <c r="DA247" s="207"/>
      <c r="DB247" s="207"/>
      <c r="DC247" s="207"/>
      <c r="DD247" s="207"/>
      <c r="DE247" s="207"/>
      <c r="DF247" s="207"/>
      <c r="DG247" s="207"/>
      <c r="DH247" s="207"/>
      <c r="DI247" s="207"/>
      <c r="DJ247" s="207"/>
      <c r="DK247" s="207"/>
      <c r="DL247" s="207"/>
      <c r="DM247" s="207"/>
      <c r="DN247" s="207"/>
      <c r="DO247" s="207"/>
      <c r="DP247" s="207"/>
      <c r="DQ247" s="207"/>
      <c r="DR247" s="207"/>
      <c r="DS247" s="207"/>
      <c r="DT247" s="207"/>
      <c r="DU247" s="207"/>
      <c r="DV247" s="207"/>
      <c r="DW247" s="207"/>
      <c r="DX247" s="207"/>
      <c r="DY247" s="207"/>
      <c r="DZ247" s="207"/>
      <c r="EA247" s="207"/>
      <c r="EB247" s="207"/>
      <c r="EC247" s="207"/>
      <c r="ED247" s="207"/>
      <c r="EE247" s="207"/>
      <c r="EF247" s="207"/>
      <c r="EG247" s="207"/>
      <c r="EH247" s="207"/>
      <c r="EI247" s="207"/>
      <c r="EJ247" s="207"/>
      <c r="EK247" s="207"/>
      <c r="EL247" s="207"/>
      <c r="EM247" s="207"/>
      <c r="EN247" s="207"/>
      <c r="EO247" s="207"/>
      <c r="EP247" s="207"/>
      <c r="EQ247" s="207"/>
      <c r="ER247" s="207"/>
      <c r="ES247" s="207"/>
      <c r="ET247" s="207"/>
      <c r="EU247" s="207"/>
      <c r="EV247" s="207"/>
      <c r="EW247" s="207"/>
      <c r="EX247" s="207"/>
      <c r="EY247" s="207"/>
      <c r="EZ247" s="207"/>
      <c r="FA247" s="207"/>
      <c r="FB247" s="207"/>
      <c r="FC247" s="207"/>
      <c r="FD247" s="207"/>
      <c r="FE247" s="207"/>
      <c r="FF247" s="207"/>
      <c r="FG247" s="207"/>
      <c r="FH247" s="207"/>
      <c r="FI247" s="207"/>
      <c r="FJ247" s="207"/>
      <c r="FK247" s="207"/>
      <c r="FL247" s="207"/>
      <c r="FM247" s="207"/>
      <c r="FN247" s="207"/>
      <c r="FO247" s="207"/>
      <c r="FP247" s="207"/>
      <c r="FQ247" s="207"/>
      <c r="FR247" s="207"/>
      <c r="FS247" s="208"/>
      <c r="FT247" s="156"/>
    </row>
    <row r="248" spans="1:176" ht="15" outlineLevel="1">
      <c r="A248" s="206" t="s">
        <v>1514</v>
      </c>
      <c r="B248" s="200" t="s">
        <v>151</v>
      </c>
      <c r="C248" s="34"/>
      <c r="D248" s="34"/>
      <c r="E248" s="34"/>
      <c r="F248" s="34"/>
      <c r="G248" s="34"/>
      <c r="H248" s="37" t="s">
        <v>488</v>
      </c>
      <c r="I248" s="38"/>
      <c r="J248" s="38"/>
      <c r="K248" s="38"/>
      <c r="L248" s="38"/>
      <c r="M248" s="38"/>
      <c r="N248" s="38"/>
      <c r="O248" s="38"/>
      <c r="P248" s="38"/>
      <c r="Q248" s="38"/>
      <c r="R248" s="177">
        <f t="shared" si="36"/>
        <v>0</v>
      </c>
      <c r="S248" s="202">
        <f t="shared" si="34"/>
        <v>0</v>
      </c>
      <c r="T248" s="202">
        <f t="shared" si="35"/>
        <v>0</v>
      </c>
      <c r="U248" s="18"/>
      <c r="V248" s="206" t="str">
        <f t="shared" si="31"/>
        <v>5-35</v>
      </c>
      <c r="W248" s="215" t="str">
        <f t="shared" si="37"/>
        <v/>
      </c>
      <c r="X248" s="110"/>
      <c r="Y248" s="109"/>
      <c r="Z248" s="207"/>
      <c r="AA248" s="207"/>
      <c r="AB248" s="207"/>
      <c r="AC248" s="207"/>
      <c r="AD248" s="207"/>
      <c r="AE248" s="207"/>
      <c r="AF248" s="207"/>
      <c r="AG248" s="207"/>
      <c r="AH248" s="207"/>
      <c r="AI248" s="207"/>
      <c r="AJ248" s="207"/>
      <c r="AK248" s="207"/>
      <c r="AL248" s="207"/>
      <c r="AM248" s="207"/>
      <c r="AN248" s="207"/>
      <c r="AO248" s="207"/>
      <c r="AP248" s="207"/>
      <c r="AQ248" s="207"/>
      <c r="AR248" s="207"/>
      <c r="AS248" s="207"/>
      <c r="AT248" s="207"/>
      <c r="AU248" s="207"/>
      <c r="AV248" s="207"/>
      <c r="AW248" s="207"/>
      <c r="AX248" s="207"/>
      <c r="AY248" s="207"/>
      <c r="AZ248" s="207"/>
      <c r="BA248" s="207"/>
      <c r="BB248" s="207"/>
      <c r="BC248" s="207"/>
      <c r="BD248" s="207"/>
      <c r="BE248" s="207"/>
      <c r="BF248" s="207"/>
      <c r="BG248" s="207"/>
      <c r="BH248" s="207"/>
      <c r="BI248" s="207"/>
      <c r="BJ248" s="207"/>
      <c r="BK248" s="207"/>
      <c r="BL248" s="207"/>
      <c r="BM248" s="207"/>
      <c r="BN248" s="207"/>
      <c r="BO248" s="207"/>
      <c r="BP248" s="207"/>
      <c r="BQ248" s="207"/>
      <c r="BR248" s="207"/>
      <c r="BS248" s="207"/>
      <c r="BT248" s="207"/>
      <c r="BU248" s="207"/>
      <c r="BV248" s="207"/>
      <c r="BW248" s="207"/>
      <c r="BX248" s="207"/>
      <c r="BY248" s="207"/>
      <c r="BZ248" s="207"/>
      <c r="CA248" s="207"/>
      <c r="CB248" s="207"/>
      <c r="CC248" s="207"/>
      <c r="CD248" s="207"/>
      <c r="CE248" s="207"/>
      <c r="CF248" s="207"/>
      <c r="CG248" s="207"/>
      <c r="CH248" s="207"/>
      <c r="CI248" s="207"/>
      <c r="CJ248" s="207"/>
      <c r="CK248" s="207"/>
      <c r="CL248" s="207"/>
      <c r="CM248" s="207"/>
      <c r="CN248" s="207"/>
      <c r="CO248" s="207"/>
      <c r="CP248" s="207"/>
      <c r="CQ248" s="207"/>
      <c r="CR248" s="207"/>
      <c r="CS248" s="207"/>
      <c r="CT248" s="207"/>
      <c r="CU248" s="207"/>
      <c r="CV248" s="207"/>
      <c r="CW248" s="207"/>
      <c r="CX248" s="207"/>
      <c r="CY248" s="207"/>
      <c r="CZ248" s="207"/>
      <c r="DA248" s="207"/>
      <c r="DB248" s="207"/>
      <c r="DC248" s="207"/>
      <c r="DD248" s="207"/>
      <c r="DE248" s="207"/>
      <c r="DF248" s="207"/>
      <c r="DG248" s="207"/>
      <c r="DH248" s="207"/>
      <c r="DI248" s="207"/>
      <c r="DJ248" s="207"/>
      <c r="DK248" s="207"/>
      <c r="DL248" s="207"/>
      <c r="DM248" s="207"/>
      <c r="DN248" s="207"/>
      <c r="DO248" s="207"/>
      <c r="DP248" s="207"/>
      <c r="DQ248" s="207"/>
      <c r="DR248" s="207"/>
      <c r="DS248" s="207"/>
      <c r="DT248" s="207"/>
      <c r="DU248" s="207"/>
      <c r="DV248" s="207"/>
      <c r="DW248" s="207"/>
      <c r="DX248" s="207"/>
      <c r="DY248" s="207"/>
      <c r="DZ248" s="207"/>
      <c r="EA248" s="207"/>
      <c r="EB248" s="207"/>
      <c r="EC248" s="207"/>
      <c r="ED248" s="207"/>
      <c r="EE248" s="207"/>
      <c r="EF248" s="207"/>
      <c r="EG248" s="207"/>
      <c r="EH248" s="207"/>
      <c r="EI248" s="207"/>
      <c r="EJ248" s="207"/>
      <c r="EK248" s="207"/>
      <c r="EL248" s="207"/>
      <c r="EM248" s="207"/>
      <c r="EN248" s="207"/>
      <c r="EO248" s="207"/>
      <c r="EP248" s="207"/>
      <c r="EQ248" s="207"/>
      <c r="ER248" s="207"/>
      <c r="ES248" s="207"/>
      <c r="ET248" s="207"/>
      <c r="EU248" s="207"/>
      <c r="EV248" s="207"/>
      <c r="EW248" s="207"/>
      <c r="EX248" s="207"/>
      <c r="EY248" s="207"/>
      <c r="EZ248" s="207"/>
      <c r="FA248" s="207"/>
      <c r="FB248" s="207"/>
      <c r="FC248" s="207"/>
      <c r="FD248" s="207"/>
      <c r="FE248" s="207"/>
      <c r="FF248" s="207"/>
      <c r="FG248" s="207"/>
      <c r="FH248" s="207"/>
      <c r="FI248" s="207"/>
      <c r="FJ248" s="207"/>
      <c r="FK248" s="207"/>
      <c r="FL248" s="207"/>
      <c r="FM248" s="207"/>
      <c r="FN248" s="207"/>
      <c r="FO248" s="207"/>
      <c r="FP248" s="207"/>
      <c r="FQ248" s="207"/>
      <c r="FR248" s="207"/>
      <c r="FS248" s="208"/>
      <c r="FT248" s="156"/>
    </row>
    <row r="249" spans="1:176" ht="15" outlineLevel="1">
      <c r="A249" s="206" t="s">
        <v>1515</v>
      </c>
      <c r="B249" s="200" t="s">
        <v>151</v>
      </c>
      <c r="C249" s="34"/>
      <c r="D249" s="34"/>
      <c r="E249" s="34"/>
      <c r="F249" s="34"/>
      <c r="G249" s="34"/>
      <c r="H249" s="37" t="s">
        <v>488</v>
      </c>
      <c r="I249" s="38"/>
      <c r="J249" s="38"/>
      <c r="K249" s="38"/>
      <c r="L249" s="38"/>
      <c r="M249" s="38"/>
      <c r="N249" s="38"/>
      <c r="O249" s="38"/>
      <c r="P249" s="38"/>
      <c r="Q249" s="38"/>
      <c r="R249" s="177">
        <f t="shared" si="36"/>
        <v>0</v>
      </c>
      <c r="S249" s="202">
        <f t="shared" si="34"/>
        <v>0</v>
      </c>
      <c r="T249" s="202">
        <f t="shared" si="35"/>
        <v>0</v>
      </c>
      <c r="U249" s="18"/>
      <c r="V249" s="206" t="str">
        <f t="shared" si="31"/>
        <v>5-36</v>
      </c>
      <c r="W249" s="215" t="str">
        <f t="shared" si="37"/>
        <v/>
      </c>
      <c r="X249" s="110"/>
      <c r="Y249" s="109"/>
      <c r="Z249" s="207"/>
      <c r="AA249" s="207"/>
      <c r="AB249" s="207"/>
      <c r="AC249" s="207"/>
      <c r="AD249" s="207"/>
      <c r="AE249" s="207"/>
      <c r="AF249" s="207"/>
      <c r="AG249" s="207"/>
      <c r="AH249" s="207"/>
      <c r="AI249" s="207"/>
      <c r="AJ249" s="207"/>
      <c r="AK249" s="207"/>
      <c r="AL249" s="207"/>
      <c r="AM249" s="207"/>
      <c r="AN249" s="207"/>
      <c r="AO249" s="207"/>
      <c r="AP249" s="207"/>
      <c r="AQ249" s="207"/>
      <c r="AR249" s="207"/>
      <c r="AS249" s="207"/>
      <c r="AT249" s="207"/>
      <c r="AU249" s="207"/>
      <c r="AV249" s="207"/>
      <c r="AW249" s="207"/>
      <c r="AX249" s="207"/>
      <c r="AY249" s="207"/>
      <c r="AZ249" s="207"/>
      <c r="BA249" s="207"/>
      <c r="BB249" s="207"/>
      <c r="BC249" s="207"/>
      <c r="BD249" s="207"/>
      <c r="BE249" s="207"/>
      <c r="BF249" s="207"/>
      <c r="BG249" s="207"/>
      <c r="BH249" s="207"/>
      <c r="BI249" s="207"/>
      <c r="BJ249" s="207"/>
      <c r="BK249" s="207"/>
      <c r="BL249" s="207"/>
      <c r="BM249" s="207"/>
      <c r="BN249" s="207"/>
      <c r="BO249" s="207"/>
      <c r="BP249" s="207"/>
      <c r="BQ249" s="207"/>
      <c r="BR249" s="207"/>
      <c r="BS249" s="207"/>
      <c r="BT249" s="207"/>
      <c r="BU249" s="207"/>
      <c r="BV249" s="207"/>
      <c r="BW249" s="207"/>
      <c r="BX249" s="207"/>
      <c r="BY249" s="207"/>
      <c r="BZ249" s="207"/>
      <c r="CA249" s="207"/>
      <c r="CB249" s="207"/>
      <c r="CC249" s="207"/>
      <c r="CD249" s="207"/>
      <c r="CE249" s="207"/>
      <c r="CF249" s="207"/>
      <c r="CG249" s="207"/>
      <c r="CH249" s="207"/>
      <c r="CI249" s="207"/>
      <c r="CJ249" s="207"/>
      <c r="CK249" s="207"/>
      <c r="CL249" s="207"/>
      <c r="CM249" s="207"/>
      <c r="CN249" s="207"/>
      <c r="CO249" s="207"/>
      <c r="CP249" s="207"/>
      <c r="CQ249" s="207"/>
      <c r="CR249" s="207"/>
      <c r="CS249" s="207"/>
      <c r="CT249" s="207"/>
      <c r="CU249" s="207"/>
      <c r="CV249" s="207"/>
      <c r="CW249" s="207"/>
      <c r="CX249" s="207"/>
      <c r="CY249" s="207"/>
      <c r="CZ249" s="207"/>
      <c r="DA249" s="207"/>
      <c r="DB249" s="207"/>
      <c r="DC249" s="207"/>
      <c r="DD249" s="207"/>
      <c r="DE249" s="207"/>
      <c r="DF249" s="207"/>
      <c r="DG249" s="207"/>
      <c r="DH249" s="207"/>
      <c r="DI249" s="207"/>
      <c r="DJ249" s="207"/>
      <c r="DK249" s="207"/>
      <c r="DL249" s="207"/>
      <c r="DM249" s="207"/>
      <c r="DN249" s="207"/>
      <c r="DO249" s="207"/>
      <c r="DP249" s="207"/>
      <c r="DQ249" s="207"/>
      <c r="DR249" s="207"/>
      <c r="DS249" s="207"/>
      <c r="DT249" s="207"/>
      <c r="DU249" s="207"/>
      <c r="DV249" s="207"/>
      <c r="DW249" s="207"/>
      <c r="DX249" s="207"/>
      <c r="DY249" s="207"/>
      <c r="DZ249" s="207"/>
      <c r="EA249" s="207"/>
      <c r="EB249" s="207"/>
      <c r="EC249" s="207"/>
      <c r="ED249" s="207"/>
      <c r="EE249" s="207"/>
      <c r="EF249" s="207"/>
      <c r="EG249" s="207"/>
      <c r="EH249" s="207"/>
      <c r="EI249" s="207"/>
      <c r="EJ249" s="207"/>
      <c r="EK249" s="207"/>
      <c r="EL249" s="207"/>
      <c r="EM249" s="207"/>
      <c r="EN249" s="207"/>
      <c r="EO249" s="207"/>
      <c r="EP249" s="207"/>
      <c r="EQ249" s="207"/>
      <c r="ER249" s="207"/>
      <c r="ES249" s="207"/>
      <c r="ET249" s="207"/>
      <c r="EU249" s="207"/>
      <c r="EV249" s="207"/>
      <c r="EW249" s="207"/>
      <c r="EX249" s="207"/>
      <c r="EY249" s="207"/>
      <c r="EZ249" s="207"/>
      <c r="FA249" s="207"/>
      <c r="FB249" s="207"/>
      <c r="FC249" s="207"/>
      <c r="FD249" s="207"/>
      <c r="FE249" s="207"/>
      <c r="FF249" s="207"/>
      <c r="FG249" s="207"/>
      <c r="FH249" s="207"/>
      <c r="FI249" s="207"/>
      <c r="FJ249" s="207"/>
      <c r="FK249" s="207"/>
      <c r="FL249" s="207"/>
      <c r="FM249" s="207"/>
      <c r="FN249" s="207"/>
      <c r="FO249" s="207"/>
      <c r="FP249" s="207"/>
      <c r="FQ249" s="207"/>
      <c r="FR249" s="207"/>
      <c r="FS249" s="208"/>
      <c r="FT249" s="156"/>
    </row>
    <row r="250" spans="1:176" ht="15" outlineLevel="1">
      <c r="A250" s="206" t="s">
        <v>1516</v>
      </c>
      <c r="B250" s="200" t="s">
        <v>151</v>
      </c>
      <c r="C250" s="34"/>
      <c r="D250" s="34"/>
      <c r="E250" s="34"/>
      <c r="F250" s="34"/>
      <c r="G250" s="34"/>
      <c r="H250" s="37" t="s">
        <v>488</v>
      </c>
      <c r="I250" s="38"/>
      <c r="J250" s="38"/>
      <c r="K250" s="38"/>
      <c r="L250" s="38"/>
      <c r="M250" s="38"/>
      <c r="N250" s="38"/>
      <c r="O250" s="38"/>
      <c r="P250" s="38"/>
      <c r="Q250" s="38"/>
      <c r="R250" s="177">
        <f t="shared" si="36"/>
        <v>0</v>
      </c>
      <c r="S250" s="202">
        <f t="shared" si="34"/>
        <v>0</v>
      </c>
      <c r="T250" s="202">
        <f t="shared" si="35"/>
        <v>0</v>
      </c>
      <c r="U250" s="18"/>
      <c r="V250" s="206" t="str">
        <f t="shared" si="31"/>
        <v>5-37</v>
      </c>
      <c r="W250" s="215" t="str">
        <f t="shared" si="37"/>
        <v/>
      </c>
      <c r="X250" s="110"/>
      <c r="Y250" s="109"/>
      <c r="Z250" s="207"/>
      <c r="AA250" s="207"/>
      <c r="AB250" s="207"/>
      <c r="AC250" s="207"/>
      <c r="AD250" s="207"/>
      <c r="AE250" s="207"/>
      <c r="AF250" s="207"/>
      <c r="AG250" s="207"/>
      <c r="AH250" s="207"/>
      <c r="AI250" s="207"/>
      <c r="AJ250" s="207"/>
      <c r="AK250" s="207"/>
      <c r="AL250" s="207"/>
      <c r="AM250" s="207"/>
      <c r="AN250" s="207"/>
      <c r="AO250" s="207"/>
      <c r="AP250" s="207"/>
      <c r="AQ250" s="207"/>
      <c r="AR250" s="207"/>
      <c r="AS250" s="207"/>
      <c r="AT250" s="207"/>
      <c r="AU250" s="207"/>
      <c r="AV250" s="207"/>
      <c r="AW250" s="207"/>
      <c r="AX250" s="207"/>
      <c r="AY250" s="207"/>
      <c r="AZ250" s="207"/>
      <c r="BA250" s="207"/>
      <c r="BB250" s="207"/>
      <c r="BC250" s="207"/>
      <c r="BD250" s="207"/>
      <c r="BE250" s="207"/>
      <c r="BF250" s="207"/>
      <c r="BG250" s="207"/>
      <c r="BH250" s="207"/>
      <c r="BI250" s="207"/>
      <c r="BJ250" s="207"/>
      <c r="BK250" s="207"/>
      <c r="BL250" s="207"/>
      <c r="BM250" s="207"/>
      <c r="BN250" s="207"/>
      <c r="BO250" s="207"/>
      <c r="BP250" s="207"/>
      <c r="BQ250" s="207"/>
      <c r="BR250" s="207"/>
      <c r="BS250" s="207"/>
      <c r="BT250" s="207"/>
      <c r="BU250" s="207"/>
      <c r="BV250" s="207"/>
      <c r="BW250" s="207"/>
      <c r="BX250" s="207"/>
      <c r="BY250" s="207"/>
      <c r="BZ250" s="207"/>
      <c r="CA250" s="207"/>
      <c r="CB250" s="207"/>
      <c r="CC250" s="207"/>
      <c r="CD250" s="207"/>
      <c r="CE250" s="207"/>
      <c r="CF250" s="207"/>
      <c r="CG250" s="207"/>
      <c r="CH250" s="207"/>
      <c r="CI250" s="207"/>
      <c r="CJ250" s="207"/>
      <c r="CK250" s="207"/>
      <c r="CL250" s="207"/>
      <c r="CM250" s="207"/>
      <c r="CN250" s="207"/>
      <c r="CO250" s="207"/>
      <c r="CP250" s="207"/>
      <c r="CQ250" s="207"/>
      <c r="CR250" s="207"/>
      <c r="CS250" s="207"/>
      <c r="CT250" s="207"/>
      <c r="CU250" s="207"/>
      <c r="CV250" s="207"/>
      <c r="CW250" s="207"/>
      <c r="CX250" s="207"/>
      <c r="CY250" s="207"/>
      <c r="CZ250" s="207"/>
      <c r="DA250" s="207"/>
      <c r="DB250" s="207"/>
      <c r="DC250" s="207"/>
      <c r="DD250" s="207"/>
      <c r="DE250" s="207"/>
      <c r="DF250" s="207"/>
      <c r="DG250" s="207"/>
      <c r="DH250" s="207"/>
      <c r="DI250" s="207"/>
      <c r="DJ250" s="207"/>
      <c r="DK250" s="207"/>
      <c r="DL250" s="207"/>
      <c r="DM250" s="207"/>
      <c r="DN250" s="207"/>
      <c r="DO250" s="207"/>
      <c r="DP250" s="207"/>
      <c r="DQ250" s="207"/>
      <c r="DR250" s="207"/>
      <c r="DS250" s="207"/>
      <c r="DT250" s="207"/>
      <c r="DU250" s="207"/>
      <c r="DV250" s="207"/>
      <c r="DW250" s="207"/>
      <c r="DX250" s="207"/>
      <c r="DY250" s="207"/>
      <c r="DZ250" s="207"/>
      <c r="EA250" s="207"/>
      <c r="EB250" s="207"/>
      <c r="EC250" s="207"/>
      <c r="ED250" s="207"/>
      <c r="EE250" s="207"/>
      <c r="EF250" s="207"/>
      <c r="EG250" s="207"/>
      <c r="EH250" s="207"/>
      <c r="EI250" s="207"/>
      <c r="EJ250" s="207"/>
      <c r="EK250" s="207"/>
      <c r="EL250" s="207"/>
      <c r="EM250" s="207"/>
      <c r="EN250" s="207"/>
      <c r="EO250" s="207"/>
      <c r="EP250" s="207"/>
      <c r="EQ250" s="207"/>
      <c r="ER250" s="207"/>
      <c r="ES250" s="207"/>
      <c r="ET250" s="207"/>
      <c r="EU250" s="207"/>
      <c r="EV250" s="207"/>
      <c r="EW250" s="207"/>
      <c r="EX250" s="207"/>
      <c r="EY250" s="207"/>
      <c r="EZ250" s="207"/>
      <c r="FA250" s="207"/>
      <c r="FB250" s="207"/>
      <c r="FC250" s="207"/>
      <c r="FD250" s="207"/>
      <c r="FE250" s="207"/>
      <c r="FF250" s="207"/>
      <c r="FG250" s="207"/>
      <c r="FH250" s="207"/>
      <c r="FI250" s="207"/>
      <c r="FJ250" s="207"/>
      <c r="FK250" s="207"/>
      <c r="FL250" s="207"/>
      <c r="FM250" s="207"/>
      <c r="FN250" s="207"/>
      <c r="FO250" s="207"/>
      <c r="FP250" s="207"/>
      <c r="FQ250" s="207"/>
      <c r="FR250" s="207"/>
      <c r="FS250" s="208"/>
      <c r="FT250" s="156"/>
    </row>
    <row r="251" spans="1:176" ht="15" outlineLevel="1">
      <c r="A251" s="206" t="s">
        <v>1517</v>
      </c>
      <c r="B251" s="200" t="s">
        <v>151</v>
      </c>
      <c r="C251" s="34"/>
      <c r="D251" s="34"/>
      <c r="E251" s="34"/>
      <c r="F251" s="34"/>
      <c r="G251" s="34"/>
      <c r="H251" s="37" t="s">
        <v>488</v>
      </c>
      <c r="I251" s="38"/>
      <c r="J251" s="38"/>
      <c r="K251" s="38"/>
      <c r="L251" s="38"/>
      <c r="M251" s="38"/>
      <c r="N251" s="38"/>
      <c r="O251" s="38"/>
      <c r="P251" s="38"/>
      <c r="Q251" s="38"/>
      <c r="R251" s="177">
        <f t="shared" si="36"/>
        <v>0</v>
      </c>
      <c r="S251" s="202">
        <f t="shared" si="34"/>
        <v>0</v>
      </c>
      <c r="T251" s="202">
        <f t="shared" si="35"/>
        <v>0</v>
      </c>
      <c r="U251" s="18"/>
      <c r="V251" s="206" t="str">
        <f t="shared" si="31"/>
        <v>5-38</v>
      </c>
      <c r="W251" s="215" t="str">
        <f t="shared" si="37"/>
        <v/>
      </c>
      <c r="X251" s="110"/>
      <c r="Y251" s="109"/>
      <c r="Z251" s="207"/>
      <c r="AA251" s="207"/>
      <c r="AB251" s="207"/>
      <c r="AC251" s="207"/>
      <c r="AD251" s="207"/>
      <c r="AE251" s="207"/>
      <c r="AF251" s="207"/>
      <c r="AG251" s="207"/>
      <c r="AH251" s="207"/>
      <c r="AI251" s="207"/>
      <c r="AJ251" s="207"/>
      <c r="AK251" s="207"/>
      <c r="AL251" s="207"/>
      <c r="AM251" s="207"/>
      <c r="AN251" s="207"/>
      <c r="AO251" s="207"/>
      <c r="AP251" s="207"/>
      <c r="AQ251" s="207"/>
      <c r="AR251" s="207"/>
      <c r="AS251" s="207"/>
      <c r="AT251" s="207"/>
      <c r="AU251" s="207"/>
      <c r="AV251" s="207"/>
      <c r="AW251" s="207"/>
      <c r="AX251" s="207"/>
      <c r="AY251" s="207"/>
      <c r="AZ251" s="207"/>
      <c r="BA251" s="207"/>
      <c r="BB251" s="207"/>
      <c r="BC251" s="207"/>
      <c r="BD251" s="207"/>
      <c r="BE251" s="207"/>
      <c r="BF251" s="207"/>
      <c r="BG251" s="207"/>
      <c r="BH251" s="207"/>
      <c r="BI251" s="207"/>
      <c r="BJ251" s="207"/>
      <c r="BK251" s="207"/>
      <c r="BL251" s="207"/>
      <c r="BM251" s="207"/>
      <c r="BN251" s="207"/>
      <c r="BO251" s="207"/>
      <c r="BP251" s="207"/>
      <c r="BQ251" s="207"/>
      <c r="BR251" s="207"/>
      <c r="BS251" s="207"/>
      <c r="BT251" s="207"/>
      <c r="BU251" s="207"/>
      <c r="BV251" s="207"/>
      <c r="BW251" s="207"/>
      <c r="BX251" s="207"/>
      <c r="BY251" s="207"/>
      <c r="BZ251" s="207"/>
      <c r="CA251" s="207"/>
      <c r="CB251" s="207"/>
      <c r="CC251" s="207"/>
      <c r="CD251" s="207"/>
      <c r="CE251" s="207"/>
      <c r="CF251" s="207"/>
      <c r="CG251" s="207"/>
      <c r="CH251" s="207"/>
      <c r="CI251" s="207"/>
      <c r="CJ251" s="207"/>
      <c r="CK251" s="207"/>
      <c r="CL251" s="207"/>
      <c r="CM251" s="207"/>
      <c r="CN251" s="207"/>
      <c r="CO251" s="207"/>
      <c r="CP251" s="207"/>
      <c r="CQ251" s="207"/>
      <c r="CR251" s="207"/>
      <c r="CS251" s="207"/>
      <c r="CT251" s="207"/>
      <c r="CU251" s="207"/>
      <c r="CV251" s="207"/>
      <c r="CW251" s="207"/>
      <c r="CX251" s="207"/>
      <c r="CY251" s="207"/>
      <c r="CZ251" s="207"/>
      <c r="DA251" s="207"/>
      <c r="DB251" s="207"/>
      <c r="DC251" s="207"/>
      <c r="DD251" s="207"/>
      <c r="DE251" s="207"/>
      <c r="DF251" s="207"/>
      <c r="DG251" s="207"/>
      <c r="DH251" s="207"/>
      <c r="DI251" s="207"/>
      <c r="DJ251" s="207"/>
      <c r="DK251" s="207"/>
      <c r="DL251" s="207"/>
      <c r="DM251" s="207"/>
      <c r="DN251" s="207"/>
      <c r="DO251" s="207"/>
      <c r="DP251" s="207"/>
      <c r="DQ251" s="207"/>
      <c r="DR251" s="207"/>
      <c r="DS251" s="207"/>
      <c r="DT251" s="207"/>
      <c r="DU251" s="207"/>
      <c r="DV251" s="207"/>
      <c r="DW251" s="207"/>
      <c r="DX251" s="207"/>
      <c r="DY251" s="207"/>
      <c r="DZ251" s="207"/>
      <c r="EA251" s="207"/>
      <c r="EB251" s="207"/>
      <c r="EC251" s="207"/>
      <c r="ED251" s="207"/>
      <c r="EE251" s="207"/>
      <c r="EF251" s="207"/>
      <c r="EG251" s="207"/>
      <c r="EH251" s="207"/>
      <c r="EI251" s="207"/>
      <c r="EJ251" s="207"/>
      <c r="EK251" s="207"/>
      <c r="EL251" s="207"/>
      <c r="EM251" s="207"/>
      <c r="EN251" s="207"/>
      <c r="EO251" s="207"/>
      <c r="EP251" s="207"/>
      <c r="EQ251" s="207"/>
      <c r="ER251" s="207"/>
      <c r="ES251" s="207"/>
      <c r="ET251" s="207"/>
      <c r="EU251" s="207"/>
      <c r="EV251" s="207"/>
      <c r="EW251" s="207"/>
      <c r="EX251" s="207"/>
      <c r="EY251" s="207"/>
      <c r="EZ251" s="207"/>
      <c r="FA251" s="207"/>
      <c r="FB251" s="207"/>
      <c r="FC251" s="207"/>
      <c r="FD251" s="207"/>
      <c r="FE251" s="207"/>
      <c r="FF251" s="207"/>
      <c r="FG251" s="207"/>
      <c r="FH251" s="207"/>
      <c r="FI251" s="207"/>
      <c r="FJ251" s="207"/>
      <c r="FK251" s="207"/>
      <c r="FL251" s="207"/>
      <c r="FM251" s="207"/>
      <c r="FN251" s="207"/>
      <c r="FO251" s="207"/>
      <c r="FP251" s="207"/>
      <c r="FQ251" s="207"/>
      <c r="FR251" s="207"/>
      <c r="FS251" s="208"/>
      <c r="FT251" s="156"/>
    </row>
    <row r="252" spans="1:176" ht="15" outlineLevel="1">
      <c r="A252" s="206" t="s">
        <v>1518</v>
      </c>
      <c r="B252" s="200" t="s">
        <v>151</v>
      </c>
      <c r="C252" s="34"/>
      <c r="D252" s="34"/>
      <c r="E252" s="34"/>
      <c r="F252" s="34"/>
      <c r="G252" s="34"/>
      <c r="H252" s="37" t="s">
        <v>488</v>
      </c>
      <c r="I252" s="38"/>
      <c r="J252" s="38"/>
      <c r="K252" s="38"/>
      <c r="L252" s="38"/>
      <c r="M252" s="38"/>
      <c r="N252" s="38"/>
      <c r="O252" s="38"/>
      <c r="P252" s="38"/>
      <c r="Q252" s="38"/>
      <c r="R252" s="177">
        <f t="shared" si="36"/>
        <v>0</v>
      </c>
      <c r="S252" s="202">
        <f t="shared" si="34"/>
        <v>0</v>
      </c>
      <c r="T252" s="202">
        <f t="shared" si="35"/>
        <v>0</v>
      </c>
      <c r="U252" s="18"/>
      <c r="V252" s="206" t="str">
        <f t="shared" si="31"/>
        <v>5-39</v>
      </c>
      <c r="W252" s="215" t="str">
        <f t="shared" si="37"/>
        <v/>
      </c>
      <c r="X252" s="110"/>
      <c r="Y252" s="109"/>
      <c r="Z252" s="207"/>
      <c r="AA252" s="207"/>
      <c r="AB252" s="207"/>
      <c r="AC252" s="207"/>
      <c r="AD252" s="207"/>
      <c r="AE252" s="207"/>
      <c r="AF252" s="207"/>
      <c r="AG252" s="207"/>
      <c r="AH252" s="207"/>
      <c r="AI252" s="207"/>
      <c r="AJ252" s="207"/>
      <c r="AK252" s="207"/>
      <c r="AL252" s="207"/>
      <c r="AM252" s="207"/>
      <c r="AN252" s="207"/>
      <c r="AO252" s="207"/>
      <c r="AP252" s="207"/>
      <c r="AQ252" s="207"/>
      <c r="AR252" s="207"/>
      <c r="AS252" s="207"/>
      <c r="AT252" s="207"/>
      <c r="AU252" s="207"/>
      <c r="AV252" s="207"/>
      <c r="AW252" s="207"/>
      <c r="AX252" s="207"/>
      <c r="AY252" s="207"/>
      <c r="AZ252" s="207"/>
      <c r="BA252" s="207"/>
      <c r="BB252" s="207"/>
      <c r="BC252" s="207"/>
      <c r="BD252" s="207"/>
      <c r="BE252" s="207"/>
      <c r="BF252" s="207"/>
      <c r="BG252" s="207"/>
      <c r="BH252" s="207"/>
      <c r="BI252" s="207"/>
      <c r="BJ252" s="207"/>
      <c r="BK252" s="207"/>
      <c r="BL252" s="207"/>
      <c r="BM252" s="207"/>
      <c r="BN252" s="207"/>
      <c r="BO252" s="207"/>
      <c r="BP252" s="207"/>
      <c r="BQ252" s="207"/>
      <c r="BR252" s="207"/>
      <c r="BS252" s="207"/>
      <c r="BT252" s="207"/>
      <c r="BU252" s="207"/>
      <c r="BV252" s="207"/>
      <c r="BW252" s="207"/>
      <c r="BX252" s="207"/>
      <c r="BY252" s="207"/>
      <c r="BZ252" s="207"/>
      <c r="CA252" s="207"/>
      <c r="CB252" s="207"/>
      <c r="CC252" s="207"/>
      <c r="CD252" s="207"/>
      <c r="CE252" s="207"/>
      <c r="CF252" s="207"/>
      <c r="CG252" s="207"/>
      <c r="CH252" s="207"/>
      <c r="CI252" s="207"/>
      <c r="CJ252" s="207"/>
      <c r="CK252" s="207"/>
      <c r="CL252" s="207"/>
      <c r="CM252" s="207"/>
      <c r="CN252" s="207"/>
      <c r="CO252" s="207"/>
      <c r="CP252" s="207"/>
      <c r="CQ252" s="207"/>
      <c r="CR252" s="207"/>
      <c r="CS252" s="207"/>
      <c r="CT252" s="207"/>
      <c r="CU252" s="207"/>
      <c r="CV252" s="207"/>
      <c r="CW252" s="207"/>
      <c r="CX252" s="207"/>
      <c r="CY252" s="207"/>
      <c r="CZ252" s="207"/>
      <c r="DA252" s="207"/>
      <c r="DB252" s="207"/>
      <c r="DC252" s="207"/>
      <c r="DD252" s="207"/>
      <c r="DE252" s="207"/>
      <c r="DF252" s="207"/>
      <c r="DG252" s="207"/>
      <c r="DH252" s="207"/>
      <c r="DI252" s="207"/>
      <c r="DJ252" s="207"/>
      <c r="DK252" s="207"/>
      <c r="DL252" s="207"/>
      <c r="DM252" s="207"/>
      <c r="DN252" s="207"/>
      <c r="DO252" s="207"/>
      <c r="DP252" s="207"/>
      <c r="DQ252" s="207"/>
      <c r="DR252" s="207"/>
      <c r="DS252" s="207"/>
      <c r="DT252" s="207"/>
      <c r="DU252" s="207"/>
      <c r="DV252" s="207"/>
      <c r="DW252" s="207"/>
      <c r="DX252" s="207"/>
      <c r="DY252" s="207"/>
      <c r="DZ252" s="207"/>
      <c r="EA252" s="207"/>
      <c r="EB252" s="207"/>
      <c r="EC252" s="207"/>
      <c r="ED252" s="207"/>
      <c r="EE252" s="207"/>
      <c r="EF252" s="207"/>
      <c r="EG252" s="207"/>
      <c r="EH252" s="207"/>
      <c r="EI252" s="207"/>
      <c r="EJ252" s="207"/>
      <c r="EK252" s="207"/>
      <c r="EL252" s="207"/>
      <c r="EM252" s="207"/>
      <c r="EN252" s="207"/>
      <c r="EO252" s="207"/>
      <c r="EP252" s="207"/>
      <c r="EQ252" s="207"/>
      <c r="ER252" s="207"/>
      <c r="ES252" s="207"/>
      <c r="ET252" s="207"/>
      <c r="EU252" s="207"/>
      <c r="EV252" s="207"/>
      <c r="EW252" s="207"/>
      <c r="EX252" s="207"/>
      <c r="EY252" s="207"/>
      <c r="EZ252" s="207"/>
      <c r="FA252" s="207"/>
      <c r="FB252" s="207"/>
      <c r="FC252" s="207"/>
      <c r="FD252" s="207"/>
      <c r="FE252" s="207"/>
      <c r="FF252" s="207"/>
      <c r="FG252" s="207"/>
      <c r="FH252" s="207"/>
      <c r="FI252" s="207"/>
      <c r="FJ252" s="207"/>
      <c r="FK252" s="207"/>
      <c r="FL252" s="207"/>
      <c r="FM252" s="207"/>
      <c r="FN252" s="207"/>
      <c r="FO252" s="207"/>
      <c r="FP252" s="207"/>
      <c r="FQ252" s="207"/>
      <c r="FR252" s="207"/>
      <c r="FS252" s="208"/>
      <c r="FT252" s="156"/>
    </row>
    <row r="253" spans="1:176" ht="15" outlineLevel="1">
      <c r="A253" s="206" t="s">
        <v>1519</v>
      </c>
      <c r="B253" s="200" t="s">
        <v>151</v>
      </c>
      <c r="C253" s="34"/>
      <c r="D253" s="34"/>
      <c r="E253" s="34"/>
      <c r="F253" s="34"/>
      <c r="G253" s="34"/>
      <c r="H253" s="37" t="s">
        <v>488</v>
      </c>
      <c r="I253" s="38"/>
      <c r="J253" s="38"/>
      <c r="K253" s="38"/>
      <c r="L253" s="38"/>
      <c r="M253" s="38"/>
      <c r="N253" s="38"/>
      <c r="O253" s="38"/>
      <c r="P253" s="38"/>
      <c r="Q253" s="38"/>
      <c r="R253" s="177">
        <f t="shared" si="36"/>
        <v>0</v>
      </c>
      <c r="S253" s="202">
        <f t="shared" si="34"/>
        <v>0</v>
      </c>
      <c r="T253" s="202">
        <f t="shared" si="35"/>
        <v>0</v>
      </c>
      <c r="U253" s="18"/>
      <c r="V253" s="206" t="str">
        <f t="shared" si="31"/>
        <v>5-40</v>
      </c>
      <c r="W253" s="215" t="str">
        <f t="shared" si="37"/>
        <v/>
      </c>
      <c r="X253" s="110"/>
      <c r="Y253" s="109"/>
      <c r="Z253" s="207"/>
      <c r="AA253" s="207"/>
      <c r="AB253" s="207"/>
      <c r="AC253" s="207"/>
      <c r="AD253" s="207"/>
      <c r="AE253" s="207"/>
      <c r="AF253" s="207"/>
      <c r="AG253" s="207"/>
      <c r="AH253" s="207"/>
      <c r="AI253" s="207"/>
      <c r="AJ253" s="207"/>
      <c r="AK253" s="207"/>
      <c r="AL253" s="207"/>
      <c r="AM253" s="207"/>
      <c r="AN253" s="207"/>
      <c r="AO253" s="207"/>
      <c r="AP253" s="207"/>
      <c r="AQ253" s="207"/>
      <c r="AR253" s="207"/>
      <c r="AS253" s="207"/>
      <c r="AT253" s="207"/>
      <c r="AU253" s="207"/>
      <c r="AV253" s="207"/>
      <c r="AW253" s="207"/>
      <c r="AX253" s="207"/>
      <c r="AY253" s="207"/>
      <c r="AZ253" s="207"/>
      <c r="BA253" s="207"/>
      <c r="BB253" s="207"/>
      <c r="BC253" s="207"/>
      <c r="BD253" s="207"/>
      <c r="BE253" s="207"/>
      <c r="BF253" s="207"/>
      <c r="BG253" s="207"/>
      <c r="BH253" s="207"/>
      <c r="BI253" s="207"/>
      <c r="BJ253" s="207"/>
      <c r="BK253" s="207"/>
      <c r="BL253" s="207"/>
      <c r="BM253" s="207"/>
      <c r="BN253" s="207"/>
      <c r="BO253" s="207"/>
      <c r="BP253" s="207"/>
      <c r="BQ253" s="207"/>
      <c r="BR253" s="207"/>
      <c r="BS253" s="207"/>
      <c r="BT253" s="207"/>
      <c r="BU253" s="207"/>
      <c r="BV253" s="207"/>
      <c r="BW253" s="207"/>
      <c r="BX253" s="207"/>
      <c r="BY253" s="207"/>
      <c r="BZ253" s="207"/>
      <c r="CA253" s="207"/>
      <c r="CB253" s="207"/>
      <c r="CC253" s="207"/>
      <c r="CD253" s="207"/>
      <c r="CE253" s="207"/>
      <c r="CF253" s="207"/>
      <c r="CG253" s="207"/>
      <c r="CH253" s="207"/>
      <c r="CI253" s="207"/>
      <c r="CJ253" s="207"/>
      <c r="CK253" s="207"/>
      <c r="CL253" s="207"/>
      <c r="CM253" s="207"/>
      <c r="CN253" s="207"/>
      <c r="CO253" s="207"/>
      <c r="CP253" s="207"/>
      <c r="CQ253" s="207"/>
      <c r="CR253" s="207"/>
      <c r="CS253" s="207"/>
      <c r="CT253" s="207"/>
      <c r="CU253" s="207"/>
      <c r="CV253" s="207"/>
      <c r="CW253" s="207"/>
      <c r="CX253" s="207"/>
      <c r="CY253" s="207"/>
      <c r="CZ253" s="207"/>
      <c r="DA253" s="207"/>
      <c r="DB253" s="207"/>
      <c r="DC253" s="207"/>
      <c r="DD253" s="207"/>
      <c r="DE253" s="207"/>
      <c r="DF253" s="207"/>
      <c r="DG253" s="207"/>
      <c r="DH253" s="207"/>
      <c r="DI253" s="207"/>
      <c r="DJ253" s="207"/>
      <c r="DK253" s="207"/>
      <c r="DL253" s="207"/>
      <c r="DM253" s="207"/>
      <c r="DN253" s="207"/>
      <c r="DO253" s="207"/>
      <c r="DP253" s="207"/>
      <c r="DQ253" s="207"/>
      <c r="DR253" s="207"/>
      <c r="DS253" s="207"/>
      <c r="DT253" s="207"/>
      <c r="DU253" s="207"/>
      <c r="DV253" s="207"/>
      <c r="DW253" s="207"/>
      <c r="DX253" s="207"/>
      <c r="DY253" s="207"/>
      <c r="DZ253" s="207"/>
      <c r="EA253" s="207"/>
      <c r="EB253" s="207"/>
      <c r="EC253" s="207"/>
      <c r="ED253" s="207"/>
      <c r="EE253" s="207"/>
      <c r="EF253" s="207"/>
      <c r="EG253" s="207"/>
      <c r="EH253" s="207"/>
      <c r="EI253" s="207"/>
      <c r="EJ253" s="207"/>
      <c r="EK253" s="207"/>
      <c r="EL253" s="207"/>
      <c r="EM253" s="207"/>
      <c r="EN253" s="207"/>
      <c r="EO253" s="207"/>
      <c r="EP253" s="207"/>
      <c r="EQ253" s="207"/>
      <c r="ER253" s="207"/>
      <c r="ES253" s="207"/>
      <c r="ET253" s="207"/>
      <c r="EU253" s="207"/>
      <c r="EV253" s="207"/>
      <c r="EW253" s="207"/>
      <c r="EX253" s="207"/>
      <c r="EY253" s="207"/>
      <c r="EZ253" s="207"/>
      <c r="FA253" s="207"/>
      <c r="FB253" s="207"/>
      <c r="FC253" s="207"/>
      <c r="FD253" s="207"/>
      <c r="FE253" s="207"/>
      <c r="FF253" s="207"/>
      <c r="FG253" s="207"/>
      <c r="FH253" s="207"/>
      <c r="FI253" s="207"/>
      <c r="FJ253" s="207"/>
      <c r="FK253" s="207"/>
      <c r="FL253" s="207"/>
      <c r="FM253" s="207"/>
      <c r="FN253" s="207"/>
      <c r="FO253" s="207"/>
      <c r="FP253" s="207"/>
      <c r="FQ253" s="207"/>
      <c r="FR253" s="207"/>
      <c r="FS253" s="208"/>
      <c r="FT253" s="156"/>
    </row>
    <row r="254" spans="1:176" ht="15" outlineLevel="1">
      <c r="A254" s="206" t="s">
        <v>1520</v>
      </c>
      <c r="B254" s="200" t="s">
        <v>151</v>
      </c>
      <c r="C254" s="34"/>
      <c r="D254" s="34"/>
      <c r="E254" s="34"/>
      <c r="F254" s="34"/>
      <c r="G254" s="34"/>
      <c r="H254" s="37" t="s">
        <v>488</v>
      </c>
      <c r="I254" s="38"/>
      <c r="J254" s="38"/>
      <c r="K254" s="38"/>
      <c r="L254" s="38"/>
      <c r="M254" s="38"/>
      <c r="N254" s="38"/>
      <c r="O254" s="38"/>
      <c r="P254" s="38"/>
      <c r="Q254" s="38"/>
      <c r="R254" s="177">
        <f t="shared" si="36"/>
        <v>0</v>
      </c>
      <c r="S254" s="202">
        <f t="shared" si="34"/>
        <v>0</v>
      </c>
      <c r="T254" s="202">
        <f t="shared" si="35"/>
        <v>0</v>
      </c>
      <c r="U254" s="18"/>
      <c r="V254" s="206" t="str">
        <f t="shared" si="31"/>
        <v>5-41</v>
      </c>
      <c r="W254" s="215" t="str">
        <f t="shared" si="37"/>
        <v/>
      </c>
      <c r="X254" s="110"/>
      <c r="Y254" s="109"/>
      <c r="Z254" s="207"/>
      <c r="AA254" s="207"/>
      <c r="AB254" s="207"/>
      <c r="AC254" s="207"/>
      <c r="AD254" s="207"/>
      <c r="AE254" s="207"/>
      <c r="AF254" s="207"/>
      <c r="AG254" s="207"/>
      <c r="AH254" s="207"/>
      <c r="AI254" s="207"/>
      <c r="AJ254" s="207"/>
      <c r="AK254" s="207"/>
      <c r="AL254" s="207"/>
      <c r="AM254" s="207"/>
      <c r="AN254" s="207"/>
      <c r="AO254" s="207"/>
      <c r="AP254" s="207"/>
      <c r="AQ254" s="207"/>
      <c r="AR254" s="207"/>
      <c r="AS254" s="207"/>
      <c r="AT254" s="207"/>
      <c r="AU254" s="207"/>
      <c r="AV254" s="207"/>
      <c r="AW254" s="207"/>
      <c r="AX254" s="207"/>
      <c r="AY254" s="207"/>
      <c r="AZ254" s="207"/>
      <c r="BA254" s="207"/>
      <c r="BB254" s="207"/>
      <c r="BC254" s="207"/>
      <c r="BD254" s="207"/>
      <c r="BE254" s="207"/>
      <c r="BF254" s="207"/>
      <c r="BG254" s="207"/>
      <c r="BH254" s="207"/>
      <c r="BI254" s="207"/>
      <c r="BJ254" s="207"/>
      <c r="BK254" s="207"/>
      <c r="BL254" s="207"/>
      <c r="BM254" s="207"/>
      <c r="BN254" s="207"/>
      <c r="BO254" s="207"/>
      <c r="BP254" s="207"/>
      <c r="BQ254" s="207"/>
      <c r="BR254" s="207"/>
      <c r="BS254" s="207"/>
      <c r="BT254" s="207"/>
      <c r="BU254" s="207"/>
      <c r="BV254" s="207"/>
      <c r="BW254" s="207"/>
      <c r="BX254" s="207"/>
      <c r="BY254" s="207"/>
      <c r="BZ254" s="207"/>
      <c r="CA254" s="207"/>
      <c r="CB254" s="207"/>
      <c r="CC254" s="207"/>
      <c r="CD254" s="207"/>
      <c r="CE254" s="207"/>
      <c r="CF254" s="207"/>
      <c r="CG254" s="207"/>
      <c r="CH254" s="207"/>
      <c r="CI254" s="207"/>
      <c r="CJ254" s="207"/>
      <c r="CK254" s="207"/>
      <c r="CL254" s="207"/>
      <c r="CM254" s="207"/>
      <c r="CN254" s="207"/>
      <c r="CO254" s="207"/>
      <c r="CP254" s="207"/>
      <c r="CQ254" s="207"/>
      <c r="CR254" s="207"/>
      <c r="CS254" s="207"/>
      <c r="CT254" s="207"/>
      <c r="CU254" s="207"/>
      <c r="CV254" s="207"/>
      <c r="CW254" s="207"/>
      <c r="CX254" s="207"/>
      <c r="CY254" s="207"/>
      <c r="CZ254" s="207"/>
      <c r="DA254" s="207"/>
      <c r="DB254" s="207"/>
      <c r="DC254" s="207"/>
      <c r="DD254" s="207"/>
      <c r="DE254" s="207"/>
      <c r="DF254" s="207"/>
      <c r="DG254" s="207"/>
      <c r="DH254" s="207"/>
      <c r="DI254" s="207"/>
      <c r="DJ254" s="207"/>
      <c r="DK254" s="207"/>
      <c r="DL254" s="207"/>
      <c r="DM254" s="207"/>
      <c r="DN254" s="207"/>
      <c r="DO254" s="207"/>
      <c r="DP254" s="207"/>
      <c r="DQ254" s="207"/>
      <c r="DR254" s="207"/>
      <c r="DS254" s="207"/>
      <c r="DT254" s="207"/>
      <c r="DU254" s="207"/>
      <c r="DV254" s="207"/>
      <c r="DW254" s="207"/>
      <c r="DX254" s="207"/>
      <c r="DY254" s="207"/>
      <c r="DZ254" s="207"/>
      <c r="EA254" s="207"/>
      <c r="EB254" s="207"/>
      <c r="EC254" s="207"/>
      <c r="ED254" s="207"/>
      <c r="EE254" s="207"/>
      <c r="EF254" s="207"/>
      <c r="EG254" s="207"/>
      <c r="EH254" s="207"/>
      <c r="EI254" s="207"/>
      <c r="EJ254" s="207"/>
      <c r="EK254" s="207"/>
      <c r="EL254" s="207"/>
      <c r="EM254" s="207"/>
      <c r="EN254" s="207"/>
      <c r="EO254" s="207"/>
      <c r="EP254" s="207"/>
      <c r="EQ254" s="207"/>
      <c r="ER254" s="207"/>
      <c r="ES254" s="207"/>
      <c r="ET254" s="207"/>
      <c r="EU254" s="207"/>
      <c r="EV254" s="207"/>
      <c r="EW254" s="207"/>
      <c r="EX254" s="207"/>
      <c r="EY254" s="207"/>
      <c r="EZ254" s="207"/>
      <c r="FA254" s="207"/>
      <c r="FB254" s="207"/>
      <c r="FC254" s="207"/>
      <c r="FD254" s="207"/>
      <c r="FE254" s="207"/>
      <c r="FF254" s="207"/>
      <c r="FG254" s="207"/>
      <c r="FH254" s="207"/>
      <c r="FI254" s="207"/>
      <c r="FJ254" s="207"/>
      <c r="FK254" s="207"/>
      <c r="FL254" s="207"/>
      <c r="FM254" s="207"/>
      <c r="FN254" s="207"/>
      <c r="FO254" s="207"/>
      <c r="FP254" s="207"/>
      <c r="FQ254" s="207"/>
      <c r="FR254" s="207"/>
      <c r="FS254" s="208"/>
      <c r="FT254" s="156"/>
    </row>
    <row r="255" spans="1:176" ht="15" outlineLevel="1">
      <c r="A255" s="206" t="s">
        <v>1521</v>
      </c>
      <c r="B255" s="200" t="s">
        <v>151</v>
      </c>
      <c r="C255" s="34"/>
      <c r="D255" s="34"/>
      <c r="E255" s="34"/>
      <c r="F255" s="34"/>
      <c r="G255" s="34"/>
      <c r="H255" s="37" t="s">
        <v>488</v>
      </c>
      <c r="I255" s="38"/>
      <c r="J255" s="38"/>
      <c r="K255" s="38"/>
      <c r="L255" s="38"/>
      <c r="M255" s="38"/>
      <c r="N255" s="38"/>
      <c r="O255" s="38"/>
      <c r="P255" s="38"/>
      <c r="Q255" s="38"/>
      <c r="R255" s="177">
        <f t="shared" si="36"/>
        <v>0</v>
      </c>
      <c r="S255" s="202">
        <f t="shared" si="34"/>
        <v>0</v>
      </c>
      <c r="T255" s="202">
        <f t="shared" si="35"/>
        <v>0</v>
      </c>
      <c r="U255" s="18"/>
      <c r="V255" s="206" t="str">
        <f t="shared" si="31"/>
        <v>5-42</v>
      </c>
      <c r="W255" s="215" t="str">
        <f t="shared" si="37"/>
        <v/>
      </c>
      <c r="X255" s="110"/>
      <c r="Y255" s="109"/>
      <c r="Z255" s="207"/>
      <c r="AA255" s="207"/>
      <c r="AB255" s="207"/>
      <c r="AC255" s="207"/>
      <c r="AD255" s="207"/>
      <c r="AE255" s="207"/>
      <c r="AF255" s="207"/>
      <c r="AG255" s="207"/>
      <c r="AH255" s="207"/>
      <c r="AI255" s="207"/>
      <c r="AJ255" s="207"/>
      <c r="AK255" s="207"/>
      <c r="AL255" s="207"/>
      <c r="AM255" s="207"/>
      <c r="AN255" s="207"/>
      <c r="AO255" s="207"/>
      <c r="AP255" s="207"/>
      <c r="AQ255" s="207"/>
      <c r="AR255" s="207"/>
      <c r="AS255" s="207"/>
      <c r="AT255" s="207"/>
      <c r="AU255" s="207"/>
      <c r="AV255" s="207"/>
      <c r="AW255" s="207"/>
      <c r="AX255" s="207"/>
      <c r="AY255" s="207"/>
      <c r="AZ255" s="207"/>
      <c r="BA255" s="207"/>
      <c r="BB255" s="207"/>
      <c r="BC255" s="207"/>
      <c r="BD255" s="207"/>
      <c r="BE255" s="207"/>
      <c r="BF255" s="207"/>
      <c r="BG255" s="207"/>
      <c r="BH255" s="207"/>
      <c r="BI255" s="207"/>
      <c r="BJ255" s="207"/>
      <c r="BK255" s="207"/>
      <c r="BL255" s="207"/>
      <c r="BM255" s="207"/>
      <c r="BN255" s="207"/>
      <c r="BO255" s="207"/>
      <c r="BP255" s="207"/>
      <c r="BQ255" s="207"/>
      <c r="BR255" s="207"/>
      <c r="BS255" s="207"/>
      <c r="BT255" s="207"/>
      <c r="BU255" s="207"/>
      <c r="BV255" s="207"/>
      <c r="BW255" s="207"/>
      <c r="BX255" s="207"/>
      <c r="BY255" s="207"/>
      <c r="BZ255" s="207"/>
      <c r="CA255" s="207"/>
      <c r="CB255" s="207"/>
      <c r="CC255" s="207"/>
      <c r="CD255" s="207"/>
      <c r="CE255" s="207"/>
      <c r="CF255" s="207"/>
      <c r="CG255" s="207"/>
      <c r="CH255" s="207"/>
      <c r="CI255" s="207"/>
      <c r="CJ255" s="207"/>
      <c r="CK255" s="207"/>
      <c r="CL255" s="207"/>
      <c r="CM255" s="207"/>
      <c r="CN255" s="207"/>
      <c r="CO255" s="207"/>
      <c r="CP255" s="207"/>
      <c r="CQ255" s="207"/>
      <c r="CR255" s="207"/>
      <c r="CS255" s="207"/>
      <c r="CT255" s="207"/>
      <c r="CU255" s="207"/>
      <c r="CV255" s="207"/>
      <c r="CW255" s="207"/>
      <c r="CX255" s="207"/>
      <c r="CY255" s="207"/>
      <c r="CZ255" s="207"/>
      <c r="DA255" s="207"/>
      <c r="DB255" s="207"/>
      <c r="DC255" s="207"/>
      <c r="DD255" s="207"/>
      <c r="DE255" s="207"/>
      <c r="DF255" s="207"/>
      <c r="DG255" s="207"/>
      <c r="DH255" s="207"/>
      <c r="DI255" s="207"/>
      <c r="DJ255" s="207"/>
      <c r="DK255" s="207"/>
      <c r="DL255" s="207"/>
      <c r="DM255" s="207"/>
      <c r="DN255" s="207"/>
      <c r="DO255" s="207"/>
      <c r="DP255" s="207"/>
      <c r="DQ255" s="207"/>
      <c r="DR255" s="207"/>
      <c r="DS255" s="207"/>
      <c r="DT255" s="207"/>
      <c r="DU255" s="207"/>
      <c r="DV255" s="207"/>
      <c r="DW255" s="207"/>
      <c r="DX255" s="207"/>
      <c r="DY255" s="207"/>
      <c r="DZ255" s="207"/>
      <c r="EA255" s="207"/>
      <c r="EB255" s="207"/>
      <c r="EC255" s="207"/>
      <c r="ED255" s="207"/>
      <c r="EE255" s="207"/>
      <c r="EF255" s="207"/>
      <c r="EG255" s="207"/>
      <c r="EH255" s="207"/>
      <c r="EI255" s="207"/>
      <c r="EJ255" s="207"/>
      <c r="EK255" s="207"/>
      <c r="EL255" s="207"/>
      <c r="EM255" s="207"/>
      <c r="EN255" s="207"/>
      <c r="EO255" s="207"/>
      <c r="EP255" s="207"/>
      <c r="EQ255" s="207"/>
      <c r="ER255" s="207"/>
      <c r="ES255" s="207"/>
      <c r="ET255" s="207"/>
      <c r="EU255" s="207"/>
      <c r="EV255" s="207"/>
      <c r="EW255" s="207"/>
      <c r="EX255" s="207"/>
      <c r="EY255" s="207"/>
      <c r="EZ255" s="207"/>
      <c r="FA255" s="207"/>
      <c r="FB255" s="207"/>
      <c r="FC255" s="207"/>
      <c r="FD255" s="207"/>
      <c r="FE255" s="207"/>
      <c r="FF255" s="207"/>
      <c r="FG255" s="207"/>
      <c r="FH255" s="207"/>
      <c r="FI255" s="207"/>
      <c r="FJ255" s="207"/>
      <c r="FK255" s="207"/>
      <c r="FL255" s="207"/>
      <c r="FM255" s="207"/>
      <c r="FN255" s="207"/>
      <c r="FO255" s="207"/>
      <c r="FP255" s="207"/>
      <c r="FQ255" s="207"/>
      <c r="FR255" s="207"/>
      <c r="FS255" s="208"/>
      <c r="FT255" s="156"/>
    </row>
    <row r="256" spans="1:176" ht="15" outlineLevel="1">
      <c r="A256" s="206" t="s">
        <v>1522</v>
      </c>
      <c r="B256" s="200" t="s">
        <v>151</v>
      </c>
      <c r="C256" s="34"/>
      <c r="D256" s="34"/>
      <c r="E256" s="34"/>
      <c r="F256" s="34"/>
      <c r="G256" s="34"/>
      <c r="H256" s="37" t="s">
        <v>488</v>
      </c>
      <c r="I256" s="38"/>
      <c r="J256" s="38"/>
      <c r="K256" s="38"/>
      <c r="L256" s="38"/>
      <c r="M256" s="38"/>
      <c r="N256" s="38"/>
      <c r="O256" s="38"/>
      <c r="P256" s="38"/>
      <c r="Q256" s="38"/>
      <c r="R256" s="177">
        <f t="shared" si="36"/>
        <v>0</v>
      </c>
      <c r="S256" s="202">
        <f t="shared" si="34"/>
        <v>0</v>
      </c>
      <c r="T256" s="202">
        <f t="shared" si="35"/>
        <v>0</v>
      </c>
      <c r="U256" s="18"/>
      <c r="V256" s="206" t="str">
        <f t="shared" si="31"/>
        <v>5-43</v>
      </c>
      <c r="W256" s="215" t="str">
        <f t="shared" si="37"/>
        <v/>
      </c>
      <c r="X256" s="110"/>
      <c r="Y256" s="109"/>
      <c r="Z256" s="207"/>
      <c r="AA256" s="207"/>
      <c r="AB256" s="207"/>
      <c r="AC256" s="207"/>
      <c r="AD256" s="207"/>
      <c r="AE256" s="207"/>
      <c r="AF256" s="207"/>
      <c r="AG256" s="207"/>
      <c r="AH256" s="207"/>
      <c r="AI256" s="207"/>
      <c r="AJ256" s="207"/>
      <c r="AK256" s="207"/>
      <c r="AL256" s="207"/>
      <c r="AM256" s="207"/>
      <c r="AN256" s="207"/>
      <c r="AO256" s="207"/>
      <c r="AP256" s="207"/>
      <c r="AQ256" s="207"/>
      <c r="AR256" s="207"/>
      <c r="AS256" s="207"/>
      <c r="AT256" s="207"/>
      <c r="AU256" s="207"/>
      <c r="AV256" s="207"/>
      <c r="AW256" s="207"/>
      <c r="AX256" s="207"/>
      <c r="AY256" s="207"/>
      <c r="AZ256" s="207"/>
      <c r="BA256" s="207"/>
      <c r="BB256" s="207"/>
      <c r="BC256" s="207"/>
      <c r="BD256" s="207"/>
      <c r="BE256" s="207"/>
      <c r="BF256" s="207"/>
      <c r="BG256" s="207"/>
      <c r="BH256" s="207"/>
      <c r="BI256" s="207"/>
      <c r="BJ256" s="207"/>
      <c r="BK256" s="207"/>
      <c r="BL256" s="207"/>
      <c r="BM256" s="207"/>
      <c r="BN256" s="207"/>
      <c r="BO256" s="207"/>
      <c r="BP256" s="207"/>
      <c r="BQ256" s="207"/>
      <c r="BR256" s="207"/>
      <c r="BS256" s="207"/>
      <c r="BT256" s="207"/>
      <c r="BU256" s="207"/>
      <c r="BV256" s="207"/>
      <c r="BW256" s="207"/>
      <c r="BX256" s="207"/>
      <c r="BY256" s="207"/>
      <c r="BZ256" s="207"/>
      <c r="CA256" s="207"/>
      <c r="CB256" s="207"/>
      <c r="CC256" s="207"/>
      <c r="CD256" s="207"/>
      <c r="CE256" s="207"/>
      <c r="CF256" s="207"/>
      <c r="CG256" s="207"/>
      <c r="CH256" s="207"/>
      <c r="CI256" s="207"/>
      <c r="CJ256" s="207"/>
      <c r="CK256" s="207"/>
      <c r="CL256" s="207"/>
      <c r="CM256" s="207"/>
      <c r="CN256" s="207"/>
      <c r="CO256" s="207"/>
      <c r="CP256" s="207"/>
      <c r="CQ256" s="207"/>
      <c r="CR256" s="207"/>
      <c r="CS256" s="207"/>
      <c r="CT256" s="207"/>
      <c r="CU256" s="207"/>
      <c r="CV256" s="207"/>
      <c r="CW256" s="207"/>
      <c r="CX256" s="207"/>
      <c r="CY256" s="207"/>
      <c r="CZ256" s="207"/>
      <c r="DA256" s="207"/>
      <c r="DB256" s="207"/>
      <c r="DC256" s="207"/>
      <c r="DD256" s="207"/>
      <c r="DE256" s="207"/>
      <c r="DF256" s="207"/>
      <c r="DG256" s="207"/>
      <c r="DH256" s="207"/>
      <c r="DI256" s="207"/>
      <c r="DJ256" s="207"/>
      <c r="DK256" s="207"/>
      <c r="DL256" s="207"/>
      <c r="DM256" s="207"/>
      <c r="DN256" s="207"/>
      <c r="DO256" s="207"/>
      <c r="DP256" s="207"/>
      <c r="DQ256" s="207"/>
      <c r="DR256" s="207"/>
      <c r="DS256" s="207"/>
      <c r="DT256" s="207"/>
      <c r="DU256" s="207"/>
      <c r="DV256" s="207"/>
      <c r="DW256" s="207"/>
      <c r="DX256" s="207"/>
      <c r="DY256" s="207"/>
      <c r="DZ256" s="207"/>
      <c r="EA256" s="207"/>
      <c r="EB256" s="207"/>
      <c r="EC256" s="207"/>
      <c r="ED256" s="207"/>
      <c r="EE256" s="207"/>
      <c r="EF256" s="207"/>
      <c r="EG256" s="207"/>
      <c r="EH256" s="207"/>
      <c r="EI256" s="207"/>
      <c r="EJ256" s="207"/>
      <c r="EK256" s="207"/>
      <c r="EL256" s="207"/>
      <c r="EM256" s="207"/>
      <c r="EN256" s="207"/>
      <c r="EO256" s="207"/>
      <c r="EP256" s="207"/>
      <c r="EQ256" s="207"/>
      <c r="ER256" s="207"/>
      <c r="ES256" s="207"/>
      <c r="ET256" s="207"/>
      <c r="EU256" s="207"/>
      <c r="EV256" s="207"/>
      <c r="EW256" s="207"/>
      <c r="EX256" s="207"/>
      <c r="EY256" s="207"/>
      <c r="EZ256" s="207"/>
      <c r="FA256" s="207"/>
      <c r="FB256" s="207"/>
      <c r="FC256" s="207"/>
      <c r="FD256" s="207"/>
      <c r="FE256" s="207"/>
      <c r="FF256" s="207"/>
      <c r="FG256" s="207"/>
      <c r="FH256" s="207"/>
      <c r="FI256" s="207"/>
      <c r="FJ256" s="207"/>
      <c r="FK256" s="207"/>
      <c r="FL256" s="207"/>
      <c r="FM256" s="207"/>
      <c r="FN256" s="207"/>
      <c r="FO256" s="207"/>
      <c r="FP256" s="207"/>
      <c r="FQ256" s="207"/>
      <c r="FR256" s="207"/>
      <c r="FS256" s="208"/>
      <c r="FT256" s="156"/>
    </row>
    <row r="257" spans="1:176" ht="15" outlineLevel="1">
      <c r="A257" s="206" t="s">
        <v>1523</v>
      </c>
      <c r="B257" s="200" t="s">
        <v>151</v>
      </c>
      <c r="C257" s="34"/>
      <c r="D257" s="34"/>
      <c r="E257" s="34"/>
      <c r="F257" s="34"/>
      <c r="G257" s="34"/>
      <c r="H257" s="37" t="s">
        <v>488</v>
      </c>
      <c r="I257" s="38"/>
      <c r="J257" s="38"/>
      <c r="K257" s="38"/>
      <c r="L257" s="38"/>
      <c r="M257" s="38"/>
      <c r="N257" s="38"/>
      <c r="O257" s="38"/>
      <c r="P257" s="38"/>
      <c r="Q257" s="38"/>
      <c r="R257" s="177">
        <f t="shared" si="36"/>
        <v>0</v>
      </c>
      <c r="S257" s="202">
        <f t="shared" si="34"/>
        <v>0</v>
      </c>
      <c r="T257" s="202">
        <f t="shared" si="35"/>
        <v>0</v>
      </c>
      <c r="U257" s="18"/>
      <c r="V257" s="206" t="str">
        <f t="shared" si="31"/>
        <v>5-44</v>
      </c>
      <c r="W257" s="215" t="str">
        <f t="shared" si="37"/>
        <v/>
      </c>
      <c r="X257" s="110"/>
      <c r="Y257" s="109"/>
      <c r="Z257" s="207"/>
      <c r="AA257" s="207"/>
      <c r="AB257" s="207"/>
      <c r="AC257" s="207"/>
      <c r="AD257" s="207"/>
      <c r="AE257" s="207"/>
      <c r="AF257" s="207"/>
      <c r="AG257" s="207"/>
      <c r="AH257" s="207"/>
      <c r="AI257" s="207"/>
      <c r="AJ257" s="207"/>
      <c r="AK257" s="207"/>
      <c r="AL257" s="207"/>
      <c r="AM257" s="207"/>
      <c r="AN257" s="207"/>
      <c r="AO257" s="207"/>
      <c r="AP257" s="207"/>
      <c r="AQ257" s="207"/>
      <c r="AR257" s="207"/>
      <c r="AS257" s="207"/>
      <c r="AT257" s="207"/>
      <c r="AU257" s="207"/>
      <c r="AV257" s="207"/>
      <c r="AW257" s="207"/>
      <c r="AX257" s="207"/>
      <c r="AY257" s="207"/>
      <c r="AZ257" s="207"/>
      <c r="BA257" s="207"/>
      <c r="BB257" s="207"/>
      <c r="BC257" s="207"/>
      <c r="BD257" s="207"/>
      <c r="BE257" s="207"/>
      <c r="BF257" s="207"/>
      <c r="BG257" s="207"/>
      <c r="BH257" s="207"/>
      <c r="BI257" s="207"/>
      <c r="BJ257" s="207"/>
      <c r="BK257" s="207"/>
      <c r="BL257" s="207"/>
      <c r="BM257" s="207"/>
      <c r="BN257" s="207"/>
      <c r="BO257" s="207"/>
      <c r="BP257" s="207"/>
      <c r="BQ257" s="207"/>
      <c r="BR257" s="207"/>
      <c r="BS257" s="207"/>
      <c r="BT257" s="207"/>
      <c r="BU257" s="207"/>
      <c r="BV257" s="207"/>
      <c r="BW257" s="207"/>
      <c r="BX257" s="207"/>
      <c r="BY257" s="207"/>
      <c r="BZ257" s="207"/>
      <c r="CA257" s="207"/>
      <c r="CB257" s="207"/>
      <c r="CC257" s="207"/>
      <c r="CD257" s="207"/>
      <c r="CE257" s="207"/>
      <c r="CF257" s="207"/>
      <c r="CG257" s="207"/>
      <c r="CH257" s="207"/>
      <c r="CI257" s="207"/>
      <c r="CJ257" s="207"/>
      <c r="CK257" s="207"/>
      <c r="CL257" s="207"/>
      <c r="CM257" s="207"/>
      <c r="CN257" s="207"/>
      <c r="CO257" s="207"/>
      <c r="CP257" s="207"/>
      <c r="CQ257" s="207"/>
      <c r="CR257" s="207"/>
      <c r="CS257" s="207"/>
      <c r="CT257" s="207"/>
      <c r="CU257" s="207"/>
      <c r="CV257" s="207"/>
      <c r="CW257" s="207"/>
      <c r="CX257" s="207"/>
      <c r="CY257" s="207"/>
      <c r="CZ257" s="207"/>
      <c r="DA257" s="207"/>
      <c r="DB257" s="207"/>
      <c r="DC257" s="207"/>
      <c r="DD257" s="207"/>
      <c r="DE257" s="207"/>
      <c r="DF257" s="207"/>
      <c r="DG257" s="207"/>
      <c r="DH257" s="207"/>
      <c r="DI257" s="207"/>
      <c r="DJ257" s="207"/>
      <c r="DK257" s="207"/>
      <c r="DL257" s="207"/>
      <c r="DM257" s="207"/>
      <c r="DN257" s="207"/>
      <c r="DO257" s="207"/>
      <c r="DP257" s="207"/>
      <c r="DQ257" s="207"/>
      <c r="DR257" s="207"/>
      <c r="DS257" s="207"/>
      <c r="DT257" s="207"/>
      <c r="DU257" s="207"/>
      <c r="DV257" s="207"/>
      <c r="DW257" s="207"/>
      <c r="DX257" s="207"/>
      <c r="DY257" s="207"/>
      <c r="DZ257" s="207"/>
      <c r="EA257" s="207"/>
      <c r="EB257" s="207"/>
      <c r="EC257" s="207"/>
      <c r="ED257" s="207"/>
      <c r="EE257" s="207"/>
      <c r="EF257" s="207"/>
      <c r="EG257" s="207"/>
      <c r="EH257" s="207"/>
      <c r="EI257" s="207"/>
      <c r="EJ257" s="207"/>
      <c r="EK257" s="207"/>
      <c r="EL257" s="207"/>
      <c r="EM257" s="207"/>
      <c r="EN257" s="207"/>
      <c r="EO257" s="207"/>
      <c r="EP257" s="207"/>
      <c r="EQ257" s="207"/>
      <c r="ER257" s="207"/>
      <c r="ES257" s="207"/>
      <c r="ET257" s="207"/>
      <c r="EU257" s="207"/>
      <c r="EV257" s="207"/>
      <c r="EW257" s="207"/>
      <c r="EX257" s="207"/>
      <c r="EY257" s="207"/>
      <c r="EZ257" s="207"/>
      <c r="FA257" s="207"/>
      <c r="FB257" s="207"/>
      <c r="FC257" s="207"/>
      <c r="FD257" s="207"/>
      <c r="FE257" s="207"/>
      <c r="FF257" s="207"/>
      <c r="FG257" s="207"/>
      <c r="FH257" s="207"/>
      <c r="FI257" s="207"/>
      <c r="FJ257" s="207"/>
      <c r="FK257" s="207"/>
      <c r="FL257" s="207"/>
      <c r="FM257" s="207"/>
      <c r="FN257" s="207"/>
      <c r="FO257" s="207"/>
      <c r="FP257" s="207"/>
      <c r="FQ257" s="207"/>
      <c r="FR257" s="207"/>
      <c r="FS257" s="208"/>
      <c r="FT257" s="156"/>
    </row>
    <row r="258" spans="1:176" ht="15" outlineLevel="1">
      <c r="A258" s="206" t="s">
        <v>1524</v>
      </c>
      <c r="B258" s="200" t="s">
        <v>151</v>
      </c>
      <c r="C258" s="34"/>
      <c r="D258" s="34"/>
      <c r="E258" s="34"/>
      <c r="F258" s="34"/>
      <c r="G258" s="34"/>
      <c r="H258" s="37" t="s">
        <v>488</v>
      </c>
      <c r="I258" s="38"/>
      <c r="J258" s="38"/>
      <c r="K258" s="38"/>
      <c r="L258" s="38"/>
      <c r="M258" s="38"/>
      <c r="N258" s="38"/>
      <c r="O258" s="38"/>
      <c r="P258" s="38"/>
      <c r="Q258" s="38"/>
      <c r="R258" s="177">
        <f t="shared" si="36"/>
        <v>0</v>
      </c>
      <c r="S258" s="202">
        <f t="shared" si="34"/>
        <v>0</v>
      </c>
      <c r="T258" s="202">
        <f t="shared" si="35"/>
        <v>0</v>
      </c>
      <c r="U258" s="18"/>
      <c r="V258" s="206" t="str">
        <f t="shared" si="31"/>
        <v>5-45</v>
      </c>
      <c r="W258" s="215" t="str">
        <f t="shared" si="37"/>
        <v/>
      </c>
      <c r="X258" s="110"/>
      <c r="Y258" s="109"/>
      <c r="Z258" s="207"/>
      <c r="AA258" s="207"/>
      <c r="AB258" s="207"/>
      <c r="AC258" s="207"/>
      <c r="AD258" s="207"/>
      <c r="AE258" s="207"/>
      <c r="AF258" s="207"/>
      <c r="AG258" s="207"/>
      <c r="AH258" s="207"/>
      <c r="AI258" s="207"/>
      <c r="AJ258" s="207"/>
      <c r="AK258" s="207"/>
      <c r="AL258" s="207"/>
      <c r="AM258" s="207"/>
      <c r="AN258" s="207"/>
      <c r="AO258" s="207"/>
      <c r="AP258" s="207"/>
      <c r="AQ258" s="207"/>
      <c r="AR258" s="207"/>
      <c r="AS258" s="207"/>
      <c r="AT258" s="207"/>
      <c r="AU258" s="207"/>
      <c r="AV258" s="207"/>
      <c r="AW258" s="207"/>
      <c r="AX258" s="207"/>
      <c r="AY258" s="207"/>
      <c r="AZ258" s="207"/>
      <c r="BA258" s="207"/>
      <c r="BB258" s="207"/>
      <c r="BC258" s="207"/>
      <c r="BD258" s="207"/>
      <c r="BE258" s="207"/>
      <c r="BF258" s="207"/>
      <c r="BG258" s="207"/>
      <c r="BH258" s="207"/>
      <c r="BI258" s="207"/>
      <c r="BJ258" s="207"/>
      <c r="BK258" s="207"/>
      <c r="BL258" s="207"/>
      <c r="BM258" s="207"/>
      <c r="BN258" s="207"/>
      <c r="BO258" s="207"/>
      <c r="BP258" s="207"/>
      <c r="BQ258" s="207"/>
      <c r="BR258" s="207"/>
      <c r="BS258" s="207"/>
      <c r="BT258" s="207"/>
      <c r="BU258" s="207"/>
      <c r="BV258" s="207"/>
      <c r="BW258" s="207"/>
      <c r="BX258" s="207"/>
      <c r="BY258" s="207"/>
      <c r="BZ258" s="207"/>
      <c r="CA258" s="207"/>
      <c r="CB258" s="207"/>
      <c r="CC258" s="207"/>
      <c r="CD258" s="207"/>
      <c r="CE258" s="207"/>
      <c r="CF258" s="207"/>
      <c r="CG258" s="207"/>
      <c r="CH258" s="207"/>
      <c r="CI258" s="207"/>
      <c r="CJ258" s="207"/>
      <c r="CK258" s="207"/>
      <c r="CL258" s="207"/>
      <c r="CM258" s="207"/>
      <c r="CN258" s="207"/>
      <c r="CO258" s="207"/>
      <c r="CP258" s="207"/>
      <c r="CQ258" s="207"/>
      <c r="CR258" s="207"/>
      <c r="CS258" s="207"/>
      <c r="CT258" s="207"/>
      <c r="CU258" s="207"/>
      <c r="CV258" s="207"/>
      <c r="CW258" s="207"/>
      <c r="CX258" s="207"/>
      <c r="CY258" s="207"/>
      <c r="CZ258" s="207"/>
      <c r="DA258" s="207"/>
      <c r="DB258" s="207"/>
      <c r="DC258" s="207"/>
      <c r="DD258" s="207"/>
      <c r="DE258" s="207"/>
      <c r="DF258" s="207"/>
      <c r="DG258" s="207"/>
      <c r="DH258" s="207"/>
      <c r="DI258" s="207"/>
      <c r="DJ258" s="207"/>
      <c r="DK258" s="207"/>
      <c r="DL258" s="207"/>
      <c r="DM258" s="207"/>
      <c r="DN258" s="207"/>
      <c r="DO258" s="207"/>
      <c r="DP258" s="207"/>
      <c r="DQ258" s="207"/>
      <c r="DR258" s="207"/>
      <c r="DS258" s="207"/>
      <c r="DT258" s="207"/>
      <c r="DU258" s="207"/>
      <c r="DV258" s="207"/>
      <c r="DW258" s="207"/>
      <c r="DX258" s="207"/>
      <c r="DY258" s="207"/>
      <c r="DZ258" s="207"/>
      <c r="EA258" s="207"/>
      <c r="EB258" s="207"/>
      <c r="EC258" s="207"/>
      <c r="ED258" s="207"/>
      <c r="EE258" s="207"/>
      <c r="EF258" s="207"/>
      <c r="EG258" s="207"/>
      <c r="EH258" s="207"/>
      <c r="EI258" s="207"/>
      <c r="EJ258" s="207"/>
      <c r="EK258" s="207"/>
      <c r="EL258" s="207"/>
      <c r="EM258" s="207"/>
      <c r="EN258" s="207"/>
      <c r="EO258" s="207"/>
      <c r="EP258" s="207"/>
      <c r="EQ258" s="207"/>
      <c r="ER258" s="207"/>
      <c r="ES258" s="207"/>
      <c r="ET258" s="207"/>
      <c r="EU258" s="207"/>
      <c r="EV258" s="207"/>
      <c r="EW258" s="207"/>
      <c r="EX258" s="207"/>
      <c r="EY258" s="207"/>
      <c r="EZ258" s="207"/>
      <c r="FA258" s="207"/>
      <c r="FB258" s="207"/>
      <c r="FC258" s="207"/>
      <c r="FD258" s="207"/>
      <c r="FE258" s="207"/>
      <c r="FF258" s="207"/>
      <c r="FG258" s="207"/>
      <c r="FH258" s="207"/>
      <c r="FI258" s="207"/>
      <c r="FJ258" s="207"/>
      <c r="FK258" s="207"/>
      <c r="FL258" s="207"/>
      <c r="FM258" s="207"/>
      <c r="FN258" s="207"/>
      <c r="FO258" s="207"/>
      <c r="FP258" s="207"/>
      <c r="FQ258" s="207"/>
      <c r="FR258" s="207"/>
      <c r="FS258" s="208"/>
      <c r="FT258" s="156"/>
    </row>
    <row r="259" spans="1:176" ht="15" outlineLevel="1">
      <c r="A259" s="206" t="s">
        <v>1525</v>
      </c>
      <c r="B259" s="200" t="s">
        <v>151</v>
      </c>
      <c r="C259" s="34"/>
      <c r="D259" s="34"/>
      <c r="E259" s="34"/>
      <c r="F259" s="34"/>
      <c r="G259" s="34"/>
      <c r="H259" s="37" t="s">
        <v>488</v>
      </c>
      <c r="I259" s="38"/>
      <c r="J259" s="38"/>
      <c r="K259" s="38"/>
      <c r="L259" s="38"/>
      <c r="M259" s="38"/>
      <c r="N259" s="38"/>
      <c r="O259" s="38"/>
      <c r="P259" s="38"/>
      <c r="Q259" s="38"/>
      <c r="R259" s="177">
        <f t="shared" si="36"/>
        <v>0</v>
      </c>
      <c r="S259" s="202">
        <f t="shared" si="34"/>
        <v>0</v>
      </c>
      <c r="T259" s="202">
        <f t="shared" si="35"/>
        <v>0</v>
      </c>
      <c r="U259" s="18"/>
      <c r="V259" s="206" t="str">
        <f t="shared" si="31"/>
        <v>5-46</v>
      </c>
      <c r="W259" s="215" t="str">
        <f t="shared" si="37"/>
        <v/>
      </c>
      <c r="X259" s="110"/>
      <c r="Y259" s="109"/>
      <c r="Z259" s="207"/>
      <c r="AA259" s="207"/>
      <c r="AB259" s="207"/>
      <c r="AC259" s="207"/>
      <c r="AD259" s="207"/>
      <c r="AE259" s="207"/>
      <c r="AF259" s="207"/>
      <c r="AG259" s="207"/>
      <c r="AH259" s="207"/>
      <c r="AI259" s="207"/>
      <c r="AJ259" s="207"/>
      <c r="AK259" s="207"/>
      <c r="AL259" s="207"/>
      <c r="AM259" s="207"/>
      <c r="AN259" s="207"/>
      <c r="AO259" s="207"/>
      <c r="AP259" s="207"/>
      <c r="AQ259" s="207"/>
      <c r="AR259" s="207"/>
      <c r="AS259" s="207"/>
      <c r="AT259" s="207"/>
      <c r="AU259" s="207"/>
      <c r="AV259" s="207"/>
      <c r="AW259" s="207"/>
      <c r="AX259" s="207"/>
      <c r="AY259" s="207"/>
      <c r="AZ259" s="207"/>
      <c r="BA259" s="207"/>
      <c r="BB259" s="207"/>
      <c r="BC259" s="207"/>
      <c r="BD259" s="207"/>
      <c r="BE259" s="207"/>
      <c r="BF259" s="207"/>
      <c r="BG259" s="207"/>
      <c r="BH259" s="207"/>
      <c r="BI259" s="207"/>
      <c r="BJ259" s="207"/>
      <c r="BK259" s="207"/>
      <c r="BL259" s="207"/>
      <c r="BM259" s="207"/>
      <c r="BN259" s="207"/>
      <c r="BO259" s="207"/>
      <c r="BP259" s="207"/>
      <c r="BQ259" s="207"/>
      <c r="BR259" s="207"/>
      <c r="BS259" s="207"/>
      <c r="BT259" s="207"/>
      <c r="BU259" s="207"/>
      <c r="BV259" s="207"/>
      <c r="BW259" s="207"/>
      <c r="BX259" s="207"/>
      <c r="BY259" s="207"/>
      <c r="BZ259" s="207"/>
      <c r="CA259" s="207"/>
      <c r="CB259" s="207"/>
      <c r="CC259" s="207"/>
      <c r="CD259" s="207"/>
      <c r="CE259" s="207"/>
      <c r="CF259" s="207"/>
      <c r="CG259" s="207"/>
      <c r="CH259" s="207"/>
      <c r="CI259" s="207"/>
      <c r="CJ259" s="207"/>
      <c r="CK259" s="207"/>
      <c r="CL259" s="207"/>
      <c r="CM259" s="207"/>
      <c r="CN259" s="207"/>
      <c r="CO259" s="207"/>
      <c r="CP259" s="207"/>
      <c r="CQ259" s="207"/>
      <c r="CR259" s="207"/>
      <c r="CS259" s="207"/>
      <c r="CT259" s="207"/>
      <c r="CU259" s="207"/>
      <c r="CV259" s="207"/>
      <c r="CW259" s="207"/>
      <c r="CX259" s="207"/>
      <c r="CY259" s="207"/>
      <c r="CZ259" s="207"/>
      <c r="DA259" s="207"/>
      <c r="DB259" s="207"/>
      <c r="DC259" s="207"/>
      <c r="DD259" s="207"/>
      <c r="DE259" s="207"/>
      <c r="DF259" s="207"/>
      <c r="DG259" s="207"/>
      <c r="DH259" s="207"/>
      <c r="DI259" s="207"/>
      <c r="DJ259" s="207"/>
      <c r="DK259" s="207"/>
      <c r="DL259" s="207"/>
      <c r="DM259" s="207"/>
      <c r="DN259" s="207"/>
      <c r="DO259" s="207"/>
      <c r="DP259" s="207"/>
      <c r="DQ259" s="207"/>
      <c r="DR259" s="207"/>
      <c r="DS259" s="207"/>
      <c r="DT259" s="207"/>
      <c r="DU259" s="207"/>
      <c r="DV259" s="207"/>
      <c r="DW259" s="207"/>
      <c r="DX259" s="207"/>
      <c r="DY259" s="207"/>
      <c r="DZ259" s="207"/>
      <c r="EA259" s="207"/>
      <c r="EB259" s="207"/>
      <c r="EC259" s="207"/>
      <c r="ED259" s="207"/>
      <c r="EE259" s="207"/>
      <c r="EF259" s="207"/>
      <c r="EG259" s="207"/>
      <c r="EH259" s="207"/>
      <c r="EI259" s="207"/>
      <c r="EJ259" s="207"/>
      <c r="EK259" s="207"/>
      <c r="EL259" s="207"/>
      <c r="EM259" s="207"/>
      <c r="EN259" s="207"/>
      <c r="EO259" s="207"/>
      <c r="EP259" s="207"/>
      <c r="EQ259" s="207"/>
      <c r="ER259" s="207"/>
      <c r="ES259" s="207"/>
      <c r="ET259" s="207"/>
      <c r="EU259" s="207"/>
      <c r="EV259" s="207"/>
      <c r="EW259" s="207"/>
      <c r="EX259" s="207"/>
      <c r="EY259" s="207"/>
      <c r="EZ259" s="207"/>
      <c r="FA259" s="207"/>
      <c r="FB259" s="207"/>
      <c r="FC259" s="207"/>
      <c r="FD259" s="207"/>
      <c r="FE259" s="207"/>
      <c r="FF259" s="207"/>
      <c r="FG259" s="207"/>
      <c r="FH259" s="207"/>
      <c r="FI259" s="207"/>
      <c r="FJ259" s="207"/>
      <c r="FK259" s="207"/>
      <c r="FL259" s="207"/>
      <c r="FM259" s="207"/>
      <c r="FN259" s="207"/>
      <c r="FO259" s="207"/>
      <c r="FP259" s="207"/>
      <c r="FQ259" s="207"/>
      <c r="FR259" s="207"/>
      <c r="FS259" s="208"/>
      <c r="FT259" s="156"/>
    </row>
    <row r="260" spans="1:176" ht="15" outlineLevel="1">
      <c r="A260" s="206" t="s">
        <v>1526</v>
      </c>
      <c r="B260" s="200" t="s">
        <v>151</v>
      </c>
      <c r="C260" s="34"/>
      <c r="D260" s="34"/>
      <c r="E260" s="34"/>
      <c r="F260" s="34"/>
      <c r="G260" s="34"/>
      <c r="H260" s="37" t="s">
        <v>488</v>
      </c>
      <c r="I260" s="38"/>
      <c r="J260" s="38"/>
      <c r="K260" s="38"/>
      <c r="L260" s="38"/>
      <c r="M260" s="38"/>
      <c r="N260" s="38"/>
      <c r="O260" s="38"/>
      <c r="P260" s="38"/>
      <c r="Q260" s="38"/>
      <c r="R260" s="177">
        <f t="shared" si="36"/>
        <v>0</v>
      </c>
      <c r="S260" s="202">
        <f t="shared" si="34"/>
        <v>0</v>
      </c>
      <c r="T260" s="202">
        <f t="shared" si="35"/>
        <v>0</v>
      </c>
      <c r="U260" s="18"/>
      <c r="V260" s="206" t="str">
        <f t="shared" si="31"/>
        <v>5-47</v>
      </c>
      <c r="W260" s="215" t="str">
        <f t="shared" si="37"/>
        <v/>
      </c>
      <c r="X260" s="110"/>
      <c r="Y260" s="109"/>
      <c r="Z260" s="207"/>
      <c r="AA260" s="207"/>
      <c r="AB260" s="207"/>
      <c r="AC260" s="207"/>
      <c r="AD260" s="207"/>
      <c r="AE260" s="207"/>
      <c r="AF260" s="207"/>
      <c r="AG260" s="207"/>
      <c r="AH260" s="207"/>
      <c r="AI260" s="207"/>
      <c r="AJ260" s="207"/>
      <c r="AK260" s="207"/>
      <c r="AL260" s="207"/>
      <c r="AM260" s="207"/>
      <c r="AN260" s="207"/>
      <c r="AO260" s="207"/>
      <c r="AP260" s="207"/>
      <c r="AQ260" s="207"/>
      <c r="AR260" s="207"/>
      <c r="AS260" s="207"/>
      <c r="AT260" s="207"/>
      <c r="AU260" s="207"/>
      <c r="AV260" s="207"/>
      <c r="AW260" s="207"/>
      <c r="AX260" s="207"/>
      <c r="AY260" s="207"/>
      <c r="AZ260" s="207"/>
      <c r="BA260" s="207"/>
      <c r="BB260" s="207"/>
      <c r="BC260" s="207"/>
      <c r="BD260" s="207"/>
      <c r="BE260" s="207"/>
      <c r="BF260" s="207"/>
      <c r="BG260" s="207"/>
      <c r="BH260" s="207"/>
      <c r="BI260" s="207"/>
      <c r="BJ260" s="207"/>
      <c r="BK260" s="207"/>
      <c r="BL260" s="207"/>
      <c r="BM260" s="207"/>
      <c r="BN260" s="207"/>
      <c r="BO260" s="207"/>
      <c r="BP260" s="207"/>
      <c r="BQ260" s="207"/>
      <c r="BR260" s="207"/>
      <c r="BS260" s="207"/>
      <c r="BT260" s="207"/>
      <c r="BU260" s="207"/>
      <c r="BV260" s="207"/>
      <c r="BW260" s="207"/>
      <c r="BX260" s="207"/>
      <c r="BY260" s="207"/>
      <c r="BZ260" s="207"/>
      <c r="CA260" s="207"/>
      <c r="CB260" s="207"/>
      <c r="CC260" s="207"/>
      <c r="CD260" s="207"/>
      <c r="CE260" s="207"/>
      <c r="CF260" s="207"/>
      <c r="CG260" s="207"/>
      <c r="CH260" s="207"/>
      <c r="CI260" s="207"/>
      <c r="CJ260" s="207"/>
      <c r="CK260" s="207"/>
      <c r="CL260" s="207"/>
      <c r="CM260" s="207"/>
      <c r="CN260" s="207"/>
      <c r="CO260" s="207"/>
      <c r="CP260" s="207"/>
      <c r="CQ260" s="207"/>
      <c r="CR260" s="207"/>
      <c r="CS260" s="207"/>
      <c r="CT260" s="207"/>
      <c r="CU260" s="207"/>
      <c r="CV260" s="207"/>
      <c r="CW260" s="207"/>
      <c r="CX260" s="207"/>
      <c r="CY260" s="207"/>
      <c r="CZ260" s="207"/>
      <c r="DA260" s="207"/>
      <c r="DB260" s="207"/>
      <c r="DC260" s="207"/>
      <c r="DD260" s="207"/>
      <c r="DE260" s="207"/>
      <c r="DF260" s="207"/>
      <c r="DG260" s="207"/>
      <c r="DH260" s="207"/>
      <c r="DI260" s="207"/>
      <c r="DJ260" s="207"/>
      <c r="DK260" s="207"/>
      <c r="DL260" s="207"/>
      <c r="DM260" s="207"/>
      <c r="DN260" s="207"/>
      <c r="DO260" s="207"/>
      <c r="DP260" s="207"/>
      <c r="DQ260" s="207"/>
      <c r="DR260" s="207"/>
      <c r="DS260" s="207"/>
      <c r="DT260" s="207"/>
      <c r="DU260" s="207"/>
      <c r="DV260" s="207"/>
      <c r="DW260" s="207"/>
      <c r="DX260" s="207"/>
      <c r="DY260" s="207"/>
      <c r="DZ260" s="207"/>
      <c r="EA260" s="207"/>
      <c r="EB260" s="207"/>
      <c r="EC260" s="207"/>
      <c r="ED260" s="207"/>
      <c r="EE260" s="207"/>
      <c r="EF260" s="207"/>
      <c r="EG260" s="207"/>
      <c r="EH260" s="207"/>
      <c r="EI260" s="207"/>
      <c r="EJ260" s="207"/>
      <c r="EK260" s="207"/>
      <c r="EL260" s="207"/>
      <c r="EM260" s="207"/>
      <c r="EN260" s="207"/>
      <c r="EO260" s="207"/>
      <c r="EP260" s="207"/>
      <c r="EQ260" s="207"/>
      <c r="ER260" s="207"/>
      <c r="ES260" s="207"/>
      <c r="ET260" s="207"/>
      <c r="EU260" s="207"/>
      <c r="EV260" s="207"/>
      <c r="EW260" s="207"/>
      <c r="EX260" s="207"/>
      <c r="EY260" s="207"/>
      <c r="EZ260" s="207"/>
      <c r="FA260" s="207"/>
      <c r="FB260" s="207"/>
      <c r="FC260" s="207"/>
      <c r="FD260" s="207"/>
      <c r="FE260" s="207"/>
      <c r="FF260" s="207"/>
      <c r="FG260" s="207"/>
      <c r="FH260" s="207"/>
      <c r="FI260" s="207"/>
      <c r="FJ260" s="207"/>
      <c r="FK260" s="207"/>
      <c r="FL260" s="207"/>
      <c r="FM260" s="207"/>
      <c r="FN260" s="207"/>
      <c r="FO260" s="207"/>
      <c r="FP260" s="207"/>
      <c r="FQ260" s="207"/>
      <c r="FR260" s="207"/>
      <c r="FS260" s="208"/>
      <c r="FT260" s="156"/>
    </row>
    <row r="261" spans="1:176" ht="15" outlineLevel="1">
      <c r="A261" s="206" t="s">
        <v>1527</v>
      </c>
      <c r="B261" s="200" t="s">
        <v>151</v>
      </c>
      <c r="C261" s="34"/>
      <c r="D261" s="34"/>
      <c r="E261" s="34"/>
      <c r="F261" s="34"/>
      <c r="G261" s="34"/>
      <c r="H261" s="37" t="s">
        <v>488</v>
      </c>
      <c r="I261" s="38"/>
      <c r="J261" s="38"/>
      <c r="K261" s="38"/>
      <c r="L261" s="38"/>
      <c r="M261" s="38"/>
      <c r="N261" s="38"/>
      <c r="O261" s="38"/>
      <c r="P261" s="38"/>
      <c r="Q261" s="38"/>
      <c r="R261" s="177">
        <f t="shared" si="36"/>
        <v>0</v>
      </c>
      <c r="S261" s="202">
        <f t="shared" si="34"/>
        <v>0</v>
      </c>
      <c r="T261" s="202">
        <f t="shared" si="35"/>
        <v>0</v>
      </c>
      <c r="U261" s="18"/>
      <c r="V261" s="206" t="str">
        <f t="shared" si="31"/>
        <v>5-48</v>
      </c>
      <c r="W261" s="215" t="str">
        <f t="shared" si="37"/>
        <v/>
      </c>
      <c r="X261" s="110"/>
      <c r="Y261" s="109"/>
      <c r="Z261" s="207"/>
      <c r="AA261" s="207"/>
      <c r="AB261" s="207"/>
      <c r="AC261" s="207"/>
      <c r="AD261" s="207"/>
      <c r="AE261" s="207"/>
      <c r="AF261" s="207"/>
      <c r="AG261" s="207"/>
      <c r="AH261" s="207"/>
      <c r="AI261" s="207"/>
      <c r="AJ261" s="207"/>
      <c r="AK261" s="207"/>
      <c r="AL261" s="207"/>
      <c r="AM261" s="207"/>
      <c r="AN261" s="207"/>
      <c r="AO261" s="207"/>
      <c r="AP261" s="207"/>
      <c r="AQ261" s="207"/>
      <c r="AR261" s="207"/>
      <c r="AS261" s="207"/>
      <c r="AT261" s="207"/>
      <c r="AU261" s="207"/>
      <c r="AV261" s="207"/>
      <c r="AW261" s="207"/>
      <c r="AX261" s="207"/>
      <c r="AY261" s="207"/>
      <c r="AZ261" s="207"/>
      <c r="BA261" s="207"/>
      <c r="BB261" s="207"/>
      <c r="BC261" s="207"/>
      <c r="BD261" s="207"/>
      <c r="BE261" s="207"/>
      <c r="BF261" s="207"/>
      <c r="BG261" s="207"/>
      <c r="BH261" s="207"/>
      <c r="BI261" s="207"/>
      <c r="BJ261" s="207"/>
      <c r="BK261" s="207"/>
      <c r="BL261" s="207"/>
      <c r="BM261" s="207"/>
      <c r="BN261" s="207"/>
      <c r="BO261" s="207"/>
      <c r="BP261" s="207"/>
      <c r="BQ261" s="207"/>
      <c r="BR261" s="207"/>
      <c r="BS261" s="207"/>
      <c r="BT261" s="207"/>
      <c r="BU261" s="207"/>
      <c r="BV261" s="207"/>
      <c r="BW261" s="207"/>
      <c r="BX261" s="207"/>
      <c r="BY261" s="207"/>
      <c r="BZ261" s="207"/>
      <c r="CA261" s="207"/>
      <c r="CB261" s="207"/>
      <c r="CC261" s="207"/>
      <c r="CD261" s="207"/>
      <c r="CE261" s="207"/>
      <c r="CF261" s="207"/>
      <c r="CG261" s="207"/>
      <c r="CH261" s="207"/>
      <c r="CI261" s="207"/>
      <c r="CJ261" s="207"/>
      <c r="CK261" s="207"/>
      <c r="CL261" s="207"/>
      <c r="CM261" s="207"/>
      <c r="CN261" s="207"/>
      <c r="CO261" s="207"/>
      <c r="CP261" s="207"/>
      <c r="CQ261" s="207"/>
      <c r="CR261" s="207"/>
      <c r="CS261" s="207"/>
      <c r="CT261" s="207"/>
      <c r="CU261" s="207"/>
      <c r="CV261" s="207"/>
      <c r="CW261" s="207"/>
      <c r="CX261" s="207"/>
      <c r="CY261" s="207"/>
      <c r="CZ261" s="207"/>
      <c r="DA261" s="207"/>
      <c r="DB261" s="207"/>
      <c r="DC261" s="207"/>
      <c r="DD261" s="207"/>
      <c r="DE261" s="207"/>
      <c r="DF261" s="207"/>
      <c r="DG261" s="207"/>
      <c r="DH261" s="207"/>
      <c r="DI261" s="207"/>
      <c r="DJ261" s="207"/>
      <c r="DK261" s="207"/>
      <c r="DL261" s="207"/>
      <c r="DM261" s="207"/>
      <c r="DN261" s="207"/>
      <c r="DO261" s="207"/>
      <c r="DP261" s="207"/>
      <c r="DQ261" s="207"/>
      <c r="DR261" s="207"/>
      <c r="DS261" s="207"/>
      <c r="DT261" s="207"/>
      <c r="DU261" s="207"/>
      <c r="DV261" s="207"/>
      <c r="DW261" s="207"/>
      <c r="DX261" s="207"/>
      <c r="DY261" s="207"/>
      <c r="DZ261" s="207"/>
      <c r="EA261" s="207"/>
      <c r="EB261" s="207"/>
      <c r="EC261" s="207"/>
      <c r="ED261" s="207"/>
      <c r="EE261" s="207"/>
      <c r="EF261" s="207"/>
      <c r="EG261" s="207"/>
      <c r="EH261" s="207"/>
      <c r="EI261" s="207"/>
      <c r="EJ261" s="207"/>
      <c r="EK261" s="207"/>
      <c r="EL261" s="207"/>
      <c r="EM261" s="207"/>
      <c r="EN261" s="207"/>
      <c r="EO261" s="207"/>
      <c r="EP261" s="207"/>
      <c r="EQ261" s="207"/>
      <c r="ER261" s="207"/>
      <c r="ES261" s="207"/>
      <c r="ET261" s="207"/>
      <c r="EU261" s="207"/>
      <c r="EV261" s="207"/>
      <c r="EW261" s="207"/>
      <c r="EX261" s="207"/>
      <c r="EY261" s="207"/>
      <c r="EZ261" s="207"/>
      <c r="FA261" s="207"/>
      <c r="FB261" s="207"/>
      <c r="FC261" s="207"/>
      <c r="FD261" s="207"/>
      <c r="FE261" s="207"/>
      <c r="FF261" s="207"/>
      <c r="FG261" s="207"/>
      <c r="FH261" s="207"/>
      <c r="FI261" s="207"/>
      <c r="FJ261" s="207"/>
      <c r="FK261" s="207"/>
      <c r="FL261" s="207"/>
      <c r="FM261" s="207"/>
      <c r="FN261" s="207"/>
      <c r="FO261" s="207"/>
      <c r="FP261" s="207"/>
      <c r="FQ261" s="207"/>
      <c r="FR261" s="207"/>
      <c r="FS261" s="208"/>
      <c r="FT261" s="156"/>
    </row>
    <row r="262" spans="1:176" ht="15" outlineLevel="1">
      <c r="A262" s="206" t="s">
        <v>1528</v>
      </c>
      <c r="B262" s="200" t="s">
        <v>151</v>
      </c>
      <c r="C262" s="34"/>
      <c r="D262" s="34"/>
      <c r="E262" s="34"/>
      <c r="F262" s="34"/>
      <c r="G262" s="34"/>
      <c r="H262" s="37" t="s">
        <v>488</v>
      </c>
      <c r="I262" s="38"/>
      <c r="J262" s="38"/>
      <c r="K262" s="38"/>
      <c r="L262" s="38"/>
      <c r="M262" s="38"/>
      <c r="N262" s="38"/>
      <c r="O262" s="38"/>
      <c r="P262" s="38"/>
      <c r="Q262" s="38"/>
      <c r="R262" s="177">
        <f t="shared" si="36"/>
        <v>0</v>
      </c>
      <c r="S262" s="202">
        <f t="shared" si="34"/>
        <v>0</v>
      </c>
      <c r="T262" s="202">
        <f t="shared" si="35"/>
        <v>0</v>
      </c>
      <c r="U262" s="18"/>
      <c r="V262" s="206" t="str">
        <f t="shared" si="31"/>
        <v>5-49</v>
      </c>
      <c r="W262" s="215" t="str">
        <f t="shared" si="37"/>
        <v/>
      </c>
      <c r="X262" s="110"/>
      <c r="Y262" s="109"/>
      <c r="Z262" s="207"/>
      <c r="AA262" s="207"/>
      <c r="AB262" s="207"/>
      <c r="AC262" s="207"/>
      <c r="AD262" s="207"/>
      <c r="AE262" s="207"/>
      <c r="AF262" s="207"/>
      <c r="AG262" s="207"/>
      <c r="AH262" s="207"/>
      <c r="AI262" s="207"/>
      <c r="AJ262" s="207"/>
      <c r="AK262" s="207"/>
      <c r="AL262" s="207"/>
      <c r="AM262" s="207"/>
      <c r="AN262" s="207"/>
      <c r="AO262" s="207"/>
      <c r="AP262" s="207"/>
      <c r="AQ262" s="207"/>
      <c r="AR262" s="207"/>
      <c r="AS262" s="207"/>
      <c r="AT262" s="207"/>
      <c r="AU262" s="207"/>
      <c r="AV262" s="207"/>
      <c r="AW262" s="207"/>
      <c r="AX262" s="207"/>
      <c r="AY262" s="207"/>
      <c r="AZ262" s="207"/>
      <c r="BA262" s="207"/>
      <c r="BB262" s="207"/>
      <c r="BC262" s="207"/>
      <c r="BD262" s="207"/>
      <c r="BE262" s="207"/>
      <c r="BF262" s="207"/>
      <c r="BG262" s="207"/>
      <c r="BH262" s="207"/>
      <c r="BI262" s="207"/>
      <c r="BJ262" s="207"/>
      <c r="BK262" s="207"/>
      <c r="BL262" s="207"/>
      <c r="BM262" s="207"/>
      <c r="BN262" s="207"/>
      <c r="BO262" s="207"/>
      <c r="BP262" s="207"/>
      <c r="BQ262" s="207"/>
      <c r="BR262" s="207"/>
      <c r="BS262" s="207"/>
      <c r="BT262" s="207"/>
      <c r="BU262" s="207"/>
      <c r="BV262" s="207"/>
      <c r="BW262" s="207"/>
      <c r="BX262" s="207"/>
      <c r="BY262" s="207"/>
      <c r="BZ262" s="207"/>
      <c r="CA262" s="207"/>
      <c r="CB262" s="207"/>
      <c r="CC262" s="207"/>
      <c r="CD262" s="207"/>
      <c r="CE262" s="207"/>
      <c r="CF262" s="207"/>
      <c r="CG262" s="207"/>
      <c r="CH262" s="207"/>
      <c r="CI262" s="207"/>
      <c r="CJ262" s="207"/>
      <c r="CK262" s="207"/>
      <c r="CL262" s="207"/>
      <c r="CM262" s="207"/>
      <c r="CN262" s="207"/>
      <c r="CO262" s="207"/>
      <c r="CP262" s="207"/>
      <c r="CQ262" s="207"/>
      <c r="CR262" s="207"/>
      <c r="CS262" s="207"/>
      <c r="CT262" s="207"/>
      <c r="CU262" s="207"/>
      <c r="CV262" s="207"/>
      <c r="CW262" s="207"/>
      <c r="CX262" s="207"/>
      <c r="CY262" s="207"/>
      <c r="CZ262" s="207"/>
      <c r="DA262" s="207"/>
      <c r="DB262" s="207"/>
      <c r="DC262" s="207"/>
      <c r="DD262" s="207"/>
      <c r="DE262" s="207"/>
      <c r="DF262" s="207"/>
      <c r="DG262" s="207"/>
      <c r="DH262" s="207"/>
      <c r="DI262" s="207"/>
      <c r="DJ262" s="207"/>
      <c r="DK262" s="207"/>
      <c r="DL262" s="207"/>
      <c r="DM262" s="207"/>
      <c r="DN262" s="207"/>
      <c r="DO262" s="207"/>
      <c r="DP262" s="207"/>
      <c r="DQ262" s="207"/>
      <c r="DR262" s="207"/>
      <c r="DS262" s="207"/>
      <c r="DT262" s="207"/>
      <c r="DU262" s="207"/>
      <c r="DV262" s="207"/>
      <c r="DW262" s="207"/>
      <c r="DX262" s="207"/>
      <c r="DY262" s="207"/>
      <c r="DZ262" s="207"/>
      <c r="EA262" s="207"/>
      <c r="EB262" s="207"/>
      <c r="EC262" s="207"/>
      <c r="ED262" s="207"/>
      <c r="EE262" s="207"/>
      <c r="EF262" s="207"/>
      <c r="EG262" s="207"/>
      <c r="EH262" s="207"/>
      <c r="EI262" s="207"/>
      <c r="EJ262" s="207"/>
      <c r="EK262" s="207"/>
      <c r="EL262" s="207"/>
      <c r="EM262" s="207"/>
      <c r="EN262" s="207"/>
      <c r="EO262" s="207"/>
      <c r="EP262" s="207"/>
      <c r="EQ262" s="207"/>
      <c r="ER262" s="207"/>
      <c r="ES262" s="207"/>
      <c r="ET262" s="207"/>
      <c r="EU262" s="207"/>
      <c r="EV262" s="207"/>
      <c r="EW262" s="207"/>
      <c r="EX262" s="207"/>
      <c r="EY262" s="207"/>
      <c r="EZ262" s="207"/>
      <c r="FA262" s="207"/>
      <c r="FB262" s="207"/>
      <c r="FC262" s="207"/>
      <c r="FD262" s="207"/>
      <c r="FE262" s="207"/>
      <c r="FF262" s="207"/>
      <c r="FG262" s="207"/>
      <c r="FH262" s="207"/>
      <c r="FI262" s="207"/>
      <c r="FJ262" s="207"/>
      <c r="FK262" s="207"/>
      <c r="FL262" s="207"/>
      <c r="FM262" s="207"/>
      <c r="FN262" s="207"/>
      <c r="FO262" s="207"/>
      <c r="FP262" s="207"/>
      <c r="FQ262" s="207"/>
      <c r="FR262" s="207"/>
      <c r="FS262" s="208"/>
      <c r="FT262" s="156"/>
    </row>
    <row r="263" spans="1:176" ht="15" outlineLevel="1">
      <c r="A263" s="206" t="s">
        <v>1529</v>
      </c>
      <c r="B263" s="200" t="s">
        <v>151</v>
      </c>
      <c r="C263" s="34"/>
      <c r="D263" s="34"/>
      <c r="E263" s="34"/>
      <c r="F263" s="34"/>
      <c r="G263" s="34"/>
      <c r="H263" s="37" t="s">
        <v>488</v>
      </c>
      <c r="I263" s="38"/>
      <c r="J263" s="38"/>
      <c r="K263" s="38"/>
      <c r="L263" s="38"/>
      <c r="M263" s="38"/>
      <c r="N263" s="38"/>
      <c r="O263" s="38"/>
      <c r="P263" s="38"/>
      <c r="Q263" s="38"/>
      <c r="R263" s="177">
        <f t="shared" si="36"/>
        <v>0</v>
      </c>
      <c r="S263" s="202">
        <f t="shared" si="34"/>
        <v>0</v>
      </c>
      <c r="T263" s="202">
        <f t="shared" si="35"/>
        <v>0</v>
      </c>
      <c r="U263" s="18"/>
      <c r="V263" s="206" t="str">
        <f t="shared" si="31"/>
        <v>5-50</v>
      </c>
      <c r="W263" s="215" t="str">
        <f t="shared" si="37"/>
        <v/>
      </c>
      <c r="X263" s="110"/>
      <c r="Y263" s="109"/>
      <c r="Z263" s="207"/>
      <c r="AA263" s="207"/>
      <c r="AB263" s="207"/>
      <c r="AC263" s="207"/>
      <c r="AD263" s="207"/>
      <c r="AE263" s="207"/>
      <c r="AF263" s="207"/>
      <c r="AG263" s="207"/>
      <c r="AH263" s="207"/>
      <c r="AI263" s="207"/>
      <c r="AJ263" s="207"/>
      <c r="AK263" s="207"/>
      <c r="AL263" s="207"/>
      <c r="AM263" s="207"/>
      <c r="AN263" s="207"/>
      <c r="AO263" s="207"/>
      <c r="AP263" s="207"/>
      <c r="AQ263" s="207"/>
      <c r="AR263" s="207"/>
      <c r="AS263" s="207"/>
      <c r="AT263" s="207"/>
      <c r="AU263" s="207"/>
      <c r="AV263" s="207"/>
      <c r="AW263" s="207"/>
      <c r="AX263" s="207"/>
      <c r="AY263" s="207"/>
      <c r="AZ263" s="207"/>
      <c r="BA263" s="207"/>
      <c r="BB263" s="207"/>
      <c r="BC263" s="207"/>
      <c r="BD263" s="207"/>
      <c r="BE263" s="207"/>
      <c r="BF263" s="207"/>
      <c r="BG263" s="207"/>
      <c r="BH263" s="207"/>
      <c r="BI263" s="207"/>
      <c r="BJ263" s="207"/>
      <c r="BK263" s="207"/>
      <c r="BL263" s="207"/>
      <c r="BM263" s="207"/>
      <c r="BN263" s="207"/>
      <c r="BO263" s="207"/>
      <c r="BP263" s="207"/>
      <c r="BQ263" s="207"/>
      <c r="BR263" s="207"/>
      <c r="BS263" s="207"/>
      <c r="BT263" s="207"/>
      <c r="BU263" s="207"/>
      <c r="BV263" s="207"/>
      <c r="BW263" s="207"/>
      <c r="BX263" s="207"/>
      <c r="BY263" s="207"/>
      <c r="BZ263" s="207"/>
      <c r="CA263" s="207"/>
      <c r="CB263" s="207"/>
      <c r="CC263" s="207"/>
      <c r="CD263" s="207"/>
      <c r="CE263" s="207"/>
      <c r="CF263" s="207"/>
      <c r="CG263" s="207"/>
      <c r="CH263" s="207"/>
      <c r="CI263" s="207"/>
      <c r="CJ263" s="207"/>
      <c r="CK263" s="207"/>
      <c r="CL263" s="207"/>
      <c r="CM263" s="207"/>
      <c r="CN263" s="207"/>
      <c r="CO263" s="207"/>
      <c r="CP263" s="207"/>
      <c r="CQ263" s="207"/>
      <c r="CR263" s="207"/>
      <c r="CS263" s="207"/>
      <c r="CT263" s="207"/>
      <c r="CU263" s="207"/>
      <c r="CV263" s="207"/>
      <c r="CW263" s="207"/>
      <c r="CX263" s="207"/>
      <c r="CY263" s="207"/>
      <c r="CZ263" s="207"/>
      <c r="DA263" s="207"/>
      <c r="DB263" s="207"/>
      <c r="DC263" s="207"/>
      <c r="DD263" s="207"/>
      <c r="DE263" s="207"/>
      <c r="DF263" s="207"/>
      <c r="DG263" s="207"/>
      <c r="DH263" s="207"/>
      <c r="DI263" s="207"/>
      <c r="DJ263" s="207"/>
      <c r="DK263" s="207"/>
      <c r="DL263" s="207"/>
      <c r="DM263" s="207"/>
      <c r="DN263" s="207"/>
      <c r="DO263" s="207"/>
      <c r="DP263" s="207"/>
      <c r="DQ263" s="207"/>
      <c r="DR263" s="207"/>
      <c r="DS263" s="207"/>
      <c r="DT263" s="207"/>
      <c r="DU263" s="207"/>
      <c r="DV263" s="207"/>
      <c r="DW263" s="207"/>
      <c r="DX263" s="207"/>
      <c r="DY263" s="207"/>
      <c r="DZ263" s="207"/>
      <c r="EA263" s="207"/>
      <c r="EB263" s="207"/>
      <c r="EC263" s="207"/>
      <c r="ED263" s="207"/>
      <c r="EE263" s="207"/>
      <c r="EF263" s="207"/>
      <c r="EG263" s="207"/>
      <c r="EH263" s="207"/>
      <c r="EI263" s="207"/>
      <c r="EJ263" s="207"/>
      <c r="EK263" s="207"/>
      <c r="EL263" s="207"/>
      <c r="EM263" s="207"/>
      <c r="EN263" s="207"/>
      <c r="EO263" s="207"/>
      <c r="EP263" s="207"/>
      <c r="EQ263" s="207"/>
      <c r="ER263" s="207"/>
      <c r="ES263" s="207"/>
      <c r="ET263" s="207"/>
      <c r="EU263" s="207"/>
      <c r="EV263" s="207"/>
      <c r="EW263" s="207"/>
      <c r="EX263" s="207"/>
      <c r="EY263" s="207"/>
      <c r="EZ263" s="207"/>
      <c r="FA263" s="207"/>
      <c r="FB263" s="207"/>
      <c r="FC263" s="207"/>
      <c r="FD263" s="207"/>
      <c r="FE263" s="207"/>
      <c r="FF263" s="207"/>
      <c r="FG263" s="207"/>
      <c r="FH263" s="207"/>
      <c r="FI263" s="207"/>
      <c r="FJ263" s="207"/>
      <c r="FK263" s="207"/>
      <c r="FL263" s="207"/>
      <c r="FM263" s="207"/>
      <c r="FN263" s="207"/>
      <c r="FO263" s="207"/>
      <c r="FP263" s="207"/>
      <c r="FQ263" s="207"/>
      <c r="FR263" s="207"/>
      <c r="FS263" s="208"/>
      <c r="FT263" s="156"/>
    </row>
    <row r="264" spans="1:176">
      <c r="A264" s="18"/>
      <c r="B264" s="18"/>
      <c r="C264" s="21"/>
      <c r="D264" s="21"/>
      <c r="E264" s="21"/>
      <c r="F264" s="21"/>
      <c r="G264" s="21"/>
      <c r="H264" s="18"/>
      <c r="I264" s="18"/>
      <c r="J264" s="18"/>
      <c r="K264" s="18"/>
      <c r="L264" s="18"/>
      <c r="M264" s="18"/>
      <c r="N264" s="18"/>
      <c r="O264" s="18"/>
      <c r="P264" s="18"/>
      <c r="Q264" s="18"/>
      <c r="R264" s="18"/>
      <c r="S264" s="18"/>
      <c r="T264" s="18"/>
      <c r="U264" s="18"/>
      <c r="V264" s="18"/>
      <c r="W264" s="19"/>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c r="BI264" s="18"/>
      <c r="BJ264" s="18"/>
      <c r="BK264" s="18"/>
      <c r="BL264" s="18"/>
      <c r="BM264" s="18"/>
      <c r="BN264" s="18"/>
      <c r="BO264" s="18"/>
      <c r="BP264" s="18"/>
      <c r="BQ264" s="18"/>
      <c r="BR264" s="18"/>
      <c r="BS264" s="18"/>
      <c r="BT264" s="18"/>
      <c r="BU264" s="18"/>
      <c r="BV264" s="18"/>
      <c r="BW264" s="18"/>
      <c r="BX264" s="18"/>
      <c r="BY264" s="18"/>
      <c r="BZ264" s="18"/>
      <c r="CA264" s="18"/>
      <c r="CB264" s="18"/>
      <c r="CC264" s="18"/>
      <c r="CD264" s="18"/>
      <c r="CE264" s="18"/>
      <c r="CF264" s="18"/>
      <c r="CG264" s="18"/>
      <c r="CH264" s="18"/>
      <c r="CI264" s="18"/>
      <c r="CJ264" s="18"/>
      <c r="CK264" s="18"/>
      <c r="CL264" s="18"/>
      <c r="CM264" s="18"/>
      <c r="CN264" s="18"/>
      <c r="CO264" s="18"/>
      <c r="CP264" s="18"/>
      <c r="CQ264" s="18"/>
      <c r="CR264" s="18"/>
      <c r="CS264" s="18"/>
      <c r="CT264" s="18"/>
      <c r="CU264" s="18"/>
      <c r="CV264" s="18"/>
      <c r="CW264" s="18"/>
      <c r="CX264" s="18"/>
      <c r="CY264" s="18"/>
      <c r="CZ264" s="18"/>
      <c r="DA264" s="18"/>
      <c r="DB264" s="18"/>
      <c r="DC264" s="18"/>
      <c r="DD264" s="18"/>
      <c r="DE264" s="18"/>
      <c r="DF264" s="18"/>
      <c r="DG264" s="18"/>
      <c r="DH264" s="18"/>
      <c r="DI264" s="18"/>
      <c r="DJ264" s="18"/>
      <c r="DK264" s="18"/>
      <c r="DL264" s="18"/>
      <c r="DM264" s="18"/>
      <c r="DN264" s="18"/>
      <c r="DO264" s="18"/>
      <c r="DP264" s="18"/>
      <c r="DQ264" s="18"/>
      <c r="DR264" s="18"/>
      <c r="DS264" s="18"/>
      <c r="DT264" s="18"/>
      <c r="DU264" s="18"/>
      <c r="DV264" s="18"/>
      <c r="DW264" s="18"/>
      <c r="DX264" s="18"/>
      <c r="DY264" s="18"/>
      <c r="DZ264" s="18"/>
      <c r="EA264" s="18"/>
      <c r="EB264" s="18"/>
      <c r="EC264" s="18"/>
      <c r="ED264" s="18"/>
      <c r="EE264" s="18"/>
      <c r="EF264" s="18"/>
      <c r="EG264" s="18"/>
      <c r="EH264" s="18"/>
      <c r="EI264" s="18"/>
      <c r="EJ264" s="18"/>
      <c r="EK264" s="18"/>
      <c r="EL264" s="18"/>
      <c r="EM264" s="18"/>
      <c r="EN264" s="18"/>
      <c r="EO264" s="18"/>
      <c r="EP264" s="18"/>
      <c r="EQ264" s="18"/>
      <c r="ER264" s="18"/>
      <c r="ES264" s="18"/>
      <c r="ET264" s="18"/>
      <c r="EU264" s="18"/>
      <c r="EV264" s="18"/>
      <c r="EW264" s="18"/>
      <c r="EX264" s="18"/>
      <c r="EY264" s="18"/>
      <c r="EZ264" s="18"/>
      <c r="FA264" s="18"/>
      <c r="FB264" s="18"/>
      <c r="FC264" s="18"/>
      <c r="FD264" s="18"/>
      <c r="FE264" s="18"/>
      <c r="FF264" s="18"/>
      <c r="FG264" s="18"/>
      <c r="FH264" s="18"/>
      <c r="FI264" s="18"/>
      <c r="FJ264" s="18"/>
      <c r="FK264" s="18"/>
      <c r="FL264" s="18"/>
      <c r="FM264" s="18"/>
      <c r="FN264" s="18"/>
      <c r="FO264" s="18"/>
      <c r="FP264" s="18"/>
      <c r="FQ264" s="18"/>
      <c r="FR264" s="18"/>
      <c r="FS264" s="18"/>
      <c r="FT264" s="18"/>
    </row>
  </sheetData>
  <sheetProtection formatCells="0"/>
  <mergeCells count="161">
    <mergeCell ref="A3:A8"/>
    <mergeCell ref="D3:D8"/>
    <mergeCell ref="E3:E8"/>
    <mergeCell ref="F3:F8"/>
    <mergeCell ref="X3:X8"/>
    <mergeCell ref="C3:C8"/>
    <mergeCell ref="B3:B8"/>
    <mergeCell ref="AC3:AC8"/>
    <mergeCell ref="AD3:AD8"/>
    <mergeCell ref="G3:G8"/>
    <mergeCell ref="AQ3:AQ8"/>
    <mergeCell ref="AR3:AR8"/>
    <mergeCell ref="AS3:AS8"/>
    <mergeCell ref="W3:W8"/>
    <mergeCell ref="V3:V8"/>
    <mergeCell ref="Y3:Y8"/>
    <mergeCell ref="Z3:Z8"/>
    <mergeCell ref="AA3:AA8"/>
    <mergeCell ref="AB3:AB8"/>
    <mergeCell ref="AE3:AE8"/>
    <mergeCell ref="AF3:AF8"/>
    <mergeCell ref="AG3:AG8"/>
    <mergeCell ref="AH3:AH8"/>
    <mergeCell ref="BY3:BY8"/>
    <mergeCell ref="BZ3:BZ8"/>
    <mergeCell ref="CA3:CA8"/>
    <mergeCell ref="BD3:BD8"/>
    <mergeCell ref="BE3:BE8"/>
    <mergeCell ref="BF3:BF8"/>
    <mergeCell ref="AT3:AT8"/>
    <mergeCell ref="AI3:AI8"/>
    <mergeCell ref="AJ3:AJ8"/>
    <mergeCell ref="AK3:AK8"/>
    <mergeCell ref="AL3:AL8"/>
    <mergeCell ref="AM3:AM8"/>
    <mergeCell ref="AN3:AN8"/>
    <mergeCell ref="AU3:AU8"/>
    <mergeCell ref="AV3:AV8"/>
    <mergeCell ref="AW3:AW8"/>
    <mergeCell ref="AX3:AX8"/>
    <mergeCell ref="AY3:AY8"/>
    <mergeCell ref="AZ3:AZ8"/>
    <mergeCell ref="BA3:BA8"/>
    <mergeCell ref="BB3:BB8"/>
    <mergeCell ref="BC3:BC8"/>
    <mergeCell ref="AO3:AO8"/>
    <mergeCell ref="AP3:AP8"/>
    <mergeCell ref="CW3:CW8"/>
    <mergeCell ref="CX3:CX8"/>
    <mergeCell ref="CY3:CY8"/>
    <mergeCell ref="CB3:CB8"/>
    <mergeCell ref="CC3:CC8"/>
    <mergeCell ref="CD3:CD8"/>
    <mergeCell ref="BG3:BG8"/>
    <mergeCell ref="BH3:BH8"/>
    <mergeCell ref="BI3:BI8"/>
    <mergeCell ref="BJ3:BJ8"/>
    <mergeCell ref="BK3:BK8"/>
    <mergeCell ref="BL3:BL8"/>
    <mergeCell ref="BM3:BM8"/>
    <mergeCell ref="BN3:BN8"/>
    <mergeCell ref="BO3:BO8"/>
    <mergeCell ref="BP3:BP8"/>
    <mergeCell ref="BQ3:BQ8"/>
    <mergeCell ref="BR3:BR8"/>
    <mergeCell ref="BS3:BS8"/>
    <mergeCell ref="BT3:BT8"/>
    <mergeCell ref="BU3:BU8"/>
    <mergeCell ref="BV3:BV8"/>
    <mergeCell ref="BW3:BW8"/>
    <mergeCell ref="BX3:BX8"/>
    <mergeCell ref="DL3:DL8"/>
    <mergeCell ref="DM3:DM8"/>
    <mergeCell ref="DN3:DN8"/>
    <mergeCell ref="CZ3:CZ8"/>
    <mergeCell ref="DA3:DA8"/>
    <mergeCell ref="DB3:DB8"/>
    <mergeCell ref="CE3:CE8"/>
    <mergeCell ref="CF3:CF8"/>
    <mergeCell ref="CG3:CG8"/>
    <mergeCell ref="CH3:CH8"/>
    <mergeCell ref="CI3:CI8"/>
    <mergeCell ref="CJ3:CJ8"/>
    <mergeCell ref="CK3:CK8"/>
    <mergeCell ref="CL3:CL8"/>
    <mergeCell ref="CM3:CM8"/>
    <mergeCell ref="CN3:CN8"/>
    <mergeCell ref="CO3:CO8"/>
    <mergeCell ref="CP3:CP8"/>
    <mergeCell ref="CQ3:CQ8"/>
    <mergeCell ref="CR3:CR8"/>
    <mergeCell ref="CS3:CS8"/>
    <mergeCell ref="CT3:CT8"/>
    <mergeCell ref="CU3:CU8"/>
    <mergeCell ref="CV3:CV8"/>
    <mergeCell ref="DC3:DC8"/>
    <mergeCell ref="DD3:DD8"/>
    <mergeCell ref="DE3:DE8"/>
    <mergeCell ref="DF3:DF8"/>
    <mergeCell ref="DG3:DG8"/>
    <mergeCell ref="DH3:DH8"/>
    <mergeCell ref="DI3:DI8"/>
    <mergeCell ref="DJ3:DJ8"/>
    <mergeCell ref="DK3:DK8"/>
    <mergeCell ref="ED3:ED8"/>
    <mergeCell ref="EE3:EE8"/>
    <mergeCell ref="EF3:EF8"/>
    <mergeCell ref="DU3:DU8"/>
    <mergeCell ref="DO3:DO8"/>
    <mergeCell ref="DP3:DP8"/>
    <mergeCell ref="DQ3:DQ8"/>
    <mergeCell ref="DR3:DR8"/>
    <mergeCell ref="DS3:DS8"/>
    <mergeCell ref="EU3:EU8"/>
    <mergeCell ref="EM3:EM8"/>
    <mergeCell ref="EN3:EN8"/>
    <mergeCell ref="EO3:EO8"/>
    <mergeCell ref="EG3:EG8"/>
    <mergeCell ref="EH3:EH8"/>
    <mergeCell ref="EI3:EI8"/>
    <mergeCell ref="EJ3:EJ8"/>
    <mergeCell ref="DT3:DT8"/>
    <mergeCell ref="EP3:EP8"/>
    <mergeCell ref="EQ3:EQ8"/>
    <mergeCell ref="ER3:ER8"/>
    <mergeCell ref="ES3:ES8"/>
    <mergeCell ref="ET3:ET8"/>
    <mergeCell ref="EK3:EK8"/>
    <mergeCell ref="EL3:EL8"/>
    <mergeCell ref="EA3:EA8"/>
    <mergeCell ref="EB3:EB8"/>
    <mergeCell ref="DV3:DV8"/>
    <mergeCell ref="DW3:DW8"/>
    <mergeCell ref="DX3:DX8"/>
    <mergeCell ref="DY3:DY8"/>
    <mergeCell ref="DZ3:DZ8"/>
    <mergeCell ref="EC3:EC8"/>
    <mergeCell ref="FQ3:FQ8"/>
    <mergeCell ref="FR3:FR8"/>
    <mergeCell ref="FS3:FS8"/>
    <mergeCell ref="FC3:FC8"/>
    <mergeCell ref="FD3:FD8"/>
    <mergeCell ref="FE3:FE8"/>
    <mergeCell ref="FF3:FF8"/>
    <mergeCell ref="FG3:FG8"/>
    <mergeCell ref="EV3:EV8"/>
    <mergeCell ref="EW3:EW8"/>
    <mergeCell ref="EX3:EX8"/>
    <mergeCell ref="EY3:EY8"/>
    <mergeCell ref="EZ3:EZ8"/>
    <mergeCell ref="FH3:FH8"/>
    <mergeCell ref="FI3:FI8"/>
    <mergeCell ref="FJ3:FJ8"/>
    <mergeCell ref="FK3:FK8"/>
    <mergeCell ref="FL3:FL8"/>
    <mergeCell ref="FM3:FM8"/>
    <mergeCell ref="FN3:FN8"/>
    <mergeCell ref="FO3:FO8"/>
    <mergeCell ref="FP3:FP8"/>
    <mergeCell ref="FB3:FB8"/>
    <mergeCell ref="FA3:FA8"/>
  </mergeCells>
  <phoneticPr fontId="18" type="noConversion"/>
  <conditionalFormatting sqref="Z10:FS263 Z265:FS1048576">
    <cfRule type="expression" dxfId="147" priority="1">
      <formula>AND($X$10&lt;&gt;"",Z$3&gt;=$X$10,Z$3&lt;=$Y$10)</formula>
    </cfRule>
    <cfRule type="expression" dxfId="146" priority="14">
      <formula>AND($X10&lt;&gt;"",Z$3&gt;=$X10,Z$3&lt;=$Y10)</formula>
    </cfRule>
  </conditionalFormatting>
  <dataValidations disablePrompts="1" count="1">
    <dataValidation type="list" allowBlank="1" showInputMessage="1" showErrorMessage="1" sqref="H10:H263" xr:uid="{0A1CD8B6-6817-45D5-AF6C-28E66DCE5E9A}">
      <formula1>"Billable,Non-Billable"</formula1>
    </dataValidation>
  </dataValidations>
  <pageMargins left="0.70866141732283472" right="0.70866141732283472" top="0.74803149606299213" bottom="0.74803149606299213" header="0.31496062992125984" footer="0.31496062992125984"/>
  <pageSetup scale="69" fitToHeight="10" orientation="portrait" r:id="rId1"/>
  <ignoredErrors>
    <ignoredError sqref="R61:R110 R112:R161 R163:R212 R214:R263" unlockedFormula="1"/>
  </ignoredErrors>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704E2031-F2C9-44B1-8BA9-36AFF3BA076F}">
          <x14:formula1>
            <xm:f>'Estimate Summary'!#REF!</xm:f>
          </x14:formula1>
          <xm:sqref>B9:B1048576</xm:sqref>
        </x14:dataValidation>
      </x14:dataValidations>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1D8A7-9C73-4D33-8F43-86E9229451E4}">
  <sheetPr>
    <tabColor rgb="FF0070C0"/>
  </sheetPr>
  <dimension ref="C3:W20"/>
  <sheetViews>
    <sheetView zoomScale="70" zoomScaleNormal="70" workbookViewId="0">
      <selection activeCell="O20" sqref="O20:W20"/>
    </sheetView>
  </sheetViews>
  <sheetFormatPr defaultColWidth="8.85546875" defaultRowHeight="12.75"/>
  <cols>
    <col min="1" max="5" width="8.85546875" style="560"/>
    <col min="6" max="6" width="16.140625" style="560" bestFit="1" customWidth="1"/>
    <col min="7" max="7" width="8.85546875" style="560"/>
    <col min="8" max="8" width="17.85546875" style="560" customWidth="1"/>
    <col min="9" max="9" width="22" style="560" customWidth="1"/>
    <col min="10" max="12" width="25.5703125" style="560" customWidth="1"/>
    <col min="13" max="13" width="39.85546875" style="561" customWidth="1"/>
    <col min="14" max="14" width="15.85546875" style="561" customWidth="1"/>
    <col min="15" max="15" width="13.42578125" style="561" bestFit="1" customWidth="1"/>
    <col min="16" max="16" width="15.5703125" style="561" customWidth="1"/>
    <col min="17" max="17" width="13.5703125" style="561" bestFit="1" customWidth="1"/>
    <col min="18" max="18" width="16.42578125" style="561" bestFit="1" customWidth="1"/>
    <col min="19" max="19" width="15.5703125" style="561" bestFit="1" customWidth="1"/>
    <col min="20" max="20" width="15.42578125" style="561" bestFit="1" customWidth="1"/>
    <col min="21" max="21" width="13.5703125" style="560" bestFit="1" customWidth="1"/>
    <col min="22" max="22" width="15.5703125" style="560" bestFit="1" customWidth="1"/>
    <col min="23" max="23" width="8.85546875" style="560" bestFit="1" customWidth="1"/>
    <col min="24" max="16384" width="8.85546875" style="560"/>
  </cols>
  <sheetData>
    <row r="3" spans="3:23" ht="18.75">
      <c r="C3" s="1277" t="s">
        <v>1530</v>
      </c>
      <c r="D3" s="1278"/>
      <c r="E3" s="1278"/>
      <c r="F3" s="1278"/>
      <c r="G3" s="1278"/>
      <c r="H3" s="1278"/>
      <c r="I3" s="1278"/>
      <c r="J3" s="1278"/>
      <c r="K3" s="1278"/>
      <c r="L3" s="1278"/>
      <c r="M3" s="1278"/>
      <c r="N3" s="1278"/>
      <c r="O3" s="1278"/>
      <c r="P3" s="1278"/>
      <c r="Q3" s="1278"/>
      <c r="R3" s="1278"/>
      <c r="S3" s="1278"/>
      <c r="T3" s="1278"/>
      <c r="U3" s="1278"/>
      <c r="V3" s="1278"/>
    </row>
    <row r="4" spans="3:23" ht="75">
      <c r="C4" s="596" t="s">
        <v>548</v>
      </c>
      <c r="D4" s="596" t="s">
        <v>1531</v>
      </c>
      <c r="E4" s="596" t="s">
        <v>1532</v>
      </c>
      <c r="F4" s="596" t="s">
        <v>246</v>
      </c>
      <c r="G4" s="596" t="s">
        <v>1533</v>
      </c>
      <c r="H4" s="596" t="s">
        <v>347</v>
      </c>
      <c r="I4" s="596" t="s">
        <v>230</v>
      </c>
      <c r="J4" s="597" t="s">
        <v>288</v>
      </c>
      <c r="K4" s="597" t="s">
        <v>1534</v>
      </c>
      <c r="L4" s="597" t="s">
        <v>1535</v>
      </c>
      <c r="M4" s="597" t="s">
        <v>1536</v>
      </c>
      <c r="N4" s="597" t="s">
        <v>1537</v>
      </c>
      <c r="O4" s="597" t="s">
        <v>1538</v>
      </c>
      <c r="P4" s="597" t="s">
        <v>1539</v>
      </c>
      <c r="Q4" s="597" t="s">
        <v>1540</v>
      </c>
      <c r="R4" s="597" t="s">
        <v>1541</v>
      </c>
      <c r="S4" s="597" t="s">
        <v>1542</v>
      </c>
      <c r="T4" s="597" t="s">
        <v>1543</v>
      </c>
      <c r="U4" s="597" t="s">
        <v>1544</v>
      </c>
      <c r="V4" s="597" t="s">
        <v>1545</v>
      </c>
      <c r="W4" s="597" t="s">
        <v>1546</v>
      </c>
    </row>
    <row r="5" spans="3:23" ht="15">
      <c r="C5" s="564" t="s">
        <v>470</v>
      </c>
      <c r="D5" s="564" t="str">
        <f t="shared" ref="D5:D19" si="0">Client</f>
        <v>Boeing ITSM Now Assist AI POC</v>
      </c>
      <c r="E5" s="564" t="str">
        <f t="shared" ref="E5:E19" si="1">Engagement_Title</f>
        <v>Acme Opportunity</v>
      </c>
      <c r="F5" s="564" t="str">
        <f t="shared" ref="F5:F19" si="2">Client_Location</f>
        <v>USA</v>
      </c>
      <c r="G5" s="564" t="str">
        <f t="shared" ref="G5:G19" si="3">Sales_Lead</f>
        <v>Harry Tomczyk</v>
      </c>
      <c r="H5" s="564" t="str">
        <f ca="1">INDEX(RolesandSkills[Resource Location],MATCH(Table215[[#This Row],[Role '#]],RolesandSkills[Role '#],0),1)</f>
        <v>USA</v>
      </c>
      <c r="I5" s="564" t="str">
        <f ca="1">INDEX(RolesandSkills[Practice],MATCH(Table215[[#This Row],[Role '#]],RolesandSkills[Role '#],0),1)</f>
        <v>PMO</v>
      </c>
      <c r="J5" s="565" t="str">
        <f ca="1">INDEX(RolesandSkills[Role],MATCH(Table215[[#This Row],[Role '#]],RolesandSkills[Role '#],0),1)</f>
        <v>Project Manager</v>
      </c>
      <c r="K5" s="566" t="str">
        <f>Pricing!AH27</f>
        <v>10 hrs per week</v>
      </c>
      <c r="L5" s="566" t="str">
        <f t="shared" ref="L5:L19" si="4">India_Leverage</f>
        <v>No</v>
      </c>
      <c r="M5" s="621"/>
      <c r="N5" s="567">
        <f t="shared" ref="N5:N19" si="5">Exp_Proj_Start</f>
        <v>44495</v>
      </c>
      <c r="O5" s="568">
        <f ca="1">'T&amp;E Summary'!N11</f>
        <v>10</v>
      </c>
      <c r="P5" s="569">
        <f ca="1">IFERROR(Table215[[#This Row],[Initiate Start Date]]+(Initiate_Length*7),"")</f>
        <v>44502</v>
      </c>
      <c r="Q5" s="568">
        <f ca="1">'T&amp;E Summary'!O11</f>
        <v>10</v>
      </c>
      <c r="R5" s="569">
        <f ca="1">IFERROR(Table215[[#This Row],[Plan Start Date]]+(Plan_Length *7),"")</f>
        <v>44509</v>
      </c>
      <c r="S5" s="568">
        <f ca="1">'T&amp;E Summary'!P11</f>
        <v>10</v>
      </c>
      <c r="T5" s="569">
        <f ca="1">IFERROR(Table215[[#This Row],[Execute Start Date]]+(7*Execute_Length),"")</f>
        <v>44537</v>
      </c>
      <c r="U5" s="568">
        <f ca="1">'T&amp;E Summary'!Q11</f>
        <v>10</v>
      </c>
      <c r="V5" s="569">
        <f ca="1">IFERROR(Table215[[#This Row],[Deliver Start Date]]+(Deliver_Length*7),"")</f>
        <v>44544</v>
      </c>
      <c r="W5" s="568">
        <f ca="1">'T&amp;E Summary'!R11</f>
        <v>10</v>
      </c>
    </row>
    <row r="6" spans="3:23" ht="15">
      <c r="C6" s="559" t="s">
        <v>471</v>
      </c>
      <c r="D6" s="559" t="str">
        <f t="shared" si="0"/>
        <v>Boeing ITSM Now Assist AI POC</v>
      </c>
      <c r="E6" s="559" t="str">
        <f t="shared" si="1"/>
        <v>Acme Opportunity</v>
      </c>
      <c r="F6" s="559" t="str">
        <f t="shared" si="2"/>
        <v>USA</v>
      </c>
      <c r="G6" s="559" t="str">
        <f t="shared" si="3"/>
        <v>Harry Tomczyk</v>
      </c>
      <c r="H6" s="559" t="str">
        <f ca="1">INDEX(RolesandSkills[Resource Location],MATCH(Table215[[#This Row],[Role '#]],RolesandSkills[Role '#],0),1)</f>
        <v>USA</v>
      </c>
      <c r="I6" s="564" t="str">
        <f ca="1">INDEX(RolesandSkills[Practice],MATCH(Table215[[#This Row],[Role '#]],RolesandSkills[Role '#],0),1)</f>
        <v>Technology</v>
      </c>
      <c r="J6" s="565" t="str">
        <f ca="1">INDEX(RolesandSkills[Role],MATCH(Table215[[#This Row],[Role '#]],RolesandSkills[Role '#],0),1)</f>
        <v>Solution Architect</v>
      </c>
      <c r="K6" s="568">
        <f>Pricing!AH28</f>
        <v>0</v>
      </c>
      <c r="L6" s="568" t="str">
        <f t="shared" si="4"/>
        <v>No</v>
      </c>
      <c r="M6" s="622"/>
      <c r="N6" s="569">
        <f t="shared" si="5"/>
        <v>44495</v>
      </c>
      <c r="O6" s="568">
        <f ca="1">'T&amp;E Summary'!N12</f>
        <v>2</v>
      </c>
      <c r="P6" s="570">
        <f ca="1">IFERROR(Table215[[#This Row],[Initiate Start Date]]+(Initiate_Length*7),"")</f>
        <v>44502</v>
      </c>
      <c r="Q6" s="568">
        <f ca="1">'T&amp;E Summary'!O12</f>
        <v>31</v>
      </c>
      <c r="R6" s="570">
        <f ca="1">IFERROR(Table215[[#This Row],[Plan Start Date]]+(Plan_Length *7),"")</f>
        <v>44509</v>
      </c>
      <c r="S6" s="568">
        <f ca="1">'T&amp;E Summary'!P12</f>
        <v>9</v>
      </c>
      <c r="T6" s="569">
        <f ca="1">IFERROR(Table215[[#This Row],[Execute Start Date]]+(7*Execute_Length),"")</f>
        <v>44537</v>
      </c>
      <c r="U6" s="568">
        <f ca="1">'T&amp;E Summary'!Q12</f>
        <v>8</v>
      </c>
      <c r="V6" s="570">
        <f ca="1">IFERROR(Table215[[#This Row],[Deliver Start Date]]+(Deliver_Length*7),"")</f>
        <v>44544</v>
      </c>
      <c r="W6" s="568">
        <f ca="1">'T&amp;E Summary'!R12</f>
        <v>2</v>
      </c>
    </row>
    <row r="7" spans="3:23" ht="30">
      <c r="C7" s="564" t="s">
        <v>472</v>
      </c>
      <c r="D7" s="564" t="str">
        <f t="shared" si="0"/>
        <v>Boeing ITSM Now Assist AI POC</v>
      </c>
      <c r="E7" s="564" t="str">
        <f t="shared" si="1"/>
        <v>Acme Opportunity</v>
      </c>
      <c r="F7" s="564" t="str">
        <f t="shared" si="2"/>
        <v>USA</v>
      </c>
      <c r="G7" s="564" t="str">
        <f t="shared" si="3"/>
        <v>Harry Tomczyk</v>
      </c>
      <c r="H7" s="564" t="str">
        <f ca="1">INDEX(RolesandSkills[Resource Location],MATCH(Table215[[#This Row],[Role '#]],RolesandSkills[Role '#],0),1)</f>
        <v>USA</v>
      </c>
      <c r="I7" s="564" t="str">
        <f ca="1">INDEX(RolesandSkills[Practice],MATCH(Table215[[#This Row],[Role '#]],RolesandSkills[Role '#],0),1)</f>
        <v>Technology</v>
      </c>
      <c r="J7" s="565" t="str">
        <f ca="1">INDEX(RolesandSkills[Role],MATCH(Table215[[#This Row],[Role '#]],RolesandSkills[Role '#],0),1)</f>
        <v>Business Process Consultant</v>
      </c>
      <c r="K7" s="568">
        <f>Pricing!AH29</f>
        <v>0</v>
      </c>
      <c r="L7" s="568" t="str">
        <f t="shared" si="4"/>
        <v>No</v>
      </c>
      <c r="M7" s="622"/>
      <c r="N7" s="569">
        <f t="shared" si="5"/>
        <v>44495</v>
      </c>
      <c r="O7" s="568">
        <f ca="1">'T&amp;E Summary'!N13</f>
        <v>2</v>
      </c>
      <c r="P7" s="570">
        <f ca="1">IFERROR(Table215[[#This Row],[Initiate Start Date]]+(Initiate_Length*7),"")</f>
        <v>44502</v>
      </c>
      <c r="Q7" s="568">
        <f ca="1">'T&amp;E Summary'!O13</f>
        <v>40</v>
      </c>
      <c r="R7" s="570">
        <f ca="1">IFERROR(Table215[[#This Row],[Plan Start Date]]+(Plan_Length *7),"")</f>
        <v>44509</v>
      </c>
      <c r="S7" s="568">
        <f ca="1">'T&amp;E Summary'!P13</f>
        <v>18</v>
      </c>
      <c r="T7" s="569">
        <f ca="1">IFERROR(Table215[[#This Row],[Execute Start Date]]+(7*Execute_Length),"")</f>
        <v>44537</v>
      </c>
      <c r="U7" s="568">
        <f ca="1">'T&amp;E Summary'!Q13</f>
        <v>4</v>
      </c>
      <c r="V7" s="570">
        <f ca="1">IFERROR(Table215[[#This Row],[Deliver Start Date]]+(Deliver_Length*7),"")</f>
        <v>44544</v>
      </c>
      <c r="W7" s="568">
        <f ca="1">'T&amp;E Summary'!R13</f>
        <v>2</v>
      </c>
    </row>
    <row r="8" spans="3:23" ht="30">
      <c r="C8" s="559" t="s">
        <v>473</v>
      </c>
      <c r="D8" s="559" t="str">
        <f t="shared" si="0"/>
        <v>Boeing ITSM Now Assist AI POC</v>
      </c>
      <c r="E8" s="559" t="str">
        <f t="shared" si="1"/>
        <v>Acme Opportunity</v>
      </c>
      <c r="F8" s="559" t="str">
        <f t="shared" si="2"/>
        <v>USA</v>
      </c>
      <c r="G8" s="559" t="str">
        <f t="shared" si="3"/>
        <v>Harry Tomczyk</v>
      </c>
      <c r="H8" s="559" t="str">
        <f ca="1">INDEX(RolesandSkills[Resource Location],MATCH(Table215[[#This Row],[Role '#]],RolesandSkills[Role '#],0),1)</f>
        <v>India</v>
      </c>
      <c r="I8" s="564" t="str">
        <f ca="1">INDEX(RolesandSkills[Practice],MATCH(Table215[[#This Row],[Role '#]],RolesandSkills[Role '#],0),1)</f>
        <v>Technology</v>
      </c>
      <c r="J8" s="565" t="str">
        <f ca="1">INDEX(RolesandSkills[Role],MATCH(Table215[[#This Row],[Role '#]],RolesandSkills[Role '#],0),1)</f>
        <v>Senior Technical Consultant</v>
      </c>
      <c r="K8" s="568">
        <f>Pricing!AH30</f>
        <v>0</v>
      </c>
      <c r="L8" s="568" t="str">
        <f t="shared" si="4"/>
        <v>No</v>
      </c>
      <c r="M8" s="622"/>
      <c r="N8" s="569">
        <f t="shared" si="5"/>
        <v>44495</v>
      </c>
      <c r="O8" s="568">
        <f ca="1">'T&amp;E Summary'!N14</f>
        <v>0</v>
      </c>
      <c r="P8" s="570">
        <f ca="1">IFERROR(Table215[[#This Row],[Initiate Start Date]]+(Initiate_Length*7),"")</f>
        <v>44502</v>
      </c>
      <c r="Q8" s="568">
        <f ca="1">'T&amp;E Summary'!O14</f>
        <v>0</v>
      </c>
      <c r="R8" s="570">
        <f ca="1">IFERROR(Table215[[#This Row],[Plan Start Date]]+(Plan_Length *7),"")</f>
        <v>44509</v>
      </c>
      <c r="S8" s="568">
        <f ca="1">'T&amp;E Summary'!P14</f>
        <v>31</v>
      </c>
      <c r="T8" s="569">
        <f ca="1">IFERROR(Table215[[#This Row],[Execute Start Date]]+(7*Execute_Length),"")</f>
        <v>44537</v>
      </c>
      <c r="U8" s="568">
        <f ca="1">'T&amp;E Summary'!Q14</f>
        <v>20</v>
      </c>
      <c r="V8" s="570">
        <f ca="1">IFERROR(Table215[[#This Row],[Deliver Start Date]]+(Deliver_Length*7),"")</f>
        <v>44544</v>
      </c>
      <c r="W8" s="568">
        <f ca="1">'T&amp;E Summary'!R14</f>
        <v>10</v>
      </c>
    </row>
    <row r="9" spans="3:23" ht="30">
      <c r="C9" s="564" t="s">
        <v>474</v>
      </c>
      <c r="D9" s="564" t="str">
        <f t="shared" si="0"/>
        <v>Boeing ITSM Now Assist AI POC</v>
      </c>
      <c r="E9" s="564" t="str">
        <f t="shared" si="1"/>
        <v>Acme Opportunity</v>
      </c>
      <c r="F9" s="564" t="str">
        <f t="shared" si="2"/>
        <v>USA</v>
      </c>
      <c r="G9" s="564" t="str">
        <f t="shared" si="3"/>
        <v>Harry Tomczyk</v>
      </c>
      <c r="H9" s="564" t="str">
        <f ca="1">INDEX(RolesandSkills[Resource Location],MATCH(Table215[[#This Row],[Role '#]],RolesandSkills[Role '#],0),1)</f>
        <v>USA</v>
      </c>
      <c r="I9" s="564" t="str">
        <f ca="1">INDEX(RolesandSkills[Practice],MATCH(Table215[[#This Row],[Role '#]],RolesandSkills[Role '#],0),1)</f>
        <v>Technology</v>
      </c>
      <c r="J9" s="565" t="str">
        <f ca="1">INDEX(RolesandSkills[Role],MATCH(Table215[[#This Row],[Role '#]],RolesandSkills[Role '#],0),1)</f>
        <v>Workflow/Practice Strategist</v>
      </c>
      <c r="K9" s="568" t="str">
        <f>Pricing!AH31</f>
        <v>Anusha DasFedele</v>
      </c>
      <c r="L9" s="568" t="str">
        <f t="shared" si="4"/>
        <v>No</v>
      </c>
      <c r="M9" s="622"/>
      <c r="N9" s="569">
        <f t="shared" si="5"/>
        <v>44495</v>
      </c>
      <c r="O9" s="568">
        <f ca="1">'T&amp;E Summary'!N15</f>
        <v>2</v>
      </c>
      <c r="P9" s="570">
        <f ca="1">IFERROR(Table215[[#This Row],[Initiate Start Date]]+(Initiate_Length*7),"")</f>
        <v>44502</v>
      </c>
      <c r="Q9" s="568">
        <f ca="1">'T&amp;E Summary'!O15</f>
        <v>38</v>
      </c>
      <c r="R9" s="570">
        <f ca="1">IFERROR(Table215[[#This Row],[Plan Start Date]]+(Plan_Length *7),"")</f>
        <v>44509</v>
      </c>
      <c r="S9" s="568">
        <f ca="1">'T&amp;E Summary'!P15</f>
        <v>2</v>
      </c>
      <c r="T9" s="569">
        <f ca="1">IFERROR(Table215[[#This Row],[Execute Start Date]]+(7*Execute_Length),"")</f>
        <v>44537</v>
      </c>
      <c r="U9" s="568">
        <f ca="1">'T&amp;E Summary'!Q15</f>
        <v>2</v>
      </c>
      <c r="V9" s="570">
        <f ca="1">IFERROR(Table215[[#This Row],[Deliver Start Date]]+(Deliver_Length*7),"")</f>
        <v>44544</v>
      </c>
      <c r="W9" s="568">
        <f ca="1">'T&amp;E Summary'!R15</f>
        <v>2</v>
      </c>
    </row>
    <row r="10" spans="3:23" ht="15">
      <c r="C10" s="559" t="s">
        <v>475</v>
      </c>
      <c r="D10" s="559" t="str">
        <f t="shared" si="0"/>
        <v>Boeing ITSM Now Assist AI POC</v>
      </c>
      <c r="E10" s="559" t="str">
        <f t="shared" si="1"/>
        <v>Acme Opportunity</v>
      </c>
      <c r="F10" s="559" t="str">
        <f t="shared" si="2"/>
        <v>USA</v>
      </c>
      <c r="G10" s="559" t="str">
        <f t="shared" si="3"/>
        <v>Harry Tomczyk</v>
      </c>
      <c r="H10" s="559" t="str">
        <f ca="1">INDEX(RolesandSkills[Resource Location],MATCH(Table215[[#This Row],[Role '#]],RolesandSkills[Role '#],0),1)</f>
        <v/>
      </c>
      <c r="I10" s="564" t="str">
        <f ca="1">INDEX(RolesandSkills[Practice],MATCH(Table215[[#This Row],[Role '#]],RolesandSkills[Role '#],0),1)</f>
        <v/>
      </c>
      <c r="J10" s="565" t="str">
        <f ca="1">INDEX(RolesandSkills[Role],MATCH(Table215[[#This Row],[Role '#]],RolesandSkills[Role '#],0),1)</f>
        <v/>
      </c>
      <c r="K10" s="568">
        <f>Pricing!AH32</f>
        <v>0</v>
      </c>
      <c r="L10" s="568" t="str">
        <f t="shared" si="4"/>
        <v>No</v>
      </c>
      <c r="M10" s="622"/>
      <c r="N10" s="569">
        <f t="shared" si="5"/>
        <v>44495</v>
      </c>
      <c r="O10" s="568">
        <f ca="1">'T&amp;E Summary'!N16</f>
        <v>0</v>
      </c>
      <c r="P10" s="570">
        <f ca="1">IFERROR(Table215[[#This Row],[Initiate Start Date]]+(Initiate_Length*7),"")</f>
        <v>44502</v>
      </c>
      <c r="Q10" s="568">
        <f ca="1">'T&amp;E Summary'!O16</f>
        <v>0</v>
      </c>
      <c r="R10" s="570">
        <f ca="1">IFERROR(Table215[[#This Row],[Plan Start Date]]+(Plan_Length *7),"")</f>
        <v>44509</v>
      </c>
      <c r="S10" s="568">
        <f ca="1">'T&amp;E Summary'!P16</f>
        <v>0</v>
      </c>
      <c r="T10" s="569">
        <f ca="1">IFERROR(Table215[[#This Row],[Execute Start Date]]+(7*Execute_Length),"")</f>
        <v>44537</v>
      </c>
      <c r="U10" s="568">
        <f ca="1">'T&amp;E Summary'!Q16</f>
        <v>0</v>
      </c>
      <c r="V10" s="570">
        <f ca="1">IFERROR(Table215[[#This Row],[Deliver Start Date]]+(Deliver_Length*7),"")</f>
        <v>44544</v>
      </c>
      <c r="W10" s="568">
        <f ca="1">'T&amp;E Summary'!R16</f>
        <v>0</v>
      </c>
    </row>
    <row r="11" spans="3:23" ht="15">
      <c r="C11" s="564" t="s">
        <v>476</v>
      </c>
      <c r="D11" s="564" t="str">
        <f t="shared" si="0"/>
        <v>Boeing ITSM Now Assist AI POC</v>
      </c>
      <c r="E11" s="564" t="str">
        <f t="shared" si="1"/>
        <v>Acme Opportunity</v>
      </c>
      <c r="F11" s="564" t="str">
        <f t="shared" si="2"/>
        <v>USA</v>
      </c>
      <c r="G11" s="564" t="str">
        <f t="shared" si="3"/>
        <v>Harry Tomczyk</v>
      </c>
      <c r="H11" s="564" t="str">
        <f ca="1">INDEX(RolesandSkills[Resource Location],MATCH(Table215[[#This Row],[Role '#]],RolesandSkills[Role '#],0),1)</f>
        <v/>
      </c>
      <c r="I11" s="564" t="str">
        <f ca="1">INDEX(RolesandSkills[Practice],MATCH(Table215[[#This Row],[Role '#]],RolesandSkills[Role '#],0),1)</f>
        <v/>
      </c>
      <c r="J11" s="565" t="str">
        <f ca="1">INDEX(RolesandSkills[Role],MATCH(Table215[[#This Row],[Role '#]],RolesandSkills[Role '#],0),1)</f>
        <v/>
      </c>
      <c r="K11" s="568">
        <f>Pricing!AH33</f>
        <v>0</v>
      </c>
      <c r="L11" s="568" t="str">
        <f t="shared" si="4"/>
        <v>No</v>
      </c>
      <c r="M11" s="622"/>
      <c r="N11" s="569">
        <f t="shared" si="5"/>
        <v>44495</v>
      </c>
      <c r="O11" s="568">
        <f ca="1">'T&amp;E Summary'!N17</f>
        <v>0</v>
      </c>
      <c r="P11" s="570">
        <f ca="1">IFERROR(Table215[[#This Row],[Initiate Start Date]]+(Initiate_Length*7),"")</f>
        <v>44502</v>
      </c>
      <c r="Q11" s="568">
        <f ca="1">'T&amp;E Summary'!O17</f>
        <v>0</v>
      </c>
      <c r="R11" s="570">
        <f ca="1">IFERROR(Table215[[#This Row],[Plan Start Date]]+(Plan_Length *7),"")</f>
        <v>44509</v>
      </c>
      <c r="S11" s="568">
        <f ca="1">'T&amp;E Summary'!P17</f>
        <v>0</v>
      </c>
      <c r="T11" s="569">
        <f ca="1">IFERROR(Table215[[#This Row],[Execute Start Date]]+(7*Execute_Length),"")</f>
        <v>44537</v>
      </c>
      <c r="U11" s="568">
        <f ca="1">'T&amp;E Summary'!Q17</f>
        <v>0</v>
      </c>
      <c r="V11" s="570">
        <f ca="1">IFERROR(Table215[[#This Row],[Deliver Start Date]]+(Deliver_Length*7),"")</f>
        <v>44544</v>
      </c>
      <c r="W11" s="568">
        <f ca="1">'T&amp;E Summary'!R17</f>
        <v>0</v>
      </c>
    </row>
    <row r="12" spans="3:23" ht="15">
      <c r="C12" s="559" t="s">
        <v>477</v>
      </c>
      <c r="D12" s="559" t="str">
        <f t="shared" si="0"/>
        <v>Boeing ITSM Now Assist AI POC</v>
      </c>
      <c r="E12" s="559" t="str">
        <f t="shared" si="1"/>
        <v>Acme Opportunity</v>
      </c>
      <c r="F12" s="559" t="str">
        <f t="shared" si="2"/>
        <v>USA</v>
      </c>
      <c r="G12" s="559" t="str">
        <f t="shared" si="3"/>
        <v>Harry Tomczyk</v>
      </c>
      <c r="H12" s="559" t="str">
        <f ca="1">INDEX(RolesandSkills[Resource Location],MATCH(Table215[[#This Row],[Role '#]],RolesandSkills[Role '#],0),1)</f>
        <v/>
      </c>
      <c r="I12" s="564" t="str">
        <f ca="1">INDEX(RolesandSkills[Practice],MATCH(Table215[[#This Row],[Role '#]],RolesandSkills[Role '#],0),1)</f>
        <v/>
      </c>
      <c r="J12" s="565" t="str">
        <f ca="1">INDEX(RolesandSkills[Role],MATCH(Table215[[#This Row],[Role '#]],RolesandSkills[Role '#],0),1)</f>
        <v/>
      </c>
      <c r="K12" s="568">
        <f>Pricing!AH34</f>
        <v>0</v>
      </c>
      <c r="L12" s="568" t="str">
        <f t="shared" si="4"/>
        <v>No</v>
      </c>
      <c r="M12" s="622"/>
      <c r="N12" s="569">
        <f t="shared" si="5"/>
        <v>44495</v>
      </c>
      <c r="O12" s="568">
        <f ca="1">'T&amp;E Summary'!N18</f>
        <v>0</v>
      </c>
      <c r="P12" s="570">
        <f ca="1">IFERROR(Table215[[#This Row],[Initiate Start Date]]+(Initiate_Length*7),"")</f>
        <v>44502</v>
      </c>
      <c r="Q12" s="568">
        <f ca="1">'T&amp;E Summary'!O18</f>
        <v>0</v>
      </c>
      <c r="R12" s="570">
        <f ca="1">IFERROR(Table215[[#This Row],[Plan Start Date]]+(Plan_Length *7),"")</f>
        <v>44509</v>
      </c>
      <c r="S12" s="568">
        <f ca="1">'T&amp;E Summary'!P18</f>
        <v>0</v>
      </c>
      <c r="T12" s="569">
        <f ca="1">IFERROR(Table215[[#This Row],[Execute Start Date]]+(7*Execute_Length),"")</f>
        <v>44537</v>
      </c>
      <c r="U12" s="568">
        <f ca="1">'T&amp;E Summary'!Q18</f>
        <v>0</v>
      </c>
      <c r="V12" s="570">
        <f ca="1">IFERROR(Table215[[#This Row],[Deliver Start Date]]+(Deliver_Length*7),"")</f>
        <v>44544</v>
      </c>
      <c r="W12" s="568">
        <f ca="1">'T&amp;E Summary'!R18</f>
        <v>0</v>
      </c>
    </row>
    <row r="13" spans="3:23" ht="15">
      <c r="C13" s="564" t="s">
        <v>478</v>
      </c>
      <c r="D13" s="564" t="str">
        <f t="shared" si="0"/>
        <v>Boeing ITSM Now Assist AI POC</v>
      </c>
      <c r="E13" s="564" t="str">
        <f t="shared" si="1"/>
        <v>Acme Opportunity</v>
      </c>
      <c r="F13" s="564" t="str">
        <f t="shared" si="2"/>
        <v>USA</v>
      </c>
      <c r="G13" s="564" t="str">
        <f t="shared" si="3"/>
        <v>Harry Tomczyk</v>
      </c>
      <c r="H13" s="564" t="str">
        <f ca="1">INDEX(RolesandSkills[Resource Location],MATCH(Table215[[#This Row],[Role '#]],RolesandSkills[Role '#],0),1)</f>
        <v/>
      </c>
      <c r="I13" s="564" t="str">
        <f ca="1">INDEX(RolesandSkills[Practice],MATCH(Table215[[#This Row],[Role '#]],RolesandSkills[Role '#],0),1)</f>
        <v/>
      </c>
      <c r="J13" s="565" t="str">
        <f ca="1">INDEX(RolesandSkills[Role],MATCH(Table215[[#This Row],[Role '#]],RolesandSkills[Role '#],0),1)</f>
        <v/>
      </c>
      <c r="K13" s="568">
        <f>Pricing!AH35</f>
        <v>0</v>
      </c>
      <c r="L13" s="568" t="str">
        <f t="shared" si="4"/>
        <v>No</v>
      </c>
      <c r="M13" s="622"/>
      <c r="N13" s="569">
        <f t="shared" si="5"/>
        <v>44495</v>
      </c>
      <c r="O13" s="568">
        <f ca="1">'T&amp;E Summary'!N19</f>
        <v>0</v>
      </c>
      <c r="P13" s="570">
        <f ca="1">IFERROR(Table215[[#This Row],[Initiate Start Date]]+(Initiate_Length*7),"")</f>
        <v>44502</v>
      </c>
      <c r="Q13" s="568">
        <f ca="1">'T&amp;E Summary'!O19</f>
        <v>0</v>
      </c>
      <c r="R13" s="570">
        <f ca="1">IFERROR(Table215[[#This Row],[Plan Start Date]]+(Plan_Length *7),"")</f>
        <v>44509</v>
      </c>
      <c r="S13" s="568">
        <f ca="1">'T&amp;E Summary'!P19</f>
        <v>0</v>
      </c>
      <c r="T13" s="569">
        <f ca="1">IFERROR(Table215[[#This Row],[Execute Start Date]]+(7*Execute_Length),"")</f>
        <v>44537</v>
      </c>
      <c r="U13" s="568">
        <f ca="1">'T&amp;E Summary'!Q19</f>
        <v>0</v>
      </c>
      <c r="V13" s="570">
        <f ca="1">IFERROR(Table215[[#This Row],[Deliver Start Date]]+(Deliver_Length*7),"")</f>
        <v>44544</v>
      </c>
      <c r="W13" s="568">
        <f ca="1">'T&amp;E Summary'!R19</f>
        <v>0</v>
      </c>
    </row>
    <row r="14" spans="3:23" ht="15">
      <c r="C14" s="559" t="s">
        <v>479</v>
      </c>
      <c r="D14" s="559" t="str">
        <f t="shared" si="0"/>
        <v>Boeing ITSM Now Assist AI POC</v>
      </c>
      <c r="E14" s="559" t="str">
        <f t="shared" si="1"/>
        <v>Acme Opportunity</v>
      </c>
      <c r="F14" s="559" t="str">
        <f t="shared" si="2"/>
        <v>USA</v>
      </c>
      <c r="G14" s="559" t="str">
        <f t="shared" si="3"/>
        <v>Harry Tomczyk</v>
      </c>
      <c r="H14" s="559" t="str">
        <f ca="1">INDEX(RolesandSkills[Resource Location],MATCH(Table215[[#This Row],[Role '#]],RolesandSkills[Role '#],0),1)</f>
        <v/>
      </c>
      <c r="I14" s="564" t="str">
        <f ca="1">INDEX(RolesandSkills[Practice],MATCH(Table215[[#This Row],[Role '#]],RolesandSkills[Role '#],0),1)</f>
        <v/>
      </c>
      <c r="J14" s="565" t="str">
        <f ca="1">INDEX(RolesandSkills[Role],MATCH(Table215[[#This Row],[Role '#]],RolesandSkills[Role '#],0),1)</f>
        <v/>
      </c>
      <c r="K14" s="568">
        <f>Pricing!AH36</f>
        <v>0</v>
      </c>
      <c r="L14" s="568" t="str">
        <f t="shared" si="4"/>
        <v>No</v>
      </c>
      <c r="M14" s="622"/>
      <c r="N14" s="569">
        <f t="shared" si="5"/>
        <v>44495</v>
      </c>
      <c r="O14" s="568">
        <f ca="1">'T&amp;E Summary'!N20</f>
        <v>0</v>
      </c>
      <c r="P14" s="570">
        <f ca="1">IFERROR(Table215[[#This Row],[Initiate Start Date]]+(Initiate_Length*7),"")</f>
        <v>44502</v>
      </c>
      <c r="Q14" s="568">
        <f ca="1">'T&amp;E Summary'!O20</f>
        <v>0</v>
      </c>
      <c r="R14" s="570">
        <f ca="1">IFERROR(Table215[[#This Row],[Plan Start Date]]+(Plan_Length *7),"")</f>
        <v>44509</v>
      </c>
      <c r="S14" s="568">
        <f ca="1">'T&amp;E Summary'!P20</f>
        <v>0</v>
      </c>
      <c r="T14" s="569">
        <f ca="1">IFERROR(Table215[[#This Row],[Execute Start Date]]+(7*Execute_Length),"")</f>
        <v>44537</v>
      </c>
      <c r="U14" s="568">
        <f ca="1">'T&amp;E Summary'!Q20</f>
        <v>0</v>
      </c>
      <c r="V14" s="570">
        <f ca="1">IFERROR(Table215[[#This Row],[Deliver Start Date]]+(Deliver_Length*7),"")</f>
        <v>44544</v>
      </c>
      <c r="W14" s="568">
        <f ca="1">'T&amp;E Summary'!R20</f>
        <v>0</v>
      </c>
    </row>
    <row r="15" spans="3:23" ht="15">
      <c r="C15" s="564" t="s">
        <v>480</v>
      </c>
      <c r="D15" s="564" t="str">
        <f t="shared" si="0"/>
        <v>Boeing ITSM Now Assist AI POC</v>
      </c>
      <c r="E15" s="564" t="str">
        <f t="shared" si="1"/>
        <v>Acme Opportunity</v>
      </c>
      <c r="F15" s="564" t="str">
        <f t="shared" si="2"/>
        <v>USA</v>
      </c>
      <c r="G15" s="564" t="str">
        <f t="shared" si="3"/>
        <v>Harry Tomczyk</v>
      </c>
      <c r="H15" s="564" t="str">
        <f ca="1">INDEX(RolesandSkills[Resource Location],MATCH(Table215[[#This Row],[Role '#]],RolesandSkills[Role '#],0),1)</f>
        <v/>
      </c>
      <c r="I15" s="564" t="str">
        <f ca="1">INDEX(RolesandSkills[Practice],MATCH(Table215[[#This Row],[Role '#]],RolesandSkills[Role '#],0),1)</f>
        <v/>
      </c>
      <c r="J15" s="565" t="str">
        <f ca="1">INDEX(RolesandSkills[Role],MATCH(Table215[[#This Row],[Role '#]],RolesandSkills[Role '#],0),1)</f>
        <v/>
      </c>
      <c r="K15" s="568">
        <f>Pricing!AH37</f>
        <v>0</v>
      </c>
      <c r="L15" s="568" t="str">
        <f t="shared" si="4"/>
        <v>No</v>
      </c>
      <c r="M15" s="622"/>
      <c r="N15" s="569">
        <f t="shared" si="5"/>
        <v>44495</v>
      </c>
      <c r="O15" s="568">
        <f ca="1">'T&amp;E Summary'!N21</f>
        <v>0</v>
      </c>
      <c r="P15" s="570">
        <f ca="1">IFERROR(Table215[[#This Row],[Initiate Start Date]]+(Initiate_Length*7),"")</f>
        <v>44502</v>
      </c>
      <c r="Q15" s="568">
        <f ca="1">'T&amp;E Summary'!O21</f>
        <v>0</v>
      </c>
      <c r="R15" s="570">
        <f ca="1">IFERROR(Table215[[#This Row],[Plan Start Date]]+(Plan_Length *7),"")</f>
        <v>44509</v>
      </c>
      <c r="S15" s="568">
        <f ca="1">'T&amp;E Summary'!P21</f>
        <v>0</v>
      </c>
      <c r="T15" s="569">
        <f ca="1">IFERROR(Table215[[#This Row],[Execute Start Date]]+(7*Execute_Length),"")</f>
        <v>44537</v>
      </c>
      <c r="U15" s="568">
        <f ca="1">'T&amp;E Summary'!Q21</f>
        <v>0</v>
      </c>
      <c r="V15" s="570">
        <f ca="1">IFERROR(Table215[[#This Row],[Deliver Start Date]]+(Deliver_Length*7),"")</f>
        <v>44544</v>
      </c>
      <c r="W15" s="568">
        <f ca="1">'T&amp;E Summary'!R21</f>
        <v>0</v>
      </c>
    </row>
    <row r="16" spans="3:23" ht="15">
      <c r="C16" s="559" t="s">
        <v>481</v>
      </c>
      <c r="D16" s="559" t="str">
        <f t="shared" si="0"/>
        <v>Boeing ITSM Now Assist AI POC</v>
      </c>
      <c r="E16" s="559" t="str">
        <f t="shared" si="1"/>
        <v>Acme Opportunity</v>
      </c>
      <c r="F16" s="559" t="str">
        <f t="shared" si="2"/>
        <v>USA</v>
      </c>
      <c r="G16" s="559" t="str">
        <f t="shared" si="3"/>
        <v>Harry Tomczyk</v>
      </c>
      <c r="H16" s="559" t="str">
        <f ca="1">INDEX(RolesandSkills[Resource Location],MATCH(Table215[[#This Row],[Role '#]],RolesandSkills[Role '#],0),1)</f>
        <v/>
      </c>
      <c r="I16" s="564" t="str">
        <f ca="1">INDEX(RolesandSkills[Practice],MATCH(Table215[[#This Row],[Role '#]],RolesandSkills[Role '#],0),1)</f>
        <v/>
      </c>
      <c r="J16" s="565" t="str">
        <f ca="1">INDEX(RolesandSkills[Role],MATCH(Table215[[#This Row],[Role '#]],RolesandSkills[Role '#],0),1)</f>
        <v/>
      </c>
      <c r="K16" s="568">
        <f>Pricing!AH38</f>
        <v>0</v>
      </c>
      <c r="L16" s="568" t="str">
        <f t="shared" si="4"/>
        <v>No</v>
      </c>
      <c r="M16" s="622"/>
      <c r="N16" s="569">
        <f t="shared" si="5"/>
        <v>44495</v>
      </c>
      <c r="O16" s="568">
        <f ca="1">'T&amp;E Summary'!N22</f>
        <v>0</v>
      </c>
      <c r="P16" s="570">
        <f ca="1">IFERROR(Table215[[#This Row],[Initiate Start Date]]+(Initiate_Length*7),"")</f>
        <v>44502</v>
      </c>
      <c r="Q16" s="568">
        <f ca="1">'T&amp;E Summary'!O22</f>
        <v>0</v>
      </c>
      <c r="R16" s="570">
        <f ca="1">IFERROR(Table215[[#This Row],[Plan Start Date]]+(Plan_Length *7),"")</f>
        <v>44509</v>
      </c>
      <c r="S16" s="568">
        <f ca="1">'T&amp;E Summary'!P22</f>
        <v>0</v>
      </c>
      <c r="T16" s="569">
        <f ca="1">IFERROR(Table215[[#This Row],[Execute Start Date]]+(7*Execute_Length),"")</f>
        <v>44537</v>
      </c>
      <c r="U16" s="568">
        <f ca="1">'T&amp;E Summary'!Q22</f>
        <v>0</v>
      </c>
      <c r="V16" s="570">
        <f ca="1">IFERROR(Table215[[#This Row],[Deliver Start Date]]+(Deliver_Length*7),"")</f>
        <v>44544</v>
      </c>
      <c r="W16" s="568">
        <f ca="1">'T&amp;E Summary'!R22</f>
        <v>0</v>
      </c>
    </row>
    <row r="17" spans="3:23" ht="15">
      <c r="C17" s="564" t="s">
        <v>482</v>
      </c>
      <c r="D17" s="564" t="str">
        <f t="shared" si="0"/>
        <v>Boeing ITSM Now Assist AI POC</v>
      </c>
      <c r="E17" s="564" t="str">
        <f t="shared" si="1"/>
        <v>Acme Opportunity</v>
      </c>
      <c r="F17" s="564" t="str">
        <f t="shared" si="2"/>
        <v>USA</v>
      </c>
      <c r="G17" s="564" t="str">
        <f t="shared" si="3"/>
        <v>Harry Tomczyk</v>
      </c>
      <c r="H17" s="564" t="str">
        <f ca="1">INDEX(RolesandSkills[Resource Location],MATCH(Table215[[#This Row],[Role '#]],RolesandSkills[Role '#],0),1)</f>
        <v/>
      </c>
      <c r="I17" s="564" t="str">
        <f ca="1">INDEX(RolesandSkills[Practice],MATCH(Table215[[#This Row],[Role '#]],RolesandSkills[Role '#],0),1)</f>
        <v/>
      </c>
      <c r="J17" s="565" t="str">
        <f ca="1">INDEX(RolesandSkills[Role],MATCH(Table215[[#This Row],[Role '#]],RolesandSkills[Role '#],0),1)</f>
        <v/>
      </c>
      <c r="K17" s="568">
        <f>Pricing!AH39</f>
        <v>0</v>
      </c>
      <c r="L17" s="568" t="str">
        <f t="shared" si="4"/>
        <v>No</v>
      </c>
      <c r="M17" s="622"/>
      <c r="N17" s="569">
        <f t="shared" si="5"/>
        <v>44495</v>
      </c>
      <c r="O17" s="568">
        <f ca="1">'T&amp;E Summary'!N23</f>
        <v>0</v>
      </c>
      <c r="P17" s="570">
        <f ca="1">IFERROR(Table215[[#This Row],[Initiate Start Date]]+(Initiate_Length*7),"")</f>
        <v>44502</v>
      </c>
      <c r="Q17" s="568">
        <f ca="1">'T&amp;E Summary'!O23</f>
        <v>0</v>
      </c>
      <c r="R17" s="570">
        <f ca="1">IFERROR(Table215[[#This Row],[Plan Start Date]]+(Plan_Length *7),"")</f>
        <v>44509</v>
      </c>
      <c r="S17" s="568">
        <f ca="1">'T&amp;E Summary'!P23</f>
        <v>0</v>
      </c>
      <c r="T17" s="569">
        <f ca="1">IFERROR(Table215[[#This Row],[Execute Start Date]]+(7*Execute_Length),"")</f>
        <v>44537</v>
      </c>
      <c r="U17" s="568">
        <f ca="1">'T&amp;E Summary'!Q23</f>
        <v>0</v>
      </c>
      <c r="V17" s="570">
        <f ca="1">IFERROR(Table215[[#This Row],[Deliver Start Date]]+(Deliver_Length*7),"")</f>
        <v>44544</v>
      </c>
      <c r="W17" s="568">
        <f ca="1">'T&amp;E Summary'!R23</f>
        <v>0</v>
      </c>
    </row>
    <row r="18" spans="3:23" ht="15">
      <c r="C18" s="559" t="s">
        <v>483</v>
      </c>
      <c r="D18" s="559" t="str">
        <f t="shared" si="0"/>
        <v>Boeing ITSM Now Assist AI POC</v>
      </c>
      <c r="E18" s="559" t="str">
        <f t="shared" si="1"/>
        <v>Acme Opportunity</v>
      </c>
      <c r="F18" s="559" t="str">
        <f t="shared" si="2"/>
        <v>USA</v>
      </c>
      <c r="G18" s="559" t="str">
        <f t="shared" si="3"/>
        <v>Harry Tomczyk</v>
      </c>
      <c r="H18" s="559" t="str">
        <f ca="1">INDEX(RolesandSkills[Resource Location],MATCH(Table215[[#This Row],[Role '#]],RolesandSkills[Role '#],0),1)</f>
        <v/>
      </c>
      <c r="I18" s="564" t="str">
        <f ca="1">INDEX(RolesandSkills[Practice],MATCH(Table215[[#This Row],[Role '#]],RolesandSkills[Role '#],0),1)</f>
        <v/>
      </c>
      <c r="J18" s="565" t="str">
        <f ca="1">INDEX(RolesandSkills[Role],MATCH(Table215[[#This Row],[Role '#]],RolesandSkills[Role '#],0),1)</f>
        <v/>
      </c>
      <c r="K18" s="568">
        <f>Pricing!AH40</f>
        <v>0</v>
      </c>
      <c r="L18" s="568" t="str">
        <f t="shared" si="4"/>
        <v>No</v>
      </c>
      <c r="M18" s="622"/>
      <c r="N18" s="569">
        <f t="shared" si="5"/>
        <v>44495</v>
      </c>
      <c r="O18" s="568">
        <f ca="1">'T&amp;E Summary'!N24</f>
        <v>0</v>
      </c>
      <c r="P18" s="570">
        <f ca="1">IFERROR(Table215[[#This Row],[Initiate Start Date]]+(Initiate_Length*7),"")</f>
        <v>44502</v>
      </c>
      <c r="Q18" s="568">
        <f ca="1">'T&amp;E Summary'!O24</f>
        <v>0</v>
      </c>
      <c r="R18" s="570">
        <f ca="1">IFERROR(Table215[[#This Row],[Plan Start Date]]+(Plan_Length *7),"")</f>
        <v>44509</v>
      </c>
      <c r="S18" s="568">
        <f ca="1">'T&amp;E Summary'!P24</f>
        <v>0</v>
      </c>
      <c r="T18" s="569">
        <f ca="1">IFERROR(Table215[[#This Row],[Execute Start Date]]+(7*Execute_Length),"")</f>
        <v>44537</v>
      </c>
      <c r="U18" s="568">
        <f ca="1">'T&amp;E Summary'!Q24</f>
        <v>0</v>
      </c>
      <c r="V18" s="570">
        <f ca="1">IFERROR(Table215[[#This Row],[Deliver Start Date]]+(Deliver_Length*7),"")</f>
        <v>44544</v>
      </c>
      <c r="W18" s="568">
        <f ca="1">'T&amp;E Summary'!R24</f>
        <v>0</v>
      </c>
    </row>
    <row r="19" spans="3:23" ht="15">
      <c r="C19" s="564" t="s">
        <v>484</v>
      </c>
      <c r="D19" s="564" t="str">
        <f t="shared" si="0"/>
        <v>Boeing ITSM Now Assist AI POC</v>
      </c>
      <c r="E19" s="564" t="str">
        <f t="shared" si="1"/>
        <v>Acme Opportunity</v>
      </c>
      <c r="F19" s="564" t="str">
        <f t="shared" si="2"/>
        <v>USA</v>
      </c>
      <c r="G19" s="564" t="str">
        <f t="shared" si="3"/>
        <v>Harry Tomczyk</v>
      </c>
      <c r="H19" s="564" t="str">
        <f ca="1">INDEX(RolesandSkills[Resource Location],MATCH(Table215[[#This Row],[Role '#]],RolesandSkills[Role '#],0),1)</f>
        <v/>
      </c>
      <c r="I19" s="564" t="str">
        <f ca="1">INDEX(RolesandSkills[Practice],MATCH(Table215[[#This Row],[Role '#]],RolesandSkills[Role '#],0),1)</f>
        <v/>
      </c>
      <c r="J19" s="565" t="str">
        <f ca="1">INDEX(RolesandSkills[Role],MATCH(Table215[[#This Row],[Role '#]],RolesandSkills[Role '#],0),1)</f>
        <v/>
      </c>
      <c r="K19" s="568">
        <f>Pricing!AH41</f>
        <v>0</v>
      </c>
      <c r="L19" s="568" t="str">
        <f t="shared" si="4"/>
        <v>No</v>
      </c>
      <c r="M19" s="622"/>
      <c r="N19" s="569">
        <f t="shared" si="5"/>
        <v>44495</v>
      </c>
      <c r="O19" s="568">
        <f ca="1">'T&amp;E Summary'!N25</f>
        <v>0</v>
      </c>
      <c r="P19" s="570">
        <f ca="1">IFERROR(Table215[[#This Row],[Initiate Start Date]]+(Initiate_Length*7),"")</f>
        <v>44502</v>
      </c>
      <c r="Q19" s="568">
        <f ca="1">'T&amp;E Summary'!O25</f>
        <v>0</v>
      </c>
      <c r="R19" s="570">
        <f ca="1">IFERROR(Table215[[#This Row],[Plan Start Date]]+(Plan_Length *7),"")</f>
        <v>44509</v>
      </c>
      <c r="S19" s="568">
        <f ca="1">'T&amp;E Summary'!P25</f>
        <v>0</v>
      </c>
      <c r="T19" s="569">
        <f ca="1">IFERROR(Table215[[#This Row],[Execute Start Date]]+(7*Execute_Length),"")</f>
        <v>44537</v>
      </c>
      <c r="U19" s="568">
        <f ca="1">'T&amp;E Summary'!Q25</f>
        <v>0</v>
      </c>
      <c r="V19" s="570">
        <f ca="1">IFERROR(Table215[[#This Row],[Deliver Start Date]]+(Deliver_Length*7),"")</f>
        <v>44544</v>
      </c>
      <c r="W19" s="568">
        <f ca="1">'T&amp;E Summary'!R25</f>
        <v>0</v>
      </c>
    </row>
    <row r="20" spans="3:23" ht="15">
      <c r="C20" s="571" t="s">
        <v>225</v>
      </c>
      <c r="D20" s="571"/>
      <c r="E20" s="571"/>
      <c r="F20" s="571"/>
      <c r="G20" s="571"/>
      <c r="H20" s="571"/>
      <c r="I20" s="571"/>
      <c r="J20" s="572"/>
      <c r="K20" s="572"/>
      <c r="L20" s="572"/>
      <c r="M20" s="572"/>
      <c r="N20" s="573"/>
      <c r="O20" s="574">
        <f ca="1">SUBTOTAL(109,Table215[Initiate - Hrs per week])</f>
        <v>16</v>
      </c>
      <c r="P20" s="574"/>
      <c r="Q20" s="574">
        <f ca="1">SUBTOTAL(109,Table215[Plan  - Hrs per week])</f>
        <v>119</v>
      </c>
      <c r="R20" s="574"/>
      <c r="S20" s="574">
        <f ca="1">SUBTOTAL(109,Table215[Execute  - Hrs per week])</f>
        <v>70</v>
      </c>
      <c r="T20" s="574"/>
      <c r="U20" s="574">
        <f ca="1">SUBTOTAL(109,Table215[Deliver - Hrs per week])</f>
        <v>44</v>
      </c>
      <c r="V20" s="574"/>
      <c r="W20" s="574">
        <f ca="1">SUBTOTAL(109,Table215[Close - Hrs per week])</f>
        <v>26</v>
      </c>
    </row>
  </sheetData>
  <sheetProtection algorithmName="SHA-512" hashValue="apjnZeQgdAa5Nm4UQK5FSlSA6zjrgnRrjVntxyY0X052zOHIgCikklK6Y4SbBv/PsJvyv2qrnNd8AIDnmAniWQ==" saltValue="3E/r1xqoeYW9jXDcN6l3PQ==" spinCount="100000" sheet="1" autoFilter="0"/>
  <mergeCells count="1">
    <mergeCell ref="C3:V3"/>
  </mergeCells>
  <phoneticPr fontId="18" type="noConversion"/>
  <pageMargins left="0.7" right="0.7" top="0.75" bottom="0.75" header="0.3" footer="0.3"/>
  <pageSetup orientation="portrait" r:id="rId1"/>
  <drawing r:id="rId2"/>
  <tableParts count="1">
    <tablePart r:id="rId3"/>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21EC0-ECF7-455E-BB8A-8DEAD49C13A1}">
  <sheetPr>
    <tabColor theme="3"/>
  </sheetPr>
  <dimension ref="B2:V57"/>
  <sheetViews>
    <sheetView workbookViewId="0">
      <selection activeCell="J20" sqref="J20"/>
    </sheetView>
  </sheetViews>
  <sheetFormatPr defaultColWidth="9.140625" defaultRowHeight="15.75"/>
  <cols>
    <col min="1" max="1" width="9.140625" style="895"/>
    <col min="2" max="2" width="24.5703125" style="895" customWidth="1"/>
    <col min="3" max="3" width="18.140625" style="895" customWidth="1"/>
    <col min="4" max="4" width="18.42578125" style="895" customWidth="1"/>
    <col min="5" max="5" width="19.42578125" style="895" customWidth="1"/>
    <col min="6" max="6" width="19.85546875" style="895" customWidth="1"/>
    <col min="7" max="7" width="16" style="895" customWidth="1"/>
    <col min="8" max="8" width="19.85546875" style="895" customWidth="1"/>
    <col min="9" max="10" width="26.42578125" style="895" customWidth="1"/>
    <col min="11" max="11" width="15.5703125" style="895" customWidth="1"/>
    <col min="12" max="12" width="24.42578125" style="895" customWidth="1"/>
    <col min="13" max="13" width="16.140625" style="895" bestFit="1" customWidth="1"/>
    <col min="14" max="14" width="13.85546875" style="895" customWidth="1"/>
    <col min="15" max="15" width="15.85546875" style="895" customWidth="1"/>
    <col min="16" max="16" width="18.85546875" style="895" customWidth="1"/>
    <col min="17" max="17" width="16.140625" style="895" customWidth="1"/>
    <col min="18" max="18" width="13.85546875" style="895" bestFit="1" customWidth="1"/>
    <col min="19" max="19" width="14.140625" style="895" customWidth="1"/>
    <col min="20" max="20" width="9.140625" style="895"/>
    <col min="21" max="21" width="13.140625" style="895" customWidth="1"/>
    <col min="22" max="22" width="11.140625" style="895" customWidth="1"/>
    <col min="23" max="16384" width="9.140625" style="895"/>
  </cols>
  <sheetData>
    <row r="2" spans="2:10">
      <c r="B2" s="1281" t="s">
        <v>1547</v>
      </c>
      <c r="C2" s="1281"/>
      <c r="D2" s="1281"/>
      <c r="E2" s="1281"/>
      <c r="F2" s="1281"/>
      <c r="G2" s="1281"/>
      <c r="H2" s="1281"/>
    </row>
    <row r="3" spans="2:10" ht="23.25">
      <c r="B3" s="904"/>
      <c r="C3" s="905"/>
      <c r="D3" s="905"/>
      <c r="E3" s="905"/>
      <c r="F3" s="904"/>
      <c r="G3" s="906" t="s">
        <v>338</v>
      </c>
      <c r="H3" s="906" t="s">
        <v>1548</v>
      </c>
    </row>
    <row r="4" spans="2:10" ht="23.25">
      <c r="B4" s="907" t="s">
        <v>1549</v>
      </c>
      <c r="C4" s="1282" t="str">
        <f>'Opportunity Details'!C8</f>
        <v>Harry Tomczyk</v>
      </c>
      <c r="D4" s="1282"/>
      <c r="E4" s="908"/>
      <c r="F4" s="909" t="s">
        <v>1550</v>
      </c>
      <c r="G4" s="923">
        <f ca="1">Pricing!P45</f>
        <v>125000</v>
      </c>
      <c r="H4" s="910"/>
    </row>
    <row r="5" spans="2:10" ht="23.25">
      <c r="B5" s="907" t="s">
        <v>1551</v>
      </c>
      <c r="C5" s="1282" t="str">
        <f>'Opportunity Details'!C9</f>
        <v>Jason Hagen</v>
      </c>
      <c r="D5" s="1282"/>
      <c r="E5" s="908"/>
      <c r="F5" s="909" t="s">
        <v>1552</v>
      </c>
      <c r="G5" s="923">
        <f>'MS Pricing'!P61</f>
        <v>238800</v>
      </c>
      <c r="H5" s="910"/>
    </row>
    <row r="6" spans="2:10" ht="23.25">
      <c r="B6" s="907" t="s">
        <v>1553</v>
      </c>
      <c r="C6" s="1279" t="s">
        <v>1554</v>
      </c>
      <c r="D6" s="1279"/>
      <c r="E6" s="908"/>
      <c r="F6" s="909" t="s">
        <v>1555</v>
      </c>
      <c r="G6" s="910"/>
      <c r="H6" s="910"/>
    </row>
    <row r="7" spans="2:10" ht="23.25">
      <c r="B7" s="907" t="s">
        <v>1556</v>
      </c>
      <c r="C7" s="1283">
        <f>'Opportunity Details'!C18</f>
        <v>0</v>
      </c>
      <c r="D7" s="1283"/>
      <c r="E7" s="908"/>
      <c r="F7" s="909" t="s">
        <v>225</v>
      </c>
      <c r="G7" s="911">
        <f ca="1">SUM(G4:G6)</f>
        <v>363800</v>
      </c>
      <c r="H7" s="911">
        <f>SUM(H4:H6)</f>
        <v>0</v>
      </c>
    </row>
    <row r="8" spans="2:10" ht="23.25">
      <c r="B8" s="907" t="s">
        <v>1557</v>
      </c>
      <c r="C8" s="1279" t="s">
        <v>1558</v>
      </c>
      <c r="D8" s="1279"/>
      <c r="E8" s="908"/>
      <c r="F8" s="909" t="s">
        <v>1559</v>
      </c>
      <c r="G8" s="912"/>
      <c r="H8" s="913"/>
    </row>
    <row r="10" spans="2:10">
      <c r="B10" s="914" t="s">
        <v>1560</v>
      </c>
      <c r="C10" s="1280" t="s">
        <v>1561</v>
      </c>
      <c r="D10" s="1280"/>
      <c r="E10" s="1280"/>
      <c r="F10" s="1280"/>
      <c r="G10" s="1280"/>
      <c r="H10" s="1280"/>
    </row>
    <row r="11" spans="2:10">
      <c r="B11" s="914" t="s">
        <v>1562</v>
      </c>
      <c r="C11" s="1280" t="s">
        <v>1563</v>
      </c>
      <c r="D11" s="1280"/>
      <c r="E11" s="1280"/>
      <c r="F11" s="1280"/>
      <c r="G11" s="1280"/>
      <c r="H11" s="1280"/>
    </row>
    <row r="12" spans="2:10" ht="45">
      <c r="B12" s="914" t="s">
        <v>1564</v>
      </c>
      <c r="C12" s="1280" t="s">
        <v>1565</v>
      </c>
      <c r="D12" s="1280"/>
      <c r="E12" s="1280"/>
      <c r="F12" s="1280"/>
      <c r="G12" s="1280"/>
      <c r="H12" s="1280"/>
      <c r="J12" s="902" t="s">
        <v>1566</v>
      </c>
    </row>
    <row r="13" spans="2:10" ht="30">
      <c r="B13" s="914" t="s">
        <v>1567</v>
      </c>
      <c r="C13" s="1280" t="s">
        <v>1568</v>
      </c>
      <c r="D13" s="1280"/>
      <c r="E13" s="1280"/>
      <c r="F13" s="1280"/>
      <c r="G13" s="1280"/>
      <c r="H13" s="1280"/>
      <c r="J13" s="895" t="s">
        <v>1569</v>
      </c>
    </row>
    <row r="15" spans="2:10">
      <c r="J15" s="927" t="s">
        <v>1570</v>
      </c>
    </row>
    <row r="16" spans="2:10">
      <c r="J16" s="928" t="s">
        <v>1571</v>
      </c>
    </row>
    <row r="17" spans="2:19">
      <c r="B17" s="1287" t="s">
        <v>1572</v>
      </c>
      <c r="C17" s="1287"/>
      <c r="D17" s="1287"/>
      <c r="E17" s="1287"/>
      <c r="F17" s="1287"/>
      <c r="G17" s="1287"/>
      <c r="H17" s="1287"/>
      <c r="S17" s="901"/>
    </row>
    <row r="18" spans="2:19" ht="45" customHeight="1">
      <c r="B18" s="1385" t="s">
        <v>1573</v>
      </c>
      <c r="C18" s="1385"/>
      <c r="D18" s="1385"/>
      <c r="E18" s="1385"/>
      <c r="F18" s="1288" t="s">
        <v>1574</v>
      </c>
      <c r="G18" s="1288"/>
      <c r="H18" s="1288"/>
      <c r="S18" s="901"/>
    </row>
    <row r="19" spans="2:19" ht="45" customHeight="1">
      <c r="B19" s="1160" t="s">
        <v>271</v>
      </c>
      <c r="C19" s="1160"/>
      <c r="D19" s="1160"/>
      <c r="E19" s="1160"/>
      <c r="F19" s="1291" t="str">
        <f>IF(Pricing!E21="","",Pricing!E21)</f>
        <v/>
      </c>
      <c r="G19" s="1291"/>
      <c r="H19" s="1291"/>
      <c r="S19" s="901"/>
    </row>
    <row r="20" spans="2:19" ht="45" customHeight="1">
      <c r="B20" s="1160" t="s">
        <v>1575</v>
      </c>
      <c r="C20" s="1160"/>
      <c r="D20" s="1160"/>
      <c r="E20" s="1160"/>
      <c r="F20" s="1288" t="str">
        <f>IF(Pricing!E22="","",Pricing!E22)</f>
        <v>This is a Proof of Concept for Boeing using ITSM Now Assist (50 licenses).  It is designed to deliver rapid value for AI evaluation by Boeing.</v>
      </c>
      <c r="G20" s="1288"/>
      <c r="H20" s="1288"/>
      <c r="S20" s="901"/>
    </row>
    <row r="21" spans="2:19" ht="45" customHeight="1">
      <c r="B21" s="1160" t="s">
        <v>1576</v>
      </c>
      <c r="C21" s="1160"/>
      <c r="D21" s="1160"/>
      <c r="E21" s="1160"/>
      <c r="F21" s="1290" t="s">
        <v>1577</v>
      </c>
      <c r="G21" s="1290"/>
      <c r="H21" s="1290"/>
      <c r="S21" s="901"/>
    </row>
    <row r="22" spans="2:19" ht="45" customHeight="1">
      <c r="B22" s="1385" t="s">
        <v>1578</v>
      </c>
      <c r="C22" s="1385"/>
      <c r="D22" s="1385"/>
      <c r="E22" s="1385"/>
      <c r="F22" s="1291" t="s">
        <v>1579</v>
      </c>
      <c r="G22" s="1291"/>
      <c r="H22" s="1291"/>
      <c r="S22" s="901"/>
    </row>
    <row r="24" spans="2:19" ht="16.5" thickBot="1"/>
    <row r="25" spans="2:19">
      <c r="B25" s="1284" t="str">
        <f>"Financial Dashboard (" &amp;Pricing!E17&amp; ")"</f>
        <v>Financial Dashboard (USD)</v>
      </c>
      <c r="C25" s="1285"/>
      <c r="D25" s="1285"/>
      <c r="E25" s="1286"/>
    </row>
    <row r="26" spans="2:19">
      <c r="B26" s="897"/>
      <c r="C26" s="898" t="s">
        <v>225</v>
      </c>
      <c r="D26" s="898" t="s">
        <v>226</v>
      </c>
      <c r="E26" s="899" t="s">
        <v>227</v>
      </c>
    </row>
    <row r="27" spans="2:19">
      <c r="B27" s="485" t="s">
        <v>229</v>
      </c>
      <c r="C27" s="674">
        <f ca="1">Pricing!AU42</f>
        <v>125000</v>
      </c>
      <c r="D27" s="674">
        <f ca="1">Pricing!AV42</f>
        <v>108712.44845429689</v>
      </c>
      <c r="E27" s="675">
        <f ca="1">Pricing!AW42</f>
        <v>16287.551545703114</v>
      </c>
    </row>
    <row r="28" spans="2:19">
      <c r="B28" s="485" t="s">
        <v>232</v>
      </c>
      <c r="C28" s="674">
        <f ca="1">Pricing!AX42</f>
        <v>63504.874362000002</v>
      </c>
      <c r="D28" s="674">
        <f ca="1">Pricing!AY42</f>
        <v>59011.100000000006</v>
      </c>
      <c r="E28" s="675">
        <f ca="1">Pricing!AZ42</f>
        <v>4493.7743619999992</v>
      </c>
    </row>
    <row r="29" spans="2:19">
      <c r="B29" s="485" t="s">
        <v>235</v>
      </c>
      <c r="C29" s="674">
        <f ca="1">C27-C28</f>
        <v>61495.125637999998</v>
      </c>
      <c r="D29" s="674">
        <f ca="1">D27-D28</f>
        <v>49701.34845429688</v>
      </c>
      <c r="E29" s="675">
        <f ca="1">E27-E28</f>
        <v>11793.777183703114</v>
      </c>
    </row>
    <row r="30" spans="2:19">
      <c r="B30" s="485" t="s">
        <v>238</v>
      </c>
      <c r="C30" s="676">
        <f ca="1">IFERROR(C29/C27,"")</f>
        <v>0.49196100510399998</v>
      </c>
      <c r="D30" s="676">
        <f ca="1">IFERROR(D29/D27,"")</f>
        <v>0.45718175941177069</v>
      </c>
      <c r="E30" s="677">
        <f ca="1">IFERROR(E29/E27,"")</f>
        <v>0.72409761225372626</v>
      </c>
    </row>
    <row r="31" spans="2:19">
      <c r="B31" s="485" t="s">
        <v>14</v>
      </c>
      <c r="C31" s="674">
        <f ca="1">IFERROR(Pricing!J45+Pricing!K45,0)</f>
        <v>557.75</v>
      </c>
      <c r="D31" s="674">
        <f ca="1">IFERROR(Pricing!BB42+Pricing!BD42,0)</f>
        <v>380.65</v>
      </c>
      <c r="E31" s="675">
        <f ca="1">IFERROR(Pricing!BC42+Pricing!BE42,0)</f>
        <v>177.1</v>
      </c>
    </row>
    <row r="32" spans="2:19">
      <c r="B32" s="485" t="s">
        <v>241</v>
      </c>
      <c r="C32" s="678">
        <f ca="1">IFERROR(C31/C31,"")</f>
        <v>1</v>
      </c>
      <c r="D32" s="678">
        <f ca="1">IFERROR(D31/C31,"")</f>
        <v>0.68247422680412362</v>
      </c>
      <c r="E32" s="679">
        <f ca="1">IFERROR(E31/C31,"")</f>
        <v>0.31752577319587627</v>
      </c>
    </row>
    <row r="33" spans="2:22">
      <c r="B33" s="485" t="s">
        <v>243</v>
      </c>
      <c r="C33" s="674">
        <f ca="1">IFERROR(C27/C31,"")</f>
        <v>224.11474675033617</v>
      </c>
      <c r="D33" s="674">
        <f ca="1">IFERROR(D27/D31,"")</f>
        <v>285.59686970785998</v>
      </c>
      <c r="E33" s="675">
        <f ca="1">IFERROR(E27/E31,"")</f>
        <v>91.968105848126001</v>
      </c>
    </row>
    <row r="34" spans="2:22">
      <c r="B34" s="485" t="s">
        <v>245</v>
      </c>
      <c r="C34" s="674">
        <f ca="1">Pricing!AO42/Pricing!BA42</f>
        <v>221.21443298969072</v>
      </c>
      <c r="D34" s="674">
        <f ca="1">Pricing!AP42/Pricing!BB42</f>
        <v>279.9365558912387</v>
      </c>
      <c r="E34" s="675">
        <f ca="1">Pricing!AQ42/Pricing!BC42</f>
        <v>95</v>
      </c>
    </row>
    <row r="35" spans="2:22">
      <c r="B35" s="485" t="s">
        <v>248</v>
      </c>
      <c r="C35" s="680">
        <f ca="1">IFERROR(C33-C34,"")</f>
        <v>2.9003137606454459</v>
      </c>
      <c r="D35" s="680">
        <f ca="1">IFERROR(D33-D34,"")</f>
        <v>5.660313816621283</v>
      </c>
      <c r="E35" s="681">
        <f ca="1">IFERROR(E33-E34,"")</f>
        <v>-3.031894151873999</v>
      </c>
    </row>
    <row r="36" spans="2:22">
      <c r="B36" s="485" t="s">
        <v>251</v>
      </c>
      <c r="C36" s="676">
        <f ca="1">IFERROR(C35/C34,"")</f>
        <v>1.3110870395968284E-2</v>
      </c>
      <c r="D36" s="676">
        <f ca="1">IFERROR(D35/D34,"")</f>
        <v>2.0219988056223836E-2</v>
      </c>
      <c r="E36" s="677">
        <f ca="1">IFERROR(E35/E34,"")</f>
        <v>-3.1914675282884199E-2</v>
      </c>
    </row>
    <row r="37" spans="2:22" ht="16.5" thickBot="1">
      <c r="B37" s="787" t="s">
        <v>254</v>
      </c>
      <c r="C37" s="788">
        <f ca="1">IFERROR(C29/C27-Pricing!$AJ$17,"")</f>
        <v>0.24196100510399998</v>
      </c>
      <c r="D37" s="788">
        <f ca="1">IFERROR(D29/D27-Pricing!$AJ$17,"")</f>
        <v>0.20718175941177069</v>
      </c>
      <c r="E37" s="844">
        <f ca="1">IFERROR(E29/E27-Pricing!$AJ$17,"")</f>
        <v>0.47409761225372626</v>
      </c>
    </row>
    <row r="40" spans="2:22" ht="16.5" thickBot="1"/>
    <row r="41" spans="2:22" ht="45">
      <c r="B41" s="1284" t="s">
        <v>1580</v>
      </c>
      <c r="C41" s="1285"/>
      <c r="E41" s="1289" t="s">
        <v>658</v>
      </c>
      <c r="F41" s="1289"/>
      <c r="G41" s="1289"/>
      <c r="I41" s="915" t="s">
        <v>548</v>
      </c>
      <c r="J41" s="915" t="s">
        <v>347</v>
      </c>
      <c r="K41" s="915" t="s">
        <v>230</v>
      </c>
      <c r="L41" s="916" t="s">
        <v>288</v>
      </c>
      <c r="M41" s="916" t="s">
        <v>1537</v>
      </c>
      <c r="N41" s="916" t="s">
        <v>1538</v>
      </c>
      <c r="O41" s="916" t="s">
        <v>1539</v>
      </c>
      <c r="P41" s="916" t="s">
        <v>1540</v>
      </c>
      <c r="Q41" s="916" t="s">
        <v>1541</v>
      </c>
      <c r="R41" s="917" t="s">
        <v>1542</v>
      </c>
      <c r="S41" s="917" t="s">
        <v>1543</v>
      </c>
      <c r="T41" s="917" t="s">
        <v>1544</v>
      </c>
      <c r="U41" s="917" t="s">
        <v>1545</v>
      </c>
      <c r="V41" s="917" t="s">
        <v>1546</v>
      </c>
    </row>
    <row r="42" spans="2:22">
      <c r="B42" s="900" t="s">
        <v>8</v>
      </c>
      <c r="C42" s="900" t="s">
        <v>1581</v>
      </c>
      <c r="E42" s="902" t="s">
        <v>8</v>
      </c>
      <c r="F42" s="903" t="s">
        <v>661</v>
      </c>
      <c r="G42" s="902" t="s">
        <v>662</v>
      </c>
      <c r="I42" s="918" t="str">
        <f>'Resource Plan'!C5</f>
        <v>Role 1</v>
      </c>
      <c r="J42" s="918" t="str">
        <f ca="1">'Resource Plan'!H5</f>
        <v>USA</v>
      </c>
      <c r="K42" s="918" t="str">
        <f ca="1">'Resource Plan'!I5</f>
        <v>PMO</v>
      </c>
      <c r="L42" s="918" t="str">
        <f ca="1">'Resource Plan'!J5</f>
        <v>Project Manager</v>
      </c>
      <c r="M42" s="919">
        <f>'Resource Plan'!N5</f>
        <v>44495</v>
      </c>
      <c r="N42" s="920">
        <f ca="1">'Resource Plan'!O5</f>
        <v>10</v>
      </c>
      <c r="O42" s="919">
        <f ca="1">'Resource Plan'!P5</f>
        <v>44502</v>
      </c>
      <c r="P42" s="920">
        <f ca="1">'Resource Plan'!Q5</f>
        <v>10</v>
      </c>
      <c r="Q42" s="919">
        <f ca="1">'Resource Plan'!R5</f>
        <v>44509</v>
      </c>
      <c r="R42" s="920">
        <f ca="1">'Resource Plan'!S5</f>
        <v>10</v>
      </c>
      <c r="S42" s="919">
        <f ca="1">'Resource Plan'!T5</f>
        <v>44537</v>
      </c>
      <c r="T42" s="920">
        <f ca="1">'Resource Plan'!U5</f>
        <v>10</v>
      </c>
      <c r="U42" s="919">
        <f ca="1">'Resource Plan'!V5</f>
        <v>44544</v>
      </c>
      <c r="V42" s="920">
        <f ca="1">'Resource Plan'!W5</f>
        <v>10</v>
      </c>
    </row>
    <row r="43" spans="2:22">
      <c r="B43" s="896" t="s">
        <v>487</v>
      </c>
      <c r="C43" s="896">
        <f>Initiate_Length</f>
        <v>1</v>
      </c>
      <c r="E43" s="580" t="s">
        <v>487</v>
      </c>
      <c r="F43" s="582">
        <f>Exp_Proj_Start</f>
        <v>44495</v>
      </c>
      <c r="G43" s="583">
        <f>IFERROR(Table91116[[#This Row],[Start date]]+(7*Initiate_Length),"")</f>
        <v>44502</v>
      </c>
      <c r="I43" s="918" t="str">
        <f>'Resource Plan'!C6</f>
        <v>Role 2</v>
      </c>
      <c r="J43" s="918" t="str">
        <f ca="1">'Resource Plan'!H6</f>
        <v>USA</v>
      </c>
      <c r="K43" s="918" t="str">
        <f ca="1">'Resource Plan'!I6</f>
        <v>Technology</v>
      </c>
      <c r="L43" s="918" t="str">
        <f ca="1">'Resource Plan'!J6</f>
        <v>Solution Architect</v>
      </c>
      <c r="M43" s="919">
        <f>'Resource Plan'!N6</f>
        <v>44495</v>
      </c>
      <c r="N43" s="920">
        <f ca="1">'Resource Plan'!O6</f>
        <v>2</v>
      </c>
      <c r="O43" s="919">
        <f ca="1">'Resource Plan'!P6</f>
        <v>44502</v>
      </c>
      <c r="P43" s="920">
        <f ca="1">'Resource Plan'!Q6</f>
        <v>31</v>
      </c>
      <c r="Q43" s="919">
        <f ca="1">'Resource Plan'!R6</f>
        <v>44509</v>
      </c>
      <c r="R43" s="920">
        <f ca="1">'Resource Plan'!S6</f>
        <v>9</v>
      </c>
      <c r="S43" s="919">
        <f ca="1">'Resource Plan'!T6</f>
        <v>44537</v>
      </c>
      <c r="T43" s="920">
        <f ca="1">'Resource Plan'!U6</f>
        <v>8</v>
      </c>
      <c r="U43" s="919">
        <f ca="1">'Resource Plan'!V6</f>
        <v>44544</v>
      </c>
      <c r="V43" s="920">
        <f ca="1">'Resource Plan'!W6</f>
        <v>2</v>
      </c>
    </row>
    <row r="44" spans="2:22">
      <c r="B44" s="896" t="s">
        <v>429</v>
      </c>
      <c r="C44" s="896">
        <f>Plan_Length</f>
        <v>1</v>
      </c>
      <c r="E44" s="580" t="s">
        <v>429</v>
      </c>
      <c r="F44" s="582">
        <f>G43</f>
        <v>44502</v>
      </c>
      <c r="G44" s="583">
        <f>IFERROR(Table91116[[#This Row],[Start date]]+(7*Plan_Length),"")</f>
        <v>44509</v>
      </c>
      <c r="I44" s="918" t="str">
        <f>'Resource Plan'!C7</f>
        <v>Role 3</v>
      </c>
      <c r="J44" s="918" t="str">
        <f ca="1">'Resource Plan'!H7</f>
        <v>USA</v>
      </c>
      <c r="K44" s="918" t="str">
        <f ca="1">'Resource Plan'!I7</f>
        <v>Technology</v>
      </c>
      <c r="L44" s="918" t="str">
        <f ca="1">'Resource Plan'!J7</f>
        <v>Business Process Consultant</v>
      </c>
      <c r="M44" s="919">
        <f>'Resource Plan'!N7</f>
        <v>44495</v>
      </c>
      <c r="N44" s="920">
        <f ca="1">'Resource Plan'!O7</f>
        <v>2</v>
      </c>
      <c r="O44" s="919">
        <f ca="1">'Resource Plan'!P7</f>
        <v>44502</v>
      </c>
      <c r="P44" s="920">
        <f ca="1">'Resource Plan'!Q7</f>
        <v>40</v>
      </c>
      <c r="Q44" s="919">
        <f ca="1">'Resource Plan'!R7</f>
        <v>44509</v>
      </c>
      <c r="R44" s="920">
        <f ca="1">'Resource Plan'!S7</f>
        <v>18</v>
      </c>
      <c r="S44" s="919">
        <f ca="1">'Resource Plan'!T7</f>
        <v>44537</v>
      </c>
      <c r="T44" s="920">
        <f ca="1">'Resource Plan'!U7</f>
        <v>4</v>
      </c>
      <c r="U44" s="919">
        <f ca="1">'Resource Plan'!V7</f>
        <v>44544</v>
      </c>
      <c r="V44" s="920">
        <f ca="1">'Resource Plan'!W7</f>
        <v>2</v>
      </c>
    </row>
    <row r="45" spans="2:22">
      <c r="B45" s="896" t="s">
        <v>97</v>
      </c>
      <c r="C45" s="896">
        <f>Execute_Length</f>
        <v>4</v>
      </c>
      <c r="E45" s="580" t="s">
        <v>97</v>
      </c>
      <c r="F45" s="582">
        <f>G44</f>
        <v>44509</v>
      </c>
      <c r="G45" s="583">
        <f>IFERROR(Table91116[[#This Row],[Start date]]+(7*Execute_Length),"")</f>
        <v>44537</v>
      </c>
      <c r="I45" s="918" t="str">
        <f>'Resource Plan'!C8</f>
        <v>Role 4</v>
      </c>
      <c r="J45" s="918" t="str">
        <f ca="1">'Resource Plan'!H8</f>
        <v>India</v>
      </c>
      <c r="K45" s="918" t="str">
        <f ca="1">'Resource Plan'!I8</f>
        <v>Technology</v>
      </c>
      <c r="L45" s="918" t="str">
        <f ca="1">'Resource Plan'!J8</f>
        <v>Senior Technical Consultant</v>
      </c>
      <c r="M45" s="919">
        <f>'Resource Plan'!N8</f>
        <v>44495</v>
      </c>
      <c r="N45" s="920">
        <f ca="1">'Resource Plan'!O8</f>
        <v>0</v>
      </c>
      <c r="O45" s="919">
        <f ca="1">'Resource Plan'!P8</f>
        <v>44502</v>
      </c>
      <c r="P45" s="920">
        <f ca="1">'Resource Plan'!Q8</f>
        <v>0</v>
      </c>
      <c r="Q45" s="919">
        <f ca="1">'Resource Plan'!R8</f>
        <v>44509</v>
      </c>
      <c r="R45" s="920">
        <f ca="1">'Resource Plan'!S8</f>
        <v>31</v>
      </c>
      <c r="S45" s="919">
        <f ca="1">'Resource Plan'!T8</f>
        <v>44537</v>
      </c>
      <c r="T45" s="920">
        <f ca="1">'Resource Plan'!U8</f>
        <v>20</v>
      </c>
      <c r="U45" s="919">
        <f ca="1">'Resource Plan'!V8</f>
        <v>44544</v>
      </c>
      <c r="V45" s="920">
        <f ca="1">'Resource Plan'!W8</f>
        <v>10</v>
      </c>
    </row>
    <row r="46" spans="2:22">
      <c r="B46" s="896" t="s">
        <v>137</v>
      </c>
      <c r="C46" s="896">
        <f>Deliver_Length</f>
        <v>1</v>
      </c>
      <c r="E46" s="580" t="s">
        <v>137</v>
      </c>
      <c r="F46" s="582">
        <f>G45</f>
        <v>44537</v>
      </c>
      <c r="G46" s="583">
        <f>IFERROR(Table91116[[#This Row],[Start date]]+(7*Deliver_Length),"")</f>
        <v>44544</v>
      </c>
      <c r="I46" s="918" t="str">
        <f>'Resource Plan'!C9</f>
        <v>Role 5</v>
      </c>
      <c r="J46" s="918" t="str">
        <f ca="1">'Resource Plan'!H9</f>
        <v>USA</v>
      </c>
      <c r="K46" s="918" t="str">
        <f ca="1">'Resource Plan'!I9</f>
        <v>Technology</v>
      </c>
      <c r="L46" s="918" t="str">
        <f ca="1">'Resource Plan'!J9</f>
        <v>Workflow/Practice Strategist</v>
      </c>
      <c r="M46" s="919">
        <f>'Resource Plan'!N9</f>
        <v>44495</v>
      </c>
      <c r="N46" s="920">
        <f ca="1">'Resource Plan'!O9</f>
        <v>2</v>
      </c>
      <c r="O46" s="919">
        <f ca="1">'Resource Plan'!P9</f>
        <v>44502</v>
      </c>
      <c r="P46" s="920">
        <f ca="1">'Resource Plan'!Q9</f>
        <v>38</v>
      </c>
      <c r="Q46" s="919">
        <f ca="1">'Resource Plan'!R9</f>
        <v>44509</v>
      </c>
      <c r="R46" s="920">
        <f ca="1">'Resource Plan'!S9</f>
        <v>2</v>
      </c>
      <c r="S46" s="919">
        <f ca="1">'Resource Plan'!T9</f>
        <v>44537</v>
      </c>
      <c r="T46" s="920">
        <f ca="1">'Resource Plan'!U9</f>
        <v>2</v>
      </c>
      <c r="U46" s="919">
        <f ca="1">'Resource Plan'!V9</f>
        <v>44544</v>
      </c>
      <c r="V46" s="920">
        <f ca="1">'Resource Plan'!W9</f>
        <v>2</v>
      </c>
    </row>
    <row r="47" spans="2:22">
      <c r="B47" s="896" t="s">
        <v>151</v>
      </c>
      <c r="C47" s="896">
        <f>Close_Length</f>
        <v>1</v>
      </c>
      <c r="E47" s="580" t="s">
        <v>151</v>
      </c>
      <c r="F47" s="582">
        <f>G46</f>
        <v>44544</v>
      </c>
      <c r="G47" s="583">
        <f>IFERROR(Table91116[[#This Row],[Start date]]+(7*Close_Length),"")</f>
        <v>44551</v>
      </c>
      <c r="I47" s="918" t="str">
        <f>'Resource Plan'!C10</f>
        <v>Role 6</v>
      </c>
      <c r="J47" s="918" t="str">
        <f ca="1">'Resource Plan'!H10</f>
        <v/>
      </c>
      <c r="K47" s="918" t="str">
        <f ca="1">'Resource Plan'!I10</f>
        <v/>
      </c>
      <c r="L47" s="918" t="str">
        <f ca="1">'Resource Plan'!J10</f>
        <v/>
      </c>
      <c r="M47" s="919">
        <f>'Resource Plan'!N10</f>
        <v>44495</v>
      </c>
      <c r="N47" s="920">
        <f ca="1">'Resource Plan'!O10</f>
        <v>0</v>
      </c>
      <c r="O47" s="919">
        <f ca="1">'Resource Plan'!P10</f>
        <v>44502</v>
      </c>
      <c r="P47" s="920">
        <f ca="1">'Resource Plan'!Q10</f>
        <v>0</v>
      </c>
      <c r="Q47" s="919">
        <f ca="1">'Resource Plan'!R10</f>
        <v>44509</v>
      </c>
      <c r="R47" s="920">
        <f ca="1">'Resource Plan'!S10</f>
        <v>0</v>
      </c>
      <c r="S47" s="919">
        <f ca="1">'Resource Plan'!T10</f>
        <v>44537</v>
      </c>
      <c r="T47" s="920">
        <f ca="1">'Resource Plan'!U10</f>
        <v>0</v>
      </c>
      <c r="U47" s="919">
        <f ca="1">'Resource Plan'!V10</f>
        <v>44544</v>
      </c>
      <c r="V47" s="920">
        <f ca="1">'Resource Plan'!W10</f>
        <v>0</v>
      </c>
    </row>
    <row r="48" spans="2:22">
      <c r="B48" s="896" t="s">
        <v>225</v>
      </c>
      <c r="C48" s="896">
        <f>SUM(C43:C47)</f>
        <v>8</v>
      </c>
      <c r="I48" s="918" t="str">
        <f>'Resource Plan'!C11</f>
        <v>Role 7</v>
      </c>
      <c r="J48" s="918" t="str">
        <f ca="1">'Resource Plan'!H11</f>
        <v/>
      </c>
      <c r="K48" s="918" t="str">
        <f ca="1">'Resource Plan'!I11</f>
        <v/>
      </c>
      <c r="L48" s="918" t="str">
        <f ca="1">'Resource Plan'!J11</f>
        <v/>
      </c>
      <c r="M48" s="919">
        <f>'Resource Plan'!N11</f>
        <v>44495</v>
      </c>
      <c r="N48" s="920">
        <f ca="1">'Resource Plan'!O11</f>
        <v>0</v>
      </c>
      <c r="O48" s="919">
        <f ca="1">'Resource Plan'!P11</f>
        <v>44502</v>
      </c>
      <c r="P48" s="920">
        <f ca="1">'Resource Plan'!Q11</f>
        <v>0</v>
      </c>
      <c r="Q48" s="919">
        <f ca="1">'Resource Plan'!R11</f>
        <v>44509</v>
      </c>
      <c r="R48" s="920">
        <f ca="1">'Resource Plan'!S11</f>
        <v>0</v>
      </c>
      <c r="S48" s="919">
        <f ca="1">'Resource Plan'!T11</f>
        <v>44537</v>
      </c>
      <c r="T48" s="920">
        <f ca="1">'Resource Plan'!U11</f>
        <v>0</v>
      </c>
      <c r="U48" s="919">
        <f ca="1">'Resource Plan'!V11</f>
        <v>44544</v>
      </c>
      <c r="V48" s="920">
        <f ca="1">'Resource Plan'!W11</f>
        <v>0</v>
      </c>
    </row>
    <row r="49" spans="9:22">
      <c r="I49" s="918" t="str">
        <f>'Resource Plan'!C12</f>
        <v>Role 8</v>
      </c>
      <c r="J49" s="918" t="str">
        <f ca="1">'Resource Plan'!H12</f>
        <v/>
      </c>
      <c r="K49" s="918" t="str">
        <f ca="1">'Resource Plan'!I12</f>
        <v/>
      </c>
      <c r="L49" s="918" t="str">
        <f ca="1">'Resource Plan'!J12</f>
        <v/>
      </c>
      <c r="M49" s="919">
        <f>'Resource Plan'!N12</f>
        <v>44495</v>
      </c>
      <c r="N49" s="920">
        <f ca="1">'Resource Plan'!O12</f>
        <v>0</v>
      </c>
      <c r="O49" s="919">
        <f ca="1">'Resource Plan'!P12</f>
        <v>44502</v>
      </c>
      <c r="P49" s="920">
        <f ca="1">'Resource Plan'!Q12</f>
        <v>0</v>
      </c>
      <c r="Q49" s="919">
        <f ca="1">'Resource Plan'!R12</f>
        <v>44509</v>
      </c>
      <c r="R49" s="920">
        <f ca="1">'Resource Plan'!S12</f>
        <v>0</v>
      </c>
      <c r="S49" s="919">
        <f ca="1">'Resource Plan'!T12</f>
        <v>44537</v>
      </c>
      <c r="T49" s="920">
        <f ca="1">'Resource Plan'!U12</f>
        <v>0</v>
      </c>
      <c r="U49" s="919">
        <f ca="1">'Resource Plan'!V12</f>
        <v>44544</v>
      </c>
      <c r="V49" s="920">
        <f ca="1">'Resource Plan'!W12</f>
        <v>0</v>
      </c>
    </row>
    <row r="50" spans="9:22">
      <c r="I50" s="918" t="str">
        <f>'Resource Plan'!C13</f>
        <v>Role 9</v>
      </c>
      <c r="J50" s="918" t="str">
        <f ca="1">'Resource Plan'!H13</f>
        <v/>
      </c>
      <c r="K50" s="918" t="str">
        <f ca="1">'Resource Plan'!I13</f>
        <v/>
      </c>
      <c r="L50" s="918" t="str">
        <f ca="1">'Resource Plan'!J13</f>
        <v/>
      </c>
      <c r="M50" s="919">
        <f>'Resource Plan'!N13</f>
        <v>44495</v>
      </c>
      <c r="N50" s="920">
        <f ca="1">'Resource Plan'!O13</f>
        <v>0</v>
      </c>
      <c r="O50" s="919">
        <f ca="1">'Resource Plan'!P13</f>
        <v>44502</v>
      </c>
      <c r="P50" s="920">
        <f ca="1">'Resource Plan'!Q13</f>
        <v>0</v>
      </c>
      <c r="Q50" s="919">
        <f ca="1">'Resource Plan'!R13</f>
        <v>44509</v>
      </c>
      <c r="R50" s="920">
        <f ca="1">'Resource Plan'!S13</f>
        <v>0</v>
      </c>
      <c r="S50" s="919">
        <f ca="1">'Resource Plan'!T13</f>
        <v>44537</v>
      </c>
      <c r="T50" s="920">
        <f ca="1">'Resource Plan'!U13</f>
        <v>0</v>
      </c>
      <c r="U50" s="919">
        <f ca="1">'Resource Plan'!V13</f>
        <v>44544</v>
      </c>
      <c r="V50" s="920">
        <f ca="1">'Resource Plan'!W13</f>
        <v>0</v>
      </c>
    </row>
    <row r="51" spans="9:22">
      <c r="I51" s="918" t="str">
        <f>'Resource Plan'!C14</f>
        <v>Role 10</v>
      </c>
      <c r="J51" s="918" t="str">
        <f ca="1">'Resource Plan'!H14</f>
        <v/>
      </c>
      <c r="K51" s="918" t="str">
        <f ca="1">'Resource Plan'!I14</f>
        <v/>
      </c>
      <c r="L51" s="918" t="str">
        <f ca="1">'Resource Plan'!J14</f>
        <v/>
      </c>
      <c r="M51" s="919">
        <f>'Resource Plan'!N14</f>
        <v>44495</v>
      </c>
      <c r="N51" s="920">
        <f ca="1">'Resource Plan'!O14</f>
        <v>0</v>
      </c>
      <c r="O51" s="919">
        <f ca="1">'Resource Plan'!P14</f>
        <v>44502</v>
      </c>
      <c r="P51" s="920">
        <f ca="1">'Resource Plan'!Q14</f>
        <v>0</v>
      </c>
      <c r="Q51" s="919">
        <f ca="1">'Resource Plan'!R14</f>
        <v>44509</v>
      </c>
      <c r="R51" s="920">
        <f ca="1">'Resource Plan'!S14</f>
        <v>0</v>
      </c>
      <c r="S51" s="919">
        <f ca="1">'Resource Plan'!T14</f>
        <v>44537</v>
      </c>
      <c r="T51" s="920">
        <f ca="1">'Resource Plan'!U14</f>
        <v>0</v>
      </c>
      <c r="U51" s="919">
        <f ca="1">'Resource Plan'!V14</f>
        <v>44544</v>
      </c>
      <c r="V51" s="920">
        <f ca="1">'Resource Plan'!W14</f>
        <v>0</v>
      </c>
    </row>
    <row r="52" spans="9:22">
      <c r="I52" s="918" t="str">
        <f>'Resource Plan'!C15</f>
        <v>Role 11</v>
      </c>
      <c r="J52" s="918" t="str">
        <f ca="1">'Resource Plan'!H15</f>
        <v/>
      </c>
      <c r="K52" s="918" t="str">
        <f ca="1">'Resource Plan'!I15</f>
        <v/>
      </c>
      <c r="L52" s="918" t="str">
        <f ca="1">'Resource Plan'!J15</f>
        <v/>
      </c>
      <c r="M52" s="919">
        <f>'Resource Plan'!N15</f>
        <v>44495</v>
      </c>
      <c r="N52" s="920">
        <f ca="1">'Resource Plan'!O15</f>
        <v>0</v>
      </c>
      <c r="O52" s="919">
        <f ca="1">'Resource Plan'!P15</f>
        <v>44502</v>
      </c>
      <c r="P52" s="920">
        <f ca="1">'Resource Plan'!Q15</f>
        <v>0</v>
      </c>
      <c r="Q52" s="919">
        <f ca="1">'Resource Plan'!R15</f>
        <v>44509</v>
      </c>
      <c r="R52" s="920">
        <f ca="1">'Resource Plan'!S15</f>
        <v>0</v>
      </c>
      <c r="S52" s="919">
        <f ca="1">'Resource Plan'!T15</f>
        <v>44537</v>
      </c>
      <c r="T52" s="920">
        <f ca="1">'Resource Plan'!U15</f>
        <v>0</v>
      </c>
      <c r="U52" s="919">
        <f ca="1">'Resource Plan'!V15</f>
        <v>44544</v>
      </c>
      <c r="V52" s="920">
        <f ca="1">'Resource Plan'!W15</f>
        <v>0</v>
      </c>
    </row>
    <row r="53" spans="9:22">
      <c r="I53" s="918" t="str">
        <f>'Resource Plan'!C16</f>
        <v>Role 12</v>
      </c>
      <c r="J53" s="918" t="str">
        <f ca="1">'Resource Plan'!H16</f>
        <v/>
      </c>
      <c r="K53" s="918" t="str">
        <f ca="1">'Resource Plan'!I16</f>
        <v/>
      </c>
      <c r="L53" s="918" t="str">
        <f ca="1">'Resource Plan'!J16</f>
        <v/>
      </c>
      <c r="M53" s="919">
        <f>'Resource Plan'!N16</f>
        <v>44495</v>
      </c>
      <c r="N53" s="920">
        <f ca="1">'Resource Plan'!O16</f>
        <v>0</v>
      </c>
      <c r="O53" s="919">
        <f ca="1">'Resource Plan'!P16</f>
        <v>44502</v>
      </c>
      <c r="P53" s="920">
        <f ca="1">'Resource Plan'!Q16</f>
        <v>0</v>
      </c>
      <c r="Q53" s="919">
        <f ca="1">'Resource Plan'!R16</f>
        <v>44509</v>
      </c>
      <c r="R53" s="920">
        <f ca="1">'Resource Plan'!S16</f>
        <v>0</v>
      </c>
      <c r="S53" s="919">
        <f ca="1">'Resource Plan'!T16</f>
        <v>44537</v>
      </c>
      <c r="T53" s="920">
        <f ca="1">'Resource Plan'!U16</f>
        <v>0</v>
      </c>
      <c r="U53" s="919">
        <f ca="1">'Resource Plan'!V16</f>
        <v>44544</v>
      </c>
      <c r="V53" s="920">
        <f ca="1">'Resource Plan'!W16</f>
        <v>0</v>
      </c>
    </row>
    <row r="54" spans="9:22">
      <c r="I54" s="918" t="str">
        <f>'Resource Plan'!C17</f>
        <v>Role 13</v>
      </c>
      <c r="J54" s="918" t="str">
        <f ca="1">'Resource Plan'!H17</f>
        <v/>
      </c>
      <c r="K54" s="918" t="str">
        <f ca="1">'Resource Plan'!I17</f>
        <v/>
      </c>
      <c r="L54" s="918" t="str">
        <f ca="1">'Resource Plan'!J17</f>
        <v/>
      </c>
      <c r="M54" s="919">
        <f>'Resource Plan'!N17</f>
        <v>44495</v>
      </c>
      <c r="N54" s="920">
        <f ca="1">'Resource Plan'!O17</f>
        <v>0</v>
      </c>
      <c r="O54" s="919">
        <f ca="1">'Resource Plan'!P17</f>
        <v>44502</v>
      </c>
      <c r="P54" s="920">
        <f ca="1">'Resource Plan'!Q17</f>
        <v>0</v>
      </c>
      <c r="Q54" s="919">
        <f ca="1">'Resource Plan'!R17</f>
        <v>44509</v>
      </c>
      <c r="R54" s="920">
        <f ca="1">'Resource Plan'!S17</f>
        <v>0</v>
      </c>
      <c r="S54" s="919">
        <f ca="1">'Resource Plan'!T17</f>
        <v>44537</v>
      </c>
      <c r="T54" s="920">
        <f ca="1">'Resource Plan'!U17</f>
        <v>0</v>
      </c>
      <c r="U54" s="919">
        <f ca="1">'Resource Plan'!V17</f>
        <v>44544</v>
      </c>
      <c r="V54" s="920">
        <f ca="1">'Resource Plan'!W17</f>
        <v>0</v>
      </c>
    </row>
    <row r="55" spans="9:22">
      <c r="I55" s="918" t="str">
        <f>'Resource Plan'!C18</f>
        <v>Role 14</v>
      </c>
      <c r="J55" s="918" t="str">
        <f ca="1">'Resource Plan'!H18</f>
        <v/>
      </c>
      <c r="K55" s="918" t="str">
        <f ca="1">'Resource Plan'!I18</f>
        <v/>
      </c>
      <c r="L55" s="918" t="str">
        <f ca="1">'Resource Plan'!J18</f>
        <v/>
      </c>
      <c r="M55" s="919">
        <f>'Resource Plan'!N18</f>
        <v>44495</v>
      </c>
      <c r="N55" s="920">
        <f ca="1">'Resource Plan'!O18</f>
        <v>0</v>
      </c>
      <c r="O55" s="919">
        <f ca="1">'Resource Plan'!P18</f>
        <v>44502</v>
      </c>
      <c r="P55" s="920">
        <f ca="1">'Resource Plan'!Q18</f>
        <v>0</v>
      </c>
      <c r="Q55" s="919">
        <f ca="1">'Resource Plan'!R18</f>
        <v>44509</v>
      </c>
      <c r="R55" s="920">
        <f ca="1">'Resource Plan'!S18</f>
        <v>0</v>
      </c>
      <c r="S55" s="919">
        <f ca="1">'Resource Plan'!T18</f>
        <v>44537</v>
      </c>
      <c r="T55" s="920">
        <f ca="1">'Resource Plan'!U18</f>
        <v>0</v>
      </c>
      <c r="U55" s="919">
        <f ca="1">'Resource Plan'!V18</f>
        <v>44544</v>
      </c>
      <c r="V55" s="920">
        <f ca="1">'Resource Plan'!W18</f>
        <v>0</v>
      </c>
    </row>
    <row r="56" spans="9:22">
      <c r="I56" s="918" t="str">
        <f>'Resource Plan'!C19</f>
        <v>Role 15</v>
      </c>
      <c r="J56" s="918" t="str">
        <f ca="1">'Resource Plan'!H19</f>
        <v/>
      </c>
      <c r="K56" s="918" t="str">
        <f ca="1">'Resource Plan'!I19</f>
        <v/>
      </c>
      <c r="L56" s="918" t="str">
        <f ca="1">'Resource Plan'!J19</f>
        <v/>
      </c>
      <c r="M56" s="919">
        <f>'Resource Plan'!N19</f>
        <v>44495</v>
      </c>
      <c r="N56" s="920">
        <f ca="1">'Resource Plan'!O19</f>
        <v>0</v>
      </c>
      <c r="O56" s="919">
        <f ca="1">'Resource Plan'!P19</f>
        <v>44502</v>
      </c>
      <c r="P56" s="920">
        <f ca="1">'Resource Plan'!Q19</f>
        <v>0</v>
      </c>
      <c r="Q56" s="919">
        <f ca="1">'Resource Plan'!R19</f>
        <v>44509</v>
      </c>
      <c r="R56" s="920">
        <f ca="1">'Resource Plan'!S19</f>
        <v>0</v>
      </c>
      <c r="S56" s="919">
        <f ca="1">'Resource Plan'!T19</f>
        <v>44537</v>
      </c>
      <c r="T56" s="920">
        <f ca="1">'Resource Plan'!U19</f>
        <v>0</v>
      </c>
      <c r="U56" s="919">
        <f ca="1">'Resource Plan'!V19</f>
        <v>44544</v>
      </c>
      <c r="V56" s="920">
        <f ca="1">'Resource Plan'!W19</f>
        <v>0</v>
      </c>
    </row>
    <row r="57" spans="9:22">
      <c r="I57" s="918"/>
      <c r="J57" s="918"/>
      <c r="K57" s="918"/>
      <c r="L57" s="918"/>
      <c r="M57" s="918"/>
      <c r="N57" s="921">
        <f ca="1">SUM(N42:N56)</f>
        <v>16</v>
      </c>
      <c r="O57" s="918"/>
      <c r="P57" s="921">
        <f ca="1">SUM(P42:P56)</f>
        <v>119</v>
      </c>
      <c r="Q57" s="918"/>
      <c r="R57" s="921">
        <f ca="1">SUM(R42:R56)</f>
        <v>70</v>
      </c>
      <c r="S57" s="922"/>
      <c r="T57" s="921">
        <f ca="1">SUM(T42:T56)</f>
        <v>44</v>
      </c>
      <c r="U57" s="922"/>
      <c r="V57" s="921">
        <f ca="1">SUM(V42:V56)</f>
        <v>26</v>
      </c>
    </row>
  </sheetData>
  <mergeCells count="24">
    <mergeCell ref="B41:C41"/>
    <mergeCell ref="B25:E25"/>
    <mergeCell ref="B17:H17"/>
    <mergeCell ref="F20:H20"/>
    <mergeCell ref="B18:E18"/>
    <mergeCell ref="F18:H18"/>
    <mergeCell ref="E41:G41"/>
    <mergeCell ref="B21:E21"/>
    <mergeCell ref="F21:H21"/>
    <mergeCell ref="B22:E22"/>
    <mergeCell ref="F22:H22"/>
    <mergeCell ref="B19:E19"/>
    <mergeCell ref="B20:E20"/>
    <mergeCell ref="F19:H19"/>
    <mergeCell ref="B2:H2"/>
    <mergeCell ref="C4:D4"/>
    <mergeCell ref="C5:D5"/>
    <mergeCell ref="C6:D6"/>
    <mergeCell ref="C7:D7"/>
    <mergeCell ref="C8:D8"/>
    <mergeCell ref="C10:H10"/>
    <mergeCell ref="C11:H11"/>
    <mergeCell ref="C12:H12"/>
    <mergeCell ref="C13:H13"/>
  </mergeCells>
  <conditionalFormatting sqref="C30">
    <cfRule type="cellIs" dxfId="98" priority="6" operator="lessThan">
      <formula>$AK$18</formula>
    </cfRule>
  </conditionalFormatting>
  <conditionalFormatting sqref="C36">
    <cfRule type="cellIs" dxfId="97" priority="7" operator="lessThan">
      <formula>-0.1</formula>
    </cfRule>
  </conditionalFormatting>
  <conditionalFormatting sqref="C35:E35">
    <cfRule type="cellIs" dxfId="96" priority="5" operator="lessThan">
      <formula>0</formula>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cellIs" priority="3" operator="greaterThan" id="{2860CEF8-71D5-42AB-BDB6-1CC48F8DAEA5}">
            <xm:f>SUM(1-Pricing!$AJ$14)</xm:f>
            <x14:dxf>
              <font>
                <b/>
                <i val="0"/>
                <color rgb="FFC00000"/>
              </font>
              <fill>
                <patternFill>
                  <bgColor rgb="FFFFC7CE"/>
                </patternFill>
              </fill>
            </x14:dxf>
          </x14:cfRule>
          <xm:sqref>D32</xm:sqref>
        </x14:conditionalFormatting>
        <x14:conditionalFormatting xmlns:xm="http://schemas.microsoft.com/office/excel/2006/main">
          <x14:cfRule type="cellIs" priority="1" operator="lessThan" id="{F8A27850-A6A1-45F6-B501-593E4AE2337F}">
            <xm:f>Pricing!$AJ$14</xm:f>
            <x14:dxf>
              <font>
                <b/>
                <i val="0"/>
                <color rgb="FF9C0006"/>
              </font>
              <fill>
                <patternFill>
                  <bgColor rgb="FFFFC7CE"/>
                </patternFill>
              </fill>
            </x14:dxf>
          </x14:cfRule>
          <xm:sqref>E32</xm:sqref>
        </x14:conditionalFormatting>
        <x14:conditionalFormatting xmlns:xm="http://schemas.microsoft.com/office/excel/2006/main">
          <x14:cfRule type="expression" priority="8" id="{C05D08D1-4210-4C1E-99B2-A10D41B48460}">
            <xm:f>Pricing!$E$17="EUR"</xm:f>
            <x14:dxf>
              <numFmt numFmtId="187" formatCode="[$€-2]\ #,##0.00"/>
            </x14:dxf>
          </x14:cfRule>
          <x14:cfRule type="expression" priority="9" id="{120E4399-36EB-45B3-B450-35894B7EC390}">
            <xm:f>Pricing!$E$17="USD"</xm:f>
            <x14:dxf>
              <numFmt numFmtId="171" formatCode="&quot;$&quot;#,##0.00"/>
            </x14:dxf>
          </x14:cfRule>
          <x14:cfRule type="expression" priority="10" id="{35A0355F-2D62-44B2-A09C-17FB5EB2D17B}">
            <xm:f>Pricing!$E$17="CAD"</xm:f>
            <x14:dxf>
              <numFmt numFmtId="171" formatCode="&quot;$&quot;#,##0.00"/>
            </x14:dxf>
          </x14:cfRule>
          <x14:cfRule type="expression" priority="11" id="{4FA39F1F-A477-40EB-B439-6AE466EC1E02}">
            <xm:f>Pricing!$E$17="INR"</xm:f>
            <x14:dxf>
              <numFmt numFmtId="186" formatCode="[$₹-4009]\ #,##0.00"/>
            </x14:dxf>
          </x14:cfRule>
          <x14:cfRule type="expression" priority="12" id="{98C6DC3D-05D6-40A0-BCF8-D5DF9C391EF1}">
            <xm:f>Pricing!$E$17="GBP"</xm:f>
            <x14:dxf>
              <numFmt numFmtId="185" formatCode="[$£-809]#,##0.00"/>
            </x14:dxf>
          </x14:cfRule>
          <xm:sqref>G4:H7 C27:E29 C33:E35</xm:sqref>
        </x14:conditionalFormatting>
      </x14:conditionalFormattings>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6AD32-7F52-4749-8BDB-1C6E3D7AC461}">
  <sheetPr>
    <tabColor rgb="FFFFFF00"/>
  </sheetPr>
  <dimension ref="A1:I66"/>
  <sheetViews>
    <sheetView workbookViewId="0">
      <selection activeCell="B4" sqref="B4"/>
    </sheetView>
  </sheetViews>
  <sheetFormatPr defaultRowHeight="12.75"/>
  <cols>
    <col min="1" max="1" width="31.140625" bestFit="1" customWidth="1"/>
    <col min="2" max="2" width="27.5703125" bestFit="1" customWidth="1"/>
    <col min="3" max="3" width="24" bestFit="1" customWidth="1"/>
    <col min="9" max="9" width="5" bestFit="1" customWidth="1"/>
  </cols>
  <sheetData>
    <row r="1" spans="1:9" ht="15">
      <c r="A1" s="942" t="s">
        <v>1582</v>
      </c>
      <c r="B1" s="943" t="s">
        <v>1583</v>
      </c>
      <c r="C1" s="944" t="s">
        <v>1584</v>
      </c>
    </row>
    <row r="2" spans="1:9" ht="15">
      <c r="A2" s="942" t="s">
        <v>1585</v>
      </c>
      <c r="B2" s="943" t="s">
        <v>426</v>
      </c>
      <c r="C2" s="944" t="s">
        <v>1586</v>
      </c>
    </row>
    <row r="3" spans="1:9" ht="15">
      <c r="A3" s="942" t="s">
        <v>1587</v>
      </c>
      <c r="B3" s="943" t="s">
        <v>421</v>
      </c>
      <c r="C3" s="944" t="s">
        <v>404</v>
      </c>
      <c r="I3" t="s">
        <v>1588</v>
      </c>
    </row>
    <row r="4" spans="1:9" ht="15">
      <c r="A4" s="942" t="s">
        <v>1589</v>
      </c>
      <c r="B4" s="943" t="s">
        <v>421</v>
      </c>
      <c r="C4" s="944" t="s">
        <v>404</v>
      </c>
    </row>
    <row r="5" spans="1:9" ht="15">
      <c r="A5" s="943" t="s">
        <v>1590</v>
      </c>
      <c r="B5" s="943" t="s">
        <v>421</v>
      </c>
      <c r="C5" s="944" t="s">
        <v>404</v>
      </c>
    </row>
    <row r="6" spans="1:9" ht="15">
      <c r="A6" s="943" t="s">
        <v>1583</v>
      </c>
      <c r="B6" s="943" t="s">
        <v>1583</v>
      </c>
      <c r="C6" s="944" t="s">
        <v>1584</v>
      </c>
    </row>
    <row r="7" spans="1:9" ht="15">
      <c r="A7" s="943" t="s">
        <v>1591</v>
      </c>
      <c r="B7" s="943" t="s">
        <v>1583</v>
      </c>
      <c r="C7" s="944" t="s">
        <v>1584</v>
      </c>
    </row>
    <row r="8" spans="1:9" ht="15">
      <c r="A8" s="943" t="s">
        <v>1592</v>
      </c>
      <c r="B8" s="943" t="s">
        <v>422</v>
      </c>
      <c r="C8" s="944" t="s">
        <v>404</v>
      </c>
    </row>
    <row r="9" spans="1:9" ht="15">
      <c r="A9" s="943" t="s">
        <v>1593</v>
      </c>
      <c r="B9" s="943" t="s">
        <v>422</v>
      </c>
      <c r="C9" s="944" t="s">
        <v>404</v>
      </c>
    </row>
    <row r="10" spans="1:9" ht="15">
      <c r="A10" s="943" t="s">
        <v>1594</v>
      </c>
      <c r="B10" s="943" t="s">
        <v>1595</v>
      </c>
      <c r="C10" s="944" t="s">
        <v>404</v>
      </c>
    </row>
    <row r="11" spans="1:9" ht="15">
      <c r="A11" s="943" t="s">
        <v>1596</v>
      </c>
      <c r="B11" s="943" t="s">
        <v>1597</v>
      </c>
      <c r="C11" s="944" t="s">
        <v>761</v>
      </c>
    </row>
    <row r="12" spans="1:9" ht="15">
      <c r="A12" s="943" t="s">
        <v>1598</v>
      </c>
      <c r="B12" s="943" t="s">
        <v>1597</v>
      </c>
      <c r="C12" s="944" t="s">
        <v>761</v>
      </c>
    </row>
    <row r="13" spans="1:9" ht="15">
      <c r="A13" s="943" t="s">
        <v>1599</v>
      </c>
      <c r="B13" s="943" t="s">
        <v>1600</v>
      </c>
      <c r="C13" s="944" t="s">
        <v>1601</v>
      </c>
    </row>
    <row r="14" spans="1:9" ht="15">
      <c r="A14" s="943" t="s">
        <v>1602</v>
      </c>
      <c r="B14" s="943" t="s">
        <v>1600</v>
      </c>
      <c r="C14" s="944" t="s">
        <v>1601</v>
      </c>
    </row>
    <row r="15" spans="1:9" ht="15">
      <c r="A15" s="943" t="s">
        <v>1603</v>
      </c>
      <c r="B15" s="943" t="s">
        <v>1604</v>
      </c>
      <c r="C15" s="944" t="s">
        <v>399</v>
      </c>
    </row>
    <row r="16" spans="1:9" ht="15">
      <c r="A16" s="943" t="s">
        <v>1605</v>
      </c>
      <c r="B16" s="943" t="s">
        <v>1606</v>
      </c>
      <c r="C16" s="944" t="s">
        <v>399</v>
      </c>
    </row>
    <row r="17" spans="1:3" ht="15">
      <c r="A17" s="943" t="s">
        <v>1607</v>
      </c>
      <c r="B17" s="943" t="s">
        <v>1604</v>
      </c>
      <c r="C17" s="944" t="s">
        <v>399</v>
      </c>
    </row>
    <row r="18" spans="1:3" ht="15">
      <c r="A18" s="943" t="s">
        <v>1608</v>
      </c>
      <c r="B18" s="943" t="s">
        <v>1604</v>
      </c>
      <c r="C18" s="944" t="s">
        <v>399</v>
      </c>
    </row>
    <row r="19" spans="1:3" ht="15">
      <c r="A19" s="943" t="s">
        <v>1609</v>
      </c>
      <c r="B19" s="943" t="s">
        <v>1606</v>
      </c>
      <c r="C19" s="944" t="s">
        <v>399</v>
      </c>
    </row>
    <row r="20" spans="1:3" ht="15">
      <c r="A20" s="943" t="s">
        <v>1610</v>
      </c>
      <c r="B20" s="943" t="s">
        <v>1604</v>
      </c>
      <c r="C20" s="944" t="s">
        <v>399</v>
      </c>
    </row>
    <row r="21" spans="1:3" ht="15">
      <c r="A21" s="943" t="s">
        <v>1611</v>
      </c>
      <c r="B21" s="943" t="s">
        <v>1606</v>
      </c>
      <c r="C21" s="944" t="s">
        <v>399</v>
      </c>
    </row>
    <row r="22" spans="1:3" ht="15">
      <c r="A22" s="943" t="s">
        <v>1612</v>
      </c>
      <c r="B22" s="943" t="s">
        <v>1604</v>
      </c>
      <c r="C22" s="944" t="s">
        <v>399</v>
      </c>
    </row>
    <row r="23" spans="1:3" ht="15">
      <c r="A23" s="943" t="s">
        <v>1613</v>
      </c>
      <c r="B23" s="943" t="s">
        <v>1606</v>
      </c>
      <c r="C23" s="944" t="s">
        <v>399</v>
      </c>
    </row>
    <row r="24" spans="1:3" ht="15">
      <c r="A24" s="943" t="s">
        <v>1614</v>
      </c>
      <c r="B24" s="943" t="s">
        <v>1606</v>
      </c>
      <c r="C24" s="944" t="s">
        <v>399</v>
      </c>
    </row>
    <row r="25" spans="1:3" ht="15">
      <c r="A25" s="943" t="s">
        <v>1615</v>
      </c>
      <c r="B25" s="943" t="s">
        <v>1616</v>
      </c>
      <c r="C25" s="944" t="s">
        <v>399</v>
      </c>
    </row>
    <row r="26" spans="1:3" ht="15">
      <c r="A26" s="943" t="s">
        <v>1617</v>
      </c>
      <c r="B26" s="943" t="s">
        <v>1616</v>
      </c>
      <c r="C26" s="944" t="s">
        <v>399</v>
      </c>
    </row>
    <row r="27" spans="1:3" ht="15">
      <c r="A27" s="943" t="s">
        <v>1618</v>
      </c>
      <c r="B27" s="943" t="s">
        <v>1616</v>
      </c>
      <c r="C27" s="944" t="s">
        <v>399</v>
      </c>
    </row>
    <row r="28" spans="1:3" ht="15">
      <c r="A28" s="943" t="s">
        <v>1619</v>
      </c>
      <c r="B28" s="943" t="s">
        <v>1616</v>
      </c>
      <c r="C28" s="944" t="s">
        <v>399</v>
      </c>
    </row>
    <row r="29" spans="1:3" ht="15">
      <c r="A29" s="943" t="s">
        <v>1620</v>
      </c>
      <c r="B29" s="943" t="s">
        <v>1621</v>
      </c>
      <c r="C29" s="944" t="s">
        <v>399</v>
      </c>
    </row>
    <row r="30" spans="1:3" ht="15">
      <c r="A30" s="943" t="s">
        <v>1622</v>
      </c>
      <c r="B30" s="943" t="s">
        <v>1621</v>
      </c>
      <c r="C30" s="944" t="s">
        <v>399</v>
      </c>
    </row>
    <row r="31" spans="1:3" ht="15">
      <c r="A31" s="943" t="s">
        <v>1623</v>
      </c>
      <c r="B31" s="943" t="s">
        <v>1624</v>
      </c>
      <c r="C31" s="944" t="s">
        <v>399</v>
      </c>
    </row>
    <row r="32" spans="1:3" ht="15">
      <c r="A32" s="943" t="s">
        <v>1625</v>
      </c>
      <c r="B32" s="943" t="s">
        <v>1624</v>
      </c>
      <c r="C32" s="944" t="s">
        <v>399</v>
      </c>
    </row>
    <row r="33" spans="1:3" ht="15">
      <c r="A33" s="943" t="s">
        <v>1626</v>
      </c>
      <c r="B33" s="943" t="s">
        <v>1621</v>
      </c>
      <c r="C33" s="944" t="s">
        <v>399</v>
      </c>
    </row>
    <row r="34" spans="1:3" ht="15">
      <c r="A34" s="943" t="s">
        <v>1627</v>
      </c>
      <c r="B34" s="943" t="s">
        <v>1628</v>
      </c>
      <c r="C34" s="944" t="s">
        <v>399</v>
      </c>
    </row>
    <row r="35" spans="1:3" ht="15">
      <c r="A35" s="943" t="s">
        <v>1629</v>
      </c>
      <c r="B35" s="943" t="s">
        <v>1630</v>
      </c>
      <c r="C35" s="944" t="s">
        <v>399</v>
      </c>
    </row>
    <row r="36" spans="1:3" ht="15">
      <c r="A36" s="943" t="s">
        <v>1631</v>
      </c>
      <c r="B36" s="943" t="s">
        <v>1628</v>
      </c>
      <c r="C36" s="944" t="s">
        <v>399</v>
      </c>
    </row>
    <row r="37" spans="1:3" ht="15">
      <c r="A37" s="943" t="s">
        <v>1632</v>
      </c>
      <c r="B37" s="943" t="s">
        <v>1630</v>
      </c>
      <c r="C37" s="944" t="s">
        <v>399</v>
      </c>
    </row>
    <row r="38" spans="1:3" ht="15">
      <c r="A38" s="943" t="s">
        <v>1633</v>
      </c>
      <c r="B38" s="943" t="s">
        <v>1630</v>
      </c>
      <c r="C38" s="944" t="s">
        <v>399</v>
      </c>
    </row>
    <row r="39" spans="1:3" ht="15">
      <c r="A39" s="943" t="s">
        <v>1634</v>
      </c>
      <c r="B39" s="943" t="s">
        <v>1628</v>
      </c>
      <c r="C39" s="944" t="s">
        <v>399</v>
      </c>
    </row>
    <row r="40" spans="1:3" ht="15">
      <c r="A40" s="943" t="s">
        <v>1635</v>
      </c>
      <c r="B40" s="943" t="s">
        <v>1628</v>
      </c>
      <c r="C40" s="944" t="s">
        <v>399</v>
      </c>
    </row>
    <row r="41" spans="1:3" ht="15">
      <c r="A41" s="943" t="s">
        <v>1636</v>
      </c>
      <c r="B41" s="943" t="s">
        <v>1637</v>
      </c>
      <c r="C41" s="944" t="s">
        <v>1601</v>
      </c>
    </row>
    <row r="42" spans="1:3" ht="15">
      <c r="A42" s="943" t="s">
        <v>1638</v>
      </c>
      <c r="B42" s="943" t="s">
        <v>1639</v>
      </c>
      <c r="C42" s="944" t="s">
        <v>1601</v>
      </c>
    </row>
    <row r="43" spans="1:3" ht="15">
      <c r="A43" s="943" t="s">
        <v>1640</v>
      </c>
      <c r="B43" s="943" t="s">
        <v>1641</v>
      </c>
      <c r="C43" s="944" t="s">
        <v>399</v>
      </c>
    </row>
    <row r="44" spans="1:3" ht="15">
      <c r="A44" s="943" t="s">
        <v>1642</v>
      </c>
      <c r="B44" s="943" t="s">
        <v>1641</v>
      </c>
      <c r="C44" s="944" t="s">
        <v>399</v>
      </c>
    </row>
    <row r="45" spans="1:3" ht="15">
      <c r="A45" s="943" t="s">
        <v>1643</v>
      </c>
      <c r="B45" s="943" t="s">
        <v>1644</v>
      </c>
      <c r="C45" s="944" t="s">
        <v>399</v>
      </c>
    </row>
    <row r="46" spans="1:3" ht="15">
      <c r="A46" s="943" t="s">
        <v>1645</v>
      </c>
      <c r="B46" s="943" t="s">
        <v>1644</v>
      </c>
      <c r="C46" s="944" t="s">
        <v>399</v>
      </c>
    </row>
    <row r="47" spans="1:3" ht="15">
      <c r="A47" s="943" t="s">
        <v>1646</v>
      </c>
      <c r="B47" s="943" t="s">
        <v>1644</v>
      </c>
      <c r="C47" s="944" t="s">
        <v>399</v>
      </c>
    </row>
    <row r="48" spans="1:3" ht="15">
      <c r="A48" s="943" t="s">
        <v>1647</v>
      </c>
      <c r="B48" s="943" t="s">
        <v>1644</v>
      </c>
      <c r="C48" s="944" t="s">
        <v>399</v>
      </c>
    </row>
    <row r="49" spans="1:3" ht="15">
      <c r="A49" s="943" t="s">
        <v>464</v>
      </c>
      <c r="B49" s="943" t="s">
        <v>464</v>
      </c>
      <c r="C49" s="943" t="s">
        <v>399</v>
      </c>
    </row>
    <row r="50" spans="1:3" ht="15">
      <c r="A50" s="943" t="s">
        <v>1648</v>
      </c>
      <c r="B50" s="943" t="s">
        <v>1648</v>
      </c>
      <c r="C50" s="943" t="s">
        <v>404</v>
      </c>
    </row>
    <row r="51" spans="1:3" ht="15">
      <c r="A51" s="943" t="s">
        <v>1649</v>
      </c>
      <c r="B51" s="943" t="s">
        <v>1649</v>
      </c>
      <c r="C51" s="943" t="s">
        <v>761</v>
      </c>
    </row>
    <row r="52" spans="1:3" ht="15">
      <c r="A52" s="943" t="s">
        <v>1650</v>
      </c>
      <c r="B52" s="943" t="s">
        <v>1650</v>
      </c>
      <c r="C52" s="943" t="s">
        <v>1584</v>
      </c>
    </row>
    <row r="53" spans="1:3" ht="15">
      <c r="A53" s="943" t="s">
        <v>1651</v>
      </c>
      <c r="B53" s="943" t="s">
        <v>1651</v>
      </c>
      <c r="C53" s="943" t="s">
        <v>399</v>
      </c>
    </row>
    <row r="54" spans="1:3" ht="15">
      <c r="A54" s="943" t="s">
        <v>1652</v>
      </c>
      <c r="B54" s="943" t="s">
        <v>1652</v>
      </c>
      <c r="C54" s="943" t="s">
        <v>399</v>
      </c>
    </row>
    <row r="55" spans="1:3" ht="15">
      <c r="A55" s="943" t="s">
        <v>1653</v>
      </c>
      <c r="B55" s="943" t="s">
        <v>1653</v>
      </c>
      <c r="C55" s="943" t="s">
        <v>404</v>
      </c>
    </row>
    <row r="56" spans="1:3" ht="15">
      <c r="A56" s="943" t="s">
        <v>1654</v>
      </c>
      <c r="B56" s="943" t="s">
        <v>1654</v>
      </c>
      <c r="C56" s="943" t="s">
        <v>1586</v>
      </c>
    </row>
    <row r="57" spans="1:3" ht="15">
      <c r="A57" s="943" t="s">
        <v>1655</v>
      </c>
      <c r="B57" s="943" t="s">
        <v>1655</v>
      </c>
      <c r="C57" s="943" t="s">
        <v>399</v>
      </c>
    </row>
    <row r="58" spans="1:3" ht="15">
      <c r="A58" s="943" t="s">
        <v>1656</v>
      </c>
      <c r="B58" s="943" t="s">
        <v>1656</v>
      </c>
      <c r="C58" s="943" t="s">
        <v>404</v>
      </c>
    </row>
    <row r="59" spans="1:3" ht="15">
      <c r="A59" s="943" t="s">
        <v>1651</v>
      </c>
      <c r="B59" s="943" t="s">
        <v>1651</v>
      </c>
      <c r="C59" s="943" t="s">
        <v>399</v>
      </c>
    </row>
    <row r="60" spans="1:3" ht="15">
      <c r="A60" s="943" t="s">
        <v>1657</v>
      </c>
      <c r="B60" s="943" t="s">
        <v>1657</v>
      </c>
      <c r="C60" s="943" t="s">
        <v>1601</v>
      </c>
    </row>
    <row r="61" spans="1:3" ht="15">
      <c r="A61" s="943" t="s">
        <v>1658</v>
      </c>
      <c r="B61" s="943" t="s">
        <v>1658</v>
      </c>
      <c r="C61" s="943" t="s">
        <v>399</v>
      </c>
    </row>
    <row r="62" spans="1:3" ht="15">
      <c r="A62" s="943" t="s">
        <v>1659</v>
      </c>
      <c r="B62" s="943" t="s">
        <v>1659</v>
      </c>
      <c r="C62" s="943" t="s">
        <v>399</v>
      </c>
    </row>
    <row r="63" spans="1:3" ht="15">
      <c r="A63" s="943" t="s">
        <v>1660</v>
      </c>
      <c r="B63" s="943" t="s">
        <v>1660</v>
      </c>
      <c r="C63" s="943" t="s">
        <v>1601</v>
      </c>
    </row>
    <row r="64" spans="1:3" ht="15">
      <c r="A64" s="943" t="s">
        <v>1661</v>
      </c>
      <c r="B64" s="943" t="s">
        <v>1661</v>
      </c>
      <c r="C64" s="943" t="s">
        <v>399</v>
      </c>
    </row>
    <row r="65" spans="1:3" ht="15">
      <c r="A65" s="943" t="s">
        <v>1662</v>
      </c>
      <c r="B65" s="943" t="s">
        <v>1662</v>
      </c>
      <c r="C65" s="943" t="s">
        <v>1601</v>
      </c>
    </row>
    <row r="66" spans="1:3" ht="15">
      <c r="A66" s="943" t="s">
        <v>1663</v>
      </c>
      <c r="B66" s="943" t="s">
        <v>1663</v>
      </c>
      <c r="C66" s="943" t="s">
        <v>1584</v>
      </c>
    </row>
  </sheetData>
  <phoneticPr fontId="18" type="noConversion"/>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E8364-F2D2-47BB-BBCE-928EAB275FE9}">
  <dimension ref="A1:R86"/>
  <sheetViews>
    <sheetView topLeftCell="A5" zoomScaleNormal="100" workbookViewId="0">
      <selection activeCell="I41" sqref="I41"/>
    </sheetView>
  </sheetViews>
  <sheetFormatPr defaultColWidth="8.85546875" defaultRowHeight="15"/>
  <cols>
    <col min="1" max="1" width="41.140625" style="489" bestFit="1" customWidth="1"/>
    <col min="2" max="2" width="9.140625" style="489" bestFit="1" customWidth="1"/>
    <col min="3" max="3" width="40.85546875" style="489" bestFit="1" customWidth="1"/>
    <col min="4" max="5" width="9.140625" style="489" customWidth="1"/>
    <col min="6" max="6" width="8.85546875" style="489" customWidth="1"/>
    <col min="7" max="13" width="8.85546875" style="489"/>
    <col min="14" max="14" width="25.85546875" style="489" bestFit="1" customWidth="1"/>
    <col min="15" max="16384" width="8.85546875" style="489"/>
  </cols>
  <sheetData>
    <row r="1" spans="1:18" ht="45" customHeight="1">
      <c r="A1" s="493" t="s">
        <v>349</v>
      </c>
      <c r="B1" s="493" t="s">
        <v>1664</v>
      </c>
      <c r="C1" s="493" t="s">
        <v>1665</v>
      </c>
      <c r="D1" s="493" t="s">
        <v>1666</v>
      </c>
      <c r="E1" s="493" t="s">
        <v>1667</v>
      </c>
    </row>
    <row r="2" spans="1:18">
      <c r="A2" s="492" t="s">
        <v>753</v>
      </c>
      <c r="B2" s="707">
        <v>55</v>
      </c>
      <c r="C2" s="707">
        <v>480</v>
      </c>
      <c r="D2" s="707">
        <v>25</v>
      </c>
      <c r="E2" s="707">
        <v>65</v>
      </c>
    </row>
    <row r="3" spans="1:18">
      <c r="A3" s="492" t="s">
        <v>352</v>
      </c>
      <c r="B3" s="707">
        <v>75</v>
      </c>
      <c r="C3" s="707">
        <v>1035</v>
      </c>
      <c r="D3" s="707">
        <v>45</v>
      </c>
      <c r="E3" s="707">
        <v>80</v>
      </c>
    </row>
    <row r="4" spans="1:18">
      <c r="A4" s="492" t="s">
        <v>355</v>
      </c>
      <c r="B4" s="707">
        <v>95</v>
      </c>
      <c r="C4" s="707">
        <v>1510</v>
      </c>
      <c r="D4" s="707">
        <v>60</v>
      </c>
      <c r="E4" s="707">
        <v>100</v>
      </c>
    </row>
    <row r="5" spans="1:18">
      <c r="A5" s="492" t="s">
        <v>358</v>
      </c>
      <c r="B5" s="707">
        <v>115</v>
      </c>
      <c r="C5" s="707">
        <v>2715</v>
      </c>
      <c r="D5" s="707">
        <v>75</v>
      </c>
      <c r="E5" s="707">
        <v>115</v>
      </c>
    </row>
    <row r="6" spans="1:18">
      <c r="A6" s="492" t="s">
        <v>772</v>
      </c>
      <c r="B6" s="707">
        <v>165</v>
      </c>
      <c r="C6" s="707">
        <v>4695</v>
      </c>
      <c r="D6" s="707">
        <v>104</v>
      </c>
      <c r="E6" s="707">
        <v>170</v>
      </c>
    </row>
    <row r="7" spans="1:18">
      <c r="A7" s="492" t="s">
        <v>775</v>
      </c>
      <c r="B7" s="707">
        <v>245</v>
      </c>
      <c r="C7" s="707">
        <v>5750</v>
      </c>
      <c r="D7" s="707">
        <v>145</v>
      </c>
      <c r="E7" s="707">
        <v>215</v>
      </c>
    </row>
    <row r="9" spans="1:18">
      <c r="A9" t="s">
        <v>1668</v>
      </c>
    </row>
    <row r="10" spans="1:18">
      <c r="A10" t="s">
        <v>1669</v>
      </c>
    </row>
    <row r="11" spans="1:18">
      <c r="A11" t="s">
        <v>1670</v>
      </c>
    </row>
    <row r="12" spans="1:18">
      <c r="A12"/>
    </row>
    <row r="13" spans="1:18">
      <c r="A13"/>
    </row>
    <row r="14" spans="1:18">
      <c r="A14" s="551" t="s">
        <v>1671</v>
      </c>
    </row>
    <row r="15" spans="1:18">
      <c r="A15" s="1292" t="s">
        <v>1672</v>
      </c>
      <c r="B15" s="1292"/>
      <c r="C15" s="1292"/>
      <c r="D15" s="1292"/>
      <c r="E15" s="1292"/>
    </row>
    <row r="16" spans="1:18" ht="30">
      <c r="A16" s="493" t="s">
        <v>288</v>
      </c>
      <c r="B16" s="493" t="s">
        <v>1664</v>
      </c>
      <c r="C16" s="493" t="s">
        <v>1665</v>
      </c>
      <c r="D16" s="493" t="s">
        <v>1666</v>
      </c>
      <c r="E16" s="493" t="s">
        <v>1667</v>
      </c>
      <c r="H16" s="829"/>
      <c r="N16" s="967"/>
      <c r="O16" s="967"/>
      <c r="P16" s="967"/>
      <c r="Q16" s="967"/>
      <c r="R16" s="967"/>
    </row>
    <row r="17" spans="1:16">
      <c r="A17" s="996" t="s">
        <v>374</v>
      </c>
      <c r="B17" s="935">
        <v>217</v>
      </c>
      <c r="C17" s="936">
        <v>5742</v>
      </c>
      <c r="D17" s="935">
        <v>149</v>
      </c>
      <c r="E17" s="935">
        <v>200</v>
      </c>
      <c r="H17" s="967"/>
      <c r="N17" s="967"/>
      <c r="P17" s="967"/>
    </row>
    <row r="18" spans="1:16">
      <c r="A18" s="996" t="s">
        <v>372</v>
      </c>
      <c r="B18" s="935">
        <v>203</v>
      </c>
      <c r="C18" s="936">
        <v>5124</v>
      </c>
      <c r="D18" s="935">
        <v>148</v>
      </c>
      <c r="E18" s="935">
        <v>211</v>
      </c>
      <c r="H18" s="967"/>
      <c r="N18" s="967"/>
    </row>
    <row r="19" spans="1:16">
      <c r="A19" s="996" t="s">
        <v>167</v>
      </c>
      <c r="B19" s="935">
        <v>171</v>
      </c>
      <c r="C19" s="936">
        <v>3418</v>
      </c>
      <c r="D19" s="935">
        <v>111</v>
      </c>
      <c r="E19" s="935">
        <v>178</v>
      </c>
      <c r="H19" s="967"/>
      <c r="N19" s="967"/>
    </row>
    <row r="20" spans="1:16">
      <c r="A20" s="996" t="s">
        <v>370</v>
      </c>
      <c r="B20" s="935">
        <v>130</v>
      </c>
      <c r="C20" s="936">
        <v>2443</v>
      </c>
      <c r="D20" s="935">
        <v>101</v>
      </c>
      <c r="E20" s="935">
        <v>137</v>
      </c>
    </row>
    <row r="21" spans="1:16">
      <c r="A21" s="996" t="s">
        <v>382</v>
      </c>
      <c r="B21" s="935">
        <v>124</v>
      </c>
      <c r="C21" s="936">
        <v>1952</v>
      </c>
      <c r="D21" s="935">
        <v>81</v>
      </c>
      <c r="E21" s="935">
        <v>141</v>
      </c>
    </row>
    <row r="22" spans="1:16">
      <c r="A22" s="996" t="s">
        <v>389</v>
      </c>
      <c r="B22" s="935">
        <v>180</v>
      </c>
      <c r="C22" s="936">
        <v>2306</v>
      </c>
      <c r="D22" s="935">
        <v>91</v>
      </c>
      <c r="E22" s="935">
        <v>155</v>
      </c>
      <c r="F22" s="967" t="s">
        <v>1673</v>
      </c>
    </row>
    <row r="23" spans="1:16">
      <c r="A23" s="996" t="s">
        <v>385</v>
      </c>
      <c r="B23" s="935">
        <v>129</v>
      </c>
      <c r="C23" s="936">
        <v>1952</v>
      </c>
      <c r="D23" s="935">
        <v>81</v>
      </c>
      <c r="E23" s="935">
        <v>152</v>
      </c>
    </row>
    <row r="24" spans="1:16">
      <c r="A24" s="996" t="s">
        <v>737</v>
      </c>
      <c r="B24" s="935">
        <v>151</v>
      </c>
      <c r="C24" s="936">
        <v>1891</v>
      </c>
      <c r="D24" s="935">
        <v>81</v>
      </c>
      <c r="E24" s="935">
        <v>102</v>
      </c>
    </row>
    <row r="25" spans="1:16">
      <c r="A25" s="996" t="s">
        <v>377</v>
      </c>
      <c r="B25" s="935">
        <v>88</v>
      </c>
      <c r="C25" s="936">
        <v>1296</v>
      </c>
      <c r="D25" s="935">
        <v>42</v>
      </c>
      <c r="E25" s="935">
        <v>109</v>
      </c>
    </row>
    <row r="26" spans="1:16">
      <c r="A26" s="996" t="s">
        <v>379</v>
      </c>
      <c r="B26" s="935">
        <v>114</v>
      </c>
      <c r="C26" s="936">
        <v>2111</v>
      </c>
      <c r="D26" s="935">
        <v>81</v>
      </c>
      <c r="E26" s="935">
        <v>130</v>
      </c>
    </row>
    <row r="27" spans="1:16">
      <c r="A27" s="996" t="s">
        <v>375</v>
      </c>
      <c r="B27" s="935">
        <v>82</v>
      </c>
      <c r="C27" s="936">
        <v>1170</v>
      </c>
      <c r="D27" s="935">
        <v>83</v>
      </c>
      <c r="E27" s="935">
        <v>92</v>
      </c>
    </row>
    <row r="28" spans="1:16">
      <c r="A28" s="996" t="s">
        <v>158</v>
      </c>
      <c r="B28" s="935">
        <v>105</v>
      </c>
      <c r="C28" s="936">
        <v>1952</v>
      </c>
      <c r="D28" s="935">
        <v>78</v>
      </c>
      <c r="E28" s="935">
        <v>123</v>
      </c>
    </row>
    <row r="29" spans="1:16">
      <c r="A29" s="996" t="s">
        <v>311</v>
      </c>
      <c r="B29" s="935">
        <v>128</v>
      </c>
      <c r="C29" s="936">
        <v>3225</v>
      </c>
      <c r="D29" s="935">
        <v>98</v>
      </c>
      <c r="E29" s="935">
        <v>153</v>
      </c>
    </row>
    <row r="30" spans="1:16">
      <c r="A30" s="996" t="s">
        <v>381</v>
      </c>
      <c r="B30" s="935">
        <v>91</v>
      </c>
      <c r="C30" s="936">
        <v>1418</v>
      </c>
      <c r="D30" s="935">
        <v>30</v>
      </c>
      <c r="E30" s="935">
        <v>92</v>
      </c>
    </row>
    <row r="31" spans="1:16">
      <c r="A31" s="996" t="s">
        <v>383</v>
      </c>
      <c r="B31" s="935">
        <v>111</v>
      </c>
      <c r="C31" s="936">
        <v>1952</v>
      </c>
      <c r="D31" s="935">
        <v>81</v>
      </c>
      <c r="E31" s="935">
        <v>104</v>
      </c>
    </row>
    <row r="32" spans="1:16">
      <c r="A32" s="996" t="s">
        <v>312</v>
      </c>
      <c r="B32" s="935">
        <v>98</v>
      </c>
      <c r="C32" s="936">
        <v>1186</v>
      </c>
      <c r="D32" s="935">
        <v>105</v>
      </c>
      <c r="E32" s="935">
        <v>123</v>
      </c>
      <c r="F32" s="967" t="s">
        <v>1674</v>
      </c>
    </row>
    <row r="33" spans="1:8">
      <c r="A33" s="996" t="s">
        <v>307</v>
      </c>
      <c r="B33" s="935">
        <v>164</v>
      </c>
      <c r="C33" s="936">
        <v>3144</v>
      </c>
      <c r="D33" s="935">
        <v>106</v>
      </c>
      <c r="E33" s="935">
        <v>178</v>
      </c>
      <c r="F33" s="967" t="s">
        <v>1675</v>
      </c>
    </row>
    <row r="34" spans="1:8">
      <c r="A34" s="996" t="s">
        <v>309</v>
      </c>
      <c r="B34" s="935">
        <v>93</v>
      </c>
      <c r="C34" s="936">
        <v>2119</v>
      </c>
      <c r="D34" s="935">
        <v>71</v>
      </c>
      <c r="E34" s="935">
        <v>137</v>
      </c>
      <c r="F34" s="967" t="s">
        <v>1676</v>
      </c>
    </row>
    <row r="35" spans="1:8">
      <c r="A35" s="996" t="s">
        <v>738</v>
      </c>
      <c r="B35" s="492">
        <v>206</v>
      </c>
      <c r="C35" s="492">
        <v>0</v>
      </c>
      <c r="D35" s="492">
        <v>147</v>
      </c>
      <c r="E35" s="492">
        <v>199</v>
      </c>
    </row>
    <row r="36" spans="1:8">
      <c r="A36" s="996" t="s">
        <v>739</v>
      </c>
      <c r="B36" s="492">
        <v>249</v>
      </c>
      <c r="C36" s="937">
        <v>4700</v>
      </c>
      <c r="D36" s="492">
        <v>129</v>
      </c>
      <c r="E36" s="492">
        <v>244</v>
      </c>
    </row>
    <row r="37" spans="1:8">
      <c r="A37" s="551" t="s">
        <v>1677</v>
      </c>
    </row>
    <row r="38" spans="1:8">
      <c r="A38" s="551" t="s">
        <v>1678</v>
      </c>
    </row>
    <row r="39" spans="1:8">
      <c r="A39" s="1292" t="s">
        <v>1679</v>
      </c>
      <c r="B39" s="1292"/>
      <c r="C39" s="1292"/>
      <c r="D39" s="1292"/>
      <c r="E39" s="1292"/>
      <c r="F39" s="1292"/>
      <c r="G39" s="1292"/>
      <c r="H39" s="1292"/>
    </row>
    <row r="40" spans="1:8" ht="30">
      <c r="A40" s="493" t="s">
        <v>1680</v>
      </c>
      <c r="B40" s="493" t="s">
        <v>227</v>
      </c>
      <c r="C40" s="493" t="s">
        <v>288</v>
      </c>
      <c r="D40" s="493" t="s">
        <v>1664</v>
      </c>
      <c r="E40" s="493" t="s">
        <v>1665</v>
      </c>
      <c r="F40" s="493" t="s">
        <v>1666</v>
      </c>
      <c r="G40" s="493" t="s">
        <v>1667</v>
      </c>
      <c r="H40" s="493" t="s">
        <v>1681</v>
      </c>
    </row>
    <row r="41" spans="1:8">
      <c r="A41" s="997" t="str">
        <f>_xlfn.CONCAT(B41,C41)</f>
        <v>Advisory Consultant</v>
      </c>
      <c r="B41" s="997"/>
      <c r="C41" s="997" t="s">
        <v>374</v>
      </c>
      <c r="D41" s="781">
        <v>359</v>
      </c>
      <c r="E41" s="781">
        <v>9800</v>
      </c>
      <c r="F41" s="781">
        <v>219</v>
      </c>
      <c r="G41" s="781">
        <v>339</v>
      </c>
      <c r="H41" s="782">
        <v>255</v>
      </c>
    </row>
    <row r="42" spans="1:8">
      <c r="A42" s="997" t="str">
        <f t="shared" ref="A42:A83" si="0">_xlfn.CONCAT(B42,C42)</f>
        <v>IndiaAdvisory Consultant</v>
      </c>
      <c r="B42" s="997" t="s">
        <v>227</v>
      </c>
      <c r="C42" s="997" t="s">
        <v>374</v>
      </c>
      <c r="D42" s="781">
        <v>165</v>
      </c>
      <c r="E42" s="781">
        <v>9800</v>
      </c>
      <c r="F42" s="781">
        <v>95</v>
      </c>
      <c r="G42" s="781">
        <v>129</v>
      </c>
      <c r="H42" s="782">
        <v>109</v>
      </c>
    </row>
    <row r="43" spans="1:8">
      <c r="A43" s="997" t="str">
        <f t="shared" si="0"/>
        <v>Workflow/Practice Strategist</v>
      </c>
      <c r="B43" s="997"/>
      <c r="C43" s="997" t="s">
        <v>372</v>
      </c>
      <c r="D43" s="781">
        <v>359</v>
      </c>
      <c r="E43" s="781">
        <v>9800</v>
      </c>
      <c r="F43" s="781">
        <v>219</v>
      </c>
      <c r="G43" s="781">
        <v>339</v>
      </c>
      <c r="H43" s="782">
        <v>255</v>
      </c>
    </row>
    <row r="44" spans="1:8">
      <c r="A44" s="997" t="str">
        <f t="shared" si="0"/>
        <v>IndiaWorkflow/Practice Strategist</v>
      </c>
      <c r="B44" s="997" t="s">
        <v>227</v>
      </c>
      <c r="C44" s="997" t="s">
        <v>372</v>
      </c>
      <c r="D44" s="781">
        <v>165</v>
      </c>
      <c r="E44" s="781">
        <v>9800</v>
      </c>
      <c r="F44" s="781">
        <v>95</v>
      </c>
      <c r="G44" s="781">
        <v>129</v>
      </c>
      <c r="H44" s="782">
        <v>109</v>
      </c>
    </row>
    <row r="45" spans="1:8">
      <c r="A45" s="997" t="str">
        <f t="shared" si="0"/>
        <v>Solution Architect</v>
      </c>
      <c r="B45" s="997"/>
      <c r="C45" s="997" t="s">
        <v>167</v>
      </c>
      <c r="D45" s="781">
        <v>299</v>
      </c>
      <c r="E45" s="781">
        <v>8300</v>
      </c>
      <c r="F45" s="781">
        <v>185</v>
      </c>
      <c r="G45" s="781">
        <v>289</v>
      </c>
      <c r="H45" s="782">
        <v>215</v>
      </c>
    </row>
    <row r="46" spans="1:8">
      <c r="A46" s="997" t="str">
        <f t="shared" si="0"/>
        <v>IndiaSolution Architect</v>
      </c>
      <c r="B46" s="997" t="s">
        <v>227</v>
      </c>
      <c r="C46" s="997" t="s">
        <v>167</v>
      </c>
      <c r="D46" s="781">
        <v>139</v>
      </c>
      <c r="E46" s="781">
        <v>8300</v>
      </c>
      <c r="F46" s="781">
        <v>79</v>
      </c>
      <c r="G46" s="781">
        <v>109</v>
      </c>
      <c r="H46" s="782">
        <v>95</v>
      </c>
    </row>
    <row r="47" spans="1:8">
      <c r="A47" s="997" t="str">
        <f t="shared" si="0"/>
        <v>Business Process Consultant</v>
      </c>
      <c r="B47" s="997"/>
      <c r="C47" s="997" t="s">
        <v>370</v>
      </c>
      <c r="D47" s="781">
        <v>299</v>
      </c>
      <c r="E47" s="781">
        <v>8300</v>
      </c>
      <c r="F47" s="781">
        <v>185</v>
      </c>
      <c r="G47" s="781">
        <v>289</v>
      </c>
      <c r="H47" s="782">
        <v>215</v>
      </c>
    </row>
    <row r="48" spans="1:8">
      <c r="A48" s="997" t="str">
        <f t="shared" si="0"/>
        <v>IndiaBusiness Process Consultant</v>
      </c>
      <c r="B48" s="997" t="s">
        <v>227</v>
      </c>
      <c r="C48" s="997" t="s">
        <v>370</v>
      </c>
      <c r="D48" s="781">
        <v>139</v>
      </c>
      <c r="E48" s="781">
        <v>8300</v>
      </c>
      <c r="F48" s="781">
        <v>79</v>
      </c>
      <c r="G48" s="781">
        <v>109</v>
      </c>
      <c r="H48" s="782">
        <v>95</v>
      </c>
    </row>
    <row r="49" spans="1:8">
      <c r="A49" s="997" t="str">
        <f t="shared" si="0"/>
        <v>Change Adoption Specialist</v>
      </c>
      <c r="B49" s="997"/>
      <c r="C49" s="997" t="s">
        <v>382</v>
      </c>
      <c r="D49" s="781">
        <v>269</v>
      </c>
      <c r="E49" s="781">
        <v>7500</v>
      </c>
      <c r="F49" s="781">
        <v>169</v>
      </c>
      <c r="G49" s="781">
        <v>259</v>
      </c>
      <c r="H49" s="782">
        <v>199</v>
      </c>
    </row>
    <row r="50" spans="1:8">
      <c r="A50" s="997" t="str">
        <f t="shared" si="0"/>
        <v>IndiaChange Adoption Specialist</v>
      </c>
      <c r="B50" s="997" t="s">
        <v>227</v>
      </c>
      <c r="C50" s="997" t="s">
        <v>382</v>
      </c>
      <c r="D50" s="781">
        <v>125</v>
      </c>
      <c r="E50" s="781">
        <v>7500</v>
      </c>
      <c r="F50" s="781">
        <v>75</v>
      </c>
      <c r="G50" s="781">
        <v>99</v>
      </c>
      <c r="H50" s="782">
        <v>89</v>
      </c>
    </row>
    <row r="51" spans="1:8">
      <c r="A51" s="997" t="str">
        <f t="shared" si="0"/>
        <v>Solution Consultant</v>
      </c>
      <c r="B51" s="997"/>
      <c r="C51" s="997" t="s">
        <v>389</v>
      </c>
      <c r="D51" s="781">
        <v>299</v>
      </c>
      <c r="E51" s="781">
        <v>8300</v>
      </c>
      <c r="F51" s="781">
        <v>185</v>
      </c>
      <c r="G51" s="781">
        <v>289</v>
      </c>
      <c r="H51" s="782">
        <v>215</v>
      </c>
    </row>
    <row r="52" spans="1:8">
      <c r="A52" s="997" t="str">
        <f t="shared" si="0"/>
        <v>IndiaSolution Consultant</v>
      </c>
      <c r="B52" s="997" t="s">
        <v>227</v>
      </c>
      <c r="C52" s="997" t="s">
        <v>389</v>
      </c>
      <c r="D52" s="781">
        <v>139</v>
      </c>
      <c r="E52" s="781">
        <v>8300</v>
      </c>
      <c r="F52" s="781">
        <v>79</v>
      </c>
      <c r="G52" s="781">
        <v>109</v>
      </c>
      <c r="H52" s="782">
        <v>95</v>
      </c>
    </row>
    <row r="53" spans="1:8">
      <c r="A53" s="997" t="str">
        <f t="shared" si="0"/>
        <v>Content Strategist</v>
      </c>
      <c r="B53" s="997"/>
      <c r="C53" s="997" t="s">
        <v>385</v>
      </c>
      <c r="D53" s="781">
        <v>259</v>
      </c>
      <c r="E53" s="781">
        <v>7200</v>
      </c>
      <c r="F53" s="781">
        <v>155</v>
      </c>
      <c r="G53" s="781">
        <v>239</v>
      </c>
      <c r="H53" s="782">
        <v>179</v>
      </c>
    </row>
    <row r="54" spans="1:8">
      <c r="A54" s="997" t="str">
        <f t="shared" si="0"/>
        <v>IndiaContent Strategist</v>
      </c>
      <c r="B54" s="997" t="s">
        <v>227</v>
      </c>
      <c r="C54" s="997" t="s">
        <v>385</v>
      </c>
      <c r="D54" s="781">
        <v>119</v>
      </c>
      <c r="E54" s="781">
        <v>7200</v>
      </c>
      <c r="F54" s="781">
        <v>69</v>
      </c>
      <c r="G54" s="781">
        <v>95</v>
      </c>
      <c r="H54" s="782">
        <v>79</v>
      </c>
    </row>
    <row r="55" spans="1:8">
      <c r="A55" s="997" t="str">
        <f t="shared" si="0"/>
        <v>Designer</v>
      </c>
      <c r="B55" s="997"/>
      <c r="C55" s="997" t="s">
        <v>737</v>
      </c>
      <c r="D55" s="781">
        <v>259</v>
      </c>
      <c r="E55" s="781">
        <v>7200</v>
      </c>
      <c r="F55" s="781">
        <v>155</v>
      </c>
      <c r="G55" s="781">
        <v>239</v>
      </c>
      <c r="H55" s="782">
        <v>179</v>
      </c>
    </row>
    <row r="56" spans="1:8">
      <c r="A56" s="997" t="str">
        <f t="shared" si="0"/>
        <v>IndiaDesigner</v>
      </c>
      <c r="B56" s="997" t="s">
        <v>227</v>
      </c>
      <c r="C56" s="997" t="s">
        <v>737</v>
      </c>
      <c r="D56" s="781">
        <v>119</v>
      </c>
      <c r="E56" s="781">
        <v>7200</v>
      </c>
      <c r="F56" s="781">
        <v>69</v>
      </c>
      <c r="G56" s="781">
        <v>95</v>
      </c>
      <c r="H56" s="782">
        <v>79</v>
      </c>
    </row>
    <row r="57" spans="1:8">
      <c r="A57" s="997" t="str">
        <f t="shared" si="0"/>
        <v>Technical Consultant</v>
      </c>
      <c r="B57" s="997"/>
      <c r="C57" s="997" t="s">
        <v>377</v>
      </c>
      <c r="D57" s="781">
        <v>229</v>
      </c>
      <c r="E57" s="781">
        <v>6500</v>
      </c>
      <c r="F57" s="781">
        <v>135</v>
      </c>
      <c r="G57" s="781">
        <v>209</v>
      </c>
      <c r="H57" s="782">
        <v>159</v>
      </c>
    </row>
    <row r="58" spans="1:8">
      <c r="A58" s="997" t="str">
        <f t="shared" si="0"/>
        <v>IndiaTechnical Consultant</v>
      </c>
      <c r="B58" s="997" t="s">
        <v>227</v>
      </c>
      <c r="C58" s="997" t="s">
        <v>377</v>
      </c>
      <c r="D58" s="781">
        <v>109</v>
      </c>
      <c r="E58" s="781">
        <v>6500</v>
      </c>
      <c r="F58" s="781">
        <v>65</v>
      </c>
      <c r="G58" s="781">
        <v>85</v>
      </c>
      <c r="H58" s="782">
        <v>75</v>
      </c>
    </row>
    <row r="59" spans="1:8">
      <c r="A59" s="997" t="str">
        <f t="shared" si="0"/>
        <v>Senior Technical Consultant</v>
      </c>
      <c r="B59" s="997"/>
      <c r="C59" s="997" t="s">
        <v>379</v>
      </c>
      <c r="D59" s="781">
        <v>259</v>
      </c>
      <c r="E59" s="781">
        <v>7200</v>
      </c>
      <c r="F59" s="781">
        <v>155</v>
      </c>
      <c r="G59" s="781">
        <v>239</v>
      </c>
      <c r="H59" s="782">
        <v>179</v>
      </c>
    </row>
    <row r="60" spans="1:8">
      <c r="A60" s="997" t="str">
        <f t="shared" si="0"/>
        <v>IndiaSenior Technical Consultant</v>
      </c>
      <c r="B60" s="997" t="s">
        <v>227</v>
      </c>
      <c r="C60" s="997" t="s">
        <v>379</v>
      </c>
      <c r="D60" s="781">
        <v>119</v>
      </c>
      <c r="E60" s="781">
        <v>7200</v>
      </c>
      <c r="F60" s="781">
        <v>69</v>
      </c>
      <c r="G60" s="781">
        <v>95</v>
      </c>
      <c r="H60" s="782">
        <v>79</v>
      </c>
    </row>
    <row r="61" spans="1:8">
      <c r="A61" s="997" t="str">
        <f t="shared" si="0"/>
        <v>Project Coordinator</v>
      </c>
      <c r="B61" s="997"/>
      <c r="C61" s="997" t="s">
        <v>375</v>
      </c>
      <c r="D61" s="781">
        <v>219</v>
      </c>
      <c r="E61" s="781">
        <v>6000</v>
      </c>
      <c r="F61" s="781">
        <v>129</v>
      </c>
      <c r="G61" s="781">
        <v>199</v>
      </c>
      <c r="H61" s="782">
        <v>149</v>
      </c>
    </row>
    <row r="62" spans="1:8">
      <c r="A62" s="997" t="str">
        <f t="shared" si="0"/>
        <v>IndiaProject Coordinator</v>
      </c>
      <c r="B62" s="997" t="s">
        <v>227</v>
      </c>
      <c r="C62" s="997" t="s">
        <v>375</v>
      </c>
      <c r="D62" s="781">
        <v>99</v>
      </c>
      <c r="E62" s="781">
        <v>6000</v>
      </c>
      <c r="F62" s="781">
        <v>59</v>
      </c>
      <c r="G62" s="781">
        <v>79</v>
      </c>
      <c r="H62" s="782">
        <v>69</v>
      </c>
    </row>
    <row r="63" spans="1:8">
      <c r="A63" s="997" t="str">
        <f t="shared" si="0"/>
        <v>Project Manager</v>
      </c>
      <c r="B63" s="997"/>
      <c r="C63" s="997" t="s">
        <v>158</v>
      </c>
      <c r="D63" s="781">
        <v>239</v>
      </c>
      <c r="E63" s="781">
        <v>6800</v>
      </c>
      <c r="F63" s="781">
        <v>139</v>
      </c>
      <c r="G63" s="781">
        <v>219</v>
      </c>
      <c r="H63" s="782">
        <v>165</v>
      </c>
    </row>
    <row r="64" spans="1:8">
      <c r="A64" s="997" t="str">
        <f t="shared" si="0"/>
        <v>IndiaProject Manager</v>
      </c>
      <c r="B64" s="997" t="s">
        <v>227</v>
      </c>
      <c r="C64" s="997" t="s">
        <v>158</v>
      </c>
      <c r="D64" s="781">
        <v>115</v>
      </c>
      <c r="E64" s="781">
        <v>6800</v>
      </c>
      <c r="F64" s="781">
        <v>65</v>
      </c>
      <c r="G64" s="781">
        <v>89</v>
      </c>
      <c r="H64" s="782">
        <v>75</v>
      </c>
    </row>
    <row r="65" spans="1:9">
      <c r="A65" s="997" t="str">
        <f t="shared" si="0"/>
        <v>Senior Project Manager or Program Manager</v>
      </c>
      <c r="B65" s="997"/>
      <c r="C65" s="997" t="s">
        <v>311</v>
      </c>
      <c r="D65" s="781">
        <v>269</v>
      </c>
      <c r="E65" s="781">
        <v>7500</v>
      </c>
      <c r="F65" s="781">
        <v>169</v>
      </c>
      <c r="G65" s="781">
        <v>259</v>
      </c>
      <c r="H65" s="782">
        <v>199</v>
      </c>
    </row>
    <row r="66" spans="1:9">
      <c r="A66" s="997" t="str">
        <f t="shared" si="0"/>
        <v>IndiaSenior Project Manager or Program Manager</v>
      </c>
      <c r="B66" s="997" t="s">
        <v>227</v>
      </c>
      <c r="C66" s="997" t="s">
        <v>311</v>
      </c>
      <c r="D66" s="781">
        <v>125</v>
      </c>
      <c r="E66" s="781">
        <v>7500</v>
      </c>
      <c r="F66" s="781">
        <v>75</v>
      </c>
      <c r="G66" s="781">
        <v>99</v>
      </c>
      <c r="H66" s="782">
        <v>89</v>
      </c>
    </row>
    <row r="67" spans="1:9">
      <c r="A67" s="997" t="str">
        <f t="shared" si="0"/>
        <v>Tester</v>
      </c>
      <c r="B67" s="997"/>
      <c r="C67" s="997" t="s">
        <v>381</v>
      </c>
      <c r="D67" s="781">
        <v>239</v>
      </c>
      <c r="E67" s="781">
        <v>6800</v>
      </c>
      <c r="F67" s="781">
        <v>139</v>
      </c>
      <c r="G67" s="781">
        <v>219</v>
      </c>
      <c r="H67" s="782">
        <v>165</v>
      </c>
    </row>
    <row r="68" spans="1:9">
      <c r="A68" s="997" t="str">
        <f t="shared" si="0"/>
        <v>IndiaTester</v>
      </c>
      <c r="B68" s="997" t="s">
        <v>227</v>
      </c>
      <c r="C68" s="997" t="s">
        <v>381</v>
      </c>
      <c r="D68" s="781">
        <v>115</v>
      </c>
      <c r="E68" s="781">
        <v>6800</v>
      </c>
      <c r="F68" s="781">
        <v>65</v>
      </c>
      <c r="G68" s="781">
        <v>89</v>
      </c>
      <c r="H68" s="782">
        <v>75</v>
      </c>
    </row>
    <row r="69" spans="1:9">
      <c r="A69" s="997" t="str">
        <f t="shared" si="0"/>
        <v>Trainer</v>
      </c>
      <c r="B69" s="997"/>
      <c r="C69" s="997" t="s">
        <v>383</v>
      </c>
      <c r="D69" s="781">
        <v>239</v>
      </c>
      <c r="E69" s="781">
        <v>6800</v>
      </c>
      <c r="F69" s="781">
        <v>139</v>
      </c>
      <c r="G69" s="781">
        <v>219</v>
      </c>
      <c r="H69" s="782">
        <v>165</v>
      </c>
    </row>
    <row r="70" spans="1:9">
      <c r="A70" s="997" t="str">
        <f t="shared" si="0"/>
        <v>IndiaTrainer</v>
      </c>
      <c r="B70" s="997" t="s">
        <v>227</v>
      </c>
      <c r="C70" s="997" t="s">
        <v>383</v>
      </c>
      <c r="D70" s="781">
        <v>115</v>
      </c>
      <c r="E70" s="781">
        <v>6800</v>
      </c>
      <c r="F70" s="781">
        <v>65</v>
      </c>
      <c r="G70" s="781">
        <v>89</v>
      </c>
      <c r="H70" s="782">
        <v>75</v>
      </c>
    </row>
    <row r="71" spans="1:9">
      <c r="A71" s="997" t="str">
        <f t="shared" si="0"/>
        <v>MS - Platform Analyst</v>
      </c>
      <c r="B71" s="997"/>
      <c r="C71" s="997" t="s">
        <v>312</v>
      </c>
      <c r="D71" s="781">
        <v>219</v>
      </c>
      <c r="E71" s="781">
        <v>6000</v>
      </c>
      <c r="F71" s="781">
        <v>129</v>
      </c>
      <c r="G71" s="781">
        <v>199</v>
      </c>
      <c r="H71" s="782">
        <v>149</v>
      </c>
    </row>
    <row r="72" spans="1:9">
      <c r="A72" s="997" t="str">
        <f t="shared" si="0"/>
        <v>IndiaMS - Platform Analyst</v>
      </c>
      <c r="B72" s="997" t="s">
        <v>227</v>
      </c>
      <c r="C72" s="997" t="s">
        <v>312</v>
      </c>
      <c r="D72" s="781">
        <v>99</v>
      </c>
      <c r="E72" s="781">
        <v>6000</v>
      </c>
      <c r="F72" s="781">
        <v>59</v>
      </c>
      <c r="G72" s="781">
        <v>79</v>
      </c>
      <c r="H72" s="782">
        <v>69</v>
      </c>
    </row>
    <row r="73" spans="1:9">
      <c r="A73" s="997" t="str">
        <f t="shared" si="0"/>
        <v>MS - Architect</v>
      </c>
      <c r="B73" s="997"/>
      <c r="C73" s="997" t="s">
        <v>307</v>
      </c>
      <c r="D73" s="781">
        <v>269</v>
      </c>
      <c r="E73" s="781">
        <v>7500</v>
      </c>
      <c r="F73" s="781">
        <v>169</v>
      </c>
      <c r="G73" s="781">
        <v>259</v>
      </c>
      <c r="H73" s="782">
        <v>199</v>
      </c>
    </row>
    <row r="74" spans="1:9">
      <c r="A74" s="997" t="str">
        <f t="shared" si="0"/>
        <v>IndiaMS - Architect</v>
      </c>
      <c r="B74" s="997" t="s">
        <v>227</v>
      </c>
      <c r="C74" s="997" t="s">
        <v>307</v>
      </c>
      <c r="D74" s="781">
        <v>125</v>
      </c>
      <c r="E74" s="781">
        <v>7500</v>
      </c>
      <c r="F74" s="781">
        <v>75</v>
      </c>
      <c r="G74" s="781">
        <v>99</v>
      </c>
      <c r="H74" s="782">
        <v>89</v>
      </c>
    </row>
    <row r="75" spans="1:9">
      <c r="A75" s="997" t="str">
        <f t="shared" si="0"/>
        <v>MS - Engineer</v>
      </c>
      <c r="B75" s="997"/>
      <c r="C75" s="997" t="s">
        <v>309</v>
      </c>
      <c r="D75" s="781">
        <v>239</v>
      </c>
      <c r="E75" s="781">
        <v>6800</v>
      </c>
      <c r="F75" s="781">
        <v>139</v>
      </c>
      <c r="G75" s="781">
        <v>219</v>
      </c>
      <c r="H75" s="782">
        <v>165</v>
      </c>
    </row>
    <row r="76" spans="1:9">
      <c r="A76" s="997" t="str">
        <f>_xlfn.CONCAT(B76,C76)</f>
        <v>IndiaMS - Engineer</v>
      </c>
      <c r="B76" s="997" t="s">
        <v>227</v>
      </c>
      <c r="C76" s="997" t="s">
        <v>309</v>
      </c>
      <c r="D76" s="781">
        <v>115</v>
      </c>
      <c r="E76" s="781">
        <v>6800</v>
      </c>
      <c r="F76" s="781">
        <v>65</v>
      </c>
      <c r="G76" s="781">
        <v>89</v>
      </c>
      <c r="H76" s="782">
        <v>75</v>
      </c>
    </row>
    <row r="77" spans="1:9">
      <c r="A77" s="998" t="str">
        <f t="shared" si="0"/>
        <v>Client Partner</v>
      </c>
      <c r="B77" s="998"/>
      <c r="C77" s="998" t="s">
        <v>738</v>
      </c>
      <c r="D77" s="938">
        <v>458</v>
      </c>
      <c r="E77" s="938">
        <v>0</v>
      </c>
      <c r="F77" s="938">
        <v>327</v>
      </c>
      <c r="G77" s="938">
        <v>442</v>
      </c>
      <c r="H77" s="939">
        <v>382</v>
      </c>
      <c r="I77" s="967"/>
    </row>
    <row r="78" spans="1:9">
      <c r="A78" s="998" t="str">
        <f t="shared" si="0"/>
        <v>IndiaClient Partner</v>
      </c>
      <c r="B78" s="998" t="s">
        <v>227</v>
      </c>
      <c r="C78" s="998" t="s">
        <v>738</v>
      </c>
      <c r="D78" s="938">
        <v>220</v>
      </c>
      <c r="E78" s="938">
        <v>0</v>
      </c>
      <c r="F78" s="938">
        <v>160</v>
      </c>
      <c r="G78" s="938">
        <v>218</v>
      </c>
      <c r="H78" s="939">
        <v>187</v>
      </c>
    </row>
    <row r="79" spans="1:9">
      <c r="A79" s="998" t="str">
        <f t="shared" si="0"/>
        <v>Delivery Director</v>
      </c>
      <c r="B79" s="998"/>
      <c r="C79" s="998" t="s">
        <v>739</v>
      </c>
      <c r="D79" s="938">
        <v>553</v>
      </c>
      <c r="E79" s="938">
        <v>10444</v>
      </c>
      <c r="F79" s="938">
        <v>287</v>
      </c>
      <c r="G79" s="938">
        <v>542</v>
      </c>
      <c r="H79" s="939">
        <v>335</v>
      </c>
    </row>
    <row r="80" spans="1:9">
      <c r="A80" s="998" t="str">
        <f t="shared" si="0"/>
        <v>IndiaDelivery Director</v>
      </c>
      <c r="B80" s="998" t="s">
        <v>227</v>
      </c>
      <c r="C80" s="998" t="s">
        <v>739</v>
      </c>
      <c r="D80" s="938">
        <v>273</v>
      </c>
      <c r="E80" s="938">
        <v>10444</v>
      </c>
      <c r="F80" s="938">
        <v>139</v>
      </c>
      <c r="G80" s="938">
        <v>265</v>
      </c>
      <c r="H80" s="939">
        <v>162</v>
      </c>
    </row>
    <row r="81" spans="1:8">
      <c r="A81" s="996" t="str">
        <f t="shared" si="0"/>
        <v/>
      </c>
      <c r="B81" s="996"/>
      <c r="C81" s="996"/>
      <c r="D81" s="777"/>
      <c r="E81" s="777"/>
      <c r="F81" s="777"/>
      <c r="G81" s="777"/>
      <c r="H81" s="492"/>
    </row>
    <row r="82" spans="1:8">
      <c r="A82" s="996" t="str">
        <f t="shared" si="0"/>
        <v/>
      </c>
      <c r="B82" s="996"/>
      <c r="C82" s="996"/>
      <c r="D82" s="777"/>
      <c r="E82" s="777"/>
      <c r="F82" s="777"/>
      <c r="G82" s="777"/>
      <c r="H82" s="492"/>
    </row>
    <row r="83" spans="1:8">
      <c r="A83" s="996" t="str">
        <f t="shared" si="0"/>
        <v/>
      </c>
      <c r="B83" s="996"/>
      <c r="C83" s="996"/>
      <c r="D83" s="777"/>
      <c r="E83" s="777"/>
      <c r="F83" s="777"/>
      <c r="G83" s="777"/>
      <c r="H83" s="492"/>
    </row>
    <row r="84" spans="1:8">
      <c r="A84" s="996"/>
      <c r="B84" s="996"/>
      <c r="C84" s="996"/>
      <c r="D84" s="777"/>
      <c r="E84" s="777"/>
      <c r="F84" s="777"/>
      <c r="G84" s="777"/>
      <c r="H84" s="492"/>
    </row>
    <row r="85" spans="1:8">
      <c r="A85" s="996"/>
      <c r="B85" s="996"/>
      <c r="C85" s="996"/>
      <c r="D85" s="777"/>
      <c r="E85" s="777"/>
      <c r="F85" s="777"/>
      <c r="G85" s="777"/>
      <c r="H85" s="492"/>
    </row>
    <row r="86" spans="1:8">
      <c r="A86" s="996"/>
      <c r="B86" s="996"/>
      <c r="C86" s="996"/>
      <c r="D86" s="777"/>
      <c r="E86" s="777"/>
      <c r="F86" s="777"/>
      <c r="G86" s="777"/>
      <c r="H86" s="492"/>
    </row>
  </sheetData>
  <sheetProtection algorithmName="SHA-512" hashValue="lOSZb27C2yanxXhpk5oyjkJg61/WBEALgZ3T0sps7PSpSyHdtvE/Q8Ocr0ZP4lfUu9iTItQBariOxncbjkXUIQ==" saltValue="Q/VGcysCalUDqctj2h57+Q==" spinCount="100000" sheet="1" objects="1" scenarios="1"/>
  <mergeCells count="2">
    <mergeCell ref="A15:E15"/>
    <mergeCell ref="A39:H39"/>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5A0CC-F09B-41A8-9540-C1198F28C21E}">
  <sheetPr>
    <pageSetUpPr fitToPage="1"/>
  </sheetPr>
  <dimension ref="A1:E20"/>
  <sheetViews>
    <sheetView workbookViewId="0">
      <selection activeCell="E11" sqref="E11"/>
    </sheetView>
  </sheetViews>
  <sheetFormatPr defaultColWidth="9.140625" defaultRowHeight="12.75"/>
  <cols>
    <col min="1" max="1" width="9.5703125" style="237" customWidth="1"/>
    <col min="2" max="2" width="10.5703125" style="233" customWidth="1"/>
    <col min="3" max="4" width="25.5703125" style="231" customWidth="1"/>
    <col min="5" max="5" width="84.5703125" style="231" customWidth="1"/>
    <col min="6" max="16384" width="9.140625" style="232"/>
  </cols>
  <sheetData>
    <row r="1" spans="1:5" ht="50.1" customHeight="1">
      <c r="A1" s="1293" t="s">
        <v>1682</v>
      </c>
      <c r="B1" s="1293"/>
      <c r="C1" s="1293"/>
      <c r="D1" s="1293"/>
      <c r="E1" s="1293"/>
    </row>
    <row r="2" spans="1:5" ht="16.5" customHeight="1">
      <c r="A2" s="236" t="s">
        <v>1683</v>
      </c>
      <c r="B2" s="234" t="s">
        <v>224</v>
      </c>
      <c r="C2" s="235" t="s">
        <v>1684</v>
      </c>
      <c r="D2" s="235" t="s">
        <v>1685</v>
      </c>
      <c r="E2" s="235" t="s">
        <v>10</v>
      </c>
    </row>
    <row r="3" spans="1:5">
      <c r="A3" s="402">
        <v>0</v>
      </c>
      <c r="B3" s="233">
        <v>43110</v>
      </c>
      <c r="C3" s="231" t="s">
        <v>1686</v>
      </c>
      <c r="D3" s="231" t="s">
        <v>1182</v>
      </c>
      <c r="E3" s="231" t="s">
        <v>1687</v>
      </c>
    </row>
    <row r="4" spans="1:5">
      <c r="A4" s="402">
        <v>0.1</v>
      </c>
      <c r="B4" s="233">
        <v>43144</v>
      </c>
      <c r="C4" s="231" t="s">
        <v>1688</v>
      </c>
      <c r="D4" s="231" t="s">
        <v>1182</v>
      </c>
      <c r="E4" s="231" t="s">
        <v>1689</v>
      </c>
    </row>
    <row r="5" spans="1:5">
      <c r="A5" s="402">
        <v>1</v>
      </c>
      <c r="B5" s="233">
        <v>43214</v>
      </c>
      <c r="C5" s="231" t="s">
        <v>1688</v>
      </c>
      <c r="D5" s="231" t="s">
        <v>1182</v>
      </c>
      <c r="E5" s="231" t="s">
        <v>1690</v>
      </c>
    </row>
    <row r="6" spans="1:5">
      <c r="A6" s="402">
        <v>1.1000000000000001</v>
      </c>
      <c r="B6" s="233">
        <v>43237</v>
      </c>
      <c r="C6" s="231" t="s">
        <v>1691</v>
      </c>
      <c r="D6" s="231" t="s">
        <v>1182</v>
      </c>
      <c r="E6" s="231" t="s">
        <v>1692</v>
      </c>
    </row>
    <row r="7" spans="1:5" ht="25.5">
      <c r="A7" s="402">
        <v>1.2</v>
      </c>
      <c r="B7" s="233">
        <v>43243</v>
      </c>
      <c r="C7" s="231" t="s">
        <v>1693</v>
      </c>
      <c r="D7" s="231" t="s">
        <v>1694</v>
      </c>
      <c r="E7" s="231" t="s">
        <v>1695</v>
      </c>
    </row>
    <row r="8" spans="1:5" ht="38.25">
      <c r="A8" s="402">
        <v>1.3</v>
      </c>
      <c r="B8" s="233">
        <v>43267</v>
      </c>
      <c r="C8" s="231" t="s">
        <v>1688</v>
      </c>
      <c r="D8" s="231" t="s">
        <v>1182</v>
      </c>
      <c r="E8" s="231" t="s">
        <v>1696</v>
      </c>
    </row>
    <row r="9" spans="1:5">
      <c r="A9" s="402">
        <v>2</v>
      </c>
      <c r="B9" s="233">
        <v>43985</v>
      </c>
      <c r="C9" s="231" t="s">
        <v>1688</v>
      </c>
      <c r="D9" s="231" t="s">
        <v>1182</v>
      </c>
      <c r="E9" s="231" t="s">
        <v>1697</v>
      </c>
    </row>
    <row r="10" spans="1:5">
      <c r="A10" s="402">
        <v>2.02</v>
      </c>
      <c r="B10" s="233">
        <v>44006</v>
      </c>
      <c r="C10" s="231" t="s">
        <v>1688</v>
      </c>
      <c r="D10" s="231" t="s">
        <v>1182</v>
      </c>
      <c r="E10" s="231" t="s">
        <v>1698</v>
      </c>
    </row>
    <row r="11" spans="1:5">
      <c r="A11" s="402"/>
    </row>
    <row r="12" spans="1:5">
      <c r="A12" s="402"/>
    </row>
    <row r="13" spans="1:5">
      <c r="A13" s="402"/>
    </row>
    <row r="14" spans="1:5">
      <c r="A14" s="402"/>
    </row>
    <row r="15" spans="1:5">
      <c r="A15" s="402"/>
    </row>
    <row r="16" spans="1:5">
      <c r="A16" s="402"/>
    </row>
    <row r="17" spans="1:1">
      <c r="A17" s="402"/>
    </row>
    <row r="18" spans="1:1">
      <c r="A18" s="402"/>
    </row>
    <row r="19" spans="1:1">
      <c r="A19" s="402"/>
    </row>
    <row r="20" spans="1:1">
      <c r="A20" s="402"/>
    </row>
  </sheetData>
  <mergeCells count="1">
    <mergeCell ref="A1:E1"/>
  </mergeCells>
  <pageMargins left="0.70866141732283472" right="0.70866141732283472" top="0.74803149606299213" bottom="0.74803149606299213" header="0.31496062992125984" footer="0.31496062992125984"/>
  <pageSetup scale="76" orientation="portrait"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J64"/>
  <sheetViews>
    <sheetView topLeftCell="A37" workbookViewId="0">
      <selection activeCell="E10" sqref="E10"/>
    </sheetView>
  </sheetViews>
  <sheetFormatPr defaultColWidth="12.5703125" defaultRowHeight="12.75"/>
  <cols>
    <col min="1" max="1" width="30.5703125" customWidth="1"/>
    <col min="2" max="6" width="10.5703125" customWidth="1"/>
    <col min="7" max="7" width="21.42578125" customWidth="1"/>
    <col min="8" max="8" width="20.5703125" customWidth="1"/>
    <col min="9" max="257" width="10.5703125" customWidth="1"/>
  </cols>
  <sheetData>
    <row r="1" spans="1:8">
      <c r="A1" s="83"/>
      <c r="B1" s="84"/>
      <c r="C1" s="84"/>
      <c r="D1" s="84"/>
      <c r="E1" s="85"/>
      <c r="F1" s="85"/>
      <c r="G1" s="85"/>
      <c r="H1" s="86" t="s">
        <v>186</v>
      </c>
    </row>
    <row r="2" spans="1:8" ht="15.75" customHeight="1">
      <c r="A2" s="1307" t="s">
        <v>1699</v>
      </c>
      <c r="B2" s="1308"/>
      <c r="C2" s="1308"/>
      <c r="D2" s="1308"/>
      <c r="E2" s="1308"/>
      <c r="F2" s="1308"/>
      <c r="G2" s="1308"/>
      <c r="H2" s="1309"/>
    </row>
    <row r="3" spans="1:8" ht="20.25" customHeight="1">
      <c r="A3" s="1310" t="s">
        <v>221</v>
      </c>
      <c r="B3" s="1311"/>
      <c r="C3" s="1311"/>
      <c r="D3" s="1311"/>
      <c r="E3" s="1311"/>
      <c r="F3" s="1311"/>
      <c r="G3" s="1311"/>
      <c r="H3" s="1312"/>
    </row>
    <row r="4" spans="1:8">
      <c r="A4" s="87" t="s">
        <v>1700</v>
      </c>
      <c r="B4" s="10" t="s">
        <v>1701</v>
      </c>
      <c r="C4" s="10"/>
      <c r="D4" s="10"/>
      <c r="E4" s="5" t="s">
        <v>222</v>
      </c>
      <c r="F4" s="11" t="s">
        <v>222</v>
      </c>
      <c r="G4" s="12" t="s">
        <v>224</v>
      </c>
      <c r="H4" s="88"/>
    </row>
    <row r="5" spans="1:8">
      <c r="A5" s="1322" t="s">
        <v>222</v>
      </c>
      <c r="B5" s="1323"/>
      <c r="C5" s="1323"/>
      <c r="D5" s="1323"/>
      <c r="E5" s="1324"/>
      <c r="F5" s="3" t="s">
        <v>222</v>
      </c>
      <c r="G5" s="2" t="s">
        <v>228</v>
      </c>
      <c r="H5" s="89"/>
    </row>
    <row r="6" spans="1:8">
      <c r="A6" s="90" t="s">
        <v>222</v>
      </c>
      <c r="B6" s="3" t="s">
        <v>222</v>
      </c>
      <c r="C6" s="3"/>
      <c r="D6" s="3"/>
      <c r="E6" s="3" t="s">
        <v>222</v>
      </c>
      <c r="F6" s="3" t="s">
        <v>222</v>
      </c>
      <c r="G6" s="2" t="s">
        <v>351</v>
      </c>
      <c r="H6" s="89"/>
    </row>
    <row r="7" spans="1:8">
      <c r="A7" s="87" t="s">
        <v>1702</v>
      </c>
      <c r="B7" s="9" t="s">
        <v>222</v>
      </c>
      <c r="C7" s="9"/>
      <c r="D7" s="9"/>
      <c r="E7" s="5" t="s">
        <v>222</v>
      </c>
      <c r="F7" s="3" t="s">
        <v>222</v>
      </c>
      <c r="G7" s="2" t="s">
        <v>887</v>
      </c>
      <c r="H7" s="89"/>
    </row>
    <row r="8" spans="1:8">
      <c r="A8" s="1322" t="s">
        <v>222</v>
      </c>
      <c r="B8" s="1323"/>
      <c r="C8" s="1323"/>
      <c r="D8" s="1323"/>
      <c r="E8" s="1324"/>
      <c r="F8" s="3" t="s">
        <v>222</v>
      </c>
      <c r="G8" s="2" t="s">
        <v>337</v>
      </c>
      <c r="H8" s="89" t="s">
        <v>752</v>
      </c>
    </row>
    <row r="9" spans="1:8">
      <c r="A9" s="90" t="s">
        <v>222</v>
      </c>
      <c r="B9" s="3" t="s">
        <v>222</v>
      </c>
      <c r="C9" s="3"/>
      <c r="D9" s="3"/>
      <c r="E9" s="3" t="s">
        <v>222</v>
      </c>
      <c r="F9" s="3" t="s">
        <v>222</v>
      </c>
      <c r="G9" s="2" t="s">
        <v>239</v>
      </c>
      <c r="H9" s="89"/>
    </row>
    <row r="10" spans="1:8">
      <c r="A10" s="87" t="s">
        <v>1703</v>
      </c>
      <c r="B10" s="4"/>
      <c r="C10" s="4"/>
      <c r="D10" s="4"/>
      <c r="E10" s="5" t="s">
        <v>222</v>
      </c>
      <c r="F10" s="3" t="s">
        <v>222</v>
      </c>
      <c r="G10" s="2" t="s">
        <v>252</v>
      </c>
      <c r="H10" s="89"/>
    </row>
    <row r="11" spans="1:8">
      <c r="A11" s="1334"/>
      <c r="B11" s="1335"/>
      <c r="C11" s="1335"/>
      <c r="D11" s="1335"/>
      <c r="E11" s="1336"/>
      <c r="F11" s="3" t="s">
        <v>222</v>
      </c>
      <c r="G11" s="3" t="s">
        <v>222</v>
      </c>
      <c r="H11" s="91" t="s">
        <v>222</v>
      </c>
    </row>
    <row r="12" spans="1:8">
      <c r="A12" s="1337"/>
      <c r="B12" s="1338"/>
      <c r="C12" s="1338"/>
      <c r="D12" s="1338"/>
      <c r="E12" s="1339"/>
      <c r="F12" s="3" t="s">
        <v>222</v>
      </c>
      <c r="G12" s="2" t="s">
        <v>1704</v>
      </c>
      <c r="H12" s="92" t="e" cm="1">
        <f t="array" ref="H12">'Estimate Summary'!#REF!</f>
        <v>#REF!</v>
      </c>
    </row>
    <row r="13" spans="1:8" ht="13.5" thickBot="1">
      <c r="A13" s="90" t="s">
        <v>222</v>
      </c>
      <c r="B13" s="3" t="s">
        <v>222</v>
      </c>
      <c r="C13" s="3"/>
      <c r="D13" s="3"/>
      <c r="E13" s="3" t="s">
        <v>222</v>
      </c>
      <c r="F13" s="3"/>
      <c r="G13" s="3" t="s">
        <v>222</v>
      </c>
      <c r="H13" s="91" t="s">
        <v>222</v>
      </c>
    </row>
    <row r="14" spans="1:8" ht="18" customHeight="1" thickBot="1">
      <c r="A14" s="90" t="s">
        <v>222</v>
      </c>
      <c r="B14" s="1331" t="s">
        <v>1705</v>
      </c>
      <c r="C14" s="1332"/>
      <c r="D14" s="1332"/>
      <c r="E14" s="1332"/>
      <c r="F14" s="1333"/>
      <c r="G14" s="3"/>
      <c r="H14" s="91" t="s">
        <v>222</v>
      </c>
    </row>
    <row r="15" spans="1:8" s="22" customFormat="1" ht="39" thickBot="1">
      <c r="A15" s="40" t="s">
        <v>1706</v>
      </c>
      <c r="B15" s="32" t="s">
        <v>403</v>
      </c>
      <c r="C15" s="42" t="s">
        <v>402</v>
      </c>
      <c r="D15" s="33" t="s">
        <v>301</v>
      </c>
      <c r="E15" s="32" t="s">
        <v>1707</v>
      </c>
      <c r="F15" s="33" t="s">
        <v>1708</v>
      </c>
      <c r="G15" s="41" t="s">
        <v>298</v>
      </c>
      <c r="H15" s="33" t="s">
        <v>295</v>
      </c>
    </row>
    <row r="16" spans="1:8">
      <c r="A16" s="129"/>
      <c r="B16" s="130">
        <f>'WBS + Timeline'!I6</f>
        <v>0</v>
      </c>
      <c r="C16" s="131">
        <f>'WBS + Timeline'!I7</f>
        <v>0</v>
      </c>
      <c r="D16" s="132">
        <f>'WBS + Timeline'!I8</f>
        <v>0</v>
      </c>
      <c r="E16" s="26" t="str">
        <f>IF(A16="","0",(IF($H$8="CAD",VLOOKUP(A16,Costs!$A$2:$C$6,2,FALSE),VLOOKUP(A16,Costs!$A$2:$C$6,3,FALSE))))</f>
        <v>0</v>
      </c>
      <c r="F16" s="24">
        <v>275</v>
      </c>
      <c r="G16" s="48">
        <f>D16*E16</f>
        <v>0</v>
      </c>
      <c r="H16" s="27">
        <f>C16*F16</f>
        <v>0</v>
      </c>
    </row>
    <row r="17" spans="1:8">
      <c r="A17" s="133"/>
      <c r="B17" s="134">
        <f>'WBS + Timeline'!J6</f>
        <v>0</v>
      </c>
      <c r="C17" s="135">
        <f>'WBS + Timeline'!J7</f>
        <v>0</v>
      </c>
      <c r="D17" s="136">
        <f>'WBS + Timeline'!J8</f>
        <v>0</v>
      </c>
      <c r="E17" s="26" t="str">
        <f>IF(A17="","0",(IF($H$8="CAD",VLOOKUP(A17,Costs!$A$2:$C$6,2,FALSE),VLOOKUP(A17,Costs!$A$2:$C$6,3,FALSE))))</f>
        <v>0</v>
      </c>
      <c r="F17" s="24">
        <v>275</v>
      </c>
      <c r="G17" s="48">
        <f t="shared" ref="G17:G20" si="0">D17*E17</f>
        <v>0</v>
      </c>
      <c r="H17" s="27">
        <f t="shared" ref="H17:H20" si="1">C17*F17</f>
        <v>0</v>
      </c>
    </row>
    <row r="18" spans="1:8">
      <c r="A18" s="133"/>
      <c r="B18" s="134">
        <f>'WBS + Timeline'!K6</f>
        <v>0</v>
      </c>
      <c r="C18" s="135">
        <f>'WBS + Timeline'!K7</f>
        <v>0</v>
      </c>
      <c r="D18" s="136">
        <f>'WBS + Timeline'!K8</f>
        <v>0</v>
      </c>
      <c r="E18" s="26" t="str">
        <f>IF(A18="","0",(IF($H$8="CAD",VLOOKUP(A18,Costs!$A$2:$C$6,2,FALSE),VLOOKUP(A18,Costs!$A$2:$C$6,3,FALSE))))</f>
        <v>0</v>
      </c>
      <c r="F18" s="24">
        <v>195</v>
      </c>
      <c r="G18" s="48">
        <f t="shared" si="0"/>
        <v>0</v>
      </c>
      <c r="H18" s="27">
        <f t="shared" si="1"/>
        <v>0</v>
      </c>
    </row>
    <row r="19" spans="1:8">
      <c r="A19" s="133"/>
      <c r="B19" s="134">
        <f>'WBS + Timeline'!L6</f>
        <v>0</v>
      </c>
      <c r="C19" s="135">
        <f>'WBS + Timeline'!L7</f>
        <v>0</v>
      </c>
      <c r="D19" s="136">
        <f>'WBS + Timeline'!L8</f>
        <v>0</v>
      </c>
      <c r="E19" s="26" t="str">
        <f>IF(A19="","0",(IF($H$8="CAD",VLOOKUP(A19,Costs!$A$2:$C$6,2,FALSE),VLOOKUP(A19,Costs!$A$2:$C$6,3,FALSE))))</f>
        <v>0</v>
      </c>
      <c r="F19" s="24">
        <v>175</v>
      </c>
      <c r="G19" s="48">
        <f t="shared" si="0"/>
        <v>0</v>
      </c>
      <c r="H19" s="27">
        <f t="shared" si="1"/>
        <v>0</v>
      </c>
    </row>
    <row r="20" spans="1:8" ht="13.5" thickBot="1">
      <c r="A20" s="137"/>
      <c r="B20" s="138">
        <f>'WBS + Timeline'!M6</f>
        <v>0</v>
      </c>
      <c r="C20" s="139">
        <f>'WBS + Timeline'!M7</f>
        <v>0</v>
      </c>
      <c r="D20" s="140">
        <f>'WBS + Timeline'!M8</f>
        <v>0</v>
      </c>
      <c r="E20" s="28" t="str">
        <f>IF(A20="","0",(IF($H$8="CAD",VLOOKUP(A20,Costs!$A$2:$C$6,2,FALSE),VLOOKUP(A20,Costs!$A$2:$C$6,3,FALSE))))</f>
        <v>0</v>
      </c>
      <c r="F20" s="25">
        <v>195</v>
      </c>
      <c r="G20" s="49">
        <f t="shared" si="0"/>
        <v>0</v>
      </c>
      <c r="H20" s="29">
        <f t="shared" si="1"/>
        <v>0</v>
      </c>
    </row>
    <row r="21" spans="1:8" ht="13.5" thickBot="1">
      <c r="A21" s="43" t="s">
        <v>1709</v>
      </c>
      <c r="B21" s="51">
        <f>SUM(B16:B20)</f>
        <v>0</v>
      </c>
      <c r="C21" s="52">
        <f>SUM(C16:C20)</f>
        <v>0</v>
      </c>
      <c r="D21" s="53">
        <f>SUM(D16:D20)</f>
        <v>0</v>
      </c>
      <c r="E21" s="54" t="str">
        <f>IFERROR(G21/B21,"")</f>
        <v/>
      </c>
      <c r="F21" s="55" t="str">
        <f>IFERROR(H21/B21,"")</f>
        <v/>
      </c>
      <c r="G21" s="56">
        <f>SUM(G16:G20)</f>
        <v>0</v>
      </c>
      <c r="H21" s="57">
        <f>SUM(H16:H20)</f>
        <v>0</v>
      </c>
    </row>
    <row r="22" spans="1:8" ht="13.5" thickBot="1">
      <c r="A22" s="1340" t="s">
        <v>1710</v>
      </c>
      <c r="B22" s="1341"/>
      <c r="C22" s="1341"/>
      <c r="D22" s="1341"/>
      <c r="E22" s="1342"/>
      <c r="F22" s="58"/>
      <c r="G22" s="59">
        <f>F22*G21</f>
        <v>0</v>
      </c>
      <c r="H22" s="60"/>
    </row>
    <row r="23" spans="1:8" ht="13.5" thickBot="1">
      <c r="A23" s="1386" t="s">
        <v>1711</v>
      </c>
      <c r="B23" s="1387"/>
      <c r="C23" s="1387"/>
      <c r="D23" s="1387"/>
      <c r="E23" s="1387"/>
      <c r="F23" s="1388"/>
      <c r="G23" s="59">
        <f>G21+G22</f>
        <v>0</v>
      </c>
      <c r="H23" s="57">
        <f>H21+H22</f>
        <v>0</v>
      </c>
    </row>
    <row r="24" spans="1:8" ht="13.5" thickBot="1">
      <c r="A24" s="90" t="s">
        <v>222</v>
      </c>
      <c r="B24" s="8"/>
      <c r="C24" s="8"/>
      <c r="D24" s="8"/>
      <c r="E24" s="3" t="s">
        <v>222</v>
      </c>
      <c r="F24" s="3" t="s">
        <v>222</v>
      </c>
      <c r="G24" s="61" t="s">
        <v>1712</v>
      </c>
      <c r="H24" s="224">
        <f>IFERROR((H23/G23),0)</f>
        <v>0</v>
      </c>
    </row>
    <row r="25" spans="1:8" ht="13.5" thickBot="1">
      <c r="A25" s="90"/>
      <c r="B25" s="8"/>
      <c r="C25" s="8"/>
      <c r="D25" s="8"/>
      <c r="E25" s="3"/>
      <c r="F25" s="3"/>
      <c r="G25" s="93"/>
      <c r="H25" s="94"/>
    </row>
    <row r="26" spans="1:8" ht="18.75" thickBot="1">
      <c r="A26" s="90"/>
      <c r="B26" s="1328" t="s">
        <v>1713</v>
      </c>
      <c r="C26" s="1329"/>
      <c r="D26" s="1329"/>
      <c r="E26" s="1329"/>
      <c r="F26" s="1330"/>
      <c r="G26" s="93"/>
      <c r="H26" s="94"/>
    </row>
    <row r="27" spans="1:8" ht="39" thickBot="1">
      <c r="A27" s="121" t="s">
        <v>1714</v>
      </c>
      <c r="B27" s="98" t="s">
        <v>403</v>
      </c>
      <c r="C27" s="112" t="s">
        <v>402</v>
      </c>
      <c r="D27" s="112" t="s">
        <v>301</v>
      </c>
      <c r="E27" s="113" t="s">
        <v>1707</v>
      </c>
      <c r="F27" s="114" t="s">
        <v>1708</v>
      </c>
      <c r="G27" s="122" t="s">
        <v>298</v>
      </c>
      <c r="H27" s="114" t="s">
        <v>295</v>
      </c>
    </row>
    <row r="28" spans="1:8">
      <c r="A28" s="226" t="s">
        <v>1715</v>
      </c>
      <c r="B28" s="141">
        <f>'WBS + Timeline'!N6</f>
        <v>0</v>
      </c>
      <c r="C28" s="142">
        <f>'WBS + Timeline'!N7</f>
        <v>0</v>
      </c>
      <c r="D28" s="142">
        <f>'WBS + Timeline'!N8</f>
        <v>0</v>
      </c>
      <c r="E28" s="116"/>
      <c r="F28" s="126"/>
      <c r="G28" s="123">
        <f>D28*E28</f>
        <v>0</v>
      </c>
      <c r="H28" s="117">
        <f>C28*F28</f>
        <v>0</v>
      </c>
    </row>
    <row r="29" spans="1:8">
      <c r="A29" s="227" t="s">
        <v>1716</v>
      </c>
      <c r="B29" s="143">
        <f>'WBS + Timeline'!O6</f>
        <v>0</v>
      </c>
      <c r="C29" s="144">
        <f>'WBS + Timeline'!O7</f>
        <v>0</v>
      </c>
      <c r="D29" s="144">
        <f>'WBS + Timeline'!O8</f>
        <v>0</v>
      </c>
      <c r="E29" s="115"/>
      <c r="F29" s="127"/>
      <c r="G29" s="124">
        <f>D29*E29</f>
        <v>0</v>
      </c>
      <c r="H29" s="118">
        <f t="shared" ref="H29:H31" si="2">C29*F29</f>
        <v>0</v>
      </c>
    </row>
    <row r="30" spans="1:8">
      <c r="A30" s="227" t="s">
        <v>1717</v>
      </c>
      <c r="B30" s="143">
        <f>'WBS + Timeline'!P6</f>
        <v>0</v>
      </c>
      <c r="C30" s="144">
        <f>'WBS + Timeline'!P7</f>
        <v>0</v>
      </c>
      <c r="D30" s="144">
        <f>'WBS + Timeline'!P8</f>
        <v>0</v>
      </c>
      <c r="E30" s="115"/>
      <c r="F30" s="127"/>
      <c r="G30" s="124">
        <f>D30*E30</f>
        <v>0</v>
      </c>
      <c r="H30" s="118">
        <f t="shared" si="2"/>
        <v>0</v>
      </c>
    </row>
    <row r="31" spans="1:8" ht="13.5" thickBot="1">
      <c r="A31" s="227" t="s">
        <v>1718</v>
      </c>
      <c r="B31" s="145">
        <f>'WBS + Timeline'!Q6</f>
        <v>0</v>
      </c>
      <c r="C31" s="146">
        <f>'WBS + Timeline'!Q7</f>
        <v>0</v>
      </c>
      <c r="D31" s="146">
        <f>'WBS + Timeline'!Q8</f>
        <v>0</v>
      </c>
      <c r="E31" s="119"/>
      <c r="F31" s="128"/>
      <c r="G31" s="125">
        <f>D31*E31</f>
        <v>0</v>
      </c>
      <c r="H31" s="120">
        <f t="shared" si="2"/>
        <v>0</v>
      </c>
    </row>
    <row r="32" spans="1:8" ht="13.5" thickBot="1">
      <c r="A32" s="62" t="s">
        <v>1719</v>
      </c>
      <c r="B32" s="63">
        <f>SUM(B28:B31)</f>
        <v>0</v>
      </c>
      <c r="C32" s="64">
        <f>SUM(C28:C31)</f>
        <v>0</v>
      </c>
      <c r="D32" s="65">
        <f>SUM(D28:D31)</f>
        <v>0</v>
      </c>
      <c r="E32" s="50" t="str">
        <f>IFERROR(G32/B32,"")</f>
        <v/>
      </c>
      <c r="F32" s="66" t="str">
        <f>IFERROR(H32/B32,"")</f>
        <v/>
      </c>
      <c r="G32" s="28">
        <f>SUM(G28:G31)</f>
        <v>0</v>
      </c>
      <c r="H32" s="29">
        <f>SUM(H28:H31)</f>
        <v>0</v>
      </c>
    </row>
    <row r="33" spans="1:10" ht="13.5" thickBot="1">
      <c r="A33" s="90"/>
      <c r="B33" s="3"/>
      <c r="C33" s="3"/>
      <c r="D33" s="3"/>
      <c r="E33" s="7"/>
      <c r="F33" s="7"/>
      <c r="G33" s="46" t="s">
        <v>1720</v>
      </c>
      <c r="H33" s="224">
        <f>IFERROR((H32/G32),0)</f>
        <v>0</v>
      </c>
    </row>
    <row r="34" spans="1:10" ht="13.5" thickBot="1">
      <c r="A34" s="90"/>
      <c r="B34" s="3"/>
      <c r="C34" s="3"/>
      <c r="D34" s="3"/>
      <c r="E34" s="7"/>
      <c r="F34" s="7"/>
      <c r="G34" s="93"/>
      <c r="H34" s="94"/>
    </row>
    <row r="35" spans="1:10" ht="18.75" thickBot="1">
      <c r="A35" s="90"/>
      <c r="B35" s="1331" t="s">
        <v>1721</v>
      </c>
      <c r="C35" s="1332"/>
      <c r="D35" s="1332"/>
      <c r="E35" s="1332"/>
      <c r="F35" s="1333"/>
      <c r="G35" s="93"/>
      <c r="H35" s="94"/>
    </row>
    <row r="36" spans="1:10" s="30" customFormat="1" ht="39" customHeight="1" thickBot="1">
      <c r="A36" s="79" t="s">
        <v>1722</v>
      </c>
      <c r="B36" s="1343" t="s">
        <v>1723</v>
      </c>
      <c r="C36" s="1344"/>
      <c r="D36" s="1345"/>
      <c r="E36" s="44" t="s">
        <v>1724</v>
      </c>
      <c r="F36" s="42" t="s">
        <v>1725</v>
      </c>
      <c r="G36" s="45" t="s">
        <v>298</v>
      </c>
      <c r="H36" s="95" t="s">
        <v>1701</v>
      </c>
    </row>
    <row r="37" spans="1:10">
      <c r="A37" s="80" t="s">
        <v>1726</v>
      </c>
      <c r="B37" s="1319" t="s">
        <v>1727</v>
      </c>
      <c r="C37" s="1320"/>
      <c r="D37" s="1321"/>
      <c r="E37" s="67"/>
      <c r="F37" s="23"/>
      <c r="G37" s="70">
        <f>E37*F37</f>
        <v>0</v>
      </c>
      <c r="H37" s="91" t="s">
        <v>222</v>
      </c>
    </row>
    <row r="38" spans="1:10">
      <c r="A38" s="81" t="s">
        <v>1728</v>
      </c>
      <c r="B38" s="1316" t="s">
        <v>1727</v>
      </c>
      <c r="C38" s="1317"/>
      <c r="D38" s="1318"/>
      <c r="E38" s="1"/>
      <c r="F38" s="24"/>
      <c r="G38" s="71">
        <f t="shared" ref="G38:G47" si="3">E38*F38</f>
        <v>0</v>
      </c>
      <c r="H38" s="91"/>
    </row>
    <row r="39" spans="1:10">
      <c r="A39" s="81" t="s">
        <v>1729</v>
      </c>
      <c r="B39" s="1316" t="s">
        <v>1730</v>
      </c>
      <c r="C39" s="1317"/>
      <c r="D39" s="1318"/>
      <c r="E39" s="1"/>
      <c r="F39" s="24"/>
      <c r="G39" s="71">
        <f t="shared" si="3"/>
        <v>0</v>
      </c>
      <c r="H39" s="91"/>
      <c r="J39" s="6"/>
    </row>
    <row r="40" spans="1:10">
      <c r="A40" s="81" t="s">
        <v>1731</v>
      </c>
      <c r="B40" s="1316" t="s">
        <v>1732</v>
      </c>
      <c r="C40" s="1317"/>
      <c r="D40" s="1318"/>
      <c r="E40" s="1"/>
      <c r="F40" s="24"/>
      <c r="G40" s="71">
        <f t="shared" si="3"/>
        <v>0</v>
      </c>
      <c r="H40" s="91"/>
    </row>
    <row r="41" spans="1:10">
      <c r="A41" s="81" t="s">
        <v>1733</v>
      </c>
      <c r="B41" s="1316" t="s">
        <v>1732</v>
      </c>
      <c r="C41" s="1317"/>
      <c r="D41" s="1318"/>
      <c r="E41" s="1"/>
      <c r="F41" s="24"/>
      <c r="G41" s="71">
        <f t="shared" si="3"/>
        <v>0</v>
      </c>
      <c r="H41" s="91"/>
    </row>
    <row r="42" spans="1:10">
      <c r="A42" s="81" t="s">
        <v>1734</v>
      </c>
      <c r="B42" s="1316" t="s">
        <v>1735</v>
      </c>
      <c r="C42" s="1317"/>
      <c r="D42" s="1318"/>
      <c r="E42" s="1"/>
      <c r="F42" s="24"/>
      <c r="G42" s="71">
        <f t="shared" si="3"/>
        <v>0</v>
      </c>
      <c r="H42" s="91"/>
    </row>
    <row r="43" spans="1:10">
      <c r="A43" s="81" t="s">
        <v>1736</v>
      </c>
      <c r="B43" s="1316" t="s">
        <v>1737</v>
      </c>
      <c r="C43" s="1317"/>
      <c r="D43" s="1318"/>
      <c r="E43" s="1"/>
      <c r="F43" s="68"/>
      <c r="G43" s="71">
        <f t="shared" si="3"/>
        <v>0</v>
      </c>
      <c r="H43" s="91"/>
    </row>
    <row r="44" spans="1:10">
      <c r="A44" s="81" t="s">
        <v>1738</v>
      </c>
      <c r="B44" s="1316" t="s">
        <v>1739</v>
      </c>
      <c r="C44" s="1317"/>
      <c r="D44" s="1318"/>
      <c r="E44" s="1"/>
      <c r="F44" s="24"/>
      <c r="G44" s="71">
        <f t="shared" si="3"/>
        <v>0</v>
      </c>
      <c r="H44" s="91"/>
    </row>
    <row r="45" spans="1:10">
      <c r="A45" s="81" t="s">
        <v>1740</v>
      </c>
      <c r="B45" s="1316" t="s">
        <v>1739</v>
      </c>
      <c r="C45" s="1317"/>
      <c r="D45" s="1318"/>
      <c r="E45" s="1"/>
      <c r="F45" s="24"/>
      <c r="G45" s="71">
        <f t="shared" si="3"/>
        <v>0</v>
      </c>
      <c r="H45" s="91"/>
    </row>
    <row r="46" spans="1:10">
      <c r="A46" s="81" t="s">
        <v>1741</v>
      </c>
      <c r="B46" s="1316" t="s">
        <v>1732</v>
      </c>
      <c r="C46" s="1317"/>
      <c r="D46" s="1318"/>
      <c r="E46" s="1"/>
      <c r="F46" s="24"/>
      <c r="G46" s="71">
        <f t="shared" si="3"/>
        <v>0</v>
      </c>
      <c r="H46" s="91"/>
    </row>
    <row r="47" spans="1:10">
      <c r="A47" s="81" t="s">
        <v>1742</v>
      </c>
      <c r="B47" s="1316" t="s">
        <v>1732</v>
      </c>
      <c r="C47" s="1317"/>
      <c r="D47" s="1318"/>
      <c r="E47" s="20"/>
      <c r="F47" s="69"/>
      <c r="G47" s="72">
        <f t="shared" si="3"/>
        <v>0</v>
      </c>
      <c r="H47" s="91"/>
    </row>
    <row r="48" spans="1:10" ht="13.5" thickBot="1">
      <c r="A48" s="82" t="s">
        <v>1743</v>
      </c>
      <c r="B48" s="1346" t="s">
        <v>1744</v>
      </c>
      <c r="C48" s="1347"/>
      <c r="D48" s="1347"/>
      <c r="E48" s="1347"/>
      <c r="F48" s="1348"/>
      <c r="G48" s="73"/>
      <c r="H48" s="91" t="s">
        <v>1701</v>
      </c>
    </row>
    <row r="49" spans="1:8" ht="13.5" thickBot="1">
      <c r="A49" s="74" t="s">
        <v>1745</v>
      </c>
      <c r="B49" s="75"/>
      <c r="C49" s="75"/>
      <c r="D49" s="75"/>
      <c r="E49" s="75" t="s">
        <v>222</v>
      </c>
      <c r="F49" s="76" t="s">
        <v>222</v>
      </c>
      <c r="G49" s="77">
        <f>SUM(G37:G48)</f>
        <v>0</v>
      </c>
      <c r="H49" s="91" t="s">
        <v>1701</v>
      </c>
    </row>
    <row r="50" spans="1:8" ht="13.5" thickBot="1">
      <c r="A50" s="47" t="s">
        <v>1746</v>
      </c>
      <c r="B50" s="1313" t="s">
        <v>1747</v>
      </c>
      <c r="C50" s="1314"/>
      <c r="D50" s="1314"/>
      <c r="E50" s="1314"/>
      <c r="F50" s="1315"/>
      <c r="G50" s="225"/>
      <c r="H50" s="57">
        <f>G49*G50</f>
        <v>0</v>
      </c>
    </row>
    <row r="51" spans="1:8" ht="13.5" thickBot="1">
      <c r="A51" s="96"/>
      <c r="B51" s="3"/>
      <c r="C51" s="3"/>
      <c r="D51" s="3"/>
      <c r="E51" s="3"/>
      <c r="F51" s="3"/>
      <c r="G51" s="3"/>
      <c r="H51" s="91"/>
    </row>
    <row r="52" spans="1:8" ht="18.75" thickBot="1">
      <c r="A52" s="97"/>
      <c r="B52" s="1331" t="s">
        <v>1748</v>
      </c>
      <c r="C52" s="1332"/>
      <c r="D52" s="1332"/>
      <c r="E52" s="1332"/>
      <c r="F52" s="1333"/>
      <c r="G52" s="3"/>
      <c r="H52" s="91"/>
    </row>
    <row r="53" spans="1:8" ht="13.5" thickBot="1">
      <c r="A53" s="1386" t="s">
        <v>1749</v>
      </c>
      <c r="B53" s="1387"/>
      <c r="C53" s="1387"/>
      <c r="D53" s="1387"/>
      <c r="E53" s="1387"/>
      <c r="F53" s="1389"/>
      <c r="G53" s="78" t="s">
        <v>232</v>
      </c>
      <c r="H53" s="91"/>
    </row>
    <row r="54" spans="1:8">
      <c r="A54" s="1390"/>
      <c r="B54" s="1391"/>
      <c r="C54" s="1391"/>
      <c r="D54" s="1391"/>
      <c r="E54" s="1391"/>
      <c r="F54" s="1392"/>
      <c r="G54" s="23"/>
      <c r="H54" s="91"/>
    </row>
    <row r="55" spans="1:8" ht="13.5" thickBot="1">
      <c r="A55" s="1393"/>
      <c r="B55" s="1394"/>
      <c r="C55" s="1394"/>
      <c r="D55" s="1394"/>
      <c r="E55" s="1394"/>
      <c r="F55" s="1395"/>
      <c r="G55" s="25"/>
      <c r="H55" s="91"/>
    </row>
    <row r="56" spans="1:8" ht="13.5" thickBot="1">
      <c r="A56" s="74" t="s">
        <v>1750</v>
      </c>
      <c r="B56" s="75"/>
      <c r="C56" s="75"/>
      <c r="D56" s="75"/>
      <c r="E56" s="75" t="s">
        <v>222</v>
      </c>
      <c r="F56" s="76" t="s">
        <v>222</v>
      </c>
      <c r="G56" s="77">
        <f>SUM(G54:G55)</f>
        <v>0</v>
      </c>
      <c r="H56" s="91" t="s">
        <v>1701</v>
      </c>
    </row>
    <row r="57" spans="1:8" ht="13.5" thickBot="1">
      <c r="A57" s="47" t="s">
        <v>1751</v>
      </c>
      <c r="B57" s="1313" t="s">
        <v>1752</v>
      </c>
      <c r="C57" s="1314"/>
      <c r="D57" s="1314"/>
      <c r="E57" s="1314"/>
      <c r="F57" s="1315"/>
      <c r="G57" s="225"/>
      <c r="H57" s="57">
        <f>G56*G57</f>
        <v>0</v>
      </c>
    </row>
    <row r="58" spans="1:8" ht="13.5" thickBot="1">
      <c r="A58" s="96"/>
      <c r="B58" s="3"/>
      <c r="C58" s="3"/>
      <c r="D58" s="3"/>
      <c r="E58" s="3"/>
      <c r="F58" s="3"/>
      <c r="G58" s="3"/>
      <c r="H58" s="91"/>
    </row>
    <row r="59" spans="1:8" ht="18.75" thickBot="1">
      <c r="A59" s="90"/>
      <c r="B59" s="1325" t="s">
        <v>1753</v>
      </c>
      <c r="C59" s="1326"/>
      <c r="D59" s="1326"/>
      <c r="E59" s="1326"/>
      <c r="F59" s="1327"/>
      <c r="G59" s="3"/>
      <c r="H59" s="91"/>
    </row>
    <row r="60" spans="1:8" ht="15" customHeight="1" thickBot="1">
      <c r="A60" s="1294" t="s">
        <v>10</v>
      </c>
      <c r="B60" s="1295" t="s">
        <v>10</v>
      </c>
      <c r="C60" s="1304" t="s">
        <v>232</v>
      </c>
      <c r="D60" s="1304"/>
      <c r="E60" s="1304" t="s">
        <v>229</v>
      </c>
      <c r="F60" s="1304"/>
      <c r="G60" s="111" t="s">
        <v>1754</v>
      </c>
      <c r="H60" s="99" t="s">
        <v>1755</v>
      </c>
    </row>
    <row r="61" spans="1:8" s="30" customFormat="1" ht="15" customHeight="1">
      <c r="A61" s="1300" t="s">
        <v>1756</v>
      </c>
      <c r="B61" s="1301"/>
      <c r="C61" s="1305">
        <f>G23+G32</f>
        <v>0</v>
      </c>
      <c r="D61" s="1306"/>
      <c r="E61" s="1305">
        <f>H23+H32</f>
        <v>0</v>
      </c>
      <c r="F61" s="1306"/>
      <c r="G61" s="104">
        <f>E61-C61</f>
        <v>0</v>
      </c>
      <c r="H61" s="105">
        <f>IFERROR((E61-C61)/E61,0)</f>
        <v>0</v>
      </c>
    </row>
    <row r="62" spans="1:8" s="30" customFormat="1" ht="15" customHeight="1" thickBot="1">
      <c r="A62" s="1302" t="s">
        <v>1757</v>
      </c>
      <c r="B62" s="1303"/>
      <c r="C62" s="1298">
        <f>G49+G56</f>
        <v>0</v>
      </c>
      <c r="D62" s="1299"/>
      <c r="E62" s="1298">
        <f>H50+H57</f>
        <v>0</v>
      </c>
      <c r="F62" s="1299"/>
      <c r="G62" s="106">
        <f t="shared" ref="G62:G63" si="4">E62-C62</f>
        <v>0</v>
      </c>
      <c r="H62" s="107">
        <f>IFERROR((E62-C62)/E62,0)</f>
        <v>0</v>
      </c>
    </row>
    <row r="63" spans="1:8" s="30" customFormat="1" ht="15" customHeight="1" thickBot="1">
      <c r="A63" s="1294" t="s">
        <v>1758</v>
      </c>
      <c r="B63" s="1295"/>
      <c r="C63" s="1296">
        <f>SUM(C61:D62)</f>
        <v>0</v>
      </c>
      <c r="D63" s="1297"/>
      <c r="E63" s="1296">
        <f>SUM(E61:F62)</f>
        <v>0</v>
      </c>
      <c r="F63" s="1297"/>
      <c r="G63" s="102">
        <f t="shared" si="4"/>
        <v>0</v>
      </c>
      <c r="H63" s="103">
        <f>IFERROR((E63-C63)/E63,0)</f>
        <v>0</v>
      </c>
    </row>
    <row r="64" spans="1:8" ht="13.5" thickBot="1">
      <c r="A64" s="97"/>
      <c r="B64" s="100"/>
      <c r="C64" s="100"/>
      <c r="D64" s="100"/>
      <c r="E64" s="100"/>
      <c r="F64" s="100"/>
      <c r="G64" s="100"/>
      <c r="H64" s="101"/>
    </row>
  </sheetData>
  <sortState xmlns:xlrd2="http://schemas.microsoft.com/office/spreadsheetml/2017/richdata2" ref="A37:G47">
    <sortCondition ref="A37"/>
  </sortState>
  <mergeCells count="42">
    <mergeCell ref="A11:E12"/>
    <mergeCell ref="A22:E22"/>
    <mergeCell ref="B14:F14"/>
    <mergeCell ref="B52:F52"/>
    <mergeCell ref="B36:D36"/>
    <mergeCell ref="B48:F48"/>
    <mergeCell ref="B50:F50"/>
    <mergeCell ref="B59:F59"/>
    <mergeCell ref="B26:F26"/>
    <mergeCell ref="B35:F35"/>
    <mergeCell ref="A53:F53"/>
    <mergeCell ref="A54:F54"/>
    <mergeCell ref="A55:F55"/>
    <mergeCell ref="B47:D47"/>
    <mergeCell ref="A2:H2"/>
    <mergeCell ref="A3:H3"/>
    <mergeCell ref="B57:F57"/>
    <mergeCell ref="B42:D42"/>
    <mergeCell ref="B43:D43"/>
    <mergeCell ref="B44:D44"/>
    <mergeCell ref="B45:D45"/>
    <mergeCell ref="B46:D46"/>
    <mergeCell ref="B37:D37"/>
    <mergeCell ref="B38:D38"/>
    <mergeCell ref="B39:D39"/>
    <mergeCell ref="B40:D40"/>
    <mergeCell ref="B41:D41"/>
    <mergeCell ref="A5:E5"/>
    <mergeCell ref="A8:E8"/>
    <mergeCell ref="A23:F23"/>
    <mergeCell ref="A60:B60"/>
    <mergeCell ref="C63:D63"/>
    <mergeCell ref="E62:F62"/>
    <mergeCell ref="E63:F63"/>
    <mergeCell ref="A61:B61"/>
    <mergeCell ref="A62:B62"/>
    <mergeCell ref="A63:B63"/>
    <mergeCell ref="C60:D60"/>
    <mergeCell ref="E60:F60"/>
    <mergeCell ref="C61:D61"/>
    <mergeCell ref="E61:F61"/>
    <mergeCell ref="C62:D62"/>
  </mergeCells>
  <phoneticPr fontId="0" type="noConversion"/>
  <conditionalFormatting sqref="H62">
    <cfRule type="cellIs" dxfId="83" priority="2" operator="lessThan">
      <formula>0</formula>
    </cfRule>
  </conditionalFormatting>
  <dataValidations xWindow="838" yWindow="364" count="1">
    <dataValidation type="list" allowBlank="1" showInputMessage="1" showErrorMessage="1" sqref="H6:H10" xr:uid="{C30FCA25-A2DB-4F61-A8A7-63E2F07F3F3B}">
      <formula1>#REF!</formula1>
    </dataValidation>
  </dataValidations>
  <printOptions horizontalCentered="1" verticalCentered="1" gridLines="1" gridLinesSet="0"/>
  <pageMargins left="0.23622047244094491" right="0.23622047244094491" top="0.31496062992125984" bottom="0.31496062992125984" header="0.51181102362204722" footer="0.51181102362204722"/>
  <pageSetup scale="89" orientation="portrait" horizontalDpi="4294967292" verticalDpi="4294967292" r:id="rId1"/>
  <headerFooter alignWithMargins="0"/>
  <ignoredErrors>
    <ignoredError sqref="B16:D16 B17:D20" unlockedFormula="1"/>
  </ignoredErrors>
  <extLst>
    <ext xmlns:x14="http://schemas.microsoft.com/office/spreadsheetml/2009/9/main" uri="{78C0D931-6437-407d-A8EE-F0AAD7539E65}">
      <x14:conditionalFormattings>
        <x14:conditionalFormatting xmlns:xm="http://schemas.microsoft.com/office/excel/2006/main">
          <x14:cfRule type="expression" priority="3" id="{E71D3D3F-39B4-4C37-9A27-C7D184FB70ED}">
            <xm:f>Calc!$B$9=TRUE</xm:f>
            <x14:dxf>
              <fill>
                <patternFill>
                  <bgColor rgb="FFFFC7CE"/>
                </patternFill>
              </fill>
            </x14:dxf>
          </x14:cfRule>
          <xm:sqref>H61</xm:sqref>
        </x14:conditionalFormatting>
        <x14:conditionalFormatting xmlns:xm="http://schemas.microsoft.com/office/excel/2006/main">
          <x14:cfRule type="expression" priority="1" id="{3E0BCA53-0E6A-4430-A568-6223B52550FF}">
            <xm:f>Calc!$B$10=TRUE</xm:f>
            <x14:dxf>
              <fill>
                <patternFill>
                  <bgColor rgb="FFFFC7CE"/>
                </patternFill>
              </fill>
            </x14:dxf>
          </x14:cfRule>
          <xm:sqref>H63</xm:sqref>
        </x14:conditionalFormatting>
      </x14:conditionalFormattings>
    </ext>
  </extLs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91350-E65C-46F7-8755-9F0544CC3222}">
  <sheetPr codeName="Sheet3"/>
  <dimension ref="A1:F16"/>
  <sheetViews>
    <sheetView workbookViewId="0">
      <selection activeCell="E10" sqref="E10"/>
    </sheetView>
  </sheetViews>
  <sheetFormatPr defaultColWidth="9.140625" defaultRowHeight="12.75"/>
  <cols>
    <col min="1" max="1" width="27.85546875" customWidth="1"/>
  </cols>
  <sheetData>
    <row r="1" spans="1:6">
      <c r="B1" s="13" t="s">
        <v>1759</v>
      </c>
      <c r="C1" s="13" t="s">
        <v>807</v>
      </c>
      <c r="D1" s="13" t="s">
        <v>807</v>
      </c>
      <c r="E1" s="13" t="s">
        <v>1760</v>
      </c>
      <c r="F1" s="13" t="s">
        <v>1760</v>
      </c>
    </row>
    <row r="2" spans="1:6">
      <c r="A2" t="s">
        <v>337</v>
      </c>
      <c r="B2" s="13" t="str">
        <f>TDATE!H8</f>
        <v>CAD</v>
      </c>
      <c r="C2" s="13" t="s">
        <v>752</v>
      </c>
      <c r="D2" s="13" t="s">
        <v>771</v>
      </c>
      <c r="E2" s="13" t="s">
        <v>752</v>
      </c>
      <c r="F2" s="13" t="s">
        <v>771</v>
      </c>
    </row>
    <row r="3" spans="1:6">
      <c r="A3" t="s">
        <v>1761</v>
      </c>
      <c r="B3" s="16">
        <f>TDATE!H61</f>
        <v>0</v>
      </c>
      <c r="C3" s="16">
        <v>0.35</v>
      </c>
      <c r="D3" s="16">
        <v>0.49</v>
      </c>
      <c r="E3" s="17">
        <f>B3-C3</f>
        <v>-0.35</v>
      </c>
      <c r="F3" s="17">
        <f>B3-D3</f>
        <v>-0.49</v>
      </c>
    </row>
    <row r="4" spans="1:6">
      <c r="A4" t="s">
        <v>1762</v>
      </c>
      <c r="B4" s="16">
        <f>TDATE!H63</f>
        <v>0</v>
      </c>
      <c r="C4" s="16">
        <v>0.32</v>
      </c>
      <c r="D4" s="16">
        <v>0.45</v>
      </c>
      <c r="E4" s="17">
        <f>B4-C4</f>
        <v>-0.32</v>
      </c>
      <c r="F4" s="17">
        <f>B4-D4</f>
        <v>-0.45</v>
      </c>
    </row>
    <row r="6" spans="1:6">
      <c r="A6" t="s">
        <v>1763</v>
      </c>
      <c r="B6" s="17">
        <f>IF(B2="CAD",E3,F3)</f>
        <v>-0.35</v>
      </c>
    </row>
    <row r="7" spans="1:6">
      <c r="A7" t="s">
        <v>1764</v>
      </c>
      <c r="B7" s="17">
        <f>IF(B2="CAD",E4,F4)</f>
        <v>-0.32</v>
      </c>
    </row>
    <row r="9" spans="1:6">
      <c r="A9" t="s">
        <v>1765</v>
      </c>
      <c r="B9" t="b">
        <f>IF(B6&lt;0,TRUE,FALSE)</f>
        <v>1</v>
      </c>
    </row>
    <row r="10" spans="1:6">
      <c r="A10" t="s">
        <v>1766</v>
      </c>
      <c r="B10" t="b">
        <f>IF(B7&lt;0,TRUE,FALSE)</f>
        <v>1</v>
      </c>
    </row>
    <row r="14" spans="1:6">
      <c r="A14" t="s">
        <v>1767</v>
      </c>
    </row>
    <row r="15" spans="1:6">
      <c r="A15" t="s">
        <v>1768</v>
      </c>
    </row>
    <row r="16" spans="1:6">
      <c r="A16" t="s">
        <v>1769</v>
      </c>
    </row>
  </sheetData>
  <pageMargins left="0.7" right="0.7" top="0.75" bottom="0.75" header="0.3" footer="0.3"/>
  <pageSetup orientation="portrait" verticalDpi="0"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51A4B-4035-40F5-B732-097EDCC1897A}">
  <dimension ref="A4:CD128"/>
  <sheetViews>
    <sheetView topLeftCell="A13" workbookViewId="0">
      <selection activeCell="E10" sqref="E10"/>
    </sheetView>
  </sheetViews>
  <sheetFormatPr defaultRowHeight="12.75"/>
  <cols>
    <col min="1" max="1" width="9" customWidth="1"/>
    <col min="2" max="3" width="38.85546875" customWidth="1"/>
    <col min="4" max="4" width="3.5703125" style="244" bestFit="1" customWidth="1"/>
    <col min="5" max="15" width="3.5703125" style="244" customWidth="1"/>
    <col min="16" max="26" width="3.5703125" style="244" bestFit="1" customWidth="1"/>
    <col min="27" max="40" width="4.42578125" style="244" bestFit="1" customWidth="1"/>
    <col min="41" max="52" width="4.42578125" bestFit="1" customWidth="1"/>
    <col min="53" max="53" width="4.42578125" customWidth="1"/>
    <col min="54" max="82" width="4.42578125" bestFit="1" customWidth="1"/>
  </cols>
  <sheetData>
    <row r="4" spans="1:82" s="244" customFormat="1" ht="309.75">
      <c r="A4" t="s">
        <v>1222</v>
      </c>
      <c r="B4" t="s">
        <v>9</v>
      </c>
      <c r="C4" t="s">
        <v>10</v>
      </c>
      <c r="D4" s="241" t="s">
        <v>1770</v>
      </c>
      <c r="E4" s="240" t="s">
        <v>1771</v>
      </c>
      <c r="F4" s="241" t="s">
        <v>1772</v>
      </c>
      <c r="G4" s="240" t="s">
        <v>1773</v>
      </c>
      <c r="H4" s="241" t="s">
        <v>1774</v>
      </c>
      <c r="I4" s="240" t="s">
        <v>1775</v>
      </c>
      <c r="J4" s="241" t="s">
        <v>1776</v>
      </c>
      <c r="K4" s="240" t="s">
        <v>1777</v>
      </c>
      <c r="L4" s="241" t="s">
        <v>1778</v>
      </c>
      <c r="M4" s="240" t="s">
        <v>1779</v>
      </c>
      <c r="N4" s="241" t="s">
        <v>1780</v>
      </c>
      <c r="O4" s="240" t="s">
        <v>1781</v>
      </c>
      <c r="P4" s="241" t="s">
        <v>1782</v>
      </c>
      <c r="Q4" s="240" t="s">
        <v>1783</v>
      </c>
      <c r="R4" s="242" t="s">
        <v>1784</v>
      </c>
      <c r="S4" s="243" t="s">
        <v>1785</v>
      </c>
      <c r="T4" s="242" t="s">
        <v>1786</v>
      </c>
      <c r="U4" s="240" t="s">
        <v>1787</v>
      </c>
      <c r="V4" s="241" t="s">
        <v>1788</v>
      </c>
      <c r="W4" s="243" t="s">
        <v>1789</v>
      </c>
      <c r="X4" s="242" t="s">
        <v>1790</v>
      </c>
      <c r="Y4" s="243" t="s">
        <v>1791</v>
      </c>
      <c r="Z4" s="242" t="s">
        <v>1792</v>
      </c>
      <c r="AA4" s="243" t="s">
        <v>1793</v>
      </c>
      <c r="AB4" s="242" t="s">
        <v>1794</v>
      </c>
      <c r="AC4" s="243" t="s">
        <v>1795</v>
      </c>
      <c r="AD4" s="242" t="s">
        <v>1796</v>
      </c>
      <c r="AE4" s="243" t="s">
        <v>1797</v>
      </c>
      <c r="AF4" s="242" t="s">
        <v>1798</v>
      </c>
      <c r="AG4" s="243" t="s">
        <v>1799</v>
      </c>
      <c r="AH4" s="242" t="s">
        <v>1800</v>
      </c>
      <c r="AI4" s="243" t="s">
        <v>1801</v>
      </c>
      <c r="AJ4" s="242" t="s">
        <v>1802</v>
      </c>
      <c r="AK4" s="243" t="s">
        <v>1803</v>
      </c>
      <c r="AL4" s="242" t="s">
        <v>1804</v>
      </c>
      <c r="AM4" s="243" t="s">
        <v>1805</v>
      </c>
      <c r="AN4" s="242" t="s">
        <v>1806</v>
      </c>
      <c r="AO4" s="243" t="s">
        <v>1807</v>
      </c>
      <c r="AP4" s="242" t="s">
        <v>1808</v>
      </c>
      <c r="AQ4" s="243" t="s">
        <v>1809</v>
      </c>
      <c r="AR4" s="242" t="s">
        <v>1810</v>
      </c>
      <c r="AS4" s="243" t="s">
        <v>1811</v>
      </c>
      <c r="AT4" s="242" t="s">
        <v>1812</v>
      </c>
      <c r="AU4" s="243" t="s">
        <v>1813</v>
      </c>
      <c r="AV4" s="242" t="s">
        <v>1814</v>
      </c>
      <c r="AW4" s="243" t="s">
        <v>1815</v>
      </c>
      <c r="AX4" s="242" t="s">
        <v>1816</v>
      </c>
      <c r="AY4" s="243" t="s">
        <v>1817</v>
      </c>
      <c r="AZ4" s="242" t="s">
        <v>1818</v>
      </c>
      <c r="BA4" s="243" t="s">
        <v>1819</v>
      </c>
      <c r="BB4" s="242" t="s">
        <v>1820</v>
      </c>
      <c r="BC4" s="243" t="s">
        <v>1821</v>
      </c>
      <c r="BD4" s="242" t="s">
        <v>1822</v>
      </c>
      <c r="BE4" s="243" t="s">
        <v>1823</v>
      </c>
      <c r="BF4" s="242" t="s">
        <v>1824</v>
      </c>
      <c r="BG4" s="243" t="s">
        <v>1825</v>
      </c>
      <c r="BH4" s="242" t="s">
        <v>1826</v>
      </c>
      <c r="BI4" s="243" t="s">
        <v>1827</v>
      </c>
      <c r="BJ4" s="242" t="s">
        <v>1828</v>
      </c>
      <c r="BK4" s="243" t="s">
        <v>1829</v>
      </c>
      <c r="BL4" s="242" t="s">
        <v>1830</v>
      </c>
      <c r="BM4" s="243" t="s">
        <v>1831</v>
      </c>
      <c r="BN4" s="242" t="s">
        <v>1832</v>
      </c>
      <c r="BO4" s="243" t="s">
        <v>1833</v>
      </c>
      <c r="BP4" s="242" t="s">
        <v>1834</v>
      </c>
      <c r="BQ4" s="243" t="s">
        <v>1835</v>
      </c>
      <c r="BR4" s="242" t="s">
        <v>1836</v>
      </c>
      <c r="BS4" s="243" t="s">
        <v>1837</v>
      </c>
      <c r="BT4" s="242" t="s">
        <v>1838</v>
      </c>
      <c r="BU4" s="243" t="s">
        <v>1839</v>
      </c>
      <c r="BV4" s="242" t="s">
        <v>1840</v>
      </c>
      <c r="BW4" s="243" t="s">
        <v>1841</v>
      </c>
      <c r="BX4" s="242" t="s">
        <v>1842</v>
      </c>
      <c r="BY4" s="243" t="s">
        <v>1843</v>
      </c>
      <c r="BZ4" s="242" t="s">
        <v>1844</v>
      </c>
      <c r="CA4" s="243" t="s">
        <v>1845</v>
      </c>
      <c r="CB4" s="241" t="s">
        <v>1846</v>
      </c>
      <c r="CC4" s="240" t="s">
        <v>1847</v>
      </c>
      <c r="CD4" s="241" t="s">
        <v>1848</v>
      </c>
    </row>
    <row r="5" spans="1:82">
      <c r="AO5" s="244"/>
      <c r="AP5" s="244"/>
      <c r="AQ5" s="244"/>
      <c r="AR5" s="244"/>
      <c r="AS5" s="244"/>
      <c r="AT5" s="244"/>
      <c r="AU5" s="244"/>
      <c r="AV5" s="244"/>
      <c r="AW5" s="244"/>
      <c r="AX5" s="244"/>
      <c r="AY5" s="244"/>
      <c r="AZ5" s="244"/>
      <c r="BA5" s="244"/>
      <c r="BB5" s="244"/>
      <c r="BC5" s="244"/>
      <c r="BD5" s="244"/>
      <c r="BE5" s="244"/>
      <c r="BF5" s="244"/>
      <c r="BG5" s="244"/>
      <c r="BH5" s="244"/>
      <c r="BI5" s="244"/>
      <c r="BJ5" s="244"/>
      <c r="BK5" s="244"/>
      <c r="BL5" s="244"/>
      <c r="BM5" s="244"/>
      <c r="BN5" s="244"/>
      <c r="BO5" s="244"/>
      <c r="BP5" s="244"/>
      <c r="BQ5" s="244"/>
      <c r="BR5" s="244"/>
      <c r="BS5" s="244"/>
      <c r="BT5" s="244"/>
      <c r="BU5" s="244"/>
      <c r="BV5" s="244"/>
      <c r="BW5" s="244"/>
      <c r="BX5" s="244"/>
      <c r="BY5" s="244"/>
      <c r="BZ5" s="244"/>
      <c r="CA5" s="244"/>
      <c r="CB5" s="244"/>
      <c r="CC5" s="244"/>
      <c r="CD5" s="244"/>
    </row>
    <row r="6" spans="1:82">
      <c r="AO6" s="244"/>
      <c r="AP6" s="244"/>
      <c r="AQ6" s="244"/>
      <c r="AR6" s="244"/>
      <c r="AS6" s="244"/>
      <c r="AT6" s="244"/>
      <c r="AU6" s="244"/>
      <c r="AV6" s="244"/>
      <c r="AW6" s="244"/>
      <c r="AX6" s="244"/>
      <c r="AY6" s="244"/>
      <c r="AZ6" s="244"/>
      <c r="BA6" s="244"/>
      <c r="BB6" s="244"/>
      <c r="BC6" s="244"/>
      <c r="BD6" s="244"/>
      <c r="BE6" s="244"/>
      <c r="BF6" s="244"/>
      <c r="BG6" s="244"/>
      <c r="BH6" s="244"/>
      <c r="BI6" s="244"/>
      <c r="BJ6" s="244"/>
      <c r="BK6" s="244"/>
      <c r="BL6" s="244"/>
      <c r="BM6" s="244"/>
      <c r="BN6" s="244"/>
      <c r="BO6" s="244"/>
      <c r="BP6" s="244"/>
      <c r="BQ6" s="244"/>
      <c r="BR6" s="244"/>
      <c r="BS6" s="244"/>
      <c r="BT6" s="244"/>
      <c r="BU6" s="244"/>
      <c r="BV6" s="244"/>
      <c r="BW6" s="244"/>
      <c r="BX6" s="244"/>
      <c r="BY6" s="244"/>
      <c r="BZ6" s="244"/>
      <c r="CA6" s="244"/>
      <c r="CB6" s="244"/>
      <c r="CC6" s="244"/>
      <c r="CD6" s="244"/>
    </row>
    <row r="7" spans="1:82">
      <c r="AO7" s="244"/>
      <c r="AP7" s="244"/>
      <c r="AQ7" s="244"/>
      <c r="AR7" s="244"/>
      <c r="AS7" s="244"/>
      <c r="AT7" s="244"/>
      <c r="AU7" s="244"/>
      <c r="AV7" s="244"/>
      <c r="AW7" s="244"/>
      <c r="AX7" s="244"/>
      <c r="AY7" s="244"/>
      <c r="AZ7" s="244"/>
      <c r="BA7" s="244"/>
      <c r="BB7" s="244"/>
      <c r="BC7" s="244"/>
      <c r="BD7" s="244"/>
      <c r="BE7" s="244"/>
      <c r="BF7" s="244"/>
      <c r="BG7" s="244"/>
      <c r="BH7" s="244"/>
      <c r="BI7" s="244"/>
      <c r="BJ7" s="244"/>
      <c r="BK7" s="244"/>
      <c r="BL7" s="244"/>
      <c r="BM7" s="244"/>
      <c r="BN7" s="244"/>
      <c r="BO7" s="244"/>
      <c r="BP7" s="244"/>
      <c r="BQ7" s="244"/>
      <c r="BR7" s="244"/>
      <c r="BS7" s="244"/>
      <c r="BT7" s="244"/>
      <c r="BU7" s="244"/>
      <c r="BV7" s="244"/>
      <c r="BW7" s="244"/>
      <c r="BX7" s="244"/>
      <c r="BY7" s="244"/>
      <c r="BZ7" s="244"/>
      <c r="CA7" s="244"/>
      <c r="CB7" s="244"/>
      <c r="CC7" s="244"/>
      <c r="CD7" s="244"/>
    </row>
    <row r="8" spans="1:82">
      <c r="AO8" s="244"/>
      <c r="AP8" s="244"/>
      <c r="AQ8" s="244"/>
      <c r="AR8" s="244"/>
      <c r="AS8" s="244"/>
      <c r="AT8" s="244"/>
      <c r="AU8" s="244"/>
      <c r="AV8" s="244"/>
      <c r="AW8" s="244"/>
      <c r="AX8" s="244"/>
      <c r="AY8" s="244"/>
      <c r="AZ8" s="244"/>
      <c r="BA8" s="244"/>
      <c r="BB8" s="244"/>
      <c r="BC8" s="244"/>
      <c r="BD8" s="244"/>
      <c r="BE8" s="244"/>
      <c r="BF8" s="244"/>
      <c r="BG8" s="244"/>
      <c r="BH8" s="244"/>
      <c r="BI8" s="244"/>
      <c r="BJ8" s="244"/>
      <c r="BK8" s="244"/>
      <c r="BL8" s="244"/>
      <c r="BM8" s="244"/>
      <c r="BN8" s="244"/>
      <c r="BO8" s="244"/>
      <c r="BP8" s="244"/>
      <c r="BQ8" s="244"/>
      <c r="BR8" s="244"/>
      <c r="BS8" s="244"/>
      <c r="BT8" s="244"/>
      <c r="BU8" s="244"/>
      <c r="BV8" s="244"/>
      <c r="BW8" s="244"/>
      <c r="BX8" s="244"/>
      <c r="BY8" s="244"/>
      <c r="BZ8" s="244"/>
      <c r="CA8" s="244"/>
      <c r="CB8" s="244"/>
      <c r="CC8" s="244"/>
      <c r="CD8" s="244"/>
    </row>
    <row r="9" spans="1:82">
      <c r="AO9" s="244"/>
      <c r="AP9" s="244"/>
      <c r="AQ9" s="244"/>
      <c r="AR9" s="244"/>
      <c r="AS9" s="244"/>
      <c r="AT9" s="244"/>
      <c r="AU9" s="244"/>
      <c r="AV9" s="244"/>
      <c r="AW9" s="244"/>
      <c r="AX9" s="244"/>
      <c r="AY9" s="244"/>
      <c r="AZ9" s="244"/>
      <c r="BA9" s="244"/>
      <c r="BB9" s="244"/>
      <c r="BC9" s="244"/>
      <c r="BD9" s="244"/>
      <c r="BE9" s="244"/>
      <c r="BF9" s="244"/>
      <c r="BG9" s="244"/>
      <c r="BH9" s="244"/>
      <c r="BI9" s="244"/>
      <c r="BJ9" s="244"/>
      <c r="BK9" s="244"/>
      <c r="BL9" s="244"/>
      <c r="BM9" s="244"/>
      <c r="BN9" s="244"/>
      <c r="BO9" s="244"/>
      <c r="BP9" s="244"/>
      <c r="BQ9" s="244"/>
      <c r="BR9" s="244"/>
      <c r="BS9" s="244"/>
      <c r="BT9" s="244"/>
      <c r="BU9" s="244"/>
      <c r="BV9" s="244"/>
      <c r="BW9" s="244"/>
      <c r="BX9" s="244"/>
      <c r="BY9" s="244"/>
      <c r="BZ9" s="244"/>
      <c r="CA9" s="244"/>
      <c r="CB9" s="244"/>
      <c r="CC9" s="244"/>
      <c r="CD9" s="244"/>
    </row>
    <row r="10" spans="1:82">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c r="BL10" s="244"/>
      <c r="BM10" s="244"/>
      <c r="BN10" s="244"/>
      <c r="BO10" s="244"/>
      <c r="BP10" s="244"/>
      <c r="BQ10" s="244"/>
      <c r="BR10" s="244"/>
      <c r="BS10" s="244"/>
      <c r="BT10" s="244"/>
      <c r="BU10" s="244"/>
      <c r="BV10" s="244"/>
      <c r="BW10" s="244"/>
      <c r="BX10" s="244"/>
      <c r="BY10" s="244"/>
      <c r="BZ10" s="244"/>
      <c r="CA10" s="244"/>
      <c r="CB10" s="244"/>
      <c r="CC10" s="244"/>
      <c r="CD10" s="244"/>
    </row>
    <row r="11" spans="1:82">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c r="BL11" s="244"/>
      <c r="BM11" s="244"/>
      <c r="BN11" s="244"/>
      <c r="BO11" s="244"/>
      <c r="BP11" s="244"/>
      <c r="BQ11" s="244"/>
      <c r="BR11" s="244"/>
      <c r="BS11" s="244"/>
      <c r="BT11" s="244"/>
      <c r="BU11" s="244"/>
      <c r="BV11" s="244"/>
      <c r="BW11" s="244"/>
      <c r="BX11" s="244"/>
      <c r="BY11" s="244"/>
      <c r="BZ11" s="244"/>
      <c r="CA11" s="244"/>
      <c r="CB11" s="244"/>
      <c r="CC11" s="244"/>
      <c r="CD11" s="244"/>
    </row>
    <row r="12" spans="1:82">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c r="BL12" s="244"/>
      <c r="BM12" s="244"/>
      <c r="BN12" s="244"/>
      <c r="BO12" s="244"/>
      <c r="BP12" s="244"/>
      <c r="BQ12" s="244"/>
      <c r="BR12" s="244"/>
      <c r="BS12" s="244"/>
      <c r="BT12" s="244"/>
      <c r="BU12" s="244"/>
      <c r="BV12" s="244"/>
      <c r="BW12" s="244"/>
      <c r="BX12" s="244"/>
      <c r="BY12" s="244"/>
      <c r="BZ12" s="244"/>
      <c r="CA12" s="244"/>
      <c r="CB12" s="244"/>
      <c r="CC12" s="244"/>
      <c r="CD12" s="244"/>
    </row>
    <row r="13" spans="1:82">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c r="BL13" s="244"/>
      <c r="BM13" s="244"/>
      <c r="BN13" s="244"/>
      <c r="BO13" s="244"/>
      <c r="BP13" s="244"/>
      <c r="BQ13" s="244"/>
      <c r="BR13" s="244"/>
      <c r="BS13" s="244"/>
      <c r="BT13" s="244"/>
      <c r="BU13" s="244"/>
      <c r="BV13" s="244"/>
      <c r="BW13" s="244"/>
      <c r="BX13" s="244"/>
      <c r="BY13" s="244"/>
      <c r="BZ13" s="244"/>
      <c r="CA13" s="244"/>
      <c r="CB13" s="244"/>
      <c r="CC13" s="244"/>
      <c r="CD13" s="244"/>
    </row>
    <row r="14" spans="1:82">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c r="BL14" s="244"/>
      <c r="BM14" s="244"/>
      <c r="BN14" s="244"/>
      <c r="BO14" s="244"/>
      <c r="BP14" s="244"/>
      <c r="BQ14" s="244"/>
      <c r="BR14" s="244"/>
      <c r="BS14" s="244"/>
      <c r="BT14" s="244"/>
      <c r="BU14" s="244"/>
      <c r="BV14" s="244"/>
      <c r="BW14" s="244"/>
      <c r="BX14" s="244"/>
      <c r="BY14" s="244"/>
      <c r="BZ14" s="244"/>
      <c r="CA14" s="244"/>
      <c r="CB14" s="244"/>
      <c r="CC14" s="244"/>
      <c r="CD14" s="244"/>
    </row>
    <row r="15" spans="1:82">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c r="BL15" s="244"/>
      <c r="BM15" s="244"/>
      <c r="BN15" s="244"/>
      <c r="BO15" s="244"/>
      <c r="BP15" s="244"/>
      <c r="BQ15" s="244"/>
      <c r="BR15" s="244"/>
      <c r="BS15" s="244"/>
      <c r="BT15" s="244"/>
      <c r="BU15" s="244"/>
      <c r="BV15" s="244"/>
      <c r="BW15" s="244"/>
      <c r="BX15" s="244"/>
      <c r="BY15" s="244"/>
      <c r="BZ15" s="244"/>
      <c r="CA15" s="244"/>
      <c r="CB15" s="244"/>
      <c r="CC15" s="244"/>
      <c r="CD15" s="244"/>
    </row>
    <row r="16" spans="1:82">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c r="BL16" s="244"/>
      <c r="BM16" s="244"/>
      <c r="BN16" s="244"/>
      <c r="BO16" s="244"/>
      <c r="BP16" s="244"/>
      <c r="BQ16" s="244"/>
      <c r="BR16" s="244"/>
      <c r="BS16" s="244"/>
      <c r="BT16" s="244"/>
      <c r="BU16" s="244"/>
      <c r="BV16" s="244"/>
      <c r="BW16" s="244"/>
      <c r="BX16" s="244"/>
      <c r="BY16" s="244"/>
      <c r="BZ16" s="244"/>
      <c r="CA16" s="244"/>
      <c r="CB16" s="244"/>
      <c r="CC16" s="244"/>
      <c r="CD16" s="244"/>
    </row>
    <row r="17" spans="41:82">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c r="BL17" s="244"/>
      <c r="BM17" s="244"/>
      <c r="BN17" s="244"/>
      <c r="BO17" s="244"/>
      <c r="BP17" s="244"/>
      <c r="BQ17" s="244"/>
      <c r="BR17" s="244"/>
      <c r="BS17" s="244"/>
      <c r="BT17" s="244"/>
      <c r="BU17" s="244"/>
      <c r="BV17" s="244"/>
      <c r="BW17" s="244"/>
      <c r="BX17" s="244"/>
      <c r="BY17" s="244"/>
      <c r="BZ17" s="244"/>
      <c r="CA17" s="244"/>
      <c r="CB17" s="244"/>
      <c r="CC17" s="244"/>
      <c r="CD17" s="244"/>
    </row>
    <row r="18" spans="41:82">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c r="BL18" s="244"/>
      <c r="BM18" s="244"/>
      <c r="BN18" s="244"/>
      <c r="BO18" s="244"/>
      <c r="BP18" s="244"/>
      <c r="BQ18" s="244"/>
      <c r="BR18" s="244"/>
      <c r="BS18" s="244"/>
      <c r="BT18" s="244"/>
      <c r="BU18" s="244"/>
      <c r="BV18" s="244"/>
      <c r="BW18" s="244"/>
      <c r="BX18" s="244"/>
      <c r="BY18" s="244"/>
      <c r="BZ18" s="244"/>
      <c r="CA18" s="244"/>
      <c r="CB18" s="244"/>
      <c r="CC18" s="244"/>
      <c r="CD18" s="244"/>
    </row>
    <row r="19" spans="41:82">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c r="BL19" s="244"/>
      <c r="BM19" s="244"/>
      <c r="BN19" s="244"/>
      <c r="BO19" s="244"/>
      <c r="BP19" s="244"/>
      <c r="BQ19" s="244"/>
      <c r="BR19" s="244"/>
      <c r="BS19" s="244"/>
      <c r="BT19" s="244"/>
      <c r="BU19" s="244"/>
      <c r="BV19" s="244"/>
      <c r="BW19" s="244"/>
      <c r="BX19" s="244"/>
      <c r="BY19" s="244"/>
      <c r="BZ19" s="244"/>
      <c r="CA19" s="244"/>
      <c r="CB19" s="244"/>
      <c r="CC19" s="244"/>
      <c r="CD19" s="244"/>
    </row>
    <row r="20" spans="41:82">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c r="BL20" s="244"/>
      <c r="BM20" s="244"/>
      <c r="BN20" s="244"/>
      <c r="BO20" s="244"/>
      <c r="BP20" s="244"/>
      <c r="BQ20" s="244"/>
      <c r="BR20" s="244"/>
      <c r="BS20" s="244"/>
      <c r="BT20" s="244"/>
      <c r="BU20" s="244"/>
      <c r="BV20" s="244"/>
      <c r="BW20" s="244"/>
      <c r="BX20" s="244"/>
      <c r="BY20" s="244"/>
      <c r="BZ20" s="244"/>
      <c r="CA20" s="244"/>
      <c r="CB20" s="244"/>
      <c r="CC20" s="244"/>
      <c r="CD20" s="244"/>
    </row>
    <row r="21" spans="41:82">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c r="BL21" s="244"/>
      <c r="BM21" s="244"/>
      <c r="BN21" s="244"/>
      <c r="BO21" s="244"/>
      <c r="BP21" s="244"/>
      <c r="BQ21" s="244"/>
      <c r="BR21" s="244"/>
      <c r="BS21" s="244"/>
      <c r="BT21" s="244"/>
      <c r="BU21" s="244"/>
      <c r="BV21" s="244"/>
      <c r="BW21" s="244"/>
      <c r="BX21" s="244"/>
      <c r="BY21" s="244"/>
      <c r="BZ21" s="244"/>
      <c r="CA21" s="244"/>
      <c r="CB21" s="244"/>
      <c r="CC21" s="244"/>
      <c r="CD21" s="244"/>
    </row>
    <row r="22" spans="41:82">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c r="BL22" s="244"/>
      <c r="BM22" s="244"/>
      <c r="BN22" s="244"/>
      <c r="BO22" s="244"/>
      <c r="BP22" s="244"/>
      <c r="BQ22" s="244"/>
      <c r="BR22" s="244"/>
      <c r="BS22" s="244"/>
      <c r="BT22" s="244"/>
      <c r="BU22" s="244"/>
      <c r="BV22" s="244"/>
      <c r="BW22" s="244"/>
      <c r="BX22" s="244"/>
      <c r="BY22" s="244"/>
      <c r="BZ22" s="244"/>
      <c r="CA22" s="244"/>
      <c r="CB22" s="244"/>
      <c r="CC22" s="244"/>
      <c r="CD22" s="244"/>
    </row>
    <row r="23" spans="41:82">
      <c r="AO23" s="244"/>
      <c r="AP23" s="244"/>
      <c r="AQ23" s="244"/>
      <c r="AR23" s="244"/>
      <c r="AS23" s="244"/>
      <c r="AT23" s="244"/>
      <c r="AU23" s="244"/>
      <c r="AV23" s="244"/>
      <c r="AW23" s="244"/>
      <c r="AX23" s="244"/>
      <c r="AY23" s="244"/>
      <c r="AZ23" s="244"/>
      <c r="BA23" s="244"/>
      <c r="BB23" s="244"/>
      <c r="BC23" s="244"/>
      <c r="BD23" s="244"/>
      <c r="BE23" s="244"/>
      <c r="BF23" s="244"/>
      <c r="BG23" s="244"/>
      <c r="BH23" s="244"/>
      <c r="BI23" s="244"/>
      <c r="BJ23" s="244"/>
      <c r="BK23" s="244"/>
      <c r="BL23" s="244"/>
      <c r="BM23" s="244"/>
      <c r="BN23" s="244"/>
      <c r="BO23" s="244"/>
      <c r="BP23" s="244"/>
      <c r="BQ23" s="244"/>
      <c r="BR23" s="244"/>
      <c r="BS23" s="244"/>
      <c r="BT23" s="244"/>
      <c r="BU23" s="244"/>
      <c r="BV23" s="244"/>
      <c r="BW23" s="244"/>
      <c r="BX23" s="244"/>
      <c r="BY23" s="244"/>
      <c r="BZ23" s="244"/>
      <c r="CA23" s="244"/>
      <c r="CB23" s="244"/>
      <c r="CC23" s="244"/>
      <c r="CD23" s="244"/>
    </row>
    <row r="24" spans="41:82">
      <c r="AO24" s="244"/>
      <c r="AP24" s="244"/>
      <c r="AQ24" s="244"/>
      <c r="AR24" s="244"/>
      <c r="AS24" s="244"/>
      <c r="AT24" s="244"/>
      <c r="AU24" s="244"/>
      <c r="AV24" s="244"/>
      <c r="AW24" s="244"/>
      <c r="AX24" s="244"/>
      <c r="AY24" s="244"/>
      <c r="AZ24" s="244"/>
      <c r="BA24" s="244"/>
      <c r="BB24" s="244"/>
      <c r="BC24" s="244"/>
      <c r="BD24" s="244"/>
      <c r="BE24" s="244"/>
      <c r="BF24" s="244"/>
      <c r="BG24" s="244"/>
      <c r="BH24" s="244"/>
      <c r="BI24" s="244"/>
      <c r="BJ24" s="244"/>
      <c r="BK24" s="244"/>
      <c r="BL24" s="244"/>
      <c r="BM24" s="244"/>
      <c r="BN24" s="244"/>
      <c r="BO24" s="244"/>
      <c r="BP24" s="244"/>
      <c r="BQ24" s="244"/>
      <c r="BR24" s="244"/>
      <c r="BS24" s="244"/>
      <c r="BT24" s="244"/>
      <c r="BU24" s="244"/>
      <c r="BV24" s="244"/>
      <c r="BW24" s="244"/>
      <c r="BX24" s="244"/>
      <c r="BY24" s="244"/>
      <c r="BZ24" s="244"/>
      <c r="CA24" s="244"/>
      <c r="CB24" s="244"/>
      <c r="CC24" s="244"/>
      <c r="CD24" s="244"/>
    </row>
    <row r="25" spans="41:82">
      <c r="AO25" s="244"/>
      <c r="AP25" s="244"/>
      <c r="AQ25" s="244"/>
      <c r="AR25" s="244"/>
      <c r="AS25" s="244"/>
      <c r="AT25" s="244"/>
      <c r="AU25" s="244"/>
      <c r="AV25" s="244"/>
      <c r="AW25" s="244"/>
      <c r="AX25" s="244"/>
      <c r="AY25" s="244"/>
      <c r="AZ25" s="244"/>
      <c r="BA25" s="244"/>
      <c r="BB25" s="244"/>
      <c r="BC25" s="244"/>
      <c r="BD25" s="244"/>
      <c r="BE25" s="244"/>
      <c r="BF25" s="244"/>
      <c r="BG25" s="244"/>
      <c r="BH25" s="244"/>
      <c r="BI25" s="244"/>
      <c r="BJ25" s="244"/>
      <c r="BK25" s="244"/>
      <c r="BL25" s="244"/>
      <c r="BM25" s="244"/>
      <c r="BN25" s="244"/>
      <c r="BO25" s="244"/>
      <c r="BP25" s="244"/>
      <c r="BQ25" s="244"/>
      <c r="BR25" s="244"/>
      <c r="BS25" s="244"/>
      <c r="BT25" s="244"/>
      <c r="BU25" s="244"/>
      <c r="BV25" s="244"/>
      <c r="BW25" s="244"/>
      <c r="BX25" s="244"/>
      <c r="BY25" s="244"/>
      <c r="BZ25" s="244"/>
      <c r="CA25" s="244"/>
      <c r="CB25" s="244"/>
      <c r="CC25" s="244"/>
      <c r="CD25" s="244"/>
    </row>
    <row r="26" spans="41:82">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c r="BL26" s="244"/>
      <c r="BM26" s="244"/>
      <c r="BN26" s="244"/>
      <c r="BO26" s="244"/>
      <c r="BP26" s="244"/>
      <c r="BQ26" s="244"/>
      <c r="BR26" s="244"/>
      <c r="BS26" s="244"/>
      <c r="BT26" s="244"/>
      <c r="BU26" s="244"/>
      <c r="BV26" s="244"/>
      <c r="BW26" s="244"/>
      <c r="BX26" s="244"/>
      <c r="BY26" s="244"/>
      <c r="BZ26" s="244"/>
      <c r="CA26" s="244"/>
      <c r="CB26" s="244"/>
      <c r="CC26" s="244"/>
      <c r="CD26" s="244"/>
    </row>
    <row r="27" spans="41:82">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c r="BL27" s="244"/>
      <c r="BM27" s="244"/>
      <c r="BN27" s="244"/>
      <c r="BO27" s="244"/>
      <c r="BP27" s="244"/>
      <c r="BQ27" s="244"/>
      <c r="BR27" s="244"/>
      <c r="BS27" s="244"/>
      <c r="BT27" s="244"/>
      <c r="BU27" s="244"/>
      <c r="BV27" s="244"/>
      <c r="BW27" s="244"/>
      <c r="BX27" s="244"/>
      <c r="BY27" s="244"/>
      <c r="BZ27" s="244"/>
      <c r="CA27" s="244"/>
      <c r="CB27" s="244"/>
      <c r="CC27" s="244"/>
      <c r="CD27" s="244"/>
    </row>
    <row r="28" spans="41:82">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c r="BL28" s="244"/>
      <c r="BM28" s="244"/>
      <c r="BN28" s="244"/>
      <c r="BO28" s="244"/>
      <c r="BP28" s="244"/>
      <c r="BQ28" s="244"/>
      <c r="BR28" s="244"/>
      <c r="BS28" s="244"/>
      <c r="BT28" s="244"/>
      <c r="BU28" s="244"/>
      <c r="BV28" s="244"/>
      <c r="BW28" s="244"/>
      <c r="BX28" s="244"/>
      <c r="BY28" s="244"/>
      <c r="BZ28" s="244"/>
      <c r="CA28" s="244"/>
      <c r="CB28" s="244"/>
      <c r="CC28" s="244"/>
      <c r="CD28" s="244"/>
    </row>
    <row r="29" spans="41:82">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c r="BL29" s="244"/>
      <c r="BM29" s="244"/>
      <c r="BN29" s="244"/>
      <c r="BO29" s="244"/>
      <c r="BP29" s="244"/>
      <c r="BQ29" s="244"/>
      <c r="BR29" s="244"/>
      <c r="BS29" s="244"/>
      <c r="BT29" s="244"/>
      <c r="BU29" s="244"/>
      <c r="BV29" s="244"/>
      <c r="BW29" s="244"/>
      <c r="BX29" s="244"/>
      <c r="BY29" s="244"/>
      <c r="BZ29" s="244"/>
      <c r="CA29" s="244"/>
      <c r="CB29" s="244"/>
      <c r="CC29" s="244"/>
      <c r="CD29" s="244"/>
    </row>
    <row r="30" spans="41:82">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c r="BL30" s="244"/>
      <c r="BM30" s="244"/>
      <c r="BN30" s="244"/>
      <c r="BO30" s="244"/>
      <c r="BP30" s="244"/>
      <c r="BQ30" s="244"/>
      <c r="BR30" s="244"/>
      <c r="BS30" s="244"/>
      <c r="BT30" s="244"/>
      <c r="BU30" s="244"/>
      <c r="BV30" s="244"/>
      <c r="BW30" s="244"/>
      <c r="BX30" s="244"/>
      <c r="BY30" s="244"/>
      <c r="BZ30" s="244"/>
      <c r="CA30" s="244"/>
      <c r="CB30" s="244"/>
      <c r="CC30" s="244"/>
      <c r="CD30" s="244"/>
    </row>
    <row r="31" spans="41:82">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c r="BK31" s="244"/>
      <c r="BL31" s="244"/>
      <c r="BM31" s="244"/>
      <c r="BN31" s="244"/>
      <c r="BO31" s="244"/>
      <c r="BP31" s="244"/>
      <c r="BQ31" s="244"/>
      <c r="BR31" s="244"/>
      <c r="BS31" s="244"/>
      <c r="BT31" s="244"/>
      <c r="BU31" s="244"/>
      <c r="BV31" s="244"/>
      <c r="BW31" s="244"/>
      <c r="BX31" s="244"/>
      <c r="BY31" s="244"/>
      <c r="BZ31" s="244"/>
      <c r="CA31" s="244"/>
      <c r="CB31" s="244"/>
      <c r="CC31" s="244"/>
      <c r="CD31" s="244"/>
    </row>
    <row r="32" spans="41:82">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c r="BK32" s="244"/>
      <c r="BL32" s="244"/>
      <c r="BM32" s="244"/>
      <c r="BN32" s="244"/>
      <c r="BO32" s="244"/>
      <c r="BP32" s="244"/>
      <c r="BQ32" s="244"/>
      <c r="BR32" s="244"/>
      <c r="BS32" s="244"/>
      <c r="BT32" s="244"/>
      <c r="BU32" s="244"/>
      <c r="BV32" s="244"/>
      <c r="BW32" s="244"/>
      <c r="BX32" s="244"/>
      <c r="BY32" s="244"/>
      <c r="BZ32" s="244"/>
      <c r="CA32" s="244"/>
      <c r="CB32" s="244"/>
      <c r="CC32" s="244"/>
      <c r="CD32" s="244"/>
    </row>
    <row r="33" spans="41:82">
      <c r="AO33" s="244"/>
      <c r="AP33" s="244"/>
      <c r="AQ33" s="244"/>
      <c r="AR33" s="244"/>
      <c r="AS33" s="244"/>
      <c r="AT33" s="244"/>
      <c r="AU33" s="244"/>
      <c r="AV33" s="244"/>
      <c r="AW33" s="244"/>
      <c r="AX33" s="244"/>
      <c r="AY33" s="244"/>
      <c r="AZ33" s="244"/>
      <c r="BA33" s="244"/>
      <c r="BB33" s="244"/>
      <c r="BC33" s="244"/>
      <c r="BD33" s="244"/>
      <c r="BE33" s="244"/>
      <c r="BF33" s="244"/>
      <c r="BG33" s="244"/>
      <c r="BH33" s="244"/>
      <c r="BI33" s="244"/>
      <c r="BJ33" s="244"/>
      <c r="BK33" s="244"/>
      <c r="BL33" s="244"/>
      <c r="BM33" s="244"/>
      <c r="BN33" s="244"/>
      <c r="BO33" s="244"/>
      <c r="BP33" s="244"/>
      <c r="BQ33" s="244"/>
      <c r="BR33" s="244"/>
      <c r="BS33" s="244"/>
      <c r="BT33" s="244"/>
      <c r="BU33" s="244"/>
      <c r="BV33" s="244"/>
      <c r="BW33" s="244"/>
      <c r="BX33" s="244"/>
      <c r="BY33" s="244"/>
      <c r="BZ33" s="244"/>
      <c r="CA33" s="244"/>
      <c r="CB33" s="244"/>
      <c r="CC33" s="244"/>
      <c r="CD33" s="244"/>
    </row>
    <row r="34" spans="41:82">
      <c r="AO34" s="244"/>
      <c r="AP34" s="244"/>
      <c r="AQ34" s="244"/>
      <c r="AR34" s="244"/>
      <c r="AS34" s="244"/>
      <c r="AT34" s="244"/>
      <c r="AU34" s="244"/>
      <c r="AV34" s="244"/>
      <c r="AW34" s="244"/>
      <c r="AX34" s="244"/>
      <c r="AY34" s="244"/>
      <c r="AZ34" s="244"/>
      <c r="BA34" s="244"/>
      <c r="BB34" s="244"/>
      <c r="BC34" s="244"/>
      <c r="BD34" s="244"/>
      <c r="BE34" s="244"/>
      <c r="BF34" s="244"/>
      <c r="BG34" s="244"/>
      <c r="BH34" s="244"/>
      <c r="BI34" s="244"/>
      <c r="BJ34" s="244"/>
      <c r="BK34" s="244"/>
      <c r="BL34" s="244"/>
      <c r="BM34" s="244"/>
      <c r="BN34" s="244"/>
      <c r="BO34" s="244"/>
      <c r="BP34" s="244"/>
      <c r="BQ34" s="244"/>
      <c r="BR34" s="244"/>
      <c r="BS34" s="244"/>
      <c r="BT34" s="244"/>
      <c r="BU34" s="244"/>
      <c r="BV34" s="244"/>
      <c r="BW34" s="244"/>
      <c r="BX34" s="244"/>
      <c r="BY34" s="244"/>
      <c r="BZ34" s="244"/>
      <c r="CA34" s="244"/>
      <c r="CB34" s="244"/>
      <c r="CC34" s="244"/>
      <c r="CD34" s="244"/>
    </row>
    <row r="35" spans="41:82">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c r="BL35" s="244"/>
      <c r="BM35" s="244"/>
      <c r="BN35" s="244"/>
      <c r="BO35" s="244"/>
      <c r="BP35" s="244"/>
      <c r="BQ35" s="244"/>
      <c r="BR35" s="244"/>
      <c r="BS35" s="244"/>
      <c r="BT35" s="244"/>
      <c r="BU35" s="244"/>
      <c r="BV35" s="244"/>
      <c r="BW35" s="244"/>
      <c r="BX35" s="244"/>
      <c r="BY35" s="244"/>
      <c r="BZ35" s="244"/>
      <c r="CA35" s="244"/>
      <c r="CB35" s="244"/>
      <c r="CC35" s="244"/>
      <c r="CD35" s="244"/>
    </row>
    <row r="36" spans="41:82">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c r="BK36" s="244"/>
      <c r="BL36" s="244"/>
      <c r="BM36" s="244"/>
      <c r="BN36" s="244"/>
      <c r="BO36" s="244"/>
      <c r="BP36" s="244"/>
      <c r="BQ36" s="244"/>
      <c r="BR36" s="244"/>
      <c r="BS36" s="244"/>
      <c r="BT36" s="244"/>
      <c r="BU36" s="244"/>
      <c r="BV36" s="244"/>
      <c r="BW36" s="244"/>
      <c r="BX36" s="244"/>
      <c r="BY36" s="244"/>
      <c r="BZ36" s="244"/>
      <c r="CA36" s="244"/>
      <c r="CB36" s="244"/>
      <c r="CC36" s="244"/>
      <c r="CD36" s="244"/>
    </row>
    <row r="37" spans="41:82">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c r="BK37" s="244"/>
      <c r="BL37" s="244"/>
      <c r="BM37" s="244"/>
      <c r="BN37" s="244"/>
      <c r="BO37" s="244"/>
      <c r="BP37" s="244"/>
      <c r="BQ37" s="244"/>
      <c r="BR37" s="244"/>
      <c r="BS37" s="244"/>
      <c r="BT37" s="244"/>
      <c r="BU37" s="244"/>
      <c r="BV37" s="244"/>
      <c r="BW37" s="244"/>
      <c r="BX37" s="244"/>
      <c r="BY37" s="244"/>
      <c r="BZ37" s="244"/>
      <c r="CA37" s="244"/>
      <c r="CB37" s="244"/>
      <c r="CC37" s="244"/>
      <c r="CD37" s="244"/>
    </row>
    <row r="38" spans="41:82">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c r="BK38" s="244"/>
      <c r="BL38" s="244"/>
      <c r="BM38" s="244"/>
      <c r="BN38" s="244"/>
      <c r="BO38" s="244"/>
      <c r="BP38" s="244"/>
      <c r="BQ38" s="244"/>
      <c r="BR38" s="244"/>
      <c r="BS38" s="244"/>
      <c r="BT38" s="244"/>
      <c r="BU38" s="244"/>
      <c r="BV38" s="244"/>
      <c r="BW38" s="244"/>
      <c r="BX38" s="244"/>
      <c r="BY38" s="244"/>
      <c r="BZ38" s="244"/>
      <c r="CA38" s="244"/>
      <c r="CB38" s="244"/>
      <c r="CC38" s="244"/>
      <c r="CD38" s="244"/>
    </row>
    <row r="39" spans="41:82">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c r="BK39" s="244"/>
      <c r="BL39" s="244"/>
      <c r="BM39" s="244"/>
      <c r="BN39" s="244"/>
      <c r="BO39" s="244"/>
      <c r="BP39" s="244"/>
      <c r="BQ39" s="244"/>
      <c r="BR39" s="244"/>
      <c r="BS39" s="244"/>
      <c r="BT39" s="244"/>
      <c r="BU39" s="244"/>
      <c r="BV39" s="244"/>
      <c r="BW39" s="244"/>
      <c r="BX39" s="244"/>
      <c r="BY39" s="244"/>
      <c r="BZ39" s="244"/>
      <c r="CA39" s="244"/>
      <c r="CB39" s="244"/>
      <c r="CC39" s="244"/>
      <c r="CD39" s="244"/>
    </row>
    <row r="40" spans="41:82">
      <c r="AO40" s="244"/>
      <c r="AP40" s="244"/>
      <c r="AQ40" s="244"/>
      <c r="AR40" s="244"/>
      <c r="AS40" s="244"/>
      <c r="AT40" s="244"/>
      <c r="AU40" s="244"/>
      <c r="AV40" s="244"/>
      <c r="AW40" s="244"/>
      <c r="AX40" s="244"/>
      <c r="AY40" s="244"/>
      <c r="AZ40" s="244"/>
      <c r="BA40" s="244"/>
      <c r="BB40" s="244"/>
      <c r="BC40" s="244"/>
      <c r="BD40" s="244"/>
      <c r="BE40" s="244"/>
      <c r="BF40" s="244"/>
      <c r="BG40" s="244"/>
      <c r="BH40" s="244"/>
      <c r="BI40" s="244"/>
      <c r="BJ40" s="244"/>
      <c r="BK40" s="244"/>
      <c r="BL40" s="244"/>
      <c r="BM40" s="244"/>
      <c r="BN40" s="244"/>
      <c r="BO40" s="244"/>
      <c r="BP40" s="244"/>
      <c r="BQ40" s="244"/>
      <c r="BR40" s="244"/>
      <c r="BS40" s="244"/>
      <c r="BT40" s="244"/>
      <c r="BU40" s="244"/>
      <c r="BV40" s="244"/>
      <c r="BW40" s="244"/>
      <c r="BX40" s="244"/>
      <c r="BY40" s="244"/>
      <c r="BZ40" s="244"/>
      <c r="CA40" s="244"/>
      <c r="CB40" s="244"/>
      <c r="CC40" s="244"/>
      <c r="CD40" s="244"/>
    </row>
    <row r="41" spans="41:82">
      <c r="AO41" s="244"/>
      <c r="AP41" s="244"/>
      <c r="AQ41" s="244"/>
      <c r="AR41" s="244"/>
      <c r="AS41" s="244"/>
      <c r="AT41" s="244"/>
      <c r="AU41" s="244"/>
      <c r="AV41" s="244"/>
      <c r="AW41" s="244"/>
      <c r="AX41" s="244"/>
      <c r="AY41" s="244"/>
      <c r="AZ41" s="244"/>
      <c r="BA41" s="244"/>
      <c r="BB41" s="244"/>
      <c r="BC41" s="244"/>
      <c r="BD41" s="244"/>
      <c r="BE41" s="244"/>
      <c r="BF41" s="244"/>
      <c r="BG41" s="244"/>
      <c r="BH41" s="244"/>
      <c r="BI41" s="244"/>
      <c r="BJ41" s="244"/>
      <c r="BK41" s="244"/>
      <c r="BL41" s="244"/>
      <c r="BM41" s="244"/>
      <c r="BN41" s="244"/>
      <c r="BO41" s="244"/>
      <c r="BP41" s="244"/>
      <c r="BQ41" s="244"/>
      <c r="BR41" s="244"/>
      <c r="BS41" s="244"/>
      <c r="BT41" s="244"/>
      <c r="BU41" s="244"/>
      <c r="BV41" s="244"/>
      <c r="BW41" s="244"/>
      <c r="BX41" s="244"/>
      <c r="BY41" s="244"/>
      <c r="BZ41" s="244"/>
      <c r="CA41" s="244"/>
      <c r="CB41" s="244"/>
      <c r="CC41" s="244"/>
      <c r="CD41" s="244"/>
    </row>
    <row r="42" spans="41:82">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c r="BL42" s="244"/>
      <c r="BM42" s="244"/>
      <c r="BN42" s="244"/>
      <c r="BO42" s="244"/>
      <c r="BP42" s="244"/>
      <c r="BQ42" s="244"/>
      <c r="BR42" s="244"/>
      <c r="BS42" s="244"/>
      <c r="BT42" s="244"/>
      <c r="BU42" s="244"/>
      <c r="BV42" s="244"/>
      <c r="BW42" s="244"/>
      <c r="BX42" s="244"/>
      <c r="BY42" s="244"/>
      <c r="BZ42" s="244"/>
      <c r="CA42" s="244"/>
      <c r="CB42" s="244"/>
      <c r="CC42" s="244"/>
      <c r="CD42" s="244"/>
    </row>
    <row r="43" spans="41:82">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c r="BL43" s="244"/>
      <c r="BM43" s="244"/>
      <c r="BN43" s="244"/>
      <c r="BO43" s="244"/>
      <c r="BP43" s="244"/>
      <c r="BQ43" s="244"/>
      <c r="BR43" s="244"/>
      <c r="BS43" s="244"/>
      <c r="BT43" s="244"/>
      <c r="BU43" s="244"/>
      <c r="BV43" s="244"/>
      <c r="BW43" s="244"/>
      <c r="BX43" s="244"/>
      <c r="BY43" s="244"/>
      <c r="BZ43" s="244"/>
      <c r="CA43" s="244"/>
      <c r="CB43" s="244"/>
      <c r="CC43" s="244"/>
      <c r="CD43" s="244"/>
    </row>
    <row r="44" spans="41:82">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c r="BK44" s="244"/>
      <c r="BL44" s="244"/>
      <c r="BM44" s="244"/>
      <c r="BN44" s="244"/>
      <c r="BO44" s="244"/>
      <c r="BP44" s="244"/>
      <c r="BQ44" s="244"/>
      <c r="BR44" s="244"/>
      <c r="BS44" s="244"/>
      <c r="BT44" s="244"/>
      <c r="BU44" s="244"/>
      <c r="BV44" s="244"/>
      <c r="BW44" s="244"/>
      <c r="BX44" s="244"/>
      <c r="BY44" s="244"/>
      <c r="BZ44" s="244"/>
      <c r="CA44" s="244"/>
      <c r="CB44" s="244"/>
      <c r="CC44" s="244"/>
      <c r="CD44" s="244"/>
    </row>
    <row r="45" spans="41:82">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c r="BK45" s="244"/>
      <c r="BL45" s="244"/>
      <c r="BM45" s="244"/>
      <c r="BN45" s="244"/>
      <c r="BO45" s="244"/>
      <c r="BP45" s="244"/>
      <c r="BQ45" s="244"/>
      <c r="BR45" s="244"/>
      <c r="BS45" s="244"/>
      <c r="BT45" s="244"/>
      <c r="BU45" s="244"/>
      <c r="BV45" s="244"/>
      <c r="BW45" s="244"/>
      <c r="BX45" s="244"/>
      <c r="BY45" s="244"/>
      <c r="BZ45" s="244"/>
      <c r="CA45" s="244"/>
      <c r="CB45" s="244"/>
      <c r="CC45" s="244"/>
      <c r="CD45" s="244"/>
    </row>
    <row r="46" spans="41:82">
      <c r="AO46" s="244"/>
      <c r="AP46" s="244"/>
      <c r="AQ46" s="244"/>
      <c r="AR46" s="244"/>
      <c r="AS46" s="244"/>
      <c r="AT46" s="244"/>
      <c r="AU46" s="244"/>
      <c r="AV46" s="244"/>
      <c r="AW46" s="244"/>
      <c r="AX46" s="244"/>
      <c r="AY46" s="244"/>
      <c r="AZ46" s="244"/>
      <c r="BA46" s="244"/>
      <c r="BB46" s="244"/>
      <c r="BC46" s="244"/>
      <c r="BD46" s="244"/>
      <c r="BE46" s="244"/>
      <c r="BF46" s="244"/>
      <c r="BG46" s="244"/>
      <c r="BH46" s="244"/>
      <c r="BI46" s="244"/>
      <c r="BJ46" s="244"/>
      <c r="BK46" s="244"/>
      <c r="BL46" s="244"/>
      <c r="BM46" s="244"/>
      <c r="BN46" s="244"/>
      <c r="BO46" s="244"/>
      <c r="BP46" s="244"/>
      <c r="BQ46" s="244"/>
      <c r="BR46" s="244"/>
      <c r="BS46" s="244"/>
      <c r="BT46" s="244"/>
      <c r="BU46" s="244"/>
      <c r="BV46" s="244"/>
      <c r="BW46" s="244"/>
      <c r="BX46" s="244"/>
      <c r="BY46" s="244"/>
      <c r="BZ46" s="244"/>
      <c r="CA46" s="244"/>
      <c r="CB46" s="244"/>
      <c r="CC46" s="244"/>
      <c r="CD46" s="244"/>
    </row>
    <row r="47" spans="41:82">
      <c r="AO47" s="244"/>
      <c r="AP47" s="244"/>
      <c r="AQ47" s="244"/>
      <c r="AR47" s="244"/>
      <c r="AS47" s="244"/>
      <c r="AT47" s="244"/>
      <c r="AU47" s="244"/>
      <c r="AV47" s="244"/>
      <c r="AW47" s="244"/>
      <c r="AX47" s="244"/>
      <c r="AY47" s="244"/>
      <c r="AZ47" s="244"/>
      <c r="BA47" s="244"/>
      <c r="BB47" s="244"/>
      <c r="BC47" s="244"/>
      <c r="BD47" s="244"/>
      <c r="BE47" s="244"/>
      <c r="BF47" s="244"/>
      <c r="BG47" s="244"/>
      <c r="BH47" s="244"/>
      <c r="BI47" s="244"/>
      <c r="BJ47" s="244"/>
      <c r="BK47" s="244"/>
      <c r="BL47" s="244"/>
      <c r="BM47" s="244"/>
      <c r="BN47" s="244"/>
      <c r="BO47" s="244"/>
      <c r="BP47" s="244"/>
      <c r="BQ47" s="244"/>
      <c r="BR47" s="244"/>
      <c r="BS47" s="244"/>
      <c r="BT47" s="244"/>
      <c r="BU47" s="244"/>
      <c r="BV47" s="244"/>
      <c r="BW47" s="244"/>
      <c r="BX47" s="244"/>
      <c r="BY47" s="244"/>
      <c r="BZ47" s="244"/>
      <c r="CA47" s="244"/>
      <c r="CB47" s="244"/>
      <c r="CC47" s="244"/>
      <c r="CD47" s="244"/>
    </row>
    <row r="48" spans="41:82">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c r="BK48" s="244"/>
      <c r="BL48" s="244"/>
      <c r="BM48" s="244"/>
      <c r="BN48" s="244"/>
      <c r="BO48" s="244"/>
      <c r="BP48" s="244"/>
      <c r="BQ48" s="244"/>
      <c r="BR48" s="244"/>
      <c r="BS48" s="244"/>
      <c r="BT48" s="244"/>
      <c r="BU48" s="244"/>
      <c r="BV48" s="244"/>
      <c r="BW48" s="244"/>
      <c r="BX48" s="244"/>
      <c r="BY48" s="244"/>
      <c r="BZ48" s="244"/>
      <c r="CA48" s="244"/>
      <c r="CB48" s="244"/>
      <c r="CC48" s="244"/>
      <c r="CD48" s="244"/>
    </row>
    <row r="49" spans="41:82">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c r="BK49" s="244"/>
      <c r="BL49" s="244"/>
      <c r="BM49" s="244"/>
      <c r="BN49" s="244"/>
      <c r="BO49" s="244"/>
      <c r="BP49" s="244"/>
      <c r="BQ49" s="244"/>
      <c r="BR49" s="244"/>
      <c r="BS49" s="244"/>
      <c r="BT49" s="244"/>
      <c r="BU49" s="244"/>
      <c r="BV49" s="244"/>
      <c r="BW49" s="244"/>
      <c r="BX49" s="244"/>
      <c r="BY49" s="244"/>
      <c r="BZ49" s="244"/>
      <c r="CA49" s="244"/>
      <c r="CB49" s="244"/>
      <c r="CC49" s="244"/>
      <c r="CD49" s="244"/>
    </row>
    <row r="50" spans="41:82">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c r="BK50" s="244"/>
      <c r="BL50" s="244"/>
      <c r="BM50" s="244"/>
      <c r="BN50" s="244"/>
      <c r="BO50" s="244"/>
      <c r="BP50" s="244"/>
      <c r="BQ50" s="244"/>
      <c r="BR50" s="244"/>
      <c r="BS50" s="244"/>
      <c r="BT50" s="244"/>
      <c r="BU50" s="244"/>
      <c r="BV50" s="244"/>
      <c r="BW50" s="244"/>
      <c r="BX50" s="244"/>
      <c r="BY50" s="244"/>
      <c r="BZ50" s="244"/>
      <c r="CA50" s="244"/>
      <c r="CB50" s="244"/>
      <c r="CC50" s="244"/>
      <c r="CD50" s="244"/>
    </row>
    <row r="51" spans="41:82">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c r="BK51" s="244"/>
      <c r="BL51" s="244"/>
      <c r="BM51" s="244"/>
      <c r="BN51" s="244"/>
      <c r="BO51" s="244"/>
      <c r="BP51" s="244"/>
      <c r="BQ51" s="244"/>
      <c r="BR51" s="244"/>
      <c r="BS51" s="244"/>
      <c r="BT51" s="244"/>
      <c r="BU51" s="244"/>
      <c r="BV51" s="244"/>
      <c r="BW51" s="244"/>
      <c r="BX51" s="244"/>
      <c r="BY51" s="244"/>
      <c r="BZ51" s="244"/>
      <c r="CA51" s="244"/>
      <c r="CB51" s="244"/>
      <c r="CC51" s="244"/>
      <c r="CD51" s="244"/>
    </row>
    <row r="52" spans="41:82">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c r="BL52" s="244"/>
      <c r="BM52" s="244"/>
      <c r="BN52" s="244"/>
      <c r="BO52" s="244"/>
      <c r="BP52" s="244"/>
      <c r="BQ52" s="244"/>
      <c r="BR52" s="244"/>
      <c r="BS52" s="244"/>
      <c r="BT52" s="244"/>
      <c r="BU52" s="244"/>
      <c r="BV52" s="244"/>
      <c r="BW52" s="244"/>
      <c r="BX52" s="244"/>
      <c r="BY52" s="244"/>
      <c r="BZ52" s="244"/>
      <c r="CA52" s="244"/>
      <c r="CB52" s="244"/>
      <c r="CC52" s="244"/>
      <c r="CD52" s="244"/>
    </row>
    <row r="53" spans="41:82">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c r="BL53" s="244"/>
      <c r="BM53" s="244"/>
      <c r="BN53" s="244"/>
      <c r="BO53" s="244"/>
      <c r="BP53" s="244"/>
      <c r="BQ53" s="244"/>
      <c r="BR53" s="244"/>
      <c r="BS53" s="244"/>
      <c r="BT53" s="244"/>
      <c r="BU53" s="244"/>
      <c r="BV53" s="244"/>
      <c r="BW53" s="244"/>
      <c r="BX53" s="244"/>
      <c r="BY53" s="244"/>
      <c r="BZ53" s="244"/>
      <c r="CA53" s="244"/>
      <c r="CB53" s="244"/>
      <c r="CC53" s="244"/>
      <c r="CD53" s="244"/>
    </row>
    <row r="54" spans="41:82">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c r="BL54" s="244"/>
      <c r="BM54" s="244"/>
      <c r="BN54" s="244"/>
      <c r="BO54" s="244"/>
      <c r="BP54" s="244"/>
      <c r="BQ54" s="244"/>
      <c r="BR54" s="244"/>
      <c r="BS54" s="244"/>
      <c r="BT54" s="244"/>
      <c r="BU54" s="244"/>
      <c r="BV54" s="244"/>
      <c r="BW54" s="244"/>
      <c r="BX54" s="244"/>
      <c r="BY54" s="244"/>
      <c r="BZ54" s="244"/>
      <c r="CA54" s="244"/>
      <c r="CB54" s="244"/>
      <c r="CC54" s="244"/>
      <c r="CD54" s="244"/>
    </row>
    <row r="55" spans="41:82">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c r="BL55" s="244"/>
      <c r="BM55" s="244"/>
      <c r="BN55" s="244"/>
      <c r="BO55" s="244"/>
      <c r="BP55" s="244"/>
      <c r="BQ55" s="244"/>
      <c r="BR55" s="244"/>
      <c r="BS55" s="244"/>
      <c r="BT55" s="244"/>
      <c r="BU55" s="244"/>
      <c r="BV55" s="244"/>
      <c r="BW55" s="244"/>
      <c r="BX55" s="244"/>
      <c r="BY55" s="244"/>
      <c r="BZ55" s="244"/>
      <c r="CA55" s="244"/>
      <c r="CB55" s="244"/>
      <c r="CC55" s="244"/>
      <c r="CD55" s="244"/>
    </row>
    <row r="56" spans="41:82">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c r="BL56" s="244"/>
      <c r="BM56" s="244"/>
      <c r="BN56" s="244"/>
      <c r="BO56" s="244"/>
      <c r="BP56" s="244"/>
      <c r="BQ56" s="244"/>
      <c r="BR56" s="244"/>
      <c r="BS56" s="244"/>
      <c r="BT56" s="244"/>
      <c r="BU56" s="244"/>
      <c r="BV56" s="244"/>
      <c r="BW56" s="244"/>
      <c r="BX56" s="244"/>
      <c r="BY56" s="244"/>
      <c r="BZ56" s="244"/>
      <c r="CA56" s="244"/>
      <c r="CB56" s="244"/>
      <c r="CC56" s="244"/>
      <c r="CD56" s="244"/>
    </row>
    <row r="57" spans="41:82">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c r="BL57" s="244"/>
      <c r="BM57" s="244"/>
      <c r="BN57" s="244"/>
      <c r="BO57" s="244"/>
      <c r="BP57" s="244"/>
      <c r="BQ57" s="244"/>
      <c r="BR57" s="244"/>
      <c r="BS57" s="244"/>
      <c r="BT57" s="244"/>
      <c r="BU57" s="244"/>
      <c r="BV57" s="244"/>
      <c r="BW57" s="244"/>
      <c r="BX57" s="244"/>
      <c r="BY57" s="244"/>
      <c r="BZ57" s="244"/>
      <c r="CA57" s="244"/>
      <c r="CB57" s="244"/>
      <c r="CC57" s="244"/>
      <c r="CD57" s="244"/>
    </row>
    <row r="58" spans="41:82">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c r="BL58" s="244"/>
      <c r="BM58" s="244"/>
      <c r="BN58" s="244"/>
      <c r="BO58" s="244"/>
      <c r="BP58" s="244"/>
      <c r="BQ58" s="244"/>
      <c r="BR58" s="244"/>
      <c r="BS58" s="244"/>
      <c r="BT58" s="244"/>
      <c r="BU58" s="244"/>
      <c r="BV58" s="244"/>
      <c r="BW58" s="244"/>
      <c r="BX58" s="244"/>
      <c r="BY58" s="244"/>
      <c r="BZ58" s="244"/>
      <c r="CA58" s="244"/>
      <c r="CB58" s="244"/>
      <c r="CC58" s="244"/>
      <c r="CD58" s="244"/>
    </row>
    <row r="59" spans="41:82">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c r="BL59" s="244"/>
      <c r="BM59" s="244"/>
      <c r="BN59" s="244"/>
      <c r="BO59" s="244"/>
      <c r="BP59" s="244"/>
      <c r="BQ59" s="244"/>
      <c r="BR59" s="244"/>
      <c r="BS59" s="244"/>
      <c r="BT59" s="244"/>
      <c r="BU59" s="244"/>
      <c r="BV59" s="244"/>
      <c r="BW59" s="244"/>
      <c r="BX59" s="244"/>
      <c r="BY59" s="244"/>
      <c r="BZ59" s="244"/>
      <c r="CA59" s="244"/>
      <c r="CB59" s="244"/>
      <c r="CC59" s="244"/>
      <c r="CD59" s="244"/>
    </row>
    <row r="60" spans="41:82">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c r="BL60" s="244"/>
      <c r="BM60" s="244"/>
      <c r="BN60" s="244"/>
      <c r="BO60" s="244"/>
      <c r="BP60" s="244"/>
      <c r="BQ60" s="244"/>
      <c r="BR60" s="244"/>
      <c r="BS60" s="244"/>
      <c r="BT60" s="244"/>
      <c r="BU60" s="244"/>
      <c r="BV60" s="244"/>
      <c r="BW60" s="244"/>
      <c r="BX60" s="244"/>
      <c r="BY60" s="244"/>
      <c r="BZ60" s="244"/>
      <c r="CA60" s="244"/>
      <c r="CB60" s="244"/>
      <c r="CC60" s="244"/>
      <c r="CD60" s="244"/>
    </row>
    <row r="61" spans="41:82">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c r="BL61" s="244"/>
      <c r="BM61" s="244"/>
      <c r="BN61" s="244"/>
      <c r="BO61" s="244"/>
      <c r="BP61" s="244"/>
      <c r="BQ61" s="244"/>
      <c r="BR61" s="244"/>
      <c r="BS61" s="244"/>
      <c r="BT61" s="244"/>
      <c r="BU61" s="244"/>
      <c r="BV61" s="244"/>
      <c r="BW61" s="244"/>
      <c r="BX61" s="244"/>
      <c r="BY61" s="244"/>
      <c r="BZ61" s="244"/>
      <c r="CA61" s="244"/>
      <c r="CB61" s="244"/>
      <c r="CC61" s="244"/>
      <c r="CD61" s="244"/>
    </row>
    <row r="118" spans="1:3" ht="15">
      <c r="A118" s="238"/>
      <c r="B118" s="245"/>
      <c r="C118" s="245"/>
    </row>
    <row r="119" spans="1:3" ht="15">
      <c r="A119" s="239"/>
      <c r="B119" s="246"/>
      <c r="C119" s="246"/>
    </row>
    <row r="120" spans="1:3" ht="15">
      <c r="A120" s="238"/>
      <c r="B120" s="245"/>
      <c r="C120" s="245"/>
    </row>
    <row r="121" spans="1:3" ht="15">
      <c r="A121" s="239"/>
      <c r="B121" s="246"/>
      <c r="C121" s="246"/>
    </row>
    <row r="122" spans="1:3" ht="15">
      <c r="A122" s="238"/>
      <c r="B122" s="245"/>
      <c r="C122" s="245"/>
    </row>
    <row r="123" spans="1:3" ht="15">
      <c r="A123" s="239"/>
      <c r="B123" s="246"/>
      <c r="C123" s="246"/>
    </row>
    <row r="124" spans="1:3" ht="15">
      <c r="A124" s="238"/>
      <c r="B124" s="245"/>
      <c r="C124" s="245"/>
    </row>
    <row r="125" spans="1:3" ht="15">
      <c r="A125" s="239"/>
      <c r="B125" s="246"/>
      <c r="C125" s="246"/>
    </row>
    <row r="126" spans="1:3" ht="15">
      <c r="A126" s="238"/>
      <c r="B126" s="245"/>
      <c r="C126" s="245"/>
    </row>
    <row r="127" spans="1:3" ht="15">
      <c r="A127" s="239"/>
      <c r="B127" s="246"/>
      <c r="C127" s="246"/>
    </row>
    <row r="128" spans="1:3" ht="15">
      <c r="A128" s="238"/>
      <c r="B128" s="245"/>
      <c r="C128" s="245"/>
    </row>
  </sheetData>
  <phoneticPr fontId="18" type="noConversion"/>
  <dataValidations count="1">
    <dataValidation type="list" allowBlank="1" showInputMessage="1" showErrorMessage="1" sqref="A5:C5" xr:uid="{B4765029-A4ED-413D-ACEA-81F148C9A319}">
      <formula1>"Initate, Prepare, Create"</formula1>
    </dataValidation>
  </dataValidations>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A0454938D12DA34FAB5E7AF0EF94B0E4" ma:contentTypeVersion="8" ma:contentTypeDescription="Create a new document." ma:contentTypeScope="" ma:versionID="46e184e74dcc2860e561df68a5faaa85">
  <xsd:schema xmlns:xsd="http://www.w3.org/2001/XMLSchema" xmlns:xs="http://www.w3.org/2001/XMLSchema" xmlns:p="http://schemas.microsoft.com/office/2006/metadata/properties" xmlns:ns2="03ac710f-42be-4c16-baa0-177ff0ef70be" xmlns:ns3="548933ca-b380-4a29-b4bd-fc01c0d24bbd" targetNamespace="http://schemas.microsoft.com/office/2006/metadata/properties" ma:root="true" ma:fieldsID="690be1a5fdb430f61e042087786c5a64" ns2:_="" ns3:_="">
    <xsd:import namespace="03ac710f-42be-4c16-baa0-177ff0ef70be"/>
    <xsd:import namespace="548933ca-b380-4a29-b4bd-fc01c0d24bbd"/>
    <xsd:element name="properties">
      <xsd:complexType>
        <xsd:sequence>
          <xsd:element name="documentManagement">
            <xsd:complexType>
              <xsd:all>
                <xsd:element ref="ns2:ProjectID"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ac710f-42be-4c16-baa0-177ff0ef70be" elementFormDefault="qualified">
    <xsd:import namespace="http://schemas.microsoft.com/office/2006/documentManagement/types"/>
    <xsd:import namespace="http://schemas.microsoft.com/office/infopath/2007/PartnerControls"/>
    <xsd:element name="ProjectID" ma:index="8" nillable="true" ma:displayName="Project ID" ma:format="Dropdown" ma:internalName="ProjectID">
      <xsd:simpleType>
        <xsd:restriction base="dms:Text">
          <xsd:maxLength value="30"/>
        </xsd:restriction>
      </xsd:simpleType>
    </xsd:element>
  </xsd:schema>
  <xsd:schema xmlns:xsd="http://www.w3.org/2001/XMLSchema" xmlns:xs="http://www.w3.org/2001/XMLSchema" xmlns:dms="http://schemas.microsoft.com/office/2006/documentManagement/types" xmlns:pc="http://schemas.microsoft.com/office/infopath/2007/PartnerControls" targetNamespace="548933ca-b380-4a29-b4bd-fc01c0d24bbd" elementFormDefault="qualified">
    <xsd:import namespace="http://schemas.microsoft.com/office/2006/documentManagement/types"/>
    <xsd:import namespace="http://schemas.microsoft.com/office/infopath/2007/PartnerControls"/>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rojectID xmlns="03ac710f-42be-4c16-baa0-177ff0ef70be"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6CA672B-775A-4CC3-B4DF-6F0A446980C9}"/>
</file>

<file path=customXml/itemProps2.xml><?xml version="1.0" encoding="utf-8"?>
<ds:datastoreItem xmlns:ds="http://schemas.openxmlformats.org/officeDocument/2006/customXml" ds:itemID="{B14425AF-80F3-4201-AB83-29D92D1969BF}"/>
</file>

<file path=customXml/itemProps3.xml><?xml version="1.0" encoding="utf-8"?>
<ds:datastoreItem xmlns:ds="http://schemas.openxmlformats.org/officeDocument/2006/customXml" ds:itemID="{30570E91-912A-4F21-BC5D-D7D1FB870262}"/>
</file>

<file path=customXml/itemProps4.xml><?xml version="1.0" encoding="utf-8"?>
<ds:datastoreItem xmlns:ds="http://schemas.openxmlformats.org/officeDocument/2006/customXml" ds:itemID="{175A1257-D679-4DF7-B996-D360BA2D2126}"/>
</file>

<file path=docProps/app.xml><?xml version="1.0" encoding="utf-8"?>
<Properties xmlns="http://schemas.openxmlformats.org/officeDocument/2006/extended-properties" xmlns:vt="http://schemas.openxmlformats.org/officeDocument/2006/docPropsVTypes">
  <Application>Microsoft Excel Online</Application>
  <Manager/>
  <Company>Telepin</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Phil Volpe</dc:creator>
  <cp:keywords/>
  <dc:description/>
  <cp:lastModifiedBy>Vipin Kumar</cp:lastModifiedBy>
  <cp:revision/>
  <dcterms:created xsi:type="dcterms:W3CDTF">2002-02-06T22:46:05Z</dcterms:created>
  <dcterms:modified xsi:type="dcterms:W3CDTF">2026-02-20T15:24:52Z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hase">
    <vt:lpwstr>Market</vt:lpwstr>
  </property>
  <property fmtid="{D5CDD505-2E9C-101B-9397-08002B2CF9AE}" pid="3" name="Tool Type">
    <vt:lpwstr>Templates &amp; Forms</vt:lpwstr>
  </property>
  <property fmtid="{D5CDD505-2E9C-101B-9397-08002B2CF9AE}" pid="4" name="Tool Name">
    <vt:lpwstr>Current CPP Template with Burdened Costs</vt:lpwstr>
  </property>
  <property fmtid="{D5CDD505-2E9C-101B-9397-08002B2CF9AE}" pid="5" name="Status">
    <vt:lpwstr>Final</vt:lpwstr>
  </property>
  <property fmtid="{D5CDD505-2E9C-101B-9397-08002B2CF9AE}" pid="6" name="SPSDescription">
    <vt:lpwstr/>
  </property>
  <property fmtid="{D5CDD505-2E9C-101B-9397-08002B2CF9AE}" pid="7" name="ContentTypeId">
    <vt:lpwstr>0x010100A0454938D12DA34FAB5E7AF0EF94B0E4</vt:lpwstr>
  </property>
  <property fmtid="{D5CDD505-2E9C-101B-9397-08002B2CF9AE}" pid="8" name="Jet Reports Function Literals">
    <vt:lpwstr>,	;	,	{	}	[@[{0}]]	1033	1033</vt:lpwstr>
  </property>
  <property fmtid="{D5CDD505-2E9C-101B-9397-08002B2CF9AE}" pid="9" name="MediaServiceImageTags">
    <vt:lpwstr/>
  </property>
  <property fmtid="{D5CDD505-2E9C-101B-9397-08002B2CF9AE}" pid="10" name="SV_QUERY_LIST_4F35BF76-6C0D-4D9B-82B2-816C12CF3733">
    <vt:lpwstr>empty_477D106A-C0D6-4607-AEBD-E2C9D60EA279</vt:lpwstr>
  </property>
  <property fmtid="{D5CDD505-2E9C-101B-9397-08002B2CF9AE}" pid="11" name="SV_HIDDEN_GRID_QUERY_LIST_4F35BF76-6C0D-4D9B-82B2-816C12CF3733">
    <vt:lpwstr>empty_477D106A-C0D6-4607-AEBD-E2C9D60EA279</vt:lpwstr>
  </property>
  <property fmtid="{D5CDD505-2E9C-101B-9397-08002B2CF9AE}" pid="12" name="MSIP_Label_ec826127-46b1-45ac-9e27-945ccb74db61_Enabled">
    <vt:lpwstr>true</vt:lpwstr>
  </property>
  <property fmtid="{D5CDD505-2E9C-101B-9397-08002B2CF9AE}" pid="13" name="MSIP_Label_ec826127-46b1-45ac-9e27-945ccb74db61_SetDate">
    <vt:lpwstr>2026-02-20T05:02:39Z</vt:lpwstr>
  </property>
  <property fmtid="{D5CDD505-2E9C-101B-9397-08002B2CF9AE}" pid="14" name="MSIP_Label_ec826127-46b1-45ac-9e27-945ccb74db61_Method">
    <vt:lpwstr>Standard</vt:lpwstr>
  </property>
  <property fmtid="{D5CDD505-2E9C-101B-9397-08002B2CF9AE}" pid="15" name="MSIP_Label_ec826127-46b1-45ac-9e27-945ccb74db61_Name">
    <vt:lpwstr>Business</vt:lpwstr>
  </property>
  <property fmtid="{D5CDD505-2E9C-101B-9397-08002B2CF9AE}" pid="16" name="MSIP_Label_ec826127-46b1-45ac-9e27-945ccb74db61_SiteId">
    <vt:lpwstr>9859ffb1-7981-473e-a830-5d5d215af95c</vt:lpwstr>
  </property>
  <property fmtid="{D5CDD505-2E9C-101B-9397-08002B2CF9AE}" pid="17" name="MSIP_Label_ec826127-46b1-45ac-9e27-945ccb74db61_ActionId">
    <vt:lpwstr>3a5180a1-b62b-47fc-a3a4-5bf0b17a4481</vt:lpwstr>
  </property>
  <property fmtid="{D5CDD505-2E9C-101B-9397-08002B2CF9AE}" pid="18" name="MSIP_Label_ec826127-46b1-45ac-9e27-945ccb74db61_ContentBits">
    <vt:lpwstr>0</vt:lpwstr>
  </property>
  <property fmtid="{D5CDD505-2E9C-101B-9397-08002B2CF9AE}" pid="19" name="MSIP_Label_ec826127-46b1-45ac-9e27-945ccb74db61_Tag">
    <vt:lpwstr>10, 3, 0, 2</vt:lpwstr>
  </property>
</Properties>
</file>