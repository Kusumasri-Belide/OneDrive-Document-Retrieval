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2"/>
  <workbookPr/>
  <mc:AlternateContent xmlns:mc="http://schemas.openxmlformats.org/markup-compatibility/2006">
    <mc:Choice Requires="x15">
      <x15ac:absPath xmlns:x15ac="http://schemas.microsoft.com/office/spreadsheetml/2010/11/ac" url="https://highmetric.sharepoint.com/teams/CF_Boeing/ps/CSPRJ0002589 - WWT Boeing ITSM POC/01. Initiate/"/>
    </mc:Choice>
  </mc:AlternateContent>
  <xr:revisionPtr revIDLastSave="544" documentId="8_{549C4229-74CC-4B7F-BA00-E8DAA0F08AD1}" xr6:coauthVersionLast="47" xr6:coauthVersionMax="47" xr10:uidLastSave="{7553A56C-21B2-427B-9E4D-C5860ACA6936}"/>
  <bookViews>
    <workbookView xWindow="-120" yWindow="-120" windowWidth="38640" windowHeight="21120" tabRatio="368" firstSheet="7" activeTab="7" xr2:uid="{29A06B96-EF61-4D8C-9586-B898F1815290}"/>
  </bookViews>
  <sheets>
    <sheet name="Project Plans  (2)" sheetId="8" state="hidden" r:id="rId1"/>
    <sheet name="Tasks and Estimates" sheetId="1" r:id="rId2"/>
    <sheet name="Deliverables " sheetId="5" r:id="rId3"/>
    <sheet name="Workshops" sheetId="6" r:id="rId4"/>
    <sheet name="Activities " sheetId="2" r:id="rId5"/>
    <sheet name="Sheet3" sheetId="4" state="hidden" r:id="rId6"/>
    <sheet name="Project Plans " sheetId="3" r:id="rId7"/>
    <sheet name="Scope Review" sheetId="7" r:id="rId8"/>
  </sheets>
  <externalReferences>
    <externalReference r:id="rId9"/>
    <externalReference r:id="rId10"/>
  </externalReferences>
  <definedNames>
    <definedName name="_xlnm._FilterDatabase" localSheetId="4" hidden="1">'Activities '!$A$2:$U$19</definedName>
    <definedName name="_xlnm._FilterDatabase" localSheetId="1" hidden="1">'Tasks and Estimates'!$B$55:$F$62</definedName>
    <definedName name="A1_billable_hours">'[1]1.0 Pricing &amp; Role Selection'!$J$31</definedName>
    <definedName name="A1_nonbillable_hours">'[1]1.0 Pricing &amp; Role Selection'!$K$31</definedName>
    <definedName name="A10_billable_hours">'[1]1.0 Pricing &amp; Role Selection'!$J$40</definedName>
    <definedName name="A10_nonbillable_hours">'[1]1.0 Pricing &amp; Role Selection'!$K$40</definedName>
    <definedName name="A11_billable_hours">'[1]1.0 Pricing &amp; Role Selection'!$J$41</definedName>
    <definedName name="A11_nonbillable_hours">'[1]1.0 Pricing &amp; Role Selection'!$K$41</definedName>
    <definedName name="A12_billable_hours">'[1]1.0 Pricing &amp; Role Selection'!$J$42</definedName>
    <definedName name="A12_nonbillable_hours">'[1]1.0 Pricing &amp; Role Selection'!$K$42</definedName>
    <definedName name="A13_billable_hours">'[1]1.0 Pricing &amp; Role Selection'!$J$43</definedName>
    <definedName name="A13_nonbillable_hours">'[1]1.0 Pricing &amp; Role Selection'!$K$43</definedName>
    <definedName name="A14_billable_hours">'[1]1.0 Pricing &amp; Role Selection'!$J$44</definedName>
    <definedName name="A14_nonbillable_hours">'[1]1.0 Pricing &amp; Role Selection'!$K$44</definedName>
    <definedName name="A15_billable_hours">'[1]1.0 Pricing &amp; Role Selection'!$J$45</definedName>
    <definedName name="A15_nonbillable_hours">'[1]1.0 Pricing &amp; Role Selection'!$K$45</definedName>
    <definedName name="A2_billable_hours">'[1]1.0 Pricing &amp; Role Selection'!$J$32</definedName>
    <definedName name="A2_nonbillable_hours">'[1]1.0 Pricing &amp; Role Selection'!$K$32</definedName>
    <definedName name="A3_billable_hours">'[1]1.0 Pricing &amp; Role Selection'!$J$33</definedName>
    <definedName name="A3_nonbillable_hours">'[1]1.0 Pricing &amp; Role Selection'!$K$33</definedName>
    <definedName name="A4_billable_hours">'[1]1.0 Pricing &amp; Role Selection'!$J$34</definedName>
    <definedName name="A4_nonbillable_hours">'[1]1.0 Pricing &amp; Role Selection'!$K$34</definedName>
    <definedName name="A5_billable_hours">'[1]1.0 Pricing &amp; Role Selection'!$J$35</definedName>
    <definedName name="A5_nonbillable_hours">'[1]1.0 Pricing &amp; Role Selection'!$K$35</definedName>
    <definedName name="A6_billable_hours">'[1]1.0 Pricing &amp; Role Selection'!$J$36</definedName>
    <definedName name="A6_nonbillable_hours">'[1]1.0 Pricing &amp; Role Selection'!$K$36</definedName>
    <definedName name="A7_billable_hours">'[1]1.0 Pricing &amp; Role Selection'!$J$37</definedName>
    <definedName name="A7_nonbillable_hours">'[1]1.0 Pricing &amp; Role Selection'!$K$37</definedName>
    <definedName name="A8_billable_hours">'[1]1.0 Pricing &amp; Role Selection'!$J$38</definedName>
    <definedName name="A8_nonbillable_hours">'[1]1.0 Pricing &amp; Role Selection'!$K$38</definedName>
    <definedName name="A9_billable_hours">'[1]1.0 Pricing &amp; Role Selection'!$J$39</definedName>
    <definedName name="A9_nonbillable_hours">'[1]1.0 Pricing &amp; Role Selection'!$K$39</definedName>
    <definedName name="Applications_In_Scope">'[1]2.0 Scoping'!$C$2:$D$19</definedName>
    <definedName name="B1_billable_hours">'[1]1.0 Pricing &amp; Role Selection'!$J$47</definedName>
    <definedName name="B1_nonbillable_hours">'[1]1.0 Pricing &amp; Role Selection'!$K$47</definedName>
    <definedName name="B10_billable_hours">'[1]1.0 Pricing &amp; Role Selection'!$J$56</definedName>
    <definedName name="B10_nonbillable_hours">'[1]1.0 Pricing &amp; Role Selection'!$K$56</definedName>
    <definedName name="B11_billable_hours">'[1]1.0 Pricing &amp; Role Selection'!$J$57</definedName>
    <definedName name="B11_nonbillable_hours">'[1]1.0 Pricing &amp; Role Selection'!$K$57</definedName>
    <definedName name="B12_billable_hours">'[1]1.0 Pricing &amp; Role Selection'!$J$58</definedName>
    <definedName name="B12_nonbillable_hours">'[1]1.0 Pricing &amp; Role Selection'!$K$58</definedName>
    <definedName name="B13_billable_hours">'[1]1.0 Pricing &amp; Role Selection'!$J$59</definedName>
    <definedName name="B13_nonbillable_hours">'[1]1.0 Pricing &amp; Role Selection'!$K$59</definedName>
    <definedName name="B14_billable_hours">'[1]1.0 Pricing &amp; Role Selection'!$J$60</definedName>
    <definedName name="B14_nonbillable_hours">'[1]1.0 Pricing &amp; Role Selection'!$K$60</definedName>
    <definedName name="B15_billable_hours">'[1]1.0 Pricing &amp; Role Selection'!$J$61</definedName>
    <definedName name="B15_nonbillable_hours">'[1]1.0 Pricing &amp; Role Selection'!$K$61</definedName>
    <definedName name="B2_billable_hours">'[1]1.0 Pricing &amp; Role Selection'!$J$48</definedName>
    <definedName name="B2_nonbillable_hours">'[1]1.0 Pricing &amp; Role Selection'!$K$48</definedName>
    <definedName name="B3_billable_hours">'[1]1.0 Pricing &amp; Role Selection'!$J$49</definedName>
    <definedName name="B3_nonbillable_hours">'[1]1.0 Pricing &amp; Role Selection'!$K$49</definedName>
    <definedName name="B4_billable_hours">'[1]1.0 Pricing &amp; Role Selection'!$J$50</definedName>
    <definedName name="B4_nonbillable_hours">'[1]1.0 Pricing &amp; Role Selection'!$K$50</definedName>
    <definedName name="B5_billable_hours">'[1]1.0 Pricing &amp; Role Selection'!$J$51</definedName>
    <definedName name="B5_nonbillable_hours">'[1]1.0 Pricing &amp; Role Selection'!$K$51</definedName>
    <definedName name="B6_billable_hours">'[1]1.0 Pricing &amp; Role Selection'!$J$52</definedName>
    <definedName name="B6_nonbillable_hours">'[1]1.0 Pricing &amp; Role Selection'!$K$52</definedName>
    <definedName name="B7_billable_hours">'[1]1.0 Pricing &amp; Role Selection'!$J$53</definedName>
    <definedName name="B7_nonbillable_hours">'[1]1.0 Pricing &amp; Role Selection'!$K$53</definedName>
    <definedName name="B8_billable_hours">'[1]1.0 Pricing &amp; Role Selection'!$J$54</definedName>
    <definedName name="B8_nonbillable_hours">'[1]1.0 Pricing &amp; Role Selection'!$K$54</definedName>
    <definedName name="B9_billable_hours">'[1]1.0 Pricing &amp; Role Selection'!$J$55</definedName>
    <definedName name="B9_nonbillable_hours">'[1]1.0 Pricing &amp; Role Selection'!$K$55</definedName>
    <definedName name="Client">'[2]Opportunity Details'!$C$7</definedName>
    <definedName name="Client_Location">'[2]Opportunity Details'!$C$14</definedName>
    <definedName name="CLOSE_END">'[2]T&amp;E Summary'!$AF$7</definedName>
    <definedName name="Close_Length">'[2]T&amp;E Summary'!$C$7</definedName>
    <definedName name="CLOSE_START">'[2]T&amp;E Summary'!$AE$7</definedName>
    <definedName name="Contract_Type">'[2]Opportunity Details'!$F$14</definedName>
    <definedName name="ContractorRate">#REF!</definedName>
    <definedName name="Date">'[2]Opportunity Details'!$F$3</definedName>
    <definedName name="DELIVER_END">'[2]T&amp;E Summary'!$AF$6</definedName>
    <definedName name="Deliver_Length">'[2]T&amp;E Summary'!$C$6</definedName>
    <definedName name="DELIVER_START">'[2]T&amp;E Summary'!$AE$6</definedName>
    <definedName name="DepartmentNumber">#REF!</definedName>
    <definedName name="Engagement_Title">'[2]Opportunity Details'!$C$4</definedName>
    <definedName name="EXECUTE_END">'[2]T&amp;E Summary'!$AF$5</definedName>
    <definedName name="Execute_Length">'[2]T&amp;E Summary'!$C$5</definedName>
    <definedName name="EXECUTE_START">'[2]T&amp;E Summary'!$AE$5</definedName>
    <definedName name="Exp_Opp_Close">'[2]Opportunity Details'!$C$18</definedName>
    <definedName name="Exp_Opp_Close_New">'[1]1.0 Pricing &amp; Role Selection'!$E$16</definedName>
    <definedName name="Exp_Proj_Start">'[2]Opportunity Details'!$F$18</definedName>
    <definedName name="Exp_Project_Start_Date_New">'[1]1.0 Pricing &amp; Role Selection'!$E$18</definedName>
    <definedName name="FromArray_1">_xlfn.ANCHORARRAY('[1]Scoping Baseline Estimates'!#REF!)</definedName>
    <definedName name="High_Level_Phase">'[1]3.0 Allocate Hours'!#REF!</definedName>
    <definedName name="Hours">'Tasks and Estimates'!$L$2:$L$28,'Tasks and Estimates'!$M$2:$M$28,'Tasks and Estimates'!$N$2:$N$28,'Tasks and Estimates'!$O$2:$O$28,'Tasks and Estimates'!$P$2:$P$28,'Tasks and Estimates'!$Q$2:$Q$28,'Tasks and Estimates'!$R$2:$R$28,'Tasks and Estimates'!$S$2:$S$28,'Tasks and Estimates'!$T$2:$T$28,'Tasks and Estimates'!$U$2:$U$28,'Tasks and Estimates'!$V$2:$V$28,'Tasks and Estimates'!$W$2:$W$28,'Tasks and Estimates'!$X$2:$X$28,'Tasks and Estimates'!$Y$2:$Y$28,'Tasks and Estimates'!$Z$2:$Z$28</definedName>
    <definedName name="India_Leverage">'[2]Opportunity Details'!$C$16</definedName>
    <definedName name="INITIATE_END">'[2]T&amp;E Summary'!$AF$3</definedName>
    <definedName name="Initiate_Length">'[2]T&amp;E Summary'!$C$3</definedName>
    <definedName name="ITSM">#REF!</definedName>
    <definedName name="ITSM_SCOPE">#REF!</definedName>
    <definedName name="New_Close_Length">'[1]3.0 Allocate Hours'!$AM$8</definedName>
    <definedName name="New_Deliver_Length">'[1]3.0 Allocate Hours'!$AM$7</definedName>
    <definedName name="New_Execute_Length">'[1]3.0 Allocate Hours'!$AM$6</definedName>
    <definedName name="New_Initiate_Length">'[1]3.0 Allocate Hours'!$AM$4</definedName>
    <definedName name="New_Oversight_Role_1">'[1]1.0 Pricing &amp; Role Selection'!$BH$31</definedName>
    <definedName name="New_Oversight_Role_10">'[1]1.0 Pricing &amp; Role Selection'!$BH$40</definedName>
    <definedName name="New_Oversight_Role_11">'[1]1.0 Pricing &amp; Role Selection'!$BH$41</definedName>
    <definedName name="New_Oversight_Role_12">'[1]1.0 Pricing &amp; Role Selection'!$BH$42</definedName>
    <definedName name="New_Oversight_Role_13">'[1]1.0 Pricing &amp; Role Selection'!$BH$43</definedName>
    <definedName name="New_Oversight_Role_14">'[1]1.0 Pricing &amp; Role Selection'!$BH$44</definedName>
    <definedName name="New_Oversight_Role_15">'[1]1.0 Pricing &amp; Role Selection'!$BH$45</definedName>
    <definedName name="New_Oversight_Role_2">'[1]1.0 Pricing &amp; Role Selection'!$BH$32</definedName>
    <definedName name="New_Oversight_Role_3">'[1]1.0 Pricing &amp; Role Selection'!$BH$33</definedName>
    <definedName name="New_Oversight_Role_4">'[1]1.0 Pricing &amp; Role Selection'!$BH$34</definedName>
    <definedName name="New_Oversight_Role_5">'[1]1.0 Pricing &amp; Role Selection'!$BH$35</definedName>
    <definedName name="New_Oversight_Role_6">'[1]1.0 Pricing &amp; Role Selection'!$BH$36</definedName>
    <definedName name="New_Oversight_Role_7">'[1]1.0 Pricing &amp; Role Selection'!$BH$37</definedName>
    <definedName name="New_Oversight_Role_8">'[1]1.0 Pricing &amp; Role Selection'!$BH$38</definedName>
    <definedName name="New_Oversight_Role_9">'[1]1.0 Pricing &amp; Role Selection'!$BH$39</definedName>
    <definedName name="New_Plan_Length">'[1]3.0 Allocate Hours'!$AM$5</definedName>
    <definedName name="New_Role_1">'[1]1.0 Pricing &amp; Role Selection'!$BH$47</definedName>
    <definedName name="New_Role_10">'[1]1.0 Pricing &amp; Role Selection'!$BH$56</definedName>
    <definedName name="New_Role_11">'[1]1.0 Pricing &amp; Role Selection'!$BH$57</definedName>
    <definedName name="New_Role_12">'[1]1.0 Pricing &amp; Role Selection'!$BH$58</definedName>
    <definedName name="New_Role_13">'[1]1.0 Pricing &amp; Role Selection'!$BH$59</definedName>
    <definedName name="New_Role_14">'[1]1.0 Pricing &amp; Role Selection'!$BH$60</definedName>
    <definedName name="New_Role_15">'[1]1.0 Pricing &amp; Role Selection'!$BH$61</definedName>
    <definedName name="New_Role_2">'[1]1.0 Pricing &amp; Role Selection'!$BH$48</definedName>
    <definedName name="New_Role_3">'[1]1.0 Pricing &amp; Role Selection'!$BH$49</definedName>
    <definedName name="New_Role_4">'[1]1.0 Pricing &amp; Role Selection'!$BH$50</definedName>
    <definedName name="New_Role_5">'[1]1.0 Pricing &amp; Role Selection'!$BH$51</definedName>
    <definedName name="New_Role_6">'[1]1.0 Pricing &amp; Role Selection'!$BH$52</definedName>
    <definedName name="New_Role_7">'[1]1.0 Pricing &amp; Role Selection'!$BH$53</definedName>
    <definedName name="New_Role_8">'[1]1.0 Pricing &amp; Role Selection'!$BH$54</definedName>
    <definedName name="New_Role_9">'[1]1.0 Pricing &amp; Role Selection'!$BH$55</definedName>
    <definedName name="Partner">'[2]Opportunity Details'!$F$15</definedName>
    <definedName name="PHASES" localSheetId="0">TandE[[#All],[Phase]]</definedName>
    <definedName name="PHASES">TandE[[#All],[Phase]]</definedName>
    <definedName name="PLAN_END">'[2]T&amp;E Summary'!$AF$4</definedName>
    <definedName name="Plan_Length">'[2]T&amp;E Summary'!$C$4</definedName>
    <definedName name="PLAN_START">'[2]T&amp;E Summary'!$AE$4</definedName>
    <definedName name="Practice">'[2]Opportunity Details'!$C$11</definedName>
    <definedName name="Practice_Capability">'[2]Opportunity Details'!$C$12</definedName>
    <definedName name="Pre_Sales_Lead">'[2]Opportunity Details'!$C$9</definedName>
    <definedName name="PRICING_TABLE">#REF!</definedName>
    <definedName name="Role_1">'Tasks and Estimates'!$C$32</definedName>
    <definedName name="ROLE_1_HOURS" localSheetId="0">TandE[[#All],[Role 1]]</definedName>
    <definedName name="ROLE_1_HOURS">TandE[[#All],[Role 1]]</definedName>
    <definedName name="Role_10">'Tasks and Estimates'!$C$41</definedName>
    <definedName name="Role_11">'Tasks and Estimates'!$C$42</definedName>
    <definedName name="Role_12">'Tasks and Estimates'!$C$43</definedName>
    <definedName name="Role_13">'Tasks and Estimates'!$C$44</definedName>
    <definedName name="Role_14">'Tasks and Estimates'!$C$45</definedName>
    <definedName name="Role_15">'Tasks and Estimates'!$C$46</definedName>
    <definedName name="Role_2">'Tasks and Estimates'!$C$33</definedName>
    <definedName name="Role_3">'Tasks and Estimates'!$C$34</definedName>
    <definedName name="Role_4">'Tasks and Estimates'!$C$35</definedName>
    <definedName name="Role_5">'Tasks and Estimates'!$C$36</definedName>
    <definedName name="Role_6">'Tasks and Estimates'!$C$37</definedName>
    <definedName name="Role_7">'Tasks and Estimates'!$C$38</definedName>
    <definedName name="Role_8">'Tasks and Estimates'!$C$39</definedName>
    <definedName name="Role_9">'Tasks and Estimates'!$C$40</definedName>
    <definedName name="Role1_OvSight">'Tasks and Estimates'!$K$32,'Tasks and Estimates'!$M$32,'Tasks and Estimates'!$O$32,'Tasks and Estimates'!$Q$32,'Tasks and Estimates'!$S$32</definedName>
    <definedName name="Role10_OvSight">'Tasks and Estimates'!$K$41,'Tasks and Estimates'!$M$41,'Tasks and Estimates'!$O$41,'Tasks and Estimates'!$Q$41,'Tasks and Estimates'!$S$41</definedName>
    <definedName name="Role11_OvSight">'Tasks and Estimates'!$K$42,'Tasks and Estimates'!$M$42,'Tasks and Estimates'!$O$42,'Tasks and Estimates'!$Q$42,'Tasks and Estimates'!$S$42</definedName>
    <definedName name="Role12_OvSight">'Tasks and Estimates'!$K$43,'Tasks and Estimates'!$M$43,'Tasks and Estimates'!$O$43,'Tasks and Estimates'!$Q$43,'Tasks and Estimates'!$S$43</definedName>
    <definedName name="Role13_OvSight">'Tasks and Estimates'!$K$44,'Tasks and Estimates'!$M$44,'Tasks and Estimates'!$O$44,'Tasks and Estimates'!$Q$44,'Tasks and Estimates'!$S$44</definedName>
    <definedName name="Role14_OvSight">'Tasks and Estimates'!$K$45,'Tasks and Estimates'!$M$45,'Tasks and Estimates'!$O$45,'Tasks and Estimates'!$Q$45,'Tasks and Estimates'!$S$45</definedName>
    <definedName name="Role15_OvSight">'Tasks and Estimates'!$K$46,'Tasks and Estimates'!$M$46,'Tasks and Estimates'!$O$46,'Tasks and Estimates'!$Q$46,'Tasks and Estimates'!$S$46</definedName>
    <definedName name="Role2_OvSight">'Tasks and Estimates'!$K$33,'Tasks and Estimates'!$M$33,'Tasks and Estimates'!$O$33,'Tasks and Estimates'!$Q$33,'Tasks and Estimates'!$S$33</definedName>
    <definedName name="Role3_OvSight">'Tasks and Estimates'!$K$34,'Tasks and Estimates'!$M$34,'Tasks and Estimates'!$O$34,'Tasks and Estimates'!$Q$34,'Tasks and Estimates'!$S$34</definedName>
    <definedName name="Role4_OvSight">'Tasks and Estimates'!$K$35,'Tasks and Estimates'!$M$35,'Tasks and Estimates'!$O$35,'Tasks and Estimates'!$Q$35,'Tasks and Estimates'!$S$35</definedName>
    <definedName name="Role5_OvSight">'Tasks and Estimates'!$K$36,'Tasks and Estimates'!$M$36,'Tasks and Estimates'!$O$36,'Tasks and Estimates'!$Q$36,'Tasks and Estimates'!$S$36</definedName>
    <definedName name="Role6_OvSight">'Tasks and Estimates'!$K$37,'Tasks and Estimates'!$M$37,'Tasks and Estimates'!$O$37,'Tasks and Estimates'!$Q$37,'Tasks and Estimates'!$S$37</definedName>
    <definedName name="Role7_OvSight">'Tasks and Estimates'!$K$38,'Tasks and Estimates'!$M$38,'Tasks and Estimates'!$O$38,'Tasks and Estimates'!$Q$38,'Tasks and Estimates'!$S$38</definedName>
    <definedName name="Role8_OvSight">'Tasks and Estimates'!$K$39,'Tasks and Estimates'!$M$39,'Tasks and Estimates'!$O$39,'Tasks and Estimates'!$Q$39,'Tasks and Estimates'!$S$39</definedName>
    <definedName name="Role9_OvSight">'Tasks and Estimates'!$K$40,'Tasks and Estimates'!$M$40,'Tasks and Estimates'!$O$40,'Tasks and Estimates'!$Q$40,'Tasks and Estimates'!$S$40</definedName>
    <definedName name="ROLES">[2]List!$J$2:$J$18</definedName>
    <definedName name="Sales_Lead">'[2]Opportunity Details'!$C$8</definedName>
    <definedName name="ScopingLookup_Answer">'[1]Scoping Baseline Estimates'!$C:$J</definedName>
    <definedName name="SF_ID">'[2]Opportunity Details'!$C$3</definedName>
    <definedName name="SKILLS">[2]Skills!$A:$A</definedName>
    <definedName name="StandardCosts">#REF!</definedName>
    <definedName name="StandardCostSheet">#REF!</definedName>
    <definedName name="TandE_Role_1" localSheetId="0">TandE[[#All],[Role 1]]</definedName>
    <definedName name="TandE_Role_1">TandE[[#All],[Role 1]]</definedName>
    <definedName name="ValidCodes">#REF!</definedName>
    <definedName name="Varies">"Varies"</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0" i="3" l="1"/>
  <c r="G20" i="3" s="1"/>
  <c r="H20" i="3" s="1"/>
  <c r="I20" i="3" s="1"/>
  <c r="J20" i="3" s="1"/>
  <c r="K20" i="3" s="1"/>
  <c r="L20" i="3" s="1"/>
  <c r="M20" i="3" s="1"/>
  <c r="N20" i="3" s="1"/>
  <c r="O20" i="3" s="1"/>
  <c r="P20" i="3" s="1"/>
  <c r="F12" i="8"/>
  <c r="G12" i="8" s="1"/>
  <c r="H12" i="8" s="1"/>
  <c r="I12" i="8" s="1"/>
  <c r="J12" i="8" s="1"/>
  <c r="K12" i="8" s="1"/>
  <c r="L12" i="8" s="1"/>
  <c r="M12" i="8" s="1"/>
  <c r="N12" i="8" s="1"/>
  <c r="O12" i="8" s="1"/>
  <c r="P12" i="8" s="1"/>
  <c r="F4" i="8"/>
  <c r="G4" i="8" s="1"/>
  <c r="H4" i="8" s="1"/>
  <c r="I4" i="8" s="1"/>
  <c r="J4" i="8" s="1"/>
  <c r="K4" i="8" s="1"/>
  <c r="L4" i="8" s="1"/>
  <c r="M4" i="8" s="1"/>
  <c r="F44" i="3"/>
  <c r="G44" i="3" s="1"/>
  <c r="H44" i="3" s="1"/>
  <c r="I44" i="3" s="1"/>
  <c r="J44" i="3" s="1"/>
  <c r="K44" i="3" s="1"/>
  <c r="F30" i="3"/>
  <c r="G30" i="3" s="1"/>
  <c r="H30" i="3" s="1"/>
  <c r="I30" i="3" s="1"/>
  <c r="J30" i="3" s="1"/>
  <c r="K30" i="3" s="1"/>
  <c r="F36" i="3"/>
  <c r="G36" i="3" s="1"/>
  <c r="H36" i="3" s="1"/>
  <c r="I36" i="3" s="1"/>
  <c r="J36" i="3" s="1"/>
  <c r="K36" i="3" s="1"/>
  <c r="F12" i="3"/>
  <c r="G12" i="3" s="1"/>
  <c r="H12" i="3" s="1"/>
  <c r="I12" i="3" s="1"/>
  <c r="J12" i="3" s="1"/>
  <c r="K12" i="3" s="1"/>
  <c r="L12" i="3" s="1"/>
  <c r="M12" i="3" s="1"/>
  <c r="F4" i="3"/>
  <c r="G4" i="3" s="1"/>
  <c r="H4" i="3" s="1"/>
  <c r="I4" i="3" s="1"/>
  <c r="J4" i="3" s="1"/>
  <c r="K4" i="3" s="1"/>
  <c r="L4" i="3" s="1"/>
  <c r="M4" i="3" s="1"/>
  <c r="AA4" i="1"/>
  <c r="AA5" i="1"/>
  <c r="AA6" i="1"/>
  <c r="AA7" i="1"/>
  <c r="AA8" i="1"/>
  <c r="AA9" i="1"/>
  <c r="AA10" i="1"/>
  <c r="AA11" i="1"/>
  <c r="AA12" i="1"/>
  <c r="AA14" i="1"/>
  <c r="AA15" i="1"/>
  <c r="AA16" i="1"/>
  <c r="AA17" i="1"/>
  <c r="AA19" i="1"/>
  <c r="AA20" i="1"/>
  <c r="AA21" i="1"/>
  <c r="D96" i="1"/>
  <c r="I46" i="1"/>
  <c r="H46" i="1"/>
  <c r="G46" i="1"/>
  <c r="F46" i="1"/>
  <c r="E46" i="1"/>
  <c r="D46" i="1"/>
  <c r="I45" i="1"/>
  <c r="H45" i="1"/>
  <c r="G45" i="1"/>
  <c r="F45" i="1"/>
  <c r="E45" i="1"/>
  <c r="D45" i="1"/>
  <c r="I44" i="1"/>
  <c r="H44" i="1"/>
  <c r="G44" i="1"/>
  <c r="F44" i="1"/>
  <c r="E44" i="1"/>
  <c r="D44" i="1"/>
  <c r="I43" i="1"/>
  <c r="H43" i="1"/>
  <c r="G43" i="1"/>
  <c r="F43" i="1"/>
  <c r="E43" i="1"/>
  <c r="D43" i="1"/>
  <c r="I42" i="1"/>
  <c r="H42" i="1"/>
  <c r="G42" i="1"/>
  <c r="F42" i="1"/>
  <c r="E42" i="1"/>
  <c r="D42" i="1"/>
  <c r="I41" i="1"/>
  <c r="H41" i="1"/>
  <c r="G41" i="1"/>
  <c r="F41" i="1"/>
  <c r="E41" i="1"/>
  <c r="D41" i="1"/>
  <c r="I40" i="1"/>
  <c r="H40" i="1"/>
  <c r="G40" i="1"/>
  <c r="F40" i="1"/>
  <c r="E40" i="1"/>
  <c r="D40" i="1"/>
  <c r="I39" i="1"/>
  <c r="H39" i="1"/>
  <c r="G39" i="1"/>
  <c r="F39" i="1"/>
  <c r="E39" i="1"/>
  <c r="D39" i="1"/>
  <c r="I38" i="1"/>
  <c r="H38" i="1"/>
  <c r="G38" i="1"/>
  <c r="F38" i="1"/>
  <c r="E38" i="1"/>
  <c r="D38" i="1"/>
  <c r="I37" i="1"/>
  <c r="H37" i="1"/>
  <c r="G37" i="1"/>
  <c r="F37" i="1"/>
  <c r="E37" i="1"/>
  <c r="D37" i="1"/>
  <c r="I36" i="1"/>
  <c r="H36" i="1"/>
  <c r="G36" i="1"/>
  <c r="F36" i="1"/>
  <c r="E36" i="1"/>
  <c r="D36" i="1"/>
  <c r="I35" i="1"/>
  <c r="H35" i="1"/>
  <c r="G35" i="1"/>
  <c r="F35" i="1"/>
  <c r="E35" i="1"/>
  <c r="D35" i="1"/>
  <c r="I34" i="1"/>
  <c r="H34" i="1"/>
  <c r="G34" i="1"/>
  <c r="F34" i="1"/>
  <c r="E34" i="1"/>
  <c r="D34" i="1"/>
  <c r="I33" i="1"/>
  <c r="H33" i="1"/>
  <c r="G33" i="1"/>
  <c r="F33" i="1"/>
  <c r="E33" i="1"/>
  <c r="D33" i="1"/>
  <c r="I32" i="1"/>
  <c r="H32" i="1"/>
  <c r="G32" i="1"/>
  <c r="F32" i="1"/>
  <c r="E32" i="1"/>
  <c r="D32" i="1"/>
  <c r="D28" i="1"/>
  <c r="C28" i="1"/>
  <c r="D27" i="1"/>
  <c r="C27" i="1"/>
  <c r="D26" i="1"/>
  <c r="C26" i="1"/>
  <c r="D25" i="1"/>
  <c r="C25" i="1"/>
  <c r="D24" i="1"/>
  <c r="Z23" i="1"/>
  <c r="Y23" i="1"/>
  <c r="X23" i="1"/>
  <c r="W23" i="1"/>
  <c r="V23" i="1"/>
  <c r="U23" i="1"/>
  <c r="T23" i="1"/>
  <c r="S23" i="1"/>
  <c r="R23" i="1"/>
  <c r="Q23" i="1"/>
  <c r="P23" i="1"/>
  <c r="O23" i="1"/>
  <c r="N23" i="1"/>
  <c r="M23" i="1"/>
  <c r="L23" i="1"/>
  <c r="D23" i="1"/>
  <c r="C23" i="1"/>
  <c r="Z22" i="1"/>
  <c r="Y22" i="1"/>
  <c r="X22" i="1"/>
  <c r="W22" i="1"/>
  <c r="V22" i="1"/>
  <c r="U22" i="1"/>
  <c r="T22" i="1"/>
  <c r="S22" i="1"/>
  <c r="R22" i="1"/>
  <c r="Q22" i="1"/>
  <c r="P22" i="1"/>
  <c r="O22" i="1"/>
  <c r="N22" i="1"/>
  <c r="M22" i="1"/>
  <c r="L22" i="1"/>
  <c r="D22" i="1"/>
  <c r="C22" i="1"/>
  <c r="D21" i="1"/>
  <c r="C21" i="1"/>
  <c r="D20" i="1"/>
  <c r="C20" i="1"/>
  <c r="D19" i="1"/>
  <c r="C19" i="1"/>
  <c r="Z18" i="1"/>
  <c r="Y18" i="1"/>
  <c r="X18" i="1"/>
  <c r="W18" i="1"/>
  <c r="V18" i="1"/>
  <c r="U18" i="1"/>
  <c r="T18" i="1"/>
  <c r="S18" i="1"/>
  <c r="R18" i="1"/>
  <c r="Q18" i="1"/>
  <c r="P18" i="1"/>
  <c r="O18" i="1"/>
  <c r="N18" i="1"/>
  <c r="M18" i="1"/>
  <c r="L18" i="1"/>
  <c r="D18" i="1"/>
  <c r="C18" i="1"/>
  <c r="D17" i="1"/>
  <c r="C17" i="1"/>
  <c r="D16" i="1"/>
  <c r="C16" i="1"/>
  <c r="D15" i="1"/>
  <c r="C15" i="1"/>
  <c r="Z14" i="1"/>
  <c r="D14" i="1"/>
  <c r="C14" i="1"/>
  <c r="Z13" i="1"/>
  <c r="Y13" i="1"/>
  <c r="X13" i="1"/>
  <c r="W13" i="1"/>
  <c r="V13" i="1"/>
  <c r="U13" i="1"/>
  <c r="T13" i="1"/>
  <c r="S13" i="1"/>
  <c r="R13" i="1"/>
  <c r="Q13" i="1"/>
  <c r="P13" i="1"/>
  <c r="O13" i="1"/>
  <c r="N13" i="1"/>
  <c r="M13" i="1"/>
  <c r="L13" i="1"/>
  <c r="D13" i="1"/>
  <c r="C13" i="1"/>
  <c r="D12" i="1"/>
  <c r="C12" i="1"/>
  <c r="D11" i="1"/>
  <c r="C11" i="1"/>
  <c r="D10" i="1"/>
  <c r="C10" i="1"/>
  <c r="D9" i="1"/>
  <c r="C9" i="1"/>
  <c r="D8" i="1"/>
  <c r="C8" i="1"/>
  <c r="D7" i="1"/>
  <c r="C7" i="1"/>
  <c r="D6" i="1"/>
  <c r="C6" i="1"/>
  <c r="D5" i="1"/>
  <c r="C5" i="1"/>
  <c r="D4" i="1"/>
  <c r="C4" i="1"/>
  <c r="Z3" i="1"/>
  <c r="Y3" i="1"/>
  <c r="X3" i="1"/>
  <c r="W3" i="1"/>
  <c r="V3" i="1"/>
  <c r="U3" i="1"/>
  <c r="T3" i="1"/>
  <c r="S3" i="1"/>
  <c r="R3" i="1"/>
  <c r="Q3" i="1"/>
  <c r="P3" i="1"/>
  <c r="O3" i="1"/>
  <c r="N3" i="1"/>
  <c r="M3" i="1"/>
  <c r="L3" i="1"/>
  <c r="AA3" i="1" s="1"/>
  <c r="D3" i="1"/>
  <c r="AA22" i="1" l="1"/>
  <c r="AA18" i="1"/>
  <c r="AA13" i="1"/>
  <c r="AA23" i="1"/>
  <c r="C33" i="1"/>
  <c r="M2" i="1" s="1"/>
  <c r="C37" i="1"/>
  <c r="Q2" i="1" s="1"/>
  <c r="C41" i="1"/>
  <c r="U2" i="1" s="1"/>
  <c r="C45" i="1"/>
  <c r="Y2" i="1" s="1"/>
  <c r="C32" i="1"/>
  <c r="L2" i="1" s="1"/>
  <c r="C36" i="1"/>
  <c r="P2" i="1" s="1"/>
  <c r="C38" i="1"/>
  <c r="R2" i="1" s="1"/>
  <c r="C42" i="1"/>
  <c r="V2" i="1" s="1"/>
  <c r="C46" i="1"/>
  <c r="Z2" i="1" s="1"/>
  <c r="C35" i="1"/>
  <c r="O2" i="1" s="1"/>
  <c r="C39" i="1"/>
  <c r="S2" i="1" s="1"/>
  <c r="C43" i="1"/>
  <c r="W2" i="1" s="1"/>
  <c r="C34" i="1"/>
  <c r="N2" i="1" s="1"/>
  <c r="C40" i="1"/>
  <c r="T2" i="1" s="1"/>
  <c r="C44" i="1"/>
  <c r="X2" i="1" s="1"/>
  <c r="Z25" i="1" a="1"/>
  <c r="X28" i="1" a="1"/>
  <c r="O25" i="1" a="1"/>
  <c r="X26" i="1" a="1"/>
  <c r="L28" i="1" a="1"/>
  <c r="M25" i="1" a="1"/>
  <c r="M27" i="1" a="1"/>
  <c r="V26" i="1" a="1"/>
  <c r="P24" i="1" a="1"/>
  <c r="Z26" i="1" a="1"/>
  <c r="W25" i="1" a="1"/>
  <c r="N27" i="1" a="1"/>
  <c r="Y25" i="1" a="1"/>
  <c r="X27" i="1" a="1"/>
  <c r="R25" i="1" a="1"/>
  <c r="T28" i="1" a="1"/>
  <c r="Q26" i="1" a="1"/>
  <c r="L24" i="1" a="1"/>
  <c r="N25" i="1" a="1"/>
  <c r="P25" i="1" a="1"/>
  <c r="Q27" i="1" a="1"/>
  <c r="W28" i="1" a="1"/>
  <c r="Y24" i="1" a="1"/>
  <c r="O26" i="1" a="1"/>
  <c r="M24" i="1" a="1"/>
  <c r="U25" i="1" a="1"/>
  <c r="S24" i="1" a="1"/>
  <c r="O27" i="1" a="1"/>
  <c r="R26" i="1" a="1"/>
  <c r="S26" i="1" a="1"/>
  <c r="O24" i="1" a="1"/>
  <c r="Z24" i="1" a="1"/>
  <c r="Z28" i="1" a="1"/>
  <c r="M26" i="1" a="1"/>
  <c r="Y26" i="1" a="1"/>
  <c r="Q28" i="1" a="1"/>
  <c r="X24" i="1" a="1"/>
  <c r="Z27" i="1" a="1"/>
  <c r="P26" i="1" a="1"/>
  <c r="W27" i="1" a="1"/>
  <c r="M28" i="1" a="1"/>
  <c r="W26" i="1" a="1"/>
  <c r="S27" i="1" a="1"/>
  <c r="T24" i="1" a="1"/>
  <c r="V25" i="1" a="1"/>
  <c r="T26" i="1" a="1"/>
  <c r="U24" i="1" a="1"/>
  <c r="R24" i="1" a="1"/>
  <c r="T25" i="1" a="1"/>
  <c r="S25" i="1" a="1"/>
  <c r="N26" i="1" a="1"/>
  <c r="V28" i="1" a="1"/>
  <c r="Y27" i="1" a="1"/>
  <c r="W24" i="1" a="1"/>
  <c r="O28" i="1" a="1"/>
  <c r="T27" i="1" a="1"/>
  <c r="Q25" i="1" a="1"/>
  <c r="N24" i="1" a="1"/>
  <c r="P27" i="1" a="1"/>
  <c r="U28" i="1" a="1"/>
  <c r="R28" i="1" a="1"/>
  <c r="N28" i="1" a="1"/>
  <c r="U27" i="1" a="1"/>
  <c r="U26" i="1" a="1"/>
  <c r="V24" i="1" a="1"/>
  <c r="Y28" i="1" a="1"/>
  <c r="X25" i="1" a="1"/>
  <c r="Q24" i="1" a="1"/>
  <c r="P28" i="1" a="1"/>
  <c r="S28" i="1" a="1"/>
  <c r="V27" i="1" a="1"/>
  <c r="R27" i="1" a="1"/>
  <c r="V24" i="1" l="1"/>
  <c r="V27" i="1"/>
  <c r="V28" i="1"/>
  <c r="V26" i="1"/>
  <c r="V25" i="1"/>
  <c r="R24" i="1"/>
  <c r="R27" i="1"/>
  <c r="R26" i="1"/>
  <c r="R25" i="1"/>
  <c r="R28" i="1"/>
  <c r="P27" i="1"/>
  <c r="P24" i="1"/>
  <c r="P26" i="1"/>
  <c r="P25" i="1"/>
  <c r="P28" i="1"/>
  <c r="U28" i="1"/>
  <c r="U25" i="1"/>
  <c r="U26" i="1"/>
  <c r="U24" i="1"/>
  <c r="U27" i="1"/>
  <c r="L24" i="1"/>
  <c r="L28" i="1"/>
  <c r="Y28" i="1"/>
  <c r="Y25" i="1"/>
  <c r="Y26" i="1"/>
  <c r="Y27" i="1"/>
  <c r="Y24" i="1"/>
  <c r="Q28" i="1"/>
  <c r="Q25" i="1"/>
  <c r="Q26" i="1"/>
  <c r="Q27" i="1"/>
  <c r="Q24" i="1"/>
  <c r="Z24" i="1"/>
  <c r="Z26" i="1"/>
  <c r="Z28" i="1"/>
  <c r="Z27" i="1"/>
  <c r="Z25" i="1"/>
  <c r="M28" i="1"/>
  <c r="M25" i="1"/>
  <c r="M26" i="1"/>
  <c r="M24" i="1"/>
  <c r="M27" i="1"/>
  <c r="X27" i="1"/>
  <c r="X24" i="1"/>
  <c r="X26" i="1"/>
  <c r="X25" i="1"/>
  <c r="X28" i="1"/>
  <c r="T27" i="1"/>
  <c r="T24" i="1"/>
  <c r="T26" i="1"/>
  <c r="T28" i="1"/>
  <c r="T25" i="1"/>
  <c r="N24" i="1"/>
  <c r="N27" i="1"/>
  <c r="N28" i="1"/>
  <c r="N26" i="1"/>
  <c r="N25" i="1"/>
  <c r="W25" i="1"/>
  <c r="W26" i="1"/>
  <c r="W24" i="1"/>
  <c r="W27" i="1"/>
  <c r="W28" i="1"/>
  <c r="S25" i="1"/>
  <c r="S26" i="1"/>
  <c r="S28" i="1"/>
  <c r="S27" i="1"/>
  <c r="S24" i="1"/>
  <c r="O25" i="1"/>
  <c r="O26" i="1"/>
  <c r="O28" i="1"/>
  <c r="O24" i="1"/>
  <c r="O27" i="1"/>
  <c r="AA25" i="1" l="1"/>
  <c r="AA28" i="1"/>
  <c r="AA26" i="1"/>
  <c r="AA24" i="1"/>
  <c r="AA27" i="1"/>
  <c r="M45" i="1"/>
  <c r="M43" i="1"/>
  <c r="M41" i="1"/>
  <c r="M39" i="1"/>
  <c r="M37" i="1"/>
  <c r="M35" i="1"/>
  <c r="M33" i="1"/>
  <c r="M46" i="1"/>
  <c r="M44" i="1"/>
  <c r="M42" i="1"/>
  <c r="M40" i="1"/>
  <c r="M38" i="1"/>
  <c r="M36" i="1"/>
  <c r="M34" i="1"/>
  <c r="M32" i="1"/>
  <c r="Q46" i="1"/>
  <c r="Q44" i="1"/>
  <c r="Q42" i="1"/>
  <c r="Q40" i="1"/>
  <c r="Q38" i="1"/>
  <c r="Q36" i="1"/>
  <c r="Q34" i="1"/>
  <c r="Q32" i="1"/>
  <c r="Q45" i="1"/>
  <c r="Q43" i="1"/>
  <c r="Q41" i="1"/>
  <c r="Q39" i="1"/>
  <c r="Q37" i="1"/>
  <c r="Q35" i="1"/>
  <c r="Q33" i="1"/>
  <c r="S46" i="1"/>
  <c r="S44" i="1"/>
  <c r="S42" i="1"/>
  <c r="S40" i="1"/>
  <c r="S38" i="1"/>
  <c r="S36" i="1"/>
  <c r="S34" i="1"/>
  <c r="S32" i="1"/>
  <c r="S45" i="1"/>
  <c r="S43" i="1"/>
  <c r="S41" i="1"/>
  <c r="S39" i="1"/>
  <c r="S37" i="1"/>
  <c r="S35" i="1"/>
  <c r="S33" i="1"/>
  <c r="K45" i="1"/>
  <c r="K43" i="1"/>
  <c r="K41" i="1"/>
  <c r="K39" i="1"/>
  <c r="K37" i="1"/>
  <c r="K35" i="1"/>
  <c r="K33" i="1"/>
  <c r="K46" i="1"/>
  <c r="K44" i="1"/>
  <c r="K42" i="1"/>
  <c r="K40" i="1"/>
  <c r="K38" i="1"/>
  <c r="K36" i="1"/>
  <c r="K34" i="1"/>
  <c r="K32" i="1"/>
  <c r="O45" i="1" l="1"/>
  <c r="O43" i="1"/>
  <c r="O41" i="1"/>
  <c r="O39" i="1"/>
  <c r="O37" i="1"/>
  <c r="O35" i="1"/>
  <c r="O33" i="1"/>
  <c r="O46" i="1"/>
  <c r="O44" i="1"/>
  <c r="O42" i="1"/>
  <c r="O40" i="1"/>
  <c r="O38" i="1"/>
  <c r="O36" i="1"/>
  <c r="O34" i="1"/>
  <c r="O32" i="1"/>
  <c r="F96" i="1" l="1"/>
  <c r="E90" i="1"/>
  <c r="E82" i="1"/>
  <c r="E74" i="1"/>
  <c r="E66" i="1"/>
  <c r="E89" i="1"/>
  <c r="E81" i="1"/>
  <c r="E73" i="1"/>
  <c r="E65" i="1"/>
  <c r="E88" i="1"/>
  <c r="E80" i="1"/>
  <c r="E72" i="1"/>
  <c r="E95" i="1"/>
  <c r="E87" i="1"/>
  <c r="E79" i="1"/>
  <c r="E71" i="1"/>
  <c r="E94" i="1"/>
  <c r="E86" i="1"/>
  <c r="E78" i="1"/>
  <c r="E70" i="1"/>
  <c r="E93" i="1"/>
  <c r="E85" i="1"/>
  <c r="E77" i="1"/>
  <c r="E69" i="1"/>
  <c r="E92" i="1"/>
  <c r="E84" i="1"/>
  <c r="E76" i="1"/>
  <c r="E68" i="1"/>
  <c r="E91" i="1"/>
  <c r="E83" i="1"/>
  <c r="E75" i="1"/>
  <c r="E67" i="1"/>
  <c r="E96" i="1"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<sst xmlns="http://schemas.openxmlformats.org/spreadsheetml/2006/main" count="558" uniqueCount="304">
  <si>
    <t>Option 1</t>
  </si>
  <si>
    <t>Week #</t>
  </si>
  <si>
    <t xml:space="preserve">Date </t>
  </si>
  <si>
    <t xml:space="preserve">Initiate </t>
  </si>
  <si>
    <t xml:space="preserve">Plan </t>
  </si>
  <si>
    <t>Execute</t>
  </si>
  <si>
    <t xml:space="preserve">Deliver </t>
  </si>
  <si>
    <t>Close</t>
  </si>
  <si>
    <t>B. Final Plan Post Workshops</t>
  </si>
  <si>
    <t xml:space="preserve">Start Date </t>
  </si>
  <si>
    <t>Phase</t>
  </si>
  <si>
    <t>Start Week</t>
  </si>
  <si>
    <t>End Week</t>
  </si>
  <si>
    <t>Task</t>
  </si>
  <si>
    <t>Description</t>
  </si>
  <si>
    <t>Assumption</t>
  </si>
  <si>
    <t>Hide Row from SOW</t>
  </si>
  <si>
    <t>Practice</t>
  </si>
  <si>
    <t>Presales Notes (Internal)</t>
  </si>
  <si>
    <t>Billable/ Non-Billable</t>
  </si>
  <si>
    <t>Role 1</t>
  </si>
  <si>
    <t>Role 2</t>
  </si>
  <si>
    <t>Role 3</t>
  </si>
  <si>
    <t>Role 4</t>
  </si>
  <si>
    <t>Role 5</t>
  </si>
  <si>
    <t>Role 6</t>
  </si>
  <si>
    <t>Role 7</t>
  </si>
  <si>
    <t>Role 8</t>
  </si>
  <si>
    <t>Role 9</t>
  </si>
  <si>
    <t>Role 10</t>
  </si>
  <si>
    <t>Role 11</t>
  </si>
  <si>
    <t>Role 12</t>
  </si>
  <si>
    <t>Role 13</t>
  </si>
  <si>
    <t>Role 14</t>
  </si>
  <si>
    <t>Role 15</t>
  </si>
  <si>
    <t>Roles</t>
  </si>
  <si>
    <t>Intentionally left blank.</t>
  </si>
  <si>
    <t>Initiate</t>
  </si>
  <si>
    <t>Initiate Oversight &amp; Calculated Hours</t>
  </si>
  <si>
    <t>The calculated hours in the Initiate cover the project setup, onboarding of resources. It also covers an internal team kick-off, setting up the base project plan and conducting a formal project initiation with the customer to review goals, objectives, scope and other engagement information.</t>
  </si>
  <si>
    <t>Billable</t>
  </si>
  <si>
    <t>Plan</t>
  </si>
  <si>
    <t>Now Assist Agentic AI Workshop</t>
  </si>
  <si>
    <t>Use Case Development</t>
  </si>
  <si>
    <t>Time based, implementation is limited to up to 3 use cases</t>
  </si>
  <si>
    <t>Story Development and Review</t>
  </si>
  <si>
    <t>Business Process Map Workshop (Use-Case Based)</t>
  </si>
  <si>
    <t>Limited to the single use case identified from Use Case Dev above</t>
  </si>
  <si>
    <t>Now Assist Agentic AI Accelerator Pack</t>
  </si>
  <si>
    <t>Boeing AI Roadmap Maturation Workshops</t>
  </si>
  <si>
    <t>Review and update existing customer AI roadmap, including integration recommendations for 3rd party systems (moveworks for example)</t>
  </si>
  <si>
    <t>Value Realization Dashboard Workshop</t>
  </si>
  <si>
    <t>Value realization dashboard use case development in support of AI Roadmap</t>
  </si>
  <si>
    <t>Integrations Evaluation and Recommendations Workshop</t>
  </si>
  <si>
    <t>Review of existing Boeing 3rd party systems, such as Moveworks, and develop integration recommendations</t>
  </si>
  <si>
    <t>AI Governance Memo</t>
  </si>
  <si>
    <t>Governance framework memo for AI</t>
  </si>
  <si>
    <t>deliverable</t>
  </si>
  <si>
    <t>Plan Oversight &amp; Calculated Hours</t>
  </si>
  <si>
    <t>This covers any oversight necessary during the plan phase to coordinate meetings, schedule workshops, updating project plan, etc. In addition for the PM it covers the finalization of the Project Plan.</t>
  </si>
  <si>
    <t>Workshop for Testing and Test Plan Document Creation</t>
  </si>
  <si>
    <t>Remove this if the Testing package is not being sold</t>
  </si>
  <si>
    <t>Now Assist Implementation - up to 3 use cases</t>
  </si>
  <si>
    <t>Portal to include enhanced widgets, layout and functionality as determined during the design phase. Standard out of the box pages / functionality will be implemented for anything that was not enhanced during the design phase.</t>
  </si>
  <si>
    <t>Limited to ITSM based on 50 licenses purchased for POC, halftime TC - 3 sprints</t>
  </si>
  <si>
    <t xml:space="preserve">Use Case Documentation </t>
  </si>
  <si>
    <t>Business Case, ROI documentation creation</t>
  </si>
  <si>
    <t>Configuration Runbook Creation</t>
  </si>
  <si>
    <t>Creation of configurations document to capture existin Now Assist config changes and NR AI Agent product configurations</t>
  </si>
  <si>
    <t>Execute Oversight &amp; Calculated Hours</t>
  </si>
  <si>
    <t>This covers the hours for the BA and/or SA to do the sprint demos, unit testing. Then for the PM it covers the oversight to manage the project during the Execute phase.</t>
  </si>
  <si>
    <t>Deliver</t>
  </si>
  <si>
    <t>Training Preparation</t>
  </si>
  <si>
    <t>Review training scope and the final content to be included in training based on the Deploy stage configurations.</t>
  </si>
  <si>
    <t>Leave to 2 hours unless large engagement then increase to 4.</t>
  </si>
  <si>
    <t>Create Training Materials</t>
  </si>
  <si>
    <t>Up to 1 Quick Reference Guide included - Now Assist ITSM</t>
  </si>
  <si>
    <t>• Training Materials will be limited to 1 Quick Reference Guide (QRG)
• Training Materials will be in English and any other languages will be done by the Client</t>
  </si>
  <si>
    <t>Adjust based on notes in Description:
QRGs are correctly scoped unless the customer has a specific template they want to use. Add two hours. Alternative is to list the QRG as 8 to 10 hours for 3 to 4 pages of content.
The PPT presentation is per application. Depending on the application, PPTs may take between 12 and 16 hours to complete.
The Full Guide option should say 16 hours per application. Example: Incident Management Training Guide = 16 hours, Incident and Change Management = 32 hours, a full ITSM suite = 48 hours. 
Will need to add Video Demonstrations. Each video demonstration will be between 2 minutes and 8 minutes in length and cover individual topics. One hour should be allotted for every 5 minutes of video demo created.</t>
  </si>
  <si>
    <t>Training Sessions</t>
  </si>
  <si>
    <t xml:space="preserve">Perform Now Assist ITSm training for end-users.  </t>
  </si>
  <si>
    <t>• Trainings will be limited to 2 training sessions for each module (6 total hours)
• Trainings will be done via Train the Trainer Method
• Training will be done remotely
• Training will be provided in English</t>
  </si>
  <si>
    <t>Adjust based on notes in Description:
PER APPLICATION:
Onsite training up to 4 hours per application.
Remote training up to 3 hours per application.</t>
  </si>
  <si>
    <t>Deliver Oversight and UAT Support</t>
  </si>
  <si>
    <t>The calculated hours in the Deliver phase cover the updating of user stories to reflect high-lvel test steps to validate functionality. This also covers demoing of the functionaliy to Client testers ahead of UAT, and supporting the UAT as a whole. In addition this includes the time it takes to migrate to UAT, creating a rollout plan, migrate to Production, as well as updating configuration documentation.</t>
  </si>
  <si>
    <t>Close Oversight &amp; Calculated Hours</t>
  </si>
  <si>
    <t>The calculated hours in the Close phase cover the post-live support in a part-time capacity unless stated otherwise. It also covers a technical knowledge transfer session with the customer, a closeout meeting and the sending of the CSAT survey and updating of the deployment record.</t>
  </si>
  <si>
    <t>Minimums</t>
  </si>
  <si>
    <t>Calculated Padding for minimums</t>
  </si>
  <si>
    <t>Yes</t>
  </si>
  <si>
    <t>Padding</t>
  </si>
  <si>
    <t>Roles and Skills</t>
  </si>
  <si>
    <t>OPTIONAL - Add Oversight</t>
  </si>
  <si>
    <t>Roles and skills</t>
  </si>
  <si>
    <t>Role #</t>
  </si>
  <si>
    <t>Role + Practice</t>
  </si>
  <si>
    <t>Resource Location</t>
  </si>
  <si>
    <t>Skill #1</t>
  </si>
  <si>
    <t>Skill #2</t>
  </si>
  <si>
    <t>Skill #3</t>
  </si>
  <si>
    <t>Role</t>
  </si>
  <si>
    <t>Initiate %</t>
  </si>
  <si>
    <t>Initiate Hours</t>
  </si>
  <si>
    <t>Plan %</t>
  </si>
  <si>
    <t>Plan Hours</t>
  </si>
  <si>
    <t>Execute %</t>
  </si>
  <si>
    <t>Execute Hours</t>
  </si>
  <si>
    <t>Deliver %</t>
  </si>
  <si>
    <t>Deliver Hours</t>
  </si>
  <si>
    <t>Close %</t>
  </si>
  <si>
    <t>Close Hours</t>
  </si>
  <si>
    <t>Scope &amp; Assumptions</t>
  </si>
  <si>
    <t>List Project Assumptions Here:</t>
  </si>
  <si>
    <t>List Out of Scope Here:</t>
  </si>
  <si>
    <t>Deliverables/Artifacts</t>
  </si>
  <si>
    <t>Deliverable/ Artifact</t>
  </si>
  <si>
    <t>In Scope?</t>
  </si>
  <si>
    <t>Project Kick Off</t>
  </si>
  <si>
    <t>NewRocket Kickoff PowerPoint</t>
  </si>
  <si>
    <t>YES</t>
  </si>
  <si>
    <t>Status Reports</t>
  </si>
  <si>
    <t>Weekly reports, which may include some, or all, of the following:</t>
  </si>
  <si>
    <t xml:space="preserve">User Stories </t>
  </si>
  <si>
    <t xml:space="preserve">All requirements collected throughout the Workshops documented in the Client’s Service Now instance. Describes in detail the customization needed to meet each requirement. </t>
  </si>
  <si>
    <t>Unit Test Steps</t>
  </si>
  <si>
    <t>Test steps prepared for each of the specifications and configurations in their respective story.</t>
  </si>
  <si>
    <t>Configuration/Design Approach Document</t>
  </si>
  <si>
    <t>End state documentation with all of the configuration completed by NewRocket</t>
  </si>
  <si>
    <t>Rollout Plan</t>
  </si>
  <si>
    <t>Step-by-step run book of go-live events</t>
  </si>
  <si>
    <t>Training Materials</t>
  </si>
  <si>
    <t>Quick Reference guides (QRG) for [modules] to support users post go-live</t>
  </si>
  <si>
    <t>Milestones</t>
  </si>
  <si>
    <t>Milestone #</t>
  </si>
  <si>
    <t>Trigger</t>
  </si>
  <si>
    <t>%</t>
  </si>
  <si>
    <t>Price</t>
  </si>
  <si>
    <t>Milestone 0</t>
  </si>
  <si>
    <t>Milestone 1</t>
  </si>
  <si>
    <t>Milestone 2</t>
  </si>
  <si>
    <t>Milestone 3</t>
  </si>
  <si>
    <t>Milestone 4</t>
  </si>
  <si>
    <t>Milestone 5</t>
  </si>
  <si>
    <t>Milestone 6</t>
  </si>
  <si>
    <t>Milestone 7</t>
  </si>
  <si>
    <t>Milestone 8</t>
  </si>
  <si>
    <t>Milestone 9</t>
  </si>
  <si>
    <t>Milestone 10</t>
  </si>
  <si>
    <t>Milestone 11</t>
  </si>
  <si>
    <t>Milestone 12</t>
  </si>
  <si>
    <t>Milestone 13</t>
  </si>
  <si>
    <t>Milestone 14</t>
  </si>
  <si>
    <t>Milestone 15</t>
  </si>
  <si>
    <t>Milestone 16</t>
  </si>
  <si>
    <t>Milestone 17</t>
  </si>
  <si>
    <t>Milestone 18</t>
  </si>
  <si>
    <t>Milestone 19</t>
  </si>
  <si>
    <t>Milestone 20</t>
  </si>
  <si>
    <t>Milestone 21</t>
  </si>
  <si>
    <t>Milestone 22</t>
  </si>
  <si>
    <t>Milestone 23</t>
  </si>
  <si>
    <t>Milestone 24</t>
  </si>
  <si>
    <t>Milestone 25</t>
  </si>
  <si>
    <t>Milestone 26</t>
  </si>
  <si>
    <t>Milestone 27</t>
  </si>
  <si>
    <t>Milestone 28</t>
  </si>
  <si>
    <t>Milestone 29</t>
  </si>
  <si>
    <t>Milestone 30</t>
  </si>
  <si>
    <t>Total from Pricing Tool.  MUST MATCH</t>
  </si>
  <si>
    <t>Total</t>
  </si>
  <si>
    <t>1 - NowAssist ITSM POC </t>
  </si>
  <si>
    <t>Bundle </t>
  </si>
  <si>
    <t>Deliverable </t>
  </si>
  <si>
    <t>Description </t>
  </si>
  <si>
    <t>Estimated Week </t>
  </si>
  <si>
    <t>1.1 Discovery &amp; Design </t>
  </si>
  <si>
    <t>Project Workstream Kick-off Meeting </t>
  </si>
  <si>
    <t>One (1) PowerPoint, review of SOW and alignment of project goals and outcomes </t>
  </si>
  <si>
    <t>End of Week 2 </t>
  </si>
  <si>
    <t>Now Assist ITSM Workshop </t>
  </si>
  <si>
    <t>One (1) PowerPoint </t>
  </si>
  <si>
    <t>NewRocket Agentic Agent Workshop + NR Agents (Alara, Phoebe)</t>
  </si>
  <si>
    <t>1.2 POC Build &amp; Demo </t>
  </si>
  <si>
    <t>Now Assist ITSM Refinement </t>
  </si>
  <si>
    <t>Now Assist configured in designed non-production environment, one (1) use case </t>
  </si>
  <si>
    <t>End of Week 6 </t>
  </si>
  <si>
    <t>NewRocket Agentic Agent Activation &amp; Configuration </t>
  </si>
  <si>
    <r>
      <t>NewRocket Agentic Agent configured in designed non-production environment, up to</t>
    </r>
    <r>
      <rPr>
        <sz val="11"/>
        <color rgb="FFFF0000"/>
        <rFont val="Arial"/>
        <family val="2"/>
      </rPr>
      <t xml:space="preserve"> two (2) agents </t>
    </r>
  </si>
  <si>
    <t>NewRocket AI Value Realization Dashboard </t>
  </si>
  <si>
    <t>One (1) snapshot dashboard with up to three (3) use cases specific to the POC </t>
  </si>
  <si>
    <t>1.3 AI Strategy &amp; Governance </t>
  </si>
  <si>
    <t>AI Roadmap </t>
  </si>
  <si>
    <t>One (1) AI roadmap </t>
  </si>
  <si>
    <t>End of Week 7 </t>
  </si>
  <si>
    <t>AI Integration Recommendations </t>
  </si>
  <si>
    <r>
      <t>One (1) Word (or agreed upon format) documenting integration recommendations with Boeing 3</t>
    </r>
    <r>
      <rPr>
        <vertAlign val="superscript"/>
        <sz val="8.5"/>
        <color rgb="FF000000"/>
        <rFont val="Arial"/>
        <family val="2"/>
      </rPr>
      <t>rd</t>
    </r>
    <r>
      <rPr>
        <sz val="11"/>
        <color rgb="FF000000"/>
        <rFont val="Arial"/>
        <family val="2"/>
      </rPr>
      <t> party systems </t>
    </r>
  </si>
  <si>
    <t>AI Governance Memo </t>
  </si>
  <si>
    <t>One (1) Word (or agreed upon format) AI Governance Memo document </t>
  </si>
  <si>
    <t>1.4 Final Handover &amp; Closeout </t>
  </si>
  <si>
    <t>AI Configuration Runbook </t>
  </si>
  <si>
    <t>One (1) Word (or agreed upon format) documenting configuration updates and NewRocket product configuration </t>
  </si>
  <si>
    <t>End of Week 8 </t>
  </si>
  <si>
    <t>2 - Digital Product Release Advisory Services </t>
  </si>
  <si>
    <t>2.1 Discovery &amp; Readout </t>
  </si>
  <si>
    <t>Release Management Workshops &amp; Readout </t>
  </si>
  <si>
    <t>2.2 OCM Strategy Package </t>
  </si>
  <si>
    <t>OCM Stakeholder Analysis and Impact Assessment </t>
  </si>
  <si>
    <t>One (1) PowerPoint (or agreed upon format) </t>
  </si>
  <si>
    <t>End of Week 4 </t>
  </si>
  <si>
    <t>OCM Strategy </t>
  </si>
  <si>
    <t>One (1) Word (or agreed upon format)  </t>
  </si>
  <si>
    <t>Workshop </t>
  </si>
  <si>
    <t>Topics</t>
  </si>
  <si>
    <t>Duration </t>
  </si>
  <si>
    <t>Date</t>
  </si>
  <si>
    <t>Lead</t>
  </si>
  <si>
    <r>
      <t xml:space="preserve">Now Assist for ITSM Skills; Use Cases; </t>
    </r>
    <r>
      <rPr>
        <sz val="12"/>
        <rFont val="Aptos"/>
        <family val="2"/>
      </rPr>
      <t>Value Realization Dashboard Overview</t>
    </r>
    <r>
      <rPr>
        <sz val="12"/>
        <color rgb="FF000000"/>
        <rFont val="Aptos"/>
        <family val="2"/>
      </rPr>
      <t>;  Demo on Monitoring Assist Consumption; Boeing ITSM System features;  Discussion + Draft Stories (outcome) </t>
    </r>
  </si>
  <si>
    <t>2 hours </t>
  </si>
  <si>
    <t>Pankaj &amp; Mylene</t>
  </si>
  <si>
    <t xml:space="preserve">Value Realization Dashboard Deep Dive </t>
  </si>
  <si>
    <t xml:space="preserve">1 hour </t>
  </si>
  <si>
    <t xml:space="preserve">Anusha &amp; Mylene </t>
  </si>
  <si>
    <t>Demoing Phoebe and Elara (NR Agents); Stories refinement and sign off</t>
  </si>
  <si>
    <t>1.5 hours </t>
  </si>
  <si>
    <t>Anthony &amp; Pankaj</t>
  </si>
  <si>
    <t>Boeing AI Roadmap Maturation; Integrations Evaluation and Recommendations </t>
  </si>
  <si>
    <t>Anusha</t>
  </si>
  <si>
    <t xml:space="preserve">Overflow sessions and follow-ups (As needed) </t>
  </si>
  <si>
    <t xml:space="preserve"># of hours </t>
  </si>
  <si>
    <t>Session 1</t>
  </si>
  <si>
    <t>Session 2</t>
  </si>
  <si>
    <t>Recommended Audience</t>
  </si>
  <si>
    <t>Project Manager-PMO</t>
  </si>
  <si>
    <t>Solution Architect-Technology</t>
  </si>
  <si>
    <t>Business Process Consultant-Technology</t>
  </si>
  <si>
    <t>Senior Technical Consultant-Technology</t>
  </si>
  <si>
    <t>Workflow/Practice Strategist-Technology</t>
  </si>
  <si>
    <t># of Sessions</t>
  </si>
  <si>
    <t xml:space="preserve">Session 1 </t>
  </si>
  <si>
    <t xml:space="preserve">Session 2 </t>
  </si>
  <si>
    <t xml:space="preserve">General </t>
  </si>
  <si>
    <t xml:space="preserve">Now Assist for ITSM Skills; Use Cases; Value Realization Dashboard;  Demo on Monitoring Assist Consumption; Boeing ITSM System features;  Discussion + Draft Stories (outcome) </t>
  </si>
  <si>
    <t xml:space="preserve">2 hours </t>
  </si>
  <si>
    <t xml:space="preserve">ITSM Product Owner, ServiceNow Architect </t>
  </si>
  <si>
    <t>Now Assist Agentic AI Workshop + Story Development and Review</t>
  </si>
  <si>
    <t xml:space="preserve">1.5 hours </t>
  </si>
  <si>
    <t xml:space="preserve">Boeing AI Roadmap Maturation; Integrations Evaluation and Recommendations </t>
  </si>
  <si>
    <t>Story Creation  and Review</t>
  </si>
  <si>
    <t>No.</t>
  </si>
  <si>
    <t>Activity</t>
  </si>
  <si>
    <t xml:space="preserve">Description </t>
  </si>
  <si>
    <t xml:space="preserve">Assumption </t>
  </si>
  <si>
    <t xml:space="preserve">Solution Architect </t>
  </si>
  <si>
    <t xml:space="preserve">Business Process Consultant </t>
  </si>
  <si>
    <t xml:space="preserve">Workflow/Practice Strategist </t>
  </si>
  <si>
    <t xml:space="preserve">1. Now Assist POC </t>
  </si>
  <si>
    <t>A. SOW</t>
  </si>
  <si>
    <t xml:space="preserve">Close </t>
  </si>
  <si>
    <t>2. DPR Advisory Services</t>
  </si>
  <si>
    <t xml:space="preserve">Week Date </t>
  </si>
  <si>
    <t>Story #</t>
  </si>
  <si>
    <t>Story Summary</t>
  </si>
  <si>
    <t>Boeing Roadmap Alignment</t>
  </si>
  <si>
    <t>SOW Fit</t>
  </si>
  <si>
    <t>Risk Level</t>
  </si>
  <si>
    <t>Success Criteria (POC Only)</t>
  </si>
  <si>
    <t xml:space="preserve">NR Capabilities </t>
  </si>
  <si>
    <t>Enable Now Assist Panel</t>
  </si>
  <si>
    <t>Phase 1 – Foundational</t>
  </si>
  <si>
    <t>✔ In Scope</t>
  </si>
  <si>
    <t>Low</t>
  </si>
  <si>
    <t>Panel accessible, OOB features only, no production rollout</t>
  </si>
  <si>
    <t>Install Now Assist for ITSM</t>
  </si>
  <si>
    <t>Plugin installed in non-prod, features available to activate</t>
  </si>
  <si>
    <t>Chat Summarization Skill</t>
  </si>
  <si>
    <t>Phase 1 – Summarization</t>
  </si>
  <si>
    <t>Medium</t>
  </si>
  <si>
    <t>Summaries show in UI; accuracy not required; formatting minimal</t>
  </si>
  <si>
    <t>Major Incident Summary</t>
  </si>
  <si>
    <t>Phase 2 – MIM Comms / Proactive Ops</t>
  </si>
  <si>
    <t>❌ Out of Scope</t>
  </si>
  <si>
    <t>High</t>
  </si>
  <si>
    <t>Demo-only summary; not matched to Boeing template; roadmap item</t>
  </si>
  <si>
    <t xml:space="preserve">Adding fields to LookUP / MIM team's exact use case needed </t>
  </si>
  <si>
    <t>Install Elara/Phoebe</t>
  </si>
  <si>
    <t>Phase 1 – Authoring Support (Demo)</t>
  </si>
  <si>
    <t>✔ In Scope (activation only)</t>
  </si>
  <si>
    <t>Agents activated; OOB demo flows only; no Boeing-specific logic</t>
  </si>
  <si>
    <t>Elara Structured KM Use Cases</t>
  </si>
  <si>
    <t>Phase 3 – Automated KB Mgmt</t>
  </si>
  <si>
    <t>Demo-only article draft; no metadata, no approvals, no templates</t>
  </si>
  <si>
    <t xml:space="preserve">Meeting tomorrow (26/11) </t>
  </si>
  <si>
    <t>Phoebe Incident Use Cases</t>
  </si>
  <si>
    <t>Phase 3–4 – Triage, Routing, Auto-Resolution</t>
  </si>
  <si>
    <t>Very High</t>
  </si>
  <si>
    <t>Demo-only guidance; no state changes, no close automation; roadmap</t>
  </si>
  <si>
    <t>Now Assist Guardian</t>
  </si>
  <si>
    <t>Phase 1 – Foundations</t>
  </si>
  <si>
    <t>Offensiveness + PI guardrails enabled; no enterprise policy validation</t>
  </si>
  <si>
    <t>New Skill</t>
  </si>
  <si>
    <t>Sentiment Analysis</t>
  </si>
  <si>
    <t>Phase 2–3 – Analytics + Trend Analysis</t>
  </si>
  <si>
    <t>Mock/demo value only; no ML accuracy; no workflow; roadmap</t>
  </si>
  <si>
    <t xml:space="preserve">Level of customization required and can be done by project team; detailed steps are included in the stories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</si>
</sst>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8" formatCode="&quot;$&quot;#,##0.00_);[Red]\(&quot;$&quot;#,##0.00\)"/>
  </numFmts>
  <fonts count="26">
    <font>
      <sz val="10"/>
      <name val="Geneva"/>
    </font>
    <font>
      <sz val="11"/>
      <color theme="1"/>
      <name val="Calibri"/>
      <family val="2"/>
      <scheme val="minor"/>
    </font>
    <font>
      <sz val="11"/>
      <color theme="1"/>
      <name val="Calibri"/>
      <family val="2"/>
      <scheme val="minor"/>
    </font>
    <font>
      <sz val="11"/>
      <color theme="1"/>
      <name val="Calibri"/>
      <family val="2"/>
      <scheme val="minor"/>
    </font>
    <font>
      <sz val="10"/>
      <name val="Geneva"/>
    </font>
    <font>
      <sz val="11"/>
      <name val="Calibri"/>
      <family val="2"/>
      <scheme val="minor"/>
    </font>
    <font>
      <sz val="14"/>
      <name val="Calibri"/>
      <family val="2"/>
      <scheme val="minor"/>
    </font>
    <font>
      <b/>
      <sz val="14"/>
      <name val="Calibri"/>
      <family val="2"/>
      <scheme val="minor"/>
    </font>
    <font>
      <sz val="11"/>
      <color rgb="FFFFFFFF"/>
      <name val="Calibri"/>
      <family val="2"/>
      <scheme val="minor"/>
    </font>
    <font>
      <sz val="14"/>
      <color rgb="FFFFFFFF"/>
      <name val="Calibri"/>
      <family val="2"/>
      <scheme val="minor"/>
    </font>
    <font>
      <b/>
      <sz val="14"/>
      <color rgb="FFFFFFFF"/>
      <name val="Calibri"/>
      <family val="2"/>
      <scheme val="minor"/>
    </font>
    <font>
      <b/>
      <sz val="11"/>
      <name val="Calibri"/>
      <family val="2"/>
      <scheme val="minor"/>
    </font>
    <font>
      <b/>
      <sz val="14"/>
      <color theme="1"/>
      <name val="Calibri"/>
      <family val="2"/>
      <scheme val="minor"/>
    </font>
    <font>
      <b/>
      <sz val="10"/>
      <color rgb="FFFFFFFF"/>
      <name val="Arial"/>
      <family val="2"/>
    </font>
    <font>
      <sz val="10"/>
      <name val="Geneva"/>
      <family val="2"/>
    </font>
    <font>
      <b/>
      <sz val="11"/>
      <color theme="1"/>
      <name val="Calibri"/>
      <family val="2"/>
      <scheme val="minor"/>
    </font>
    <font>
      <b/>
      <sz val="10"/>
      <name val="Geneva"/>
    </font>
    <font>
      <b/>
      <sz val="11"/>
      <color rgb="FFFFFFFF"/>
      <name val="Arial"/>
      <family val="2"/>
    </font>
    <font>
      <sz val="11"/>
      <color rgb="FF000000"/>
      <name val="Arial"/>
      <family val="2"/>
    </font>
    <font>
      <sz val="11"/>
      <color rgb="FFFF0000"/>
      <name val="Arial"/>
      <family val="2"/>
    </font>
    <font>
      <vertAlign val="superscript"/>
      <sz val="8.5"/>
      <color rgb="FF000000"/>
      <name val="Arial"/>
      <family val="2"/>
    </font>
    <font>
      <sz val="12"/>
      <color rgb="FF000000"/>
      <name val="Aptos"/>
      <family val="2"/>
    </font>
    <font>
      <sz val="12"/>
      <name val="Aptos"/>
      <family val="2"/>
    </font>
    <font>
      <sz val="10"/>
      <color rgb="FFFF0000"/>
      <name val="Geneva"/>
    </font>
    <font>
      <i/>
      <sz val="10"/>
      <name val="Geneva"/>
    </font>
    <font>
      <sz val="8"/>
      <name val="Geneva"/>
    </font>
  </fonts>
  <fills count="20">
    <fill>
      <patternFill patternType="none"/>
    </fill>
    <fill>
      <patternFill patternType="gray125"/>
    </fill>
    <fill>
      <patternFill patternType="solid">
        <fgColor theme="4" tint="-0.249977111117893"/>
        <bgColor indexed="64"/>
      </patternFill>
    </fill>
    <fill>
      <patternFill patternType="solid">
        <fgColor rgb="FF412E61"/>
        <bgColor indexed="64"/>
      </patternFill>
    </fill>
    <fill>
      <patternFill patternType="solid">
        <fgColor rgb="FF92D050"/>
        <bgColor indexed="64"/>
      </patternFill>
    </fill>
    <fill>
      <patternFill patternType="solid">
        <fgColor rgb="FF1EA9C3"/>
        <bgColor indexed="64"/>
      </patternFill>
    </fill>
    <fill>
      <patternFill patternType="solid">
        <fgColor theme="7"/>
        <bgColor indexed="64"/>
      </patternFill>
    </fill>
    <fill>
      <patternFill patternType="solid">
        <fgColor theme="8"/>
        <bgColor indexed="64"/>
      </patternFill>
    </fill>
    <fill>
      <patternFill patternType="solid">
        <fgColor theme="9"/>
        <bgColor indexed="64"/>
      </patternFill>
    </fill>
    <fill>
      <patternFill patternType="solid">
        <fgColor rgb="FFE6CFFF"/>
        <bgColor indexed="64"/>
      </patternFill>
    </fill>
    <fill>
      <patternFill patternType="solid">
        <fgColor rgb="FFFFFFFF"/>
        <bgColor indexed="64"/>
      </patternFill>
    </fill>
    <fill>
      <patternFill patternType="solid">
        <fgColor theme="9" tint="0.79998168889431442"/>
        <bgColor indexed="64"/>
      </patternFill>
    </fill>
    <fill>
      <patternFill patternType="solid">
        <fgColor rgb="FF573D82"/>
        <bgColor indexed="64"/>
      </patternFill>
    </fill>
    <fill>
      <patternFill patternType="solid">
        <fgColor rgb="FF00B0F0"/>
        <bgColor indexed="64"/>
      </patternFill>
    </fill>
    <fill>
      <patternFill patternType="solid">
        <fgColor rgb="FFFFFF00"/>
        <bgColor indexed="64"/>
      </patternFill>
    </fill>
    <fill>
      <patternFill patternType="solid">
        <fgColor theme="2" tint="-0.249977111117893"/>
        <bgColor indexed="64"/>
      </patternFill>
    </fill>
    <fill>
      <patternFill patternType="solid">
        <fgColor theme="5" tint="-0.249977111117893"/>
        <bgColor indexed="64"/>
      </patternFill>
    </fill>
    <fill>
      <patternFill patternType="solid">
        <fgColor theme="6" tint="0.39997558519241921"/>
        <bgColor indexed="64"/>
      </patternFill>
    </fill>
    <fill>
      <patternFill patternType="solid">
        <fgColor theme="6" tint="0.79998168889431442"/>
        <bgColor indexed="64"/>
      </patternFill>
    </fill>
    <fill>
      <patternFill patternType="solid">
        <fgColor rgb="FFFF0000"/>
        <bgColor indexed="64"/>
      </patternFill>
    </fill>
  </fills>
  <borders count="61">
    <border>
      <left/>
      <right/>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top/>
      <bottom/>
      <diagonal/>
    </border>
    <border>
      <left style="medium">
        <color indexed="64"/>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style="medium">
        <color indexed="64"/>
      </left>
      <right/>
      <top style="medium">
        <color indexed="64"/>
      </top>
      <bottom/>
      <diagonal/>
    </border>
    <border>
      <left/>
      <right style="thin">
        <color indexed="64"/>
      </right>
      <top style="medium">
        <color indexed="64"/>
      </top>
      <bottom/>
      <diagonal/>
    </border>
    <border>
      <left style="thin">
        <color indexed="64"/>
      </left>
      <right style="medium">
        <color indexed="64"/>
      </right>
      <top style="medium">
        <color indexed="64"/>
      </top>
      <bottom style="thin">
        <color indexed="64"/>
      </bottom>
      <diagonal/>
    </border>
    <border>
      <left style="medium">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diagonal/>
    </border>
    <border>
      <left/>
      <right style="medium">
        <color indexed="64"/>
      </right>
      <top style="medium">
        <color indexed="64"/>
      </top>
      <bottom/>
      <diagonal/>
    </border>
    <border>
      <left/>
      <right/>
      <top/>
      <bottom style="medium">
        <color indexed="64"/>
      </bottom>
      <diagonal/>
    </border>
    <border>
      <left/>
      <right style="medium">
        <color indexed="64"/>
      </right>
      <top/>
      <bottom style="medium">
        <color indexed="64"/>
      </bottom>
      <diagonal/>
    </border>
    <border>
      <left style="thin">
        <color rgb="FF000000"/>
      </left>
      <right style="medium">
        <color rgb="FF8A93A5"/>
      </right>
      <top style="thin">
        <color rgb="FF000000"/>
      </top>
      <bottom style="medium">
        <color rgb="FF8A93A5"/>
      </bottom>
      <diagonal/>
    </border>
    <border>
      <left style="medium">
        <color rgb="FF8A93A5"/>
      </left>
      <right style="medium">
        <color rgb="FF8A93A5"/>
      </right>
      <top style="thin">
        <color rgb="FF000000"/>
      </top>
      <bottom style="medium">
        <color rgb="FF8A93A5"/>
      </bottom>
      <diagonal/>
    </border>
    <border>
      <left style="medium">
        <color rgb="FF8A93A5"/>
      </left>
      <right style="thin">
        <color rgb="FF000000"/>
      </right>
      <top style="thin">
        <color rgb="FF000000"/>
      </top>
      <bottom style="medium">
        <color rgb="FF8A93A5"/>
      </bottom>
      <diagonal/>
    </border>
    <border>
      <left style="thin">
        <color rgb="FF000000"/>
      </left>
      <right style="medium">
        <color rgb="FF8A93A5"/>
      </right>
      <top style="medium">
        <color rgb="FF8A93A5"/>
      </top>
      <bottom/>
      <diagonal/>
    </border>
    <border>
      <left style="medium">
        <color rgb="FF8A93A5"/>
      </left>
      <right style="medium">
        <color rgb="FF8A93A5"/>
      </right>
      <top style="medium">
        <color rgb="FF8A93A5"/>
      </top>
      <bottom style="medium">
        <color rgb="FF8A93A5"/>
      </bottom>
      <diagonal/>
    </border>
    <border>
      <left style="medium">
        <color rgb="FF8A93A5"/>
      </left>
      <right style="thin">
        <color rgb="FF000000"/>
      </right>
      <top style="medium">
        <color rgb="FF8A93A5"/>
      </top>
      <bottom/>
      <diagonal/>
    </border>
    <border>
      <left style="thin">
        <color rgb="FF000000"/>
      </left>
      <right style="medium">
        <color rgb="FF8A93A5"/>
      </right>
      <top/>
      <bottom/>
      <diagonal/>
    </border>
    <border>
      <left style="medium">
        <color rgb="FF8A93A5"/>
      </left>
      <right style="thin">
        <color rgb="FF000000"/>
      </right>
      <top/>
      <bottom/>
      <diagonal/>
    </border>
    <border>
      <left style="thin">
        <color rgb="FF000000"/>
      </left>
      <right style="medium">
        <color rgb="FF8A93A5"/>
      </right>
      <top/>
      <bottom style="medium">
        <color rgb="FF8A93A5"/>
      </bottom>
      <diagonal/>
    </border>
    <border>
      <left style="medium">
        <color rgb="FF8A93A5"/>
      </left>
      <right style="thin">
        <color rgb="FF000000"/>
      </right>
      <top/>
      <bottom style="medium">
        <color rgb="FF8A93A5"/>
      </bottom>
      <diagonal/>
    </border>
    <border>
      <left style="thin">
        <color rgb="FF000000"/>
      </left>
      <right style="medium">
        <color rgb="FF8A93A5"/>
      </right>
      <top style="medium">
        <color rgb="FF8A93A5"/>
      </top>
      <bottom style="thin">
        <color rgb="FF000000"/>
      </bottom>
      <diagonal/>
    </border>
    <border>
      <left style="medium">
        <color rgb="FF8A93A5"/>
      </left>
      <right style="medium">
        <color rgb="FF8A93A5"/>
      </right>
      <top style="medium">
        <color rgb="FF8A93A5"/>
      </top>
      <bottom style="thin">
        <color rgb="FF000000"/>
      </bottom>
      <diagonal/>
    </border>
    <border>
      <left style="medium">
        <color rgb="FF8A93A5"/>
      </left>
      <right style="thin">
        <color rgb="FF000000"/>
      </right>
      <top style="medium">
        <color rgb="FF8A93A5"/>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style="thin">
        <color rgb="FF000000"/>
      </right>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s>
  <cellStyleXfs count="5">
    <xf numFmtId="0" fontId="0" fillId="0" borderId="0"/>
    <xf numFmtId="8" fontId="14" fillId="0" borderId="0" applyFont="0" applyFill="0" applyBorder="0" applyAlignment="0" applyProtection="0"/>
    <xf numFmtId="9" fontId="4" fillId="0" borderId="0" applyFont="0" applyFill="0" applyBorder="0" applyAlignment="0" applyProtection="0"/>
    <xf numFmtId="0" fontId="3" fillId="0" borderId="0"/>
    <xf numFmtId="0" fontId="2" fillId="0" borderId="0"/>
  </cellStyleXfs>
  <cellXfs count="182">
    <xf numFmtId="0" fontId="0" fillId="0" borderId="0" xfId="0"/>
    <xf numFmtId="0" fontId="5" fillId="0" borderId="0" xfId="0" applyFont="1" applyProtection="1">
      <protection locked="0"/>
    </xf>
    <xf numFmtId="0" fontId="6" fillId="0" borderId="1" xfId="0" applyFont="1" applyBorder="1" applyProtection="1">
      <protection locked="0"/>
    </xf>
    <xf numFmtId="0" fontId="6" fillId="0" borderId="2" xfId="0" applyFont="1" applyBorder="1" applyProtection="1">
      <protection locked="0"/>
    </xf>
    <xf numFmtId="0" fontId="7" fillId="0" borderId="3" xfId="0" applyFont="1" applyBorder="1" applyAlignment="1" applyProtection="1">
      <alignment vertical="center" wrapText="1"/>
      <protection locked="0"/>
    </xf>
    <xf numFmtId="0" fontId="8" fillId="2" borderId="4" xfId="0" applyFont="1" applyFill="1" applyBorder="1" applyProtection="1">
      <protection hidden="1"/>
    </xf>
    <xf numFmtId="0" fontId="8" fillId="2" borderId="4" xfId="0" applyFont="1" applyFill="1" applyBorder="1" applyAlignment="1" applyProtection="1">
      <alignment wrapText="1"/>
      <protection hidden="1"/>
    </xf>
    <xf numFmtId="0" fontId="9" fillId="2" borderId="5" xfId="0" applyFont="1" applyFill="1" applyBorder="1" applyProtection="1">
      <protection hidden="1"/>
    </xf>
    <xf numFmtId="0" fontId="9" fillId="2" borderId="5" xfId="0" applyFont="1" applyFill="1" applyBorder="1" applyAlignment="1" applyProtection="1">
      <alignment wrapText="1"/>
      <protection hidden="1"/>
    </xf>
    <xf numFmtId="0" fontId="9" fillId="2" borderId="6" xfId="0" applyFont="1" applyFill="1" applyBorder="1" applyAlignment="1" applyProtection="1">
      <alignment wrapText="1"/>
      <protection hidden="1"/>
    </xf>
    <xf numFmtId="0" fontId="5" fillId="0" borderId="5" xfId="0" applyFont="1" applyBorder="1" applyProtection="1">
      <protection locked="0"/>
    </xf>
    <xf numFmtId="0" fontId="5" fillId="0" borderId="5" xfId="0" applyFont="1" applyBorder="1" applyAlignment="1" applyProtection="1">
      <alignment wrapText="1"/>
      <protection locked="0"/>
    </xf>
    <xf numFmtId="0" fontId="11" fillId="0" borderId="5" xfId="0" applyFont="1" applyBorder="1" applyAlignment="1" applyProtection="1">
      <alignment horizontal="center"/>
      <protection locked="0"/>
    </xf>
    <xf numFmtId="0" fontId="5" fillId="0" borderId="6" xfId="0" applyFont="1" applyBorder="1" applyProtection="1">
      <protection locked="0"/>
    </xf>
    <xf numFmtId="0" fontId="5" fillId="0" borderId="9" xfId="0" applyFont="1" applyBorder="1" applyProtection="1">
      <protection locked="0"/>
    </xf>
    <xf numFmtId="0" fontId="5" fillId="0" borderId="4" xfId="0" applyFont="1" applyBorder="1" applyProtection="1">
      <protection locked="0"/>
    </xf>
    <xf numFmtId="0" fontId="5" fillId="4" borderId="10" xfId="0" applyFont="1" applyFill="1" applyBorder="1" applyProtection="1">
      <protection locked="0"/>
    </xf>
    <xf numFmtId="0" fontId="5" fillId="4" borderId="11" xfId="0" applyFont="1" applyFill="1" applyBorder="1" applyProtection="1">
      <protection locked="0"/>
    </xf>
    <xf numFmtId="0" fontId="5" fillId="4" borderId="11" xfId="0" applyFont="1" applyFill="1" applyBorder="1" applyAlignment="1" applyProtection="1">
      <alignment wrapText="1"/>
      <protection locked="0"/>
    </xf>
    <xf numFmtId="0" fontId="5" fillId="0" borderId="12" xfId="0" applyFont="1" applyBorder="1" applyProtection="1">
      <protection locked="0"/>
    </xf>
    <xf numFmtId="0" fontId="5" fillId="0" borderId="13" xfId="0" applyFont="1" applyBorder="1" applyAlignment="1" applyProtection="1">
      <alignment wrapText="1"/>
      <protection locked="0"/>
    </xf>
    <xf numFmtId="0" fontId="5" fillId="0" borderId="13" xfId="0" applyFont="1" applyBorder="1" applyProtection="1">
      <protection locked="0"/>
    </xf>
    <xf numFmtId="0" fontId="11" fillId="0" borderId="13" xfId="0" applyFont="1" applyBorder="1" applyAlignment="1" applyProtection="1">
      <alignment horizontal="center"/>
      <protection locked="0"/>
    </xf>
    <xf numFmtId="0" fontId="5" fillId="0" borderId="14" xfId="0" applyFont="1" applyBorder="1" applyProtection="1">
      <protection locked="0"/>
    </xf>
    <xf numFmtId="0" fontId="5" fillId="4" borderId="5" xfId="0" applyFont="1" applyFill="1" applyBorder="1" applyProtection="1">
      <protection locked="0"/>
    </xf>
    <xf numFmtId="0" fontId="5" fillId="4" borderId="5" xfId="0" applyFont="1" applyFill="1" applyBorder="1" applyAlignment="1" applyProtection="1">
      <alignment wrapText="1"/>
      <protection locked="0"/>
    </xf>
    <xf numFmtId="0" fontId="8" fillId="5" borderId="15" xfId="0" applyFont="1" applyFill="1" applyBorder="1" applyProtection="1">
      <protection locked="0"/>
    </xf>
    <xf numFmtId="0" fontId="8" fillId="5" borderId="16" xfId="0" applyFont="1" applyFill="1" applyBorder="1" applyAlignment="1" applyProtection="1">
      <alignment wrapText="1"/>
      <protection locked="0"/>
    </xf>
    <xf numFmtId="0" fontId="8" fillId="5" borderId="16" xfId="0" applyFont="1" applyFill="1" applyBorder="1" applyProtection="1">
      <protection locked="0"/>
    </xf>
    <xf numFmtId="0" fontId="8" fillId="5" borderId="17" xfId="0" applyFont="1" applyFill="1" applyBorder="1" applyProtection="1">
      <protection locked="0"/>
    </xf>
    <xf numFmtId="0" fontId="5" fillId="4" borderId="21" xfId="0" applyFont="1" applyFill="1" applyBorder="1" applyProtection="1">
      <protection locked="0"/>
    </xf>
    <xf numFmtId="0" fontId="5" fillId="0" borderId="4" xfId="0" applyFont="1" applyBorder="1"/>
    <xf numFmtId="0" fontId="5" fillId="4" borderId="4" xfId="0" applyFont="1" applyFill="1" applyBorder="1"/>
    <xf numFmtId="0" fontId="5" fillId="0" borderId="5" xfId="0" applyFont="1" applyBorder="1"/>
    <xf numFmtId="0" fontId="5" fillId="0" borderId="5" xfId="0" applyFont="1" applyBorder="1" applyAlignment="1">
      <alignment wrapText="1"/>
    </xf>
    <xf numFmtId="0" fontId="5" fillId="0" borderId="5" xfId="0" applyFont="1" applyBorder="1" applyProtection="1">
      <protection hidden="1"/>
    </xf>
    <xf numFmtId="0" fontId="11" fillId="0" borderId="0" xfId="0" applyFont="1" applyAlignment="1" applyProtection="1">
      <alignment horizontal="center"/>
      <protection locked="0" hidden="1"/>
    </xf>
    <xf numFmtId="0" fontId="10" fillId="2" borderId="7" xfId="0" applyFont="1" applyFill="1" applyBorder="1" applyAlignment="1" applyProtection="1">
      <alignment horizontal="center" vertical="center" textRotation="180" wrapText="1"/>
      <protection locked="0"/>
    </xf>
    <xf numFmtId="0" fontId="12" fillId="10" borderId="12" xfId="0" applyFont="1" applyFill="1" applyBorder="1" applyAlignment="1" applyProtection="1">
      <alignment horizontal="center" wrapText="1"/>
      <protection locked="0" hidden="1"/>
    </xf>
    <xf numFmtId="0" fontId="12" fillId="10" borderId="20" xfId="0" applyFont="1" applyFill="1" applyBorder="1" applyAlignment="1" applyProtection="1">
      <alignment horizontal="center" wrapText="1"/>
      <protection locked="0" hidden="1"/>
    </xf>
    <xf numFmtId="0" fontId="12" fillId="10" borderId="26" xfId="0" applyFont="1" applyFill="1" applyBorder="1" applyAlignment="1" applyProtection="1">
      <alignment horizontal="center" wrapText="1"/>
      <protection locked="0" hidden="1"/>
    </xf>
    <xf numFmtId="0" fontId="12" fillId="10" borderId="13" xfId="0" applyFont="1" applyFill="1" applyBorder="1" applyAlignment="1" applyProtection="1">
      <alignment horizontal="center" wrapText="1"/>
      <protection locked="0" hidden="1"/>
    </xf>
    <xf numFmtId="0" fontId="10" fillId="2" borderId="8" xfId="0" applyFont="1" applyFill="1" applyBorder="1" applyAlignment="1" applyProtection="1">
      <alignment horizontal="center" vertical="center" textRotation="180" wrapText="1"/>
      <protection locked="0"/>
    </xf>
    <xf numFmtId="0" fontId="5" fillId="10" borderId="4" xfId="0" applyFont="1" applyFill="1" applyBorder="1" applyProtection="1">
      <protection hidden="1"/>
    </xf>
    <xf numFmtId="0" fontId="5" fillId="10" borderId="9" xfId="0" applyFont="1" applyFill="1" applyBorder="1" applyProtection="1">
      <protection hidden="1"/>
    </xf>
    <xf numFmtId="0" fontId="5" fillId="10" borderId="0" xfId="0" applyFont="1" applyFill="1" applyProtection="1">
      <protection hidden="1"/>
    </xf>
    <xf numFmtId="0" fontId="5" fillId="10" borderId="27" xfId="0" applyFont="1" applyFill="1" applyBorder="1" applyProtection="1">
      <protection hidden="1"/>
    </xf>
    <xf numFmtId="9" fontId="5" fillId="11" borderId="0" xfId="2" applyFont="1" applyFill="1" applyProtection="1">
      <protection locked="0"/>
    </xf>
    <xf numFmtId="0" fontId="5" fillId="10" borderId="28" xfId="0" applyFont="1" applyFill="1" applyBorder="1" applyProtection="1">
      <protection hidden="1"/>
    </xf>
    <xf numFmtId="9" fontId="5" fillId="0" borderId="0" xfId="2" applyFont="1" applyFill="1" applyProtection="1">
      <protection locked="0"/>
    </xf>
    <xf numFmtId="0" fontId="5" fillId="0" borderId="0" xfId="0" applyFont="1" applyProtection="1">
      <protection hidden="1"/>
    </xf>
    <xf numFmtId="0" fontId="5" fillId="10" borderId="32" xfId="0" applyFont="1" applyFill="1" applyBorder="1" applyProtection="1">
      <protection hidden="1"/>
    </xf>
    <xf numFmtId="0" fontId="5" fillId="10" borderId="37" xfId="0" applyFont="1" applyFill="1" applyBorder="1" applyProtection="1">
      <protection hidden="1"/>
    </xf>
    <xf numFmtId="0" fontId="10" fillId="2" borderId="5" xfId="0" applyFont="1" applyFill="1" applyBorder="1" applyAlignment="1" applyProtection="1">
      <alignment horizontal="center" vertical="center" textRotation="180" wrapText="1"/>
      <protection locked="0"/>
    </xf>
    <xf numFmtId="0" fontId="10" fillId="12" borderId="5" xfId="0" applyFont="1" applyFill="1" applyBorder="1" applyAlignment="1" applyProtection="1">
      <alignment vertical="center" wrapText="1"/>
      <protection locked="0"/>
    </xf>
    <xf numFmtId="0" fontId="10" fillId="12" borderId="9" xfId="0" applyFont="1" applyFill="1" applyBorder="1" applyAlignment="1" applyProtection="1">
      <alignment vertical="center" wrapText="1"/>
      <protection locked="0"/>
    </xf>
    <xf numFmtId="0" fontId="10" fillId="12" borderId="27" xfId="0" applyFont="1" applyFill="1" applyBorder="1" applyAlignment="1" applyProtection="1">
      <alignment vertical="center" wrapText="1"/>
      <protection locked="0"/>
    </xf>
    <xf numFmtId="0" fontId="10" fillId="12" borderId="4" xfId="0" applyFont="1" applyFill="1" applyBorder="1" applyAlignment="1" applyProtection="1">
      <alignment vertical="center" wrapText="1"/>
      <protection locked="0"/>
    </xf>
    <xf numFmtId="0" fontId="13" fillId="0" borderId="0" xfId="0" applyFont="1" applyAlignment="1" applyProtection="1">
      <alignment vertical="center" wrapText="1"/>
      <protection locked="0"/>
    </xf>
    <xf numFmtId="0" fontId="5" fillId="0" borderId="9" xfId="0" applyFont="1" applyBorder="1" applyAlignment="1" applyProtection="1">
      <alignment wrapText="1"/>
      <protection locked="0"/>
    </xf>
    <xf numFmtId="0" fontId="5" fillId="0" borderId="27" xfId="0" applyFont="1" applyBorder="1" applyAlignment="1" applyProtection="1">
      <alignment wrapText="1"/>
      <protection locked="0"/>
    </xf>
    <xf numFmtId="0" fontId="5" fillId="0" borderId="4" xfId="0" applyFont="1" applyBorder="1" applyAlignment="1" applyProtection="1">
      <alignment wrapText="1"/>
      <protection locked="0"/>
    </xf>
    <xf numFmtId="0" fontId="5" fillId="11" borderId="5" xfId="0" applyFont="1" applyFill="1" applyBorder="1" applyProtection="1">
      <protection locked="0"/>
    </xf>
    <xf numFmtId="9" fontId="5" fillId="0" borderId="0" xfId="2" applyFont="1" applyProtection="1">
      <protection locked="0"/>
    </xf>
    <xf numFmtId="2" fontId="5" fillId="0" borderId="0" xfId="1" applyNumberFormat="1" applyFont="1" applyProtection="1">
      <protection hidden="1"/>
    </xf>
    <xf numFmtId="8" fontId="5" fillId="0" borderId="7" xfId="1" applyFont="1" applyBorder="1" applyProtection="1">
      <protection hidden="1"/>
    </xf>
    <xf numFmtId="9" fontId="5" fillId="0" borderId="0" xfId="0" applyNumberFormat="1" applyFont="1" applyProtection="1">
      <protection hidden="1"/>
    </xf>
    <xf numFmtId="2" fontId="5" fillId="0" borderId="22" xfId="1" applyNumberFormat="1" applyFont="1" applyBorder="1" applyProtection="1">
      <protection hidden="1"/>
    </xf>
    <xf numFmtId="0" fontId="10" fillId="3" borderId="8" xfId="0" applyFont="1" applyFill="1" applyBorder="1" applyAlignment="1" applyProtection="1">
      <alignment horizontal="center" vertical="center" textRotation="180" wrapText="1"/>
      <protection locked="0"/>
    </xf>
    <xf numFmtId="0" fontId="10" fillId="8" borderId="8" xfId="0" applyFont="1" applyFill="1" applyBorder="1" applyAlignment="1" applyProtection="1">
      <alignment horizontal="center" vertical="center" textRotation="180" wrapText="1"/>
      <protection locked="0"/>
    </xf>
    <xf numFmtId="0" fontId="3" fillId="0" borderId="0" xfId="3"/>
    <xf numFmtId="0" fontId="3" fillId="0" borderId="0" xfId="3" applyAlignment="1">
      <alignment wrapText="1"/>
    </xf>
    <xf numFmtId="0" fontId="3" fillId="0" borderId="5" xfId="3" applyBorder="1" applyAlignment="1">
      <alignment wrapText="1"/>
    </xf>
    <xf numFmtId="0" fontId="3" fillId="0" borderId="5" xfId="3" applyBorder="1" applyAlignment="1">
      <alignment horizontal="center" wrapText="1"/>
    </xf>
    <xf numFmtId="0" fontId="16" fillId="13" borderId="5" xfId="0" applyFont="1" applyFill="1" applyBorder="1" applyAlignment="1">
      <alignment horizontal="center" wrapText="1"/>
    </xf>
    <xf numFmtId="0" fontId="16" fillId="13" borderId="5" xfId="0" applyFont="1" applyFill="1" applyBorder="1" applyAlignment="1">
      <alignment wrapText="1"/>
    </xf>
    <xf numFmtId="0" fontId="15" fillId="0" borderId="0" xfId="4" applyFont="1"/>
    <xf numFmtId="0" fontId="2" fillId="0" borderId="0" xfId="4"/>
    <xf numFmtId="0" fontId="17" fillId="12" borderId="39" xfId="4" applyFont="1" applyFill="1" applyBorder="1" applyAlignment="1">
      <alignment horizontal="left" vertical="center" wrapText="1"/>
    </xf>
    <xf numFmtId="0" fontId="17" fillId="12" borderId="40" xfId="4" applyFont="1" applyFill="1" applyBorder="1" applyAlignment="1">
      <alignment horizontal="left" vertical="center" wrapText="1"/>
    </xf>
    <xf numFmtId="0" fontId="17" fillId="12" borderId="41" xfId="4" applyFont="1" applyFill="1" applyBorder="1" applyAlignment="1">
      <alignment horizontal="left" vertical="center" wrapText="1"/>
    </xf>
    <xf numFmtId="0" fontId="18" fillId="0" borderId="43" xfId="4" applyFont="1" applyBorder="1" applyAlignment="1">
      <alignment horizontal="left" vertical="center" wrapText="1"/>
    </xf>
    <xf numFmtId="0" fontId="18" fillId="0" borderId="49" xfId="4" applyFont="1" applyBorder="1" applyAlignment="1">
      <alignment horizontal="left" vertical="center" wrapText="1"/>
    </xf>
    <xf numFmtId="0" fontId="18" fillId="0" borderId="50" xfId="4" applyFont="1" applyBorder="1" applyAlignment="1">
      <alignment horizontal="left" vertical="center" wrapText="1"/>
    </xf>
    <xf numFmtId="0" fontId="18" fillId="0" borderId="51" xfId="4" applyFont="1" applyBorder="1" applyAlignment="1">
      <alignment horizontal="left" vertical="center" wrapText="1"/>
    </xf>
    <xf numFmtId="0" fontId="1" fillId="0" borderId="0" xfId="3" quotePrefix="1" applyFont="1" applyAlignment="1">
      <alignment wrapText="1"/>
    </xf>
    <xf numFmtId="0" fontId="1" fillId="0" borderId="0" xfId="3" applyFont="1" applyAlignment="1">
      <alignment wrapText="1"/>
    </xf>
    <xf numFmtId="0" fontId="3" fillId="14" borderId="0" xfId="3" applyFill="1" applyAlignment="1">
      <alignment wrapText="1"/>
    </xf>
    <xf numFmtId="16" fontId="3" fillId="0" borderId="0" xfId="3" applyNumberFormat="1" applyAlignment="1">
      <alignment wrapText="1"/>
    </xf>
    <xf numFmtId="16" fontId="1" fillId="0" borderId="0" xfId="3" applyNumberFormat="1" applyFont="1" applyAlignment="1">
      <alignment wrapText="1"/>
    </xf>
    <xf numFmtId="0" fontId="1" fillId="14" borderId="0" xfId="3" applyFont="1" applyFill="1" applyAlignment="1">
      <alignment wrapText="1"/>
    </xf>
    <xf numFmtId="0" fontId="3" fillId="4" borderId="0" xfId="3" applyFill="1" applyAlignment="1">
      <alignment wrapText="1"/>
    </xf>
    <xf numFmtId="0" fontId="1" fillId="0" borderId="0" xfId="3" applyFont="1" applyAlignment="1">
      <alignment horizontal="center" wrapText="1"/>
    </xf>
    <xf numFmtId="15" fontId="0" fillId="0" borderId="0" xfId="0" applyNumberFormat="1"/>
    <xf numFmtId="0" fontId="0" fillId="14" borderId="0" xfId="0" applyFill="1"/>
    <xf numFmtId="0" fontId="0" fillId="15" borderId="0" xfId="0" applyFill="1"/>
    <xf numFmtId="0" fontId="0" fillId="0" borderId="0" xfId="0" applyAlignment="1">
      <alignment horizontal="left"/>
    </xf>
    <xf numFmtId="0" fontId="0" fillId="17" borderId="0" xfId="0" applyFill="1"/>
    <xf numFmtId="0" fontId="21" fillId="4" borderId="52" xfId="0" applyFont="1" applyFill="1" applyBorder="1" applyAlignment="1">
      <alignment horizontal="center" vertical="center" readingOrder="1"/>
    </xf>
    <xf numFmtId="0" fontId="1" fillId="0" borderId="0" xfId="3" applyFont="1"/>
    <xf numFmtId="0" fontId="21" fillId="10" borderId="55" xfId="0" applyFont="1" applyFill="1" applyBorder="1" applyAlignment="1">
      <alignment horizontal="center" vertical="center" wrapText="1" readingOrder="1"/>
    </xf>
    <xf numFmtId="0" fontId="21" fillId="10" borderId="54" xfId="0" applyFont="1" applyFill="1" applyBorder="1" applyAlignment="1">
      <alignment vertical="center" wrapText="1" readingOrder="1"/>
    </xf>
    <xf numFmtId="0" fontId="21" fillId="10" borderId="54" xfId="0" applyFont="1" applyFill="1" applyBorder="1" applyAlignment="1">
      <alignment horizontal="center" vertical="center" wrapText="1" readingOrder="1"/>
    </xf>
    <xf numFmtId="16" fontId="21" fillId="10" borderId="54" xfId="0" applyNumberFormat="1" applyFont="1" applyFill="1" applyBorder="1" applyAlignment="1">
      <alignment horizontal="right" vertical="center" wrapText="1" readingOrder="1"/>
    </xf>
    <xf numFmtId="0" fontId="21" fillId="10" borderId="5" xfId="0" applyFont="1" applyFill="1" applyBorder="1" applyAlignment="1">
      <alignment horizontal="center" vertical="center" wrapText="1" readingOrder="1"/>
    </xf>
    <xf numFmtId="0" fontId="21" fillId="10" borderId="5" xfId="0" applyFont="1" applyFill="1" applyBorder="1" applyAlignment="1">
      <alignment vertical="center" wrapText="1" readingOrder="1"/>
    </xf>
    <xf numFmtId="16" fontId="21" fillId="10" borderId="5" xfId="0" applyNumberFormat="1" applyFont="1" applyFill="1" applyBorder="1" applyAlignment="1">
      <alignment horizontal="right" vertical="center" wrapText="1" readingOrder="1"/>
    </xf>
    <xf numFmtId="0" fontId="0" fillId="0" borderId="5" xfId="0" applyBorder="1"/>
    <xf numFmtId="0" fontId="21" fillId="4" borderId="53" xfId="0" applyFont="1" applyFill="1" applyBorder="1" applyAlignment="1">
      <alignment horizontal="center" vertical="center" readingOrder="1"/>
    </xf>
    <xf numFmtId="0" fontId="21" fillId="4" borderId="54" xfId="0" applyFont="1" applyFill="1" applyBorder="1" applyAlignment="1">
      <alignment horizontal="center" vertical="center" readingOrder="1"/>
    </xf>
    <xf numFmtId="0" fontId="23" fillId="15" borderId="0" xfId="0" applyFont="1" applyFill="1"/>
    <xf numFmtId="0" fontId="24" fillId="0" borderId="0" xfId="0" applyFont="1" applyAlignment="1">
      <alignment horizontal="left"/>
    </xf>
    <xf numFmtId="0" fontId="24" fillId="0" borderId="0" xfId="0" applyFont="1"/>
    <xf numFmtId="0" fontId="16" fillId="0" borderId="0" xfId="0" applyFont="1"/>
    <xf numFmtId="0" fontId="0" fillId="13" borderId="5" xfId="0" applyFill="1" applyBorder="1" applyAlignment="1">
      <alignment horizontal="center"/>
    </xf>
    <xf numFmtId="0" fontId="0" fillId="13" borderId="57" xfId="0" applyFill="1" applyBorder="1" applyAlignment="1">
      <alignment horizontal="center"/>
    </xf>
    <xf numFmtId="0" fontId="0" fillId="13" borderId="28" xfId="0" applyFill="1" applyBorder="1" applyAlignment="1">
      <alignment horizontal="center"/>
    </xf>
    <xf numFmtId="0" fontId="0" fillId="0" borderId="58" xfId="0" applyBorder="1"/>
    <xf numFmtId="0" fontId="0" fillId="0" borderId="59" xfId="0" applyBorder="1"/>
    <xf numFmtId="0" fontId="0" fillId="16" borderId="0" xfId="0" applyFill="1"/>
    <xf numFmtId="0" fontId="0" fillId="0" borderId="26" xfId="0" applyBorder="1"/>
    <xf numFmtId="0" fontId="0" fillId="0" borderId="60" xfId="0" applyBorder="1"/>
    <xf numFmtId="0" fontId="0" fillId="0" borderId="60" xfId="0" applyBorder="1" applyAlignment="1">
      <alignment horizontal="left"/>
    </xf>
    <xf numFmtId="0" fontId="0" fillId="0" borderId="13" xfId="0" applyBorder="1" applyAlignment="1">
      <alignment horizontal="left"/>
    </xf>
    <xf numFmtId="0" fontId="23" fillId="15" borderId="13" xfId="0" applyFont="1" applyFill="1" applyBorder="1"/>
    <xf numFmtId="0" fontId="0" fillId="13" borderId="4" xfId="0" applyFill="1" applyBorder="1" applyAlignment="1">
      <alignment horizontal="center"/>
    </xf>
    <xf numFmtId="0" fontId="0" fillId="13" borderId="9" xfId="0" applyFill="1" applyBorder="1" applyAlignment="1">
      <alignment horizontal="center"/>
    </xf>
    <xf numFmtId="0" fontId="0" fillId="15" borderId="58" xfId="0" applyFill="1" applyBorder="1"/>
    <xf numFmtId="0" fontId="0" fillId="0" borderId="20" xfId="0" applyBorder="1"/>
    <xf numFmtId="0" fontId="0" fillId="15" borderId="59" xfId="0" applyFill="1" applyBorder="1"/>
    <xf numFmtId="0" fontId="0" fillId="0" borderId="12" xfId="0" applyBorder="1"/>
    <xf numFmtId="0" fontId="0" fillId="13" borderId="56" xfId="0" applyFill="1" applyBorder="1" applyAlignment="1">
      <alignment horizontal="center"/>
    </xf>
    <xf numFmtId="0" fontId="25" fillId="0" borderId="0" xfId="0" applyFont="1"/>
    <xf numFmtId="15" fontId="25" fillId="0" borderId="0" xfId="0" applyNumberFormat="1" applyFont="1"/>
    <xf numFmtId="0" fontId="25" fillId="14" borderId="0" xfId="0" applyFont="1" applyFill="1"/>
    <xf numFmtId="0" fontId="0" fillId="13" borderId="27" xfId="0" applyFill="1" applyBorder="1" applyAlignment="1">
      <alignment horizontal="center"/>
    </xf>
    <xf numFmtId="16" fontId="0" fillId="0" borderId="0" xfId="0" applyNumberFormat="1"/>
    <xf numFmtId="0" fontId="24" fillId="0" borderId="13" xfId="0" applyFont="1" applyBorder="1" applyAlignment="1">
      <alignment horizontal="center"/>
    </xf>
    <xf numFmtId="16" fontId="25" fillId="0" borderId="26" xfId="0" applyNumberFormat="1" applyFont="1" applyBorder="1" applyAlignment="1">
      <alignment horizontal="center"/>
    </xf>
    <xf numFmtId="16" fontId="25" fillId="0" borderId="12" xfId="0" applyNumberFormat="1" applyFont="1" applyBorder="1" applyAlignment="1">
      <alignment horizontal="center"/>
    </xf>
    <xf numFmtId="16" fontId="25" fillId="0" borderId="20" xfId="0" applyNumberFormat="1" applyFont="1" applyBorder="1" applyAlignment="1">
      <alignment horizontal="center"/>
    </xf>
    <xf numFmtId="0" fontId="18" fillId="18" borderId="43" xfId="4" applyFont="1" applyFill="1" applyBorder="1" applyAlignment="1">
      <alignment horizontal="left" vertical="center" wrapText="1"/>
    </xf>
    <xf numFmtId="0" fontId="16" fillId="0" borderId="0" xfId="0" applyFont="1" applyAlignment="1">
      <alignment horizontal="center" vertical="center" wrapText="1"/>
    </xf>
    <xf numFmtId="0" fontId="0" fillId="0" borderId="0" xfId="0" applyAlignment="1">
      <alignment vertical="center" wrapText="1"/>
    </xf>
    <xf numFmtId="0" fontId="16" fillId="0" borderId="0" xfId="0" applyFont="1" applyAlignment="1">
      <alignment vertical="center" wrapText="1"/>
    </xf>
    <xf numFmtId="0" fontId="16" fillId="14" borderId="0" xfId="0" applyFont="1" applyFill="1" applyAlignment="1">
      <alignment vertical="center" wrapText="1"/>
    </xf>
    <xf numFmtId="0" fontId="0" fillId="0" borderId="0" xfId="0" quotePrefix="1" applyAlignment="1">
      <alignment vertical="center" wrapText="1"/>
    </xf>
    <xf numFmtId="0" fontId="0" fillId="19" borderId="0" xfId="0" applyFill="1" applyAlignment="1">
      <alignment vertical="center" wrapText="1"/>
    </xf>
    <xf numFmtId="0" fontId="10" fillId="5" borderId="7" xfId="0" applyFont="1" applyFill="1" applyBorder="1" applyAlignment="1" applyProtection="1">
      <alignment horizontal="center" vertical="center" textRotation="180" wrapText="1"/>
      <protection locked="0"/>
    </xf>
    <xf numFmtId="0" fontId="10" fillId="5" borderId="8" xfId="0" applyFont="1" applyFill="1" applyBorder="1" applyAlignment="1" applyProtection="1">
      <alignment horizontal="center" vertical="center" textRotation="180" wrapText="1"/>
      <protection locked="0"/>
    </xf>
    <xf numFmtId="0" fontId="10" fillId="6" borderId="7" xfId="0" applyFont="1" applyFill="1" applyBorder="1" applyAlignment="1" applyProtection="1">
      <alignment horizontal="center" vertical="center" textRotation="180" wrapText="1"/>
      <protection locked="0"/>
    </xf>
    <xf numFmtId="0" fontId="10" fillId="6" borderId="8" xfId="0" applyFont="1" applyFill="1" applyBorder="1" applyAlignment="1" applyProtection="1">
      <alignment horizontal="center" vertical="center" textRotation="180" wrapText="1"/>
      <protection locked="0"/>
    </xf>
    <xf numFmtId="0" fontId="10" fillId="6" borderId="18" xfId="0" applyFont="1" applyFill="1" applyBorder="1" applyAlignment="1" applyProtection="1">
      <alignment horizontal="center" vertical="center" textRotation="180" wrapText="1"/>
      <protection locked="0"/>
    </xf>
    <xf numFmtId="0" fontId="10" fillId="7" borderId="19" xfId="0" applyFont="1" applyFill="1" applyBorder="1" applyAlignment="1" applyProtection="1">
      <alignment horizontal="center" vertical="center" textRotation="180" wrapText="1"/>
      <protection locked="0"/>
    </xf>
    <xf numFmtId="0" fontId="10" fillId="8" borderId="8" xfId="0" applyFont="1" applyFill="1" applyBorder="1" applyAlignment="1">
      <alignment horizontal="center" vertical="center" textRotation="180" wrapText="1"/>
    </xf>
    <xf numFmtId="0" fontId="10" fillId="8" borderId="22" xfId="0" applyFont="1" applyFill="1" applyBorder="1" applyAlignment="1">
      <alignment horizontal="center" vertical="center" textRotation="180" wrapText="1"/>
    </xf>
    <xf numFmtId="0" fontId="7" fillId="9" borderId="23" xfId="0" applyFont="1" applyFill="1" applyBorder="1" applyAlignment="1" applyProtection="1">
      <alignment horizontal="center"/>
      <protection locked="0" hidden="1"/>
    </xf>
    <xf numFmtId="0" fontId="7" fillId="9" borderId="24" xfId="0" applyFont="1" applyFill="1" applyBorder="1" applyAlignment="1" applyProtection="1">
      <alignment horizontal="center"/>
      <protection locked="0" hidden="1"/>
    </xf>
    <xf numFmtId="0" fontId="7" fillId="9" borderId="25" xfId="0" applyFont="1" applyFill="1" applyBorder="1" applyAlignment="1" applyProtection="1">
      <alignment horizontal="center"/>
      <protection locked="0" hidden="1"/>
    </xf>
    <xf numFmtId="0" fontId="10" fillId="2" borderId="7" xfId="0" applyFont="1" applyFill="1" applyBorder="1" applyAlignment="1" applyProtection="1">
      <alignment horizontal="center" vertical="center" textRotation="180" wrapText="1"/>
      <protection locked="0"/>
    </xf>
    <xf numFmtId="0" fontId="10" fillId="2" borderId="8" xfId="0" applyFont="1" applyFill="1" applyBorder="1" applyAlignment="1" applyProtection="1">
      <alignment horizontal="center" vertical="center" textRotation="180" wrapText="1"/>
      <protection locked="0"/>
    </xf>
    <xf numFmtId="0" fontId="10" fillId="2" borderId="22" xfId="0" applyFont="1" applyFill="1" applyBorder="1" applyAlignment="1" applyProtection="1">
      <alignment horizontal="center" vertical="center" textRotation="180" wrapText="1"/>
      <protection locked="0"/>
    </xf>
    <xf numFmtId="0" fontId="5" fillId="10" borderId="29" xfId="0" applyFont="1" applyFill="1" applyBorder="1" applyAlignment="1" applyProtection="1">
      <alignment vertical="top"/>
      <protection hidden="1"/>
    </xf>
    <xf numFmtId="0" fontId="5" fillId="10" borderId="30" xfId="0" applyFont="1" applyFill="1" applyBorder="1" applyAlignment="1" applyProtection="1">
      <alignment vertical="top"/>
      <protection hidden="1"/>
    </xf>
    <xf numFmtId="0" fontId="5" fillId="10" borderId="32" xfId="0" applyFont="1" applyFill="1" applyBorder="1" applyAlignment="1" applyProtection="1">
      <alignment vertical="top"/>
      <protection hidden="1"/>
    </xf>
    <xf numFmtId="0" fontId="5" fillId="10" borderId="33" xfId="0" applyFont="1" applyFill="1" applyBorder="1" applyAlignment="1" applyProtection="1">
      <alignment vertical="top"/>
      <protection hidden="1"/>
    </xf>
    <xf numFmtId="0" fontId="18" fillId="0" borderId="42" xfId="4" applyFont="1" applyBorder="1" applyAlignment="1">
      <alignment horizontal="left" vertical="center" wrapText="1"/>
    </xf>
    <xf numFmtId="0" fontId="18" fillId="0" borderId="47" xfId="4" applyFont="1" applyBorder="1" applyAlignment="1">
      <alignment horizontal="left" vertical="center" wrapText="1"/>
    </xf>
    <xf numFmtId="0" fontId="18" fillId="0" borderId="44" xfId="4" applyFont="1" applyBorder="1" applyAlignment="1">
      <alignment horizontal="left" vertical="center" wrapText="1"/>
    </xf>
    <xf numFmtId="0" fontId="18" fillId="0" borderId="48" xfId="4" applyFont="1" applyBorder="1" applyAlignment="1">
      <alignment horizontal="left" vertical="center" wrapText="1"/>
    </xf>
    <xf numFmtId="0" fontId="18" fillId="0" borderId="45" xfId="4" applyFont="1" applyBorder="1" applyAlignment="1">
      <alignment horizontal="left" vertical="center" wrapText="1"/>
    </xf>
    <xf numFmtId="0" fontId="18" fillId="0" borderId="46" xfId="4" applyFont="1" applyBorder="1" applyAlignment="1">
      <alignment horizontal="left" vertical="center" wrapText="1"/>
    </xf>
    <xf numFmtId="0" fontId="5" fillId="11" borderId="2" xfId="0" applyFont="1" applyFill="1" applyBorder="1" applyAlignment="1" applyProtection="1">
      <protection locked="0"/>
    </xf>
    <xf numFmtId="0" fontId="5" fillId="11" borderId="31" xfId="0" applyFont="1" applyFill="1" applyBorder="1" applyAlignment="1" applyProtection="1">
      <protection locked="0"/>
    </xf>
    <xf numFmtId="0" fontId="5" fillId="11" borderId="11" xfId="0" applyFont="1" applyFill="1" applyBorder="1" applyAlignment="1" applyProtection="1">
      <protection locked="0"/>
    </xf>
    <xf numFmtId="0" fontId="5" fillId="11" borderId="34" xfId="0" applyFont="1" applyFill="1" applyBorder="1" applyAlignment="1" applyProtection="1">
      <protection locked="0"/>
    </xf>
    <xf numFmtId="0" fontId="5" fillId="10" borderId="29" xfId="0" applyFont="1" applyFill="1" applyBorder="1" applyAlignment="1" applyProtection="1">
      <protection hidden="1"/>
    </xf>
    <xf numFmtId="0" fontId="5" fillId="10" borderId="35" xfId="0" applyFont="1" applyFill="1" applyBorder="1" applyAlignment="1" applyProtection="1">
      <protection hidden="1"/>
    </xf>
    <xf numFmtId="0" fontId="5" fillId="11" borderId="35" xfId="0" applyFont="1" applyFill="1" applyBorder="1" applyAlignment="1" applyProtection="1">
      <protection locked="0"/>
    </xf>
    <xf numFmtId="0" fontId="5" fillId="11" borderId="36" xfId="0" applyFont="1" applyFill="1" applyBorder="1" applyAlignment="1" applyProtection="1">
      <protection locked="0"/>
    </xf>
    <xf numFmtId="0" fontId="5" fillId="11" borderId="37" xfId="0" applyFont="1" applyFill="1" applyBorder="1" applyAlignment="1" applyProtection="1">
      <protection locked="0"/>
    </xf>
    <xf numFmtId="0" fontId="5" fillId="11" borderId="38" xfId="0" applyFont="1" applyFill="1" applyBorder="1" applyAlignment="1" applyProtection="1">
      <protection locked="0"/>
    </xf>
  </cellXfs>
  <cellStyles count="5">
    <cellStyle name="Currency" xfId="1" builtinId="4"/>
    <cellStyle name="Normal" xfId="0" builtinId="0"/>
    <cellStyle name="Normal 2" xfId="3" xr:uid="{789AD402-39C7-45B4-8298-755B482DFFDC}"/>
    <cellStyle name="Normal 3" xfId="4" xr:uid="{973A5B14-77DC-4B28-8F5D-8C75CBC1CD1D}"/>
    <cellStyle name="Percent" xfId="2" builtinId="5"/>
  </cellStyles>
  <dxfs count="72">
    <dxf>
      <font>
        <b val="0"/>
        <i val="0"/>
        <strike val="0"/>
        <condense val="0"/>
        <extend val="0"/>
        <outline val="0"/>
        <shadow val="0"/>
        <u val="none"/>
        <vertAlign val="baseline"/>
        <sz val="11"/>
        <color auto="1"/>
        <name val="Calibri"/>
        <family val="2"/>
        <scheme val="minor"/>
      </font>
      <numFmt numFmtId="2" formatCode="0.00"/>
      <protection locked="1" hidden="1"/>
    </dxf>
    <dxf>
      <font>
        <b val="0"/>
        <i val="0"/>
        <strike val="0"/>
        <condense val="0"/>
        <extend val="0"/>
        <outline val="0"/>
        <shadow val="0"/>
        <u val="none"/>
        <vertAlign val="baseline"/>
        <sz val="11"/>
        <color auto="1"/>
        <name val="Calibri"/>
        <family val="2"/>
        <scheme val="minor"/>
      </font>
      <numFmt numFmtId="2" formatCode="0.00"/>
      <protection locked="1" hidden="1"/>
    </dxf>
    <dxf>
      <font>
        <b val="0"/>
        <i val="0"/>
        <strike val="0"/>
        <condense val="0"/>
        <extend val="0"/>
        <outline val="0"/>
        <shadow val="0"/>
        <u val="none"/>
        <vertAlign val="baseline"/>
        <sz val="11"/>
        <color auto="1"/>
        <name val="Calibri"/>
        <family val="2"/>
        <scheme val="minor"/>
      </font>
      <protection locked="0" hidden="0"/>
    </dxf>
    <dxf>
      <font>
        <b val="0"/>
        <i val="0"/>
        <strike val="0"/>
        <condense val="0"/>
        <extend val="0"/>
        <outline val="0"/>
        <shadow val="0"/>
        <u val="none"/>
        <vertAlign val="baseline"/>
        <sz val="11"/>
        <color auto="1"/>
        <name val="Calibri"/>
        <family val="2"/>
        <scheme val="minor"/>
      </font>
      <numFmt numFmtId="13" formatCode="0%"/>
      <protection locked="1" hidden="1"/>
    </dxf>
    <dxf>
      <font>
        <b val="0"/>
        <i val="0"/>
        <strike val="0"/>
        <condense val="0"/>
        <extend val="0"/>
        <outline val="0"/>
        <shadow val="0"/>
        <u val="none"/>
        <vertAlign val="baseline"/>
        <sz val="11"/>
        <color auto="1"/>
        <name val="Calibri"/>
        <family val="2"/>
        <scheme val="minor"/>
      </font>
      <protection locked="0" hidden="0"/>
    </dxf>
    <dxf>
      <font>
        <b val="0"/>
        <i val="0"/>
        <strike val="0"/>
        <condense val="0"/>
        <extend val="0"/>
        <outline val="0"/>
        <shadow val="0"/>
        <u val="none"/>
        <vertAlign val="baseline"/>
        <sz val="11"/>
        <color auto="1"/>
        <name val="Calibri"/>
        <family val="2"/>
        <scheme val="minor"/>
      </font>
      <protection locked="0" hidden="0"/>
    </dxf>
    <dxf>
      <font>
        <b val="0"/>
        <i val="0"/>
        <strike val="0"/>
        <condense val="0"/>
        <extend val="0"/>
        <outline val="0"/>
        <shadow val="0"/>
        <u val="none"/>
        <vertAlign val="baseline"/>
        <sz val="11"/>
        <color auto="1"/>
        <name val="Calibri"/>
        <family val="2"/>
        <scheme val="minor"/>
      </font>
      <protection locked="1" hidden="1"/>
    </dxf>
    <dxf>
      <font>
        <b val="0"/>
        <i val="0"/>
        <strike val="0"/>
        <condense val="0"/>
        <extend val="0"/>
        <outline val="0"/>
        <shadow val="0"/>
        <u val="none"/>
        <vertAlign val="baseline"/>
        <sz val="11"/>
        <color auto="1"/>
        <name val="Calibri"/>
        <family val="2"/>
        <scheme val="minor"/>
      </font>
      <protection locked="0" hidden="0"/>
    </dxf>
    <dxf>
      <font>
        <b val="0"/>
        <i val="0"/>
        <strike val="0"/>
        <condense val="0"/>
        <extend val="0"/>
        <outline val="0"/>
        <shadow val="0"/>
        <u val="none"/>
        <vertAlign val="baseline"/>
        <sz val="11"/>
        <color auto="1"/>
        <name val="Calibri"/>
        <family val="2"/>
        <scheme val="minor"/>
      </font>
      <protection locked="0" hidden="0"/>
    </dxf>
    <dxf>
      <font>
        <b val="0"/>
        <i val="0"/>
        <strike val="0"/>
        <condense val="0"/>
        <extend val="0"/>
        <outline val="0"/>
        <shadow val="0"/>
        <u val="none"/>
        <vertAlign val="baseline"/>
        <sz val="11"/>
        <color auto="1"/>
        <name val="Calibri"/>
        <family val="2"/>
        <scheme val="minor"/>
      </font>
      <protection locked="0" hidden="0"/>
    </dxf>
    <dxf>
      <font>
        <strike val="0"/>
        <outline val="0"/>
        <shadow val="0"/>
        <u val="none"/>
        <vertAlign val="baseline"/>
        <sz val="11"/>
        <name val="Calibri"/>
        <family val="2"/>
        <scheme val="minor"/>
      </font>
      <numFmt numFmtId="0" formatCode="General"/>
      <fill>
        <patternFill patternType="solid">
          <fgColor indexed="64"/>
          <bgColor rgb="FFFFFFFF"/>
        </patternFill>
      </fill>
      <protection locked="1" hidden="1"/>
    </dxf>
    <dxf>
      <font>
        <b val="0"/>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protection locked="0" hidden="0"/>
    </dxf>
    <dxf>
      <font>
        <strike val="0"/>
        <outline val="0"/>
        <shadow val="0"/>
        <u val="none"/>
        <vertAlign val="baseline"/>
        <sz val="11"/>
        <name val="Calibri"/>
        <family val="2"/>
        <scheme val="minor"/>
      </font>
      <numFmt numFmtId="0" formatCode="General"/>
      <fill>
        <patternFill patternType="solid">
          <fgColor indexed="64"/>
          <bgColor rgb="FFFFFFFF"/>
        </patternFill>
      </fill>
      <protection locked="1" hidden="1"/>
    </dxf>
    <dxf>
      <font>
        <b val="0"/>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protection locked="0" hidden="0"/>
    </dxf>
    <dxf>
      <font>
        <strike val="0"/>
        <outline val="0"/>
        <shadow val="0"/>
        <u val="none"/>
        <vertAlign val="baseline"/>
        <sz val="11"/>
        <name val="Calibri"/>
        <family val="2"/>
        <scheme val="minor"/>
      </font>
      <numFmt numFmtId="0" formatCode="General"/>
      <fill>
        <patternFill patternType="solid">
          <fgColor indexed="64"/>
          <bgColor rgb="FFFFFFFF"/>
        </patternFill>
      </fill>
      <protection locked="1" hidden="1"/>
    </dxf>
    <dxf>
      <font>
        <b val="0"/>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protection locked="0" hidden="0"/>
    </dxf>
    <dxf>
      <font>
        <strike val="0"/>
        <outline val="0"/>
        <shadow val="0"/>
        <u val="none"/>
        <vertAlign val="baseline"/>
        <sz val="11"/>
        <name val="Calibri"/>
        <family val="2"/>
        <scheme val="minor"/>
      </font>
      <numFmt numFmtId="0" formatCode="General"/>
      <fill>
        <patternFill patternType="solid">
          <fgColor indexed="64"/>
          <bgColor rgb="FFFFFFFF"/>
        </patternFill>
      </fill>
      <protection locked="1" hidden="1"/>
    </dxf>
    <dxf>
      <font>
        <b val="0"/>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protection locked="0" hidden="0"/>
    </dxf>
    <dxf>
      <font>
        <strike val="0"/>
        <outline val="0"/>
        <shadow val="0"/>
        <u val="none"/>
        <vertAlign val="baseline"/>
        <sz val="11"/>
        <name val="Calibri"/>
        <family val="2"/>
        <scheme val="minor"/>
      </font>
      <numFmt numFmtId="0" formatCode="General"/>
      <fill>
        <patternFill patternType="solid">
          <fgColor indexed="64"/>
          <bgColor rgb="FFFFFFFF"/>
        </patternFill>
      </fill>
      <protection locked="1" hidden="1"/>
    </dxf>
    <dxf>
      <font>
        <strike val="0"/>
        <outline val="0"/>
        <shadow val="0"/>
        <u val="none"/>
        <vertAlign val="baseline"/>
        <sz val="11"/>
        <name val="Calibri"/>
        <family val="2"/>
        <scheme val="minor"/>
      </font>
      <fill>
        <patternFill patternType="solid">
          <fgColor indexed="64"/>
          <bgColor theme="9" tint="0.79998168889431442"/>
        </patternFill>
      </fill>
      <protection locked="0" hidden="0"/>
    </dxf>
    <dxf>
      <font>
        <strike val="0"/>
        <outline val="0"/>
        <shadow val="0"/>
        <u val="none"/>
        <vertAlign val="baseline"/>
        <sz val="11"/>
        <name val="Calibri"/>
        <family val="2"/>
        <scheme val="minor"/>
      </font>
      <numFmt numFmtId="0" formatCode="General"/>
      <fill>
        <patternFill patternType="solid">
          <fgColor indexed="64"/>
          <bgColor rgb="FFFFFFFF"/>
        </patternFill>
      </fill>
      <border diagonalUp="0" diagonalDown="0">
        <left style="thin">
          <color indexed="64"/>
        </left>
        <right/>
        <top style="thin">
          <color indexed="64"/>
        </top>
        <bottom style="thin">
          <color indexed="64"/>
        </bottom>
      </border>
      <protection locked="1" hidden="1"/>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FFFFFF"/>
        </patternFill>
      </fill>
      <protection locked="1" hidden="1"/>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FFFFFF"/>
        </patternFill>
      </fill>
      <protection locked="1" hidden="1"/>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FFFFFF"/>
        </patternFill>
      </fill>
      <protection locked="1" hidden="1"/>
    </dxf>
    <dxf>
      <font>
        <strike val="0"/>
        <outline val="0"/>
        <shadow val="0"/>
        <u val="none"/>
        <vertAlign val="baseline"/>
        <sz val="11"/>
        <name val="Calibri"/>
        <family val="2"/>
        <scheme val="minor"/>
      </font>
      <numFmt numFmtId="0" formatCode="General"/>
      <fill>
        <patternFill patternType="solid">
          <fgColor indexed="64"/>
          <bgColor rgb="FFFFFFFF"/>
        </patternFill>
      </fill>
      <protection locked="1" hidden="1"/>
    </dxf>
    <dxf>
      <font>
        <strike val="0"/>
        <outline val="0"/>
        <shadow val="0"/>
        <u val="none"/>
        <vertAlign val="baseline"/>
        <sz val="11"/>
        <name val="Calibri"/>
        <family val="2"/>
        <scheme val="minor"/>
      </font>
      <numFmt numFmtId="0" formatCode="General"/>
      <fill>
        <patternFill patternType="solid">
          <fgColor indexed="64"/>
          <bgColor rgb="FFFFFFFF"/>
        </patternFill>
      </fill>
      <protection locked="1" hidden="1"/>
    </dxf>
    <dxf>
      <font>
        <strike val="0"/>
        <outline val="0"/>
        <shadow val="0"/>
        <u val="none"/>
        <vertAlign val="baseline"/>
        <sz val="11"/>
        <name val="Calibri"/>
        <family val="2"/>
        <scheme val="minor"/>
      </font>
      <numFmt numFmtId="0" formatCode="General"/>
      <fill>
        <patternFill patternType="solid">
          <fgColor indexed="64"/>
          <bgColor rgb="FFFFFFFF"/>
        </patternFill>
      </fill>
      <border diagonalUp="0" diagonalDown="0" outline="0">
        <left style="thin">
          <color indexed="64"/>
        </left>
        <right/>
        <top style="thin">
          <color indexed="64"/>
        </top>
        <bottom style="thin">
          <color indexed="64"/>
        </bottom>
      </border>
      <protection locked="1" hidden="1"/>
    </dxf>
    <dxf>
      <font>
        <strike val="0"/>
        <outline val="0"/>
        <shadow val="0"/>
        <u val="none"/>
        <vertAlign val="baseline"/>
        <sz val="11"/>
        <name val="Calibri"/>
        <family val="2"/>
        <scheme val="minor"/>
      </font>
      <fill>
        <patternFill patternType="solid">
          <fgColor indexed="64"/>
          <bgColor rgb="FFFFFFFF"/>
        </patternFill>
      </fill>
      <border diagonalUp="0" diagonalDown="0" outline="0">
        <left/>
        <right style="thin">
          <color indexed="64"/>
        </right>
        <top style="thin">
          <color indexed="64"/>
        </top>
        <bottom style="thin">
          <color indexed="64"/>
        </bottom>
      </border>
      <protection locked="1" hidden="1"/>
    </dxf>
    <dxf>
      <border outline="0">
        <top style="thin">
          <color indexed="64"/>
        </top>
      </border>
    </dxf>
    <dxf>
      <border outline="0">
        <bottom style="thin">
          <color indexed="64"/>
        </bottom>
      </border>
    </dxf>
    <dxf>
      <border outline="0">
        <left style="medium">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fill>
        <patternFill patternType="solid">
          <fgColor indexed="64"/>
          <bgColor rgb="FFFFFFFF"/>
        </patternFill>
      </fill>
      <protection locked="0" hidden="0"/>
    </dxf>
    <dxf>
      <font>
        <b/>
        <i val="0"/>
        <strike val="0"/>
        <condense val="0"/>
        <extend val="0"/>
        <outline val="0"/>
        <shadow val="0"/>
        <u val="none"/>
        <vertAlign val="baseline"/>
        <sz val="14"/>
        <color theme="1"/>
        <name val="Calibri"/>
        <family val="2"/>
        <scheme val="minor"/>
      </font>
      <fill>
        <patternFill>
          <fgColor indexed="64"/>
          <bgColor rgb="FFFFFFFF"/>
        </patternFill>
      </fill>
      <alignment horizontal="center" vertical="bottom" textRotation="0" wrapText="1" indent="0" justifyLastLine="0" shrinkToFit="0" readingOrder="0"/>
      <border diagonalUp="0" diagonalDown="0" outline="0">
        <left style="thin">
          <color indexed="64"/>
        </left>
        <right style="thin">
          <color indexed="64"/>
        </right>
        <top/>
        <bottom/>
      </border>
      <protection locked="0" hidden="1"/>
    </dxf>
    <dxf>
      <font>
        <strike val="0"/>
        <outline val="0"/>
        <shadow val="0"/>
        <u val="none"/>
        <vertAlign val="baseline"/>
        <sz val="11"/>
        <name val="Calibri"/>
        <family val="2"/>
        <scheme val="minor"/>
      </font>
      <fill>
        <patternFill patternType="none">
          <fgColor indexed="64"/>
          <bgColor auto="1"/>
        </patternFill>
      </fill>
      <border diagonalUp="0" diagonalDown="0" outline="0">
        <left style="thin">
          <color indexed="64"/>
        </left>
        <right/>
        <top style="thin">
          <color indexed="64"/>
        </top>
        <bottom style="thin">
          <color indexed="64"/>
        </bottom>
      </border>
      <protection locked="0"/>
    </dxf>
    <dxf>
      <font>
        <strike val="0"/>
        <outline val="0"/>
        <shadow val="0"/>
        <u val="none"/>
        <vertAlign val="baseline"/>
        <sz val="11"/>
        <name val="Calibri"/>
        <family val="2"/>
        <scheme val="minor"/>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protection locked="0"/>
    </dxf>
    <dxf>
      <font>
        <strike val="0"/>
        <outline val="0"/>
        <shadow val="0"/>
        <u val="none"/>
        <vertAlign val="baseline"/>
        <sz val="11"/>
        <name val="Calibri"/>
        <family val="2"/>
        <scheme val="minor"/>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protection locked="0"/>
    </dxf>
    <dxf>
      <font>
        <strike val="0"/>
        <outline val="0"/>
        <shadow val="0"/>
        <u val="none"/>
        <vertAlign val="baseline"/>
        <sz val="11"/>
        <name val="Calibri"/>
        <family val="2"/>
        <scheme val="minor"/>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protection locked="0"/>
    </dxf>
    <dxf>
      <font>
        <strike val="0"/>
        <outline val="0"/>
        <shadow val="0"/>
        <u val="none"/>
        <vertAlign val="baseline"/>
        <sz val="11"/>
        <name val="Calibri"/>
        <family val="2"/>
        <scheme val="minor"/>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protection locked="0"/>
    </dxf>
    <dxf>
      <font>
        <strike val="0"/>
        <outline val="0"/>
        <shadow val="0"/>
        <u val="none"/>
        <vertAlign val="baseline"/>
        <sz val="11"/>
        <name val="Calibri"/>
        <family val="2"/>
        <scheme val="minor"/>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protection locked="0"/>
    </dxf>
    <dxf>
      <font>
        <strike val="0"/>
        <outline val="0"/>
        <shadow val="0"/>
        <u val="none"/>
        <vertAlign val="baseline"/>
        <sz val="11"/>
        <name val="Calibri"/>
        <family val="2"/>
        <scheme val="minor"/>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protection locked="0"/>
    </dxf>
    <dxf>
      <font>
        <strike val="0"/>
        <outline val="0"/>
        <shadow val="0"/>
        <u val="none"/>
        <vertAlign val="baseline"/>
        <sz val="11"/>
        <name val="Calibri"/>
        <family val="2"/>
        <scheme val="minor"/>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protection locked="0"/>
    </dxf>
    <dxf>
      <font>
        <strike val="0"/>
        <outline val="0"/>
        <shadow val="0"/>
        <u val="none"/>
        <vertAlign val="baseline"/>
        <sz val="11"/>
        <name val="Calibri"/>
        <family val="2"/>
        <scheme val="minor"/>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protection locked="0"/>
    </dxf>
    <dxf>
      <font>
        <strike val="0"/>
        <outline val="0"/>
        <shadow val="0"/>
        <u val="none"/>
        <vertAlign val="baseline"/>
        <sz val="11"/>
        <name val="Calibri"/>
        <family val="2"/>
        <scheme val="minor"/>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protection locked="0"/>
    </dxf>
    <dxf>
      <font>
        <strike val="0"/>
        <outline val="0"/>
        <shadow val="0"/>
        <u val="none"/>
        <vertAlign val="baseline"/>
        <sz val="11"/>
        <name val="Calibri"/>
        <family val="2"/>
        <scheme val="minor"/>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protection locked="0"/>
    </dxf>
    <dxf>
      <font>
        <strike val="0"/>
        <outline val="0"/>
        <shadow val="0"/>
        <u val="none"/>
        <vertAlign val="baseline"/>
        <sz val="11"/>
        <name val="Calibri"/>
        <family val="2"/>
        <scheme val="minor"/>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protection locked="0"/>
    </dxf>
    <dxf>
      <font>
        <strike val="0"/>
        <outline val="0"/>
        <shadow val="0"/>
        <u val="none"/>
        <vertAlign val="baseline"/>
        <sz val="11"/>
        <name val="Calibri"/>
        <family val="2"/>
        <scheme val="minor"/>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protection locked="0"/>
    </dxf>
    <dxf>
      <font>
        <strike val="0"/>
        <outline val="0"/>
        <shadow val="0"/>
        <u val="none"/>
        <vertAlign val="baseline"/>
        <sz val="11"/>
        <name val="Calibri"/>
        <family val="2"/>
        <scheme val="minor"/>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protection locked="0"/>
    </dxf>
    <dxf>
      <font>
        <strike val="0"/>
        <outline val="0"/>
        <shadow val="0"/>
        <u val="none"/>
        <vertAlign val="baseline"/>
        <sz val="11"/>
        <name val="Calibri"/>
        <family val="2"/>
        <scheme val="minor"/>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protection locked="0"/>
    </dxf>
    <dxf>
      <font>
        <strike val="0"/>
        <outline val="0"/>
        <shadow val="0"/>
        <u val="none"/>
        <vertAlign val="baseline"/>
        <sz val="11"/>
        <name val="Calibri"/>
        <family val="2"/>
        <scheme val="minor"/>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protection locked="0"/>
    </dxf>
    <dxf>
      <font>
        <strike val="0"/>
        <outline val="0"/>
        <shadow val="0"/>
        <u val="none"/>
        <vertAlign val="baseline"/>
        <sz val="11"/>
        <name val="Calibri"/>
        <family val="2"/>
        <scheme val="minor"/>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protection locked="0"/>
    </dxf>
    <dxf>
      <font>
        <b val="0"/>
        <i val="0"/>
        <strike val="0"/>
        <condense val="0"/>
        <extend val="0"/>
        <outline val="0"/>
        <shadow val="0"/>
        <u val="none"/>
        <vertAlign val="baseline"/>
        <sz val="11"/>
        <color auto="1"/>
        <name val="Calibri"/>
        <family val="2"/>
        <scheme val="minor"/>
      </font>
      <border diagonalUp="0" diagonalDown="0">
        <left style="thin">
          <color indexed="64"/>
        </left>
        <right style="thin">
          <color indexed="64"/>
        </right>
        <top style="thin">
          <color indexed="64"/>
        </top>
        <bottom style="thin">
          <color indexed="64"/>
        </bottom>
        <vertical/>
        <horizontal/>
      </border>
      <protection locked="0" hidden="0"/>
    </dxf>
    <dxf>
      <font>
        <strike val="0"/>
        <outline val="0"/>
        <shadow val="0"/>
        <u val="none"/>
        <vertAlign val="baseline"/>
        <sz val="11"/>
        <name val="Calibri"/>
        <family val="2"/>
        <scheme val="minor"/>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protection locked="0"/>
    </dxf>
    <dxf>
      <font>
        <strike val="0"/>
        <outline val="0"/>
        <shadow val="0"/>
        <u val="none"/>
        <vertAlign val="baseline"/>
        <sz val="11"/>
        <name val="Calibri"/>
        <family val="2"/>
        <scheme val="minor"/>
      </font>
      <fill>
        <patternFill patternType="none">
          <fgColor indexed="64"/>
          <bgColor auto="1"/>
        </patternFill>
      </fill>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dxf>
    <dxf>
      <font>
        <strike val="0"/>
        <outline val="0"/>
        <shadow val="0"/>
        <u val="none"/>
        <vertAlign val="baseline"/>
        <sz val="11"/>
        <name val="Calibri"/>
        <family val="2"/>
        <scheme val="minor"/>
      </font>
      <fill>
        <patternFill patternType="none">
          <fgColor indexed="64"/>
          <bgColor auto="1"/>
        </patternFill>
      </fill>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dxf>
    <dxf>
      <font>
        <strike val="0"/>
        <outline val="0"/>
        <shadow val="0"/>
        <u val="none"/>
        <vertAlign val="baseline"/>
        <sz val="11"/>
        <name val="Calibri"/>
        <family val="2"/>
        <scheme val="minor"/>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protection locked="0"/>
    </dxf>
    <dxf>
      <font>
        <b val="0"/>
        <i val="0"/>
        <strike val="0"/>
        <condense val="0"/>
        <extend val="0"/>
        <outline val="0"/>
        <shadow val="0"/>
        <u val="none"/>
        <vertAlign val="baseline"/>
        <sz val="11"/>
        <color auto="1"/>
        <name val="Calibri"/>
        <family val="2"/>
        <scheme val="minor"/>
      </font>
      <border diagonalUp="0" diagonalDown="0">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1"/>
        <color auto="1"/>
        <name val="Calibri"/>
        <family val="2"/>
        <scheme val="minor"/>
      </font>
      <border diagonalUp="0" diagonalDown="0">
        <left/>
        <right style="thin">
          <color indexed="64"/>
        </right>
        <top style="thin">
          <color indexed="64"/>
        </top>
        <bottom style="thin">
          <color indexed="64"/>
        </bottom>
        <vertical/>
        <horizontal/>
      </border>
      <protection locked="0" hidden="0"/>
    </dxf>
    <dxf>
      <font>
        <strike val="0"/>
        <outline val="0"/>
        <shadow val="0"/>
        <u val="none"/>
        <vertAlign val="baseline"/>
        <sz val="11"/>
        <name val="Calibri"/>
        <family val="2"/>
        <scheme val="minor"/>
      </font>
      <fill>
        <patternFill patternType="none">
          <fgColor indexed="64"/>
          <bgColor auto="1"/>
        </patternFill>
      </fill>
      <border diagonalUp="0" diagonalDown="0" outline="0">
        <left/>
        <right style="thin">
          <color indexed="64"/>
        </right>
        <top style="thin">
          <color indexed="64"/>
        </top>
        <bottom style="thin">
          <color indexed="64"/>
        </bottom>
      </border>
      <protection locked="0"/>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fill>
        <patternFill patternType="none">
          <fgColor indexed="64"/>
          <bgColor auto="1"/>
        </patternFill>
      </fill>
      <protection locked="0"/>
    </dxf>
    <dxf>
      <font>
        <strike val="0"/>
        <outline val="0"/>
        <shadow val="0"/>
        <u val="none"/>
        <vertAlign val="baseline"/>
        <sz val="14"/>
        <color auto="1"/>
        <name val="Calibri"/>
        <family val="2"/>
        <scheme val="minor"/>
      </font>
      <fill>
        <patternFill patternType="none">
          <fgColor indexed="64"/>
          <bgColor auto="1"/>
        </patternFill>
      </fill>
      <border diagonalUp="0" diagonalDown="0" outline="0">
        <left style="thin">
          <color indexed="64"/>
        </left>
        <right style="thin">
          <color indexed="64"/>
        </right>
        <top/>
        <bottom/>
      </border>
      <protection locked="0"/>
    </dxf>
    <dxf>
      <fill>
        <patternFill>
          <bgColor rgb="FFFF0000"/>
        </patternFill>
      </fill>
    </dxf>
    <dxf>
      <fill>
        <patternFill patternType="solid">
          <bgColor rgb="FFFFC000"/>
        </patternFill>
      </fill>
    </dxf>
    <dxf>
      <font>
        <color rgb="FFFF0000"/>
      </font>
    </dxf>
    <dxf>
      <fill>
        <patternFill patternType="solid">
          <bgColor rgb="FFFFC000"/>
        </patternFill>
      </fill>
    </dxf>
    <dxf>
      <fill>
        <patternFill patternType="solid">
          <bgColor rgb="FFFFC000"/>
        </patternFill>
      </fill>
    </dxf>
    <dxf>
      <font>
        <b/>
        <i val="0"/>
        <color rgb="FFC00000"/>
      </font>
      <fill>
        <patternFill>
          <bgColor rgb="FFFFC7CE"/>
        </patternFill>
      </fill>
    </dxf>
    <dxf>
      <font>
        <b/>
        <i val="0"/>
      </font>
    </dxf>
    <dxf>
      <font>
        <b/>
        <i val="0"/>
      </font>
    </dxf>
    <dxf>
      <font>
        <strike val="0"/>
      </font>
      <border>
        <left style="thin">
          <color auto="1"/>
        </left>
        <right style="thin">
          <color auto="1"/>
        </right>
        <top style="thin">
          <color auto="1"/>
        </top>
        <bottom style="thin">
          <color auto="1"/>
        </bottom>
        <vertical style="thin">
          <color auto="1"/>
        </vertical>
        <horizontal style="thin">
          <color auto="1"/>
        </horizontal>
      </border>
    </dxf>
  </dxfs>
  <tableStyles count="1" defaultTableStyle="TableStyleMedium2" defaultPivotStyle="PivotStyleLight16">
    <tableStyle name="Table Style 1" pivot="0" count="3" xr9:uid="{A54E23F4-FC9B-4353-BAD0-38BE9863C3EA}">
      <tableStyleElement type="wholeTable" dxfId="71"/>
      <tableStyleElement type="headerRow" dxfId="70"/>
      <tableStyleElement type="firstColumn" dxfId="6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eetMetadata" Target="metadata.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https://highmetric.sharepoint.com/sites/Column-Group/highmetric/HighMetric%20Team%20Documents/Contracts/_AA-Templates/__Presales/QA%20Templates/01.%20Estimating%20File%20Template/Manticore%203.0%20-%20DRAFT/MANTICORE_TEMPLATE_SCOPECREATEDATE-YYYMMDD_CLIENTNAME_MODULES_v3.00.xlsx" TargetMode="External"/><Relationship Id="rId2" Type="http://schemas.microsoft.com/office/2019/04/relationships/externalLinkLongPath" Target="/sites/Column-Group/highmetric/HighMetric%20Team%20Documents/Contracts/_AA-Templates/__Presales/QA%20Templates/01.%20Estimating%20File%20Template/Manticore%203.0%20-%20DRAFT/MANTICORE_TEMPLATE_SCOPECREATEDATE-YYYMMDD_CLIENTNAME_MODULES_v3.00.xlsx?1A17C544" TargetMode="External"/><Relationship Id="rId1" Type="http://schemas.openxmlformats.org/officeDocument/2006/relationships/externalLinkPath" Target="file:///\\1A17C544\MANTICORE_TEMPLATE_SCOPECREATEDATE-YYYMMDD_CLIENTNAME_MODULES_v3.00.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highmetric.sharepoint.com/teams/CF_Boeing/ps/CSPRJ0002589%20-%20WWT%20Boeing%20ITSM%20POC/00.%20Signed%20Documents/O-26083_Boeing_MANTICORE_ITSM%20NowAssist%20POC_20250917%20(1)%20(1).xlsx" TargetMode="External"/><Relationship Id="rId1" Type="http://schemas.openxmlformats.org/officeDocument/2006/relationships/externalLinkPath" Target="/teams/CF_Boeing/ps/CSPRJ0002589%20-%20WWT%20Boeing%20ITSM%20POC/00.%20Signed%20Documents/O-26083_Boeing_MANTICORE_ITSM%20NowAssist%20POC_20250917%20(1)%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Estimate - Master (2)"/>
      <sheetName val="Candace Working Notes"/>
      <sheetName val="INSTRUCTIONS"/>
      <sheetName val="Managed Services --&gt;"/>
      <sheetName val="MS - Deal Review Guidance"/>
      <sheetName val="MS Pricing"/>
      <sheetName val="MS Lookups"/>
      <sheetName val="Change Orders and Staff Aug --&gt;"/>
      <sheetName val="Basic Pricing File"/>
      <sheetName val="Manticore --&gt;"/>
      <sheetName val="Deal Review Guidance"/>
      <sheetName val="Oversight Guidance"/>
      <sheetName val="Opportunity Details"/>
      <sheetName val="Pricing"/>
      <sheetName val="Tasks and Estimates"/>
      <sheetName val="T&amp;E Summary"/>
      <sheetName val="Resource Plan"/>
      <sheetName val="Deal Review Preparation"/>
      <sheetName val="Manticore v3.0--&gt;"/>
      <sheetName val="1.0 Pricing &amp; Role Selection"/>
      <sheetName val="2.0 Scoping"/>
      <sheetName val="3.0 Allocate Hours"/>
      <sheetName val="Scoping Baseline Estimates"/>
      <sheetName val="Deal Review Preparation (3.0)"/>
      <sheetName val="Bill_Rates"/>
      <sheetName val="StdCosts and StdRates"/>
      <sheetName val="Variables"/>
      <sheetName val="FX"/>
      <sheetName val="Costs (2)"/>
      <sheetName val="Bill_Rates (backup)"/>
      <sheetName val="Roles"/>
      <sheetName val="SKP_Rates"/>
      <sheetName val="Estimate Summary"/>
      <sheetName val="Estimate - CSM - OLD"/>
      <sheetName val="Assumptions"/>
      <sheetName val="Milestone Fee Schedule"/>
      <sheetName val="Client Rates and Roles"/>
      <sheetName val="Estimate - Misc. Repository"/>
      <sheetName val="List"/>
      <sheetName val="Costs"/>
      <sheetName val="WBS + Timeline"/>
      <sheetName val="ScopingTasks"/>
      <sheetName val="Sheet2"/>
      <sheetName val="Lists (2)"/>
      <sheetName val="Skills"/>
      <sheetName val="Revision History"/>
      <sheetName val="TDATE"/>
      <sheetName val="Calc"/>
      <sheetName val="Estimate - OLD"/>
      <sheetName val="MANTICORE_TEMPLATE_SCOPECREATE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stimate - Master (2)"/>
      <sheetName val="Candace Working Notes"/>
      <sheetName val="INSTRUCTIONS"/>
      <sheetName val="Managed Services --&gt;"/>
      <sheetName val="MS - Deal Review Guidance"/>
      <sheetName val="MS Pricing"/>
      <sheetName val="MS Lookups"/>
      <sheetName val="Change Orders and Staff Aug --&gt;"/>
      <sheetName val="Manticore --&gt;"/>
      <sheetName val="Basic Pricing File"/>
      <sheetName val="Deal Review Guidance"/>
      <sheetName val="Oversight Guidance"/>
      <sheetName val="Opportunity Details"/>
      <sheetName val="Pricing"/>
      <sheetName val="Tasks and Estimates"/>
      <sheetName val="T&amp;E Summary"/>
      <sheetName val="Bill_Rates"/>
      <sheetName val="Lists (2)"/>
      <sheetName val="Variables"/>
      <sheetName val="FX"/>
      <sheetName val="Costs (2)"/>
      <sheetName val="Bill_Rates (backup)"/>
      <sheetName val="Roles"/>
      <sheetName val="SKP_Rates"/>
      <sheetName val="Estimate Summary"/>
      <sheetName val="Estimate - CSM - OLD"/>
      <sheetName val="Assumptions"/>
      <sheetName val="Milestone Fee Schedule"/>
      <sheetName val="Client Rates and Roles"/>
      <sheetName val="Estimate - Misc. Repository"/>
      <sheetName val="List"/>
      <sheetName val="Costs"/>
      <sheetName val="WBS + Timeline"/>
      <sheetName val="Resource Plan"/>
      <sheetName val="Deal Review Preparation"/>
      <sheetName val="Skills"/>
      <sheetName val="StdCosts and StdRates"/>
      <sheetName val="Revision History"/>
      <sheetName val="TDATE"/>
      <sheetName val="Calc"/>
      <sheetName val="Estimate - OLD"/>
      <sheetName val="O-26083_Boeing_MANTICORE_ITSM N"/>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3">
          <cell r="C3"/>
          <cell r="F3"/>
        </row>
        <row r="4">
          <cell r="C4" t="str">
            <v>Acme Opportunity</v>
          </cell>
        </row>
        <row r="7">
          <cell r="C7" t="str">
            <v>Boeing ITSM Now Assist AI POC</v>
          </cell>
        </row>
        <row r="8">
          <cell r="C8" t="str">
            <v>Harry Tomczyk</v>
          </cell>
        </row>
        <row r="9">
          <cell r="C9" t="str">
            <v>Jason Hagen</v>
          </cell>
        </row>
        <row r="11">
          <cell r="C11" t="str">
            <v>Technology</v>
          </cell>
        </row>
        <row r="12">
          <cell r="C12" t="str">
            <v>Technology: ITSM</v>
          </cell>
        </row>
        <row r="14">
          <cell r="C14" t="str">
            <v>USA</v>
          </cell>
          <cell r="F14" t="str">
            <v>Fixed Price</v>
          </cell>
        </row>
        <row r="15">
          <cell r="F15"/>
        </row>
        <row r="16">
          <cell r="C16" t="str">
            <v>No</v>
          </cell>
        </row>
        <row r="18">
          <cell r="C18"/>
          <cell r="F18">
            <v>44495</v>
          </cell>
        </row>
      </sheetData>
      <sheetData sheetId="13">
        <row r="27">
          <cell r="D27" t="str">
            <v>USA</v>
          </cell>
          <cell r="E27" t="str">
            <v>Project Manager</v>
          </cell>
          <cell r="T27" t="str">
            <v>PMO</v>
          </cell>
          <cell r="U27"/>
          <cell r="V27"/>
          <cell r="W27"/>
          <cell r="X27">
            <v>10</v>
          </cell>
          <cell r="Y27">
            <v>10</v>
          </cell>
          <cell r="Z27">
            <v>10</v>
          </cell>
          <cell r="AA27">
            <v>10</v>
          </cell>
          <cell r="AB27">
            <v>10</v>
          </cell>
        </row>
        <row r="28">
          <cell r="D28" t="str">
            <v>USA</v>
          </cell>
          <cell r="E28" t="str">
            <v>Solution Architect</v>
          </cell>
          <cell r="T28" t="str">
            <v>Technology</v>
          </cell>
          <cell r="U28" t="str">
            <v>AI Now Assist ITSM</v>
          </cell>
          <cell r="V28"/>
          <cell r="W28"/>
          <cell r="X28">
            <v>2</v>
          </cell>
          <cell r="Y28"/>
          <cell r="Z28">
            <v>8</v>
          </cell>
          <cell r="AA28">
            <v>8</v>
          </cell>
          <cell r="AB28">
            <v>2</v>
          </cell>
        </row>
        <row r="29">
          <cell r="D29" t="str">
            <v>USA</v>
          </cell>
          <cell r="E29" t="str">
            <v>Business Process Consultant</v>
          </cell>
          <cell r="T29" t="str">
            <v>Technology</v>
          </cell>
          <cell r="U29" t="str">
            <v>AI Now Assist ITSM</v>
          </cell>
          <cell r="V29"/>
          <cell r="W29"/>
          <cell r="X29">
            <v>2</v>
          </cell>
          <cell r="Y29"/>
          <cell r="Z29">
            <v>8</v>
          </cell>
          <cell r="AA29">
            <v>4</v>
          </cell>
          <cell r="AB29">
            <v>2</v>
          </cell>
        </row>
        <row r="30">
          <cell r="D30" t="str">
            <v>India</v>
          </cell>
          <cell r="E30" t="str">
            <v>Senior Technical Consultant</v>
          </cell>
          <cell r="T30" t="str">
            <v>Technology</v>
          </cell>
          <cell r="U30" t="str">
            <v>AI Now Assist ITSM</v>
          </cell>
          <cell r="V30"/>
          <cell r="W30"/>
          <cell r="X30"/>
          <cell r="Y30"/>
          <cell r="Z30"/>
          <cell r="AA30">
            <v>20</v>
          </cell>
          <cell r="AB30">
            <v>10</v>
          </cell>
        </row>
        <row r="31">
          <cell r="D31" t="str">
            <v>USA</v>
          </cell>
          <cell r="E31" t="str">
            <v>Workflow/Practice Strategist</v>
          </cell>
          <cell r="T31" t="str">
            <v>Technology</v>
          </cell>
          <cell r="U31" t="str">
            <v>AI Now Assist ITSM</v>
          </cell>
          <cell r="V31"/>
          <cell r="W31"/>
          <cell r="X31">
            <v>2</v>
          </cell>
          <cell r="Y31">
            <v>2</v>
          </cell>
          <cell r="Z31">
            <v>2</v>
          </cell>
          <cell r="AA31">
            <v>2</v>
          </cell>
          <cell r="AB31">
            <v>2</v>
          </cell>
        </row>
        <row r="32">
          <cell r="D32"/>
          <cell r="E32"/>
          <cell r="T32"/>
          <cell r="U32"/>
          <cell r="V32"/>
          <cell r="W32"/>
          <cell r="X32"/>
          <cell r="Y32"/>
          <cell r="Z32"/>
          <cell r="AA32"/>
          <cell r="AB32"/>
        </row>
        <row r="33">
          <cell r="D33"/>
          <cell r="E33"/>
          <cell r="T33"/>
          <cell r="U33"/>
          <cell r="V33"/>
          <cell r="W33"/>
          <cell r="X33"/>
          <cell r="Y33"/>
          <cell r="Z33"/>
          <cell r="AA33"/>
          <cell r="AB33"/>
        </row>
        <row r="34">
          <cell r="D34"/>
          <cell r="E34"/>
          <cell r="T34"/>
          <cell r="U34"/>
          <cell r="V34"/>
          <cell r="W34"/>
          <cell r="X34"/>
          <cell r="Y34"/>
          <cell r="Z34"/>
          <cell r="AA34"/>
          <cell r="AB34"/>
        </row>
        <row r="35">
          <cell r="D35"/>
          <cell r="E35"/>
          <cell r="T35"/>
          <cell r="U35"/>
          <cell r="V35"/>
          <cell r="W35"/>
          <cell r="X35"/>
          <cell r="Y35"/>
          <cell r="Z35"/>
          <cell r="AA35"/>
          <cell r="AB35"/>
        </row>
        <row r="36">
          <cell r="D36"/>
          <cell r="E36"/>
          <cell r="T36"/>
          <cell r="U36"/>
          <cell r="V36"/>
          <cell r="W36"/>
          <cell r="X36"/>
          <cell r="Y36"/>
          <cell r="Z36"/>
          <cell r="AA36"/>
          <cell r="AB36"/>
        </row>
        <row r="37">
          <cell r="D37"/>
          <cell r="E37"/>
          <cell r="T37"/>
          <cell r="U37"/>
          <cell r="V37"/>
          <cell r="W37"/>
          <cell r="X37"/>
          <cell r="Y37"/>
          <cell r="Z37"/>
          <cell r="AA37"/>
          <cell r="AB37"/>
        </row>
        <row r="38">
          <cell r="D38"/>
          <cell r="E38"/>
          <cell r="T38"/>
          <cell r="U38"/>
          <cell r="V38"/>
          <cell r="W38"/>
          <cell r="X38"/>
          <cell r="Y38"/>
          <cell r="Z38"/>
          <cell r="AA38"/>
          <cell r="AB38"/>
        </row>
        <row r="39">
          <cell r="D39"/>
          <cell r="E39"/>
          <cell r="T39"/>
          <cell r="U39"/>
          <cell r="V39"/>
          <cell r="W39"/>
          <cell r="X39"/>
          <cell r="Y39"/>
          <cell r="Z39"/>
          <cell r="AA39"/>
          <cell r="AB39"/>
        </row>
        <row r="40">
          <cell r="D40"/>
          <cell r="E40"/>
          <cell r="T40"/>
          <cell r="U40"/>
          <cell r="V40"/>
          <cell r="W40"/>
          <cell r="X40"/>
          <cell r="Y40"/>
          <cell r="Z40"/>
          <cell r="AA40"/>
          <cell r="AB40"/>
        </row>
        <row r="41">
          <cell r="D41"/>
          <cell r="E41"/>
          <cell r="T41"/>
          <cell r="U41"/>
          <cell r="V41"/>
          <cell r="W41"/>
          <cell r="X41"/>
          <cell r="Y41"/>
          <cell r="Z41"/>
          <cell r="AA41"/>
          <cell r="AB41"/>
        </row>
        <row r="45">
          <cell r="P45">
            <v>125000</v>
          </cell>
        </row>
      </sheetData>
      <sheetData sheetId="14"/>
      <sheetData sheetId="15">
        <row r="3">
          <cell r="C3">
            <v>1</v>
          </cell>
          <cell r="AF3">
            <v>1</v>
          </cell>
        </row>
        <row r="4">
          <cell r="C4">
            <v>1</v>
          </cell>
          <cell r="AE4">
            <v>2</v>
          </cell>
          <cell r="AF4">
            <v>2</v>
          </cell>
        </row>
        <row r="5">
          <cell r="C5">
            <v>4</v>
          </cell>
          <cell r="AE5">
            <v>3</v>
          </cell>
          <cell r="AF5">
            <v>6</v>
          </cell>
        </row>
        <row r="6">
          <cell r="C6">
            <v>1</v>
          </cell>
          <cell r="AE6">
            <v>7</v>
          </cell>
          <cell r="AF6">
            <v>7</v>
          </cell>
        </row>
        <row r="7">
          <cell r="C7">
            <v>1</v>
          </cell>
          <cell r="AE7">
            <v>8</v>
          </cell>
          <cell r="AF7">
            <v>8</v>
          </cell>
        </row>
      </sheetData>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ow r="2">
          <cell r="J2" t="str">
            <v>Staff Engineer</v>
          </cell>
        </row>
        <row r="3">
          <cell r="J3" t="str">
            <v>Lead Engineer</v>
          </cell>
        </row>
        <row r="4">
          <cell r="J4" t="str">
            <v>Chief Engineer</v>
          </cell>
        </row>
        <row r="5">
          <cell r="J5" t="str">
            <v>Lead Architect</v>
          </cell>
        </row>
        <row r="6">
          <cell r="J6" t="str">
            <v>Chief Architect</v>
          </cell>
        </row>
        <row r="7">
          <cell r="J7" t="str">
            <v>Lead Business Process Architect</v>
          </cell>
        </row>
        <row r="8">
          <cell r="J8" t="str">
            <v>Principal Business Process Architect</v>
          </cell>
        </row>
        <row r="9">
          <cell r="J9" t="str">
            <v>Chief Business Process Architect</v>
          </cell>
        </row>
        <row r="10">
          <cell r="J10" t="str">
            <v>Project Manager</v>
          </cell>
        </row>
        <row r="11">
          <cell r="J11" t="str">
            <v>Program Manager</v>
          </cell>
        </row>
        <row r="12">
          <cell r="J12" t="str">
            <v>Project Coordinator</v>
          </cell>
        </row>
        <row r="13">
          <cell r="J13" t="str">
            <v>OCM Specialist</v>
          </cell>
        </row>
        <row r="14">
          <cell r="J14" t="str">
            <v>Trainer</v>
          </cell>
        </row>
        <row r="15">
          <cell r="J15" t="str">
            <v>Staff Designer</v>
          </cell>
        </row>
        <row r="16">
          <cell r="J16" t="str">
            <v>Lead Designer</v>
          </cell>
        </row>
        <row r="17">
          <cell r="J17" t="str">
            <v>Principal Designer</v>
          </cell>
        </row>
        <row r="18">
          <cell r="J18" t="str">
            <v>Chief Designer</v>
          </cell>
        </row>
      </sheetData>
      <sheetData sheetId="31"/>
      <sheetData sheetId="32"/>
      <sheetData sheetId="33"/>
      <sheetData sheetId="34"/>
      <sheetData sheetId="35">
        <row r="1">
          <cell r="A1" t="str">
            <v>ATF - Baseline</v>
          </cell>
        </row>
        <row r="2">
          <cell r="A2" t="str">
            <v>FSO - Baseline</v>
          </cell>
        </row>
        <row r="3">
          <cell r="A3" t="str">
            <v>CSM - Baseline</v>
          </cell>
        </row>
        <row r="4">
          <cell r="A4" t="str">
            <v>CSM - Performance Analytics</v>
          </cell>
        </row>
        <row r="5">
          <cell r="A5" t="str">
            <v>CSM - Public Sector Digital</v>
          </cell>
        </row>
        <row r="6">
          <cell r="A6" t="str">
            <v>App Engine</v>
          </cell>
        </row>
        <row r="7">
          <cell r="A7" t="str">
            <v>App Engine - Performance Analytics</v>
          </cell>
        </row>
        <row r="8">
          <cell r="A8" t="str">
            <v>FSM - Baseline</v>
          </cell>
        </row>
        <row r="9">
          <cell r="A9" t="str">
            <v>FSM - Performance Analytics</v>
          </cell>
        </row>
        <row r="10">
          <cell r="A10" t="str">
            <v>HCLS - Baseline</v>
          </cell>
        </row>
        <row r="11">
          <cell r="A11" t="str">
            <v>HR - Baseline</v>
          </cell>
        </row>
        <row r="12">
          <cell r="A12" t="str">
            <v>HR - Performance Analytics</v>
          </cell>
        </row>
        <row r="13">
          <cell r="A13" t="str">
            <v>IRM - Baseline</v>
          </cell>
        </row>
        <row r="14">
          <cell r="A14" t="str">
            <v>IRM - Performance Analytics</v>
          </cell>
        </row>
        <row r="15">
          <cell r="A15" t="str">
            <v>ITAM - HAM EAM</v>
          </cell>
        </row>
        <row r="16">
          <cell r="A16" t="str">
            <v>ITAM - SAM EAM</v>
          </cell>
        </row>
        <row r="17">
          <cell r="A17" t="str">
            <v>ITAM - HAM</v>
          </cell>
        </row>
        <row r="18">
          <cell r="A18" t="str">
            <v>ITAM - HAM Integrations</v>
          </cell>
        </row>
        <row r="19">
          <cell r="A19" t="str">
            <v>ITAM - SAM Integrations</v>
          </cell>
        </row>
        <row r="20">
          <cell r="A20" t="str">
            <v>ITAM - HAM Performance Analytics</v>
          </cell>
        </row>
        <row r="21">
          <cell r="A21" t="str">
            <v>ITAM - SAM Performance Analytics</v>
          </cell>
        </row>
        <row r="22">
          <cell r="A22" t="str">
            <v>ITAM - HAM Predictive Intelligence</v>
          </cell>
        </row>
        <row r="23">
          <cell r="A23" t="str">
            <v>ITAM - SAM Predictive Intelligence</v>
          </cell>
        </row>
        <row r="24">
          <cell r="A24" t="str">
            <v>ITAM - SAM</v>
          </cell>
        </row>
        <row r="25">
          <cell r="A25" t="str">
            <v>TNI</v>
          </cell>
        </row>
        <row r="26">
          <cell r="A26" t="str">
            <v>TSM</v>
          </cell>
        </row>
        <row r="27">
          <cell r="A27" t="str">
            <v>TPSM</v>
          </cell>
        </row>
        <row r="28">
          <cell r="A28" t="str">
            <v>OMT</v>
          </cell>
        </row>
        <row r="29">
          <cell r="A29" t="str">
            <v>ITOM - Cloud</v>
          </cell>
        </row>
        <row r="30">
          <cell r="A30" t="str">
            <v>ITOM - Discovery</v>
          </cell>
        </row>
        <row r="31">
          <cell r="A31" t="str">
            <v>ITOM - Event Management</v>
          </cell>
        </row>
        <row r="32">
          <cell r="A32" t="str">
            <v>ITOM - HLA</v>
          </cell>
        </row>
        <row r="33">
          <cell r="A33" t="str">
            <v>ITOM - Service Mapping</v>
          </cell>
        </row>
        <row r="34">
          <cell r="A34" t="str">
            <v>ITSM - DevOps</v>
          </cell>
        </row>
        <row r="35">
          <cell r="A35" t="str">
            <v>ITSM - DPM</v>
          </cell>
        </row>
        <row r="36">
          <cell r="A36" t="str">
            <v>ITSM - Gen AI</v>
          </cell>
        </row>
        <row r="37">
          <cell r="A37" t="str">
            <v>ITSM - Baseline</v>
          </cell>
        </row>
        <row r="38">
          <cell r="A38" t="str">
            <v>ITSM - Mobile Agent</v>
          </cell>
        </row>
        <row r="39">
          <cell r="A39" t="str">
            <v>ITSM - Performance Analytics</v>
          </cell>
        </row>
        <row r="40">
          <cell r="A40" t="str">
            <v>ITSM - Pro</v>
          </cell>
        </row>
        <row r="41">
          <cell r="A41" t="str">
            <v>Security - Baseline</v>
          </cell>
        </row>
        <row r="42">
          <cell r="A42" t="str">
            <v>Security - Performance Analytics</v>
          </cell>
        </row>
        <row r="43">
          <cell r="A43" t="str">
            <v>SPM - EA</v>
          </cell>
        </row>
        <row r="44">
          <cell r="A44" t="str">
            <v>SPM - EA Performance Analytics</v>
          </cell>
        </row>
        <row r="45">
          <cell r="A45" t="str">
            <v>SPM - SPW</v>
          </cell>
        </row>
        <row r="46">
          <cell r="A46" t="str">
            <v>SPM - Integrations</v>
          </cell>
        </row>
        <row r="47">
          <cell r="A47" t="str">
            <v>SPM - Performance Analytics</v>
          </cell>
        </row>
        <row r="48">
          <cell r="A48" t="str">
            <v>SPM - PPM</v>
          </cell>
        </row>
        <row r="49">
          <cell r="A49" t="str">
            <v>AI Now Assist ITSM</v>
          </cell>
        </row>
        <row r="50">
          <cell r="A50" t="str">
            <v>AI Now Assist CSM</v>
          </cell>
        </row>
        <row r="51">
          <cell r="A51" t="str">
            <v>AI Now Assist HR</v>
          </cell>
        </row>
        <row r="52">
          <cell r="A52" t="str">
            <v>AI Now Assist Creator</v>
          </cell>
        </row>
        <row r="53">
          <cell r="A53" t="str">
            <v>AI for SPM</v>
          </cell>
        </row>
        <row r="54">
          <cell r="A54" t="str">
            <v>AI for EA</v>
          </cell>
        </row>
        <row r="55">
          <cell r="A55" t="str">
            <v>AI for FSM</v>
          </cell>
        </row>
        <row r="56">
          <cell r="A56" t="str">
            <v>AI for FSO</v>
          </cell>
        </row>
        <row r="57">
          <cell r="A57" t="str">
            <v>AI for HAM</v>
          </cell>
        </row>
        <row r="58">
          <cell r="A58" t="str">
            <v>AI for HCLS</v>
          </cell>
        </row>
        <row r="59">
          <cell r="A59" t="str">
            <v>AI for SPM</v>
          </cell>
        </row>
        <row r="60">
          <cell r="A60" t="str">
            <v>AI for IRM</v>
          </cell>
        </row>
        <row r="61">
          <cell r="A61" t="str">
            <v>AI for ITOM</v>
          </cell>
        </row>
        <row r="62">
          <cell r="A62" t="str">
            <v>AI for SAM</v>
          </cell>
        </row>
        <row r="63">
          <cell r="A63" t="str">
            <v>AI for SIR</v>
          </cell>
        </row>
        <row r="64">
          <cell r="A64" t="str">
            <v>AI for TMT</v>
          </cell>
        </row>
        <row r="65">
          <cell r="A65" t="str">
            <v>AI for VR</v>
          </cell>
        </row>
        <row r="66">
          <cell r="A66" t="str">
            <v>AI for AppEngine</v>
          </cell>
        </row>
      </sheetData>
      <sheetData sheetId="36"/>
      <sheetData sheetId="37"/>
      <sheetData sheetId="38"/>
      <sheetData sheetId="39"/>
      <sheetData sheetId="40"/>
      <sheetData sheetId="41"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F27B031-0C6C-4D2A-AF6F-8EE7FA5D41AA}" name="TandE" displayName="TandE" ref="B1:Z28" totalsRowShown="0" headerRowDxfId="62" dataDxfId="61" headerRowBorderDxfId="59" tableBorderDxfId="60" totalsRowBorderDxfId="58">
  <autoFilter ref="B1:Z28" xr:uid="{36C17932-D47D-4329-B1A3-309CCAD1E97B}"/>
  <tableColumns count="25">
    <tableColumn id="2" xr3:uid="{4D5C9726-D009-4842-84A7-D6342FBC48DB}" name="Phase" dataDxfId="57"/>
    <tableColumn id="6" xr3:uid="{0006E3B3-9A5A-43C8-84F1-2C9F78E4B5CD}" name="Start Week" dataDxfId="56"/>
    <tableColumn id="9" xr3:uid="{5045AB61-00A4-44E1-BBC8-FCE0240769EC}" name="End Week" dataDxfId="55"/>
    <tableColumn id="3" xr3:uid="{B50874BC-9DB2-4F97-9B12-C62047C13661}" name="Task" dataDxfId="54"/>
    <tableColumn id="4" xr3:uid="{B65DE806-7E27-4ED8-BD91-890AD72B69E6}" name="Description" dataDxfId="53"/>
    <tableColumn id="5" xr3:uid="{13F06510-EBC7-4E71-B53D-7B86EF5F6066}" name="Assumption" dataDxfId="52"/>
    <tableColumn id="7" xr3:uid="{FC53A528-E4ED-4279-B8B8-8766B2FF5210}" name="Hide Row from SOW" dataDxfId="51"/>
    <tableColumn id="1" xr3:uid="{1C8301D6-2C3C-4867-A719-EEE8ED9759DF}" name="Practice" dataDxfId="50"/>
    <tableColumn id="39" xr3:uid="{EFCE221E-1AEB-4F51-A475-3069329FEA89}" name="Presales Notes (Internal)" dataDxfId="49"/>
    <tableColumn id="8" xr3:uid="{BA46A5E4-13A2-491D-8020-FF11E1EF089D}" name="Billable/ Non-Billable" dataDxfId="48"/>
    <tableColumn id="10" xr3:uid="{31219B74-FBEB-4EAE-A5EC-4B657C94076B}" name="Role 1" dataDxfId="47"/>
    <tableColumn id="12" xr3:uid="{43D80DEF-9C9D-4726-BE0F-6F5E24781BAD}" name="Role 2" dataDxfId="46"/>
    <tableColumn id="14" xr3:uid="{5007FEDC-2EA7-48B3-969F-4CA3A56D7686}" name="Role 3" dataDxfId="45"/>
    <tableColumn id="16" xr3:uid="{84F57D41-4BF9-4E55-B46C-B8930BB25D72}" name="Role 4" dataDxfId="44"/>
    <tableColumn id="18" xr3:uid="{67CB1530-84F6-441C-A76D-4CDBBFD8870A}" name="Role 5" dataDxfId="43"/>
    <tableColumn id="20" xr3:uid="{920D9B63-C554-4A0A-B033-1D168A4E3F02}" name="Role 6" dataDxfId="42"/>
    <tableColumn id="22" xr3:uid="{B2936ACE-B3CA-4294-B93D-73F31D865DA0}" name="Role 7" dataDxfId="41"/>
    <tableColumn id="24" xr3:uid="{71E6AF97-E2DD-41FD-AB49-F7443106485E}" name="Role 8" dataDxfId="40"/>
    <tableColumn id="26" xr3:uid="{FA872950-5DBE-4A66-B9C5-8E8BAD3663B8}" name="Role 9" dataDxfId="39"/>
    <tableColumn id="28" xr3:uid="{EB034A03-2C22-4BEA-AA72-623F27E296C4}" name="Role 10" dataDxfId="38"/>
    <tableColumn id="30" xr3:uid="{E005E01A-34CD-48AA-A36D-A22294A8A390}" name="Role 11" dataDxfId="37"/>
    <tableColumn id="32" xr3:uid="{F24D44DE-E437-43E7-8077-B876436F9F07}" name="Role 12" dataDxfId="36"/>
    <tableColumn id="34" xr3:uid="{7BA010B7-F9BD-48C0-BE8D-C873537CFFAB}" name="Role 13" dataDxfId="35"/>
    <tableColumn id="36" xr3:uid="{3FD54381-9C4A-431C-BAD3-50389DECD94A}" name="Role 14" dataDxfId="34"/>
    <tableColumn id="38" xr3:uid="{753D82AE-0D87-4AD6-818F-2582F02E7A91}" name="Role 15" dataDxfId="33"/>
  </tableColumns>
  <tableStyleInfo name="TableStyleLight2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BB3654E-9D2A-4980-B555-56BA9FEF9BDB}" name="RolesandSkills" displayName="RolesandSkills" ref="B31:S46" totalsRowShown="0" headerRowDxfId="32" dataDxfId="31" headerRowBorderDxfId="29" tableBorderDxfId="30" totalsRowBorderDxfId="28">
  <autoFilter ref="B31:S46" xr:uid="{8FFD2A4A-B1BC-432C-BDA7-4A9F684AD40B}"/>
  <tableColumns count="18">
    <tableColumn id="1" xr3:uid="{1A2BF0BA-CE0E-4566-B247-71388130DDD6}" name="Role #" dataDxfId="27"/>
    <tableColumn id="6" xr3:uid="{3D1AC217-1B35-4D22-BA04-D3A43DA73B8A}" name="Role + Practice" dataDxfId="26">
      <calculatedColumnFormula>IF(ISBLANK(RolesandSkills[[#This Row],[Role]]),"",RolesandSkills[[#This Row],[Role]]&amp;"-"&amp;RolesandSkills[[#This Row],[Practice]])</calculatedColumnFormula>
    </tableColumn>
    <tableColumn id="2" xr3:uid="{0FF364E1-CEDC-4418-BF79-B23572655386}" name="Resource Location" dataDxfId="25">
      <calculatedColumnFormula>IF(ISBLANK([2]Pricing!D27),"",[2]Pricing!D27)</calculatedColumnFormula>
    </tableColumn>
    <tableColumn id="13" xr3:uid="{8C67E524-6864-41D7-9FFD-C55A5C5902BA}" name="Practice" dataDxfId="24">
      <calculatedColumnFormula>IF(ISBLANK([2]Pricing!T27),"",[2]Pricing!T27)</calculatedColumnFormula>
    </tableColumn>
    <tableColumn id="18" xr3:uid="{4925FC78-FCAB-43DB-817E-F981B7A03044}" name="Skill #1" dataDxfId="23">
      <calculatedColumnFormula>IF(ISBLANK([2]Pricing!U27),"",[2]Pricing!U27)</calculatedColumnFormula>
    </tableColumn>
    <tableColumn id="12" xr3:uid="{6E98DE31-0CF7-412B-B568-D0B40C079413}" name="Skill #2" dataDxfId="22">
      <calculatedColumnFormula>IF(ISBLANK([2]Pricing!V27),"",[2]Pricing!V27)</calculatedColumnFormula>
    </tableColumn>
    <tableColumn id="7" xr3:uid="{B9AAA938-5FE5-4C27-A361-E81807CC1628}" name="Skill #3" dataDxfId="21">
      <calculatedColumnFormula>IF(ISBLANK([2]Pricing!W27),"",[2]Pricing!W27)</calculatedColumnFormula>
    </tableColumn>
    <tableColumn id="8" xr3:uid="{6AFD45D5-7EAF-4F82-A67E-D13FB3D1F25F}" name="Role" dataDxfId="20">
      <calculatedColumnFormula>IF(ISBLANK([2]Pricing!E27),"",[2]Pricing!E27)</calculatedColumnFormula>
    </tableColumn>
    <tableColumn id="3" xr3:uid="{6771E4B0-C13E-4EAA-AEA9-90EB52314261}" name="Initiate %" dataDxfId="19"/>
    <tableColumn id="4" xr3:uid="{F527198F-CAA4-4C8A-B87D-344A65D79409}" name="Initiate Hours" dataDxfId="18">
      <calculatedColumnFormula>ROUND(RolesandSkills[[#This Row],[Initiate %]]*[2]!TotalsNoOversight[[#Totals],[Initiate]],0)</calculatedColumnFormula>
    </tableColumn>
    <tableColumn id="14" xr3:uid="{B8967C23-447D-465E-AA46-A68E88683C76}" name="Plan %" dataDxfId="17"/>
    <tableColumn id="5" xr3:uid="{22A186FB-D811-45BE-873E-56B9B2BD780E}" name="Plan Hours" dataDxfId="16">
      <calculatedColumnFormula>ROUND(RolesandSkills[[#This Row],[Plan %]]*[2]!TotalsNoOversight[[#Totals],[Plan]],0)</calculatedColumnFormula>
    </tableColumn>
    <tableColumn id="15" xr3:uid="{D531ACAA-DAB9-42CE-90CB-1F28AA4AB1AE}" name="Execute %" dataDxfId="15"/>
    <tableColumn id="9" xr3:uid="{D86305F5-3B53-4EC6-9957-6253AEC98741}" name="Execute Hours" dataDxfId="14">
      <calculatedColumnFormula>ROUND(RolesandSkills[[#This Row],[Execute %]]*[2]!TotalsNoOversight[[#Totals],[Execute]],0)</calculatedColumnFormula>
    </tableColumn>
    <tableColumn id="16" xr3:uid="{D6C28CEC-ADB5-44A8-9C76-BCDEBAD1A01F}" name="Deliver %" dataDxfId="13"/>
    <tableColumn id="10" xr3:uid="{D766BECF-8EDE-4755-B116-89E9442E5EA7}" name="Deliver Hours" dataDxfId="12">
      <calculatedColumnFormula>ROUND(RolesandSkills[[#This Row],[Deliver %]]*[2]!TotalsNoOversight[[#Totals],[Deliver]],0)</calculatedColumnFormula>
    </tableColumn>
    <tableColumn id="17" xr3:uid="{217AB985-5A3E-48E9-8613-3F383270F083}" name="Close %" dataDxfId="11"/>
    <tableColumn id="11" xr3:uid="{DA941479-5B5D-4ACE-A4C0-5B02D72D625F}" name="Close Hours" dataDxfId="10">
      <calculatedColumnFormula>ROUND(RolesandSkills[[#This Row],[Close %]]*[2]!TotalsNoOversight[[#Totals],[Close]],0)</calculatedColumnFormula>
    </tableColumn>
  </tableColumns>
  <tableStyleInfo name="Table Style 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F8CB49D-27DC-4B4A-97DA-2E19B7B4B2F9}" name="Table9" displayName="Table9" ref="B64:E96" totalsRowCount="1" headerRowDxfId="9" dataDxfId="8">
  <autoFilter ref="B64:E95" xr:uid="{8D71C5BF-4E0A-48B9-8FEB-6F53ACF9C670}"/>
  <tableColumns count="4">
    <tableColumn id="1" xr3:uid="{741B4CAE-0FDE-4EB0-A50C-B3D34696CF96}" name="Milestone #" totalsRowLabel="Total" dataDxfId="6" totalsRowDxfId="7"/>
    <tableColumn id="2" xr3:uid="{923FB7F2-1576-4203-ACF3-85E1514905C8}" name="Trigger" dataDxfId="4" totalsRowDxfId="5"/>
    <tableColumn id="3" xr3:uid="{3D40DA4E-B21C-4D16-96BF-F39786D2077C}" name="%" totalsRowFunction="sum" dataDxfId="2" totalsRowDxfId="3"/>
    <tableColumn id="4" xr3:uid="{DB77D31A-9A4C-4491-9A5D-131F8A495285}" name="Price" totalsRowFunction="sum" dataDxfId="0" totalsRowDxfId="1" dataCellStyle="Currency" totalsRowCellStyle="Currency">
      <calculatedColumnFormula>IFERROR(Table9[[#This Row],[%]]*[2]Pricing!P$45,"")</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NewRocket 2022">
      <a:dk1>
        <a:srgbClr val="242B3A"/>
      </a:dk1>
      <a:lt1>
        <a:srgbClr val="49505F"/>
      </a:lt1>
      <a:dk2>
        <a:srgbClr val="A1B4C8"/>
      </a:dk2>
      <a:lt2>
        <a:srgbClr val="F0F5FA"/>
      </a:lt2>
      <a:accent1>
        <a:srgbClr val="573D82"/>
      </a:accent1>
      <a:accent2>
        <a:srgbClr val="EB3278"/>
      </a:accent2>
      <a:accent3>
        <a:srgbClr val="1EA9C3"/>
      </a:accent3>
      <a:accent4>
        <a:srgbClr val="3E87CC"/>
      </a:accent4>
      <a:accent5>
        <a:srgbClr val="95C63F"/>
      </a:accent5>
      <a:accent6>
        <a:srgbClr val="F0C748"/>
      </a:accent6>
      <a:hlink>
        <a:srgbClr val="EB3278"/>
      </a:hlink>
      <a:folHlink>
        <a:srgbClr val="1EA9C3"/>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 Id="rId4"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75846B-99BD-49F3-B426-8E574C7FD6AD}">
  <dimension ref="A3:P21"/>
  <sheetViews>
    <sheetView zoomScale="184" zoomScaleNormal="184" workbookViewId="0">
      <selection activeCell="A11" sqref="A11:XFD17"/>
    </sheetView>
  </sheetViews>
  <sheetFormatPr defaultRowHeight="12.75"/>
  <cols>
    <col min="1" max="1" width="15.28515625" customWidth="1"/>
    <col min="4" max="4" width="10.28515625" bestFit="1" customWidth="1"/>
    <col min="5" max="5" width="6.5703125" customWidth="1"/>
    <col min="6" max="6" width="7.140625" customWidth="1"/>
    <col min="7" max="7" width="7.5703125" customWidth="1"/>
    <col min="8" max="8" width="8.42578125" customWidth="1"/>
    <col min="9" max="9" width="7.42578125" customWidth="1"/>
    <col min="10" max="10" width="7.5703125" customWidth="1"/>
    <col min="11" max="11" width="7.42578125" customWidth="1"/>
    <col min="12" max="12" width="7.28515625" customWidth="1"/>
    <col min="13" max="13" width="6.85546875" customWidth="1"/>
    <col min="14" max="14" width="7.28515625" customWidth="1"/>
    <col min="15" max="15" width="6.28515625" customWidth="1"/>
    <col min="16" max="16" width="7.5703125" customWidth="1"/>
  </cols>
  <sheetData>
    <row r="3" spans="1:16" hidden="1">
      <c r="A3" t="s">
        <v>0</v>
      </c>
      <c r="D3" t="s">
        <v>1</v>
      </c>
      <c r="E3">
        <v>1</v>
      </c>
      <c r="F3">
        <v>2</v>
      </c>
      <c r="G3">
        <v>3</v>
      </c>
      <c r="H3">
        <v>4</v>
      </c>
      <c r="I3">
        <v>5</v>
      </c>
      <c r="J3">
        <v>6</v>
      </c>
      <c r="K3">
        <v>7</v>
      </c>
      <c r="L3">
        <v>8</v>
      </c>
      <c r="M3">
        <v>9</v>
      </c>
    </row>
    <row r="4" spans="1:16" hidden="1">
      <c r="D4" t="s">
        <v>2</v>
      </c>
      <c r="E4" s="93">
        <v>45957</v>
      </c>
      <c r="F4" s="93">
        <f>E4+7</f>
        <v>45964</v>
      </c>
      <c r="G4" s="93">
        <f t="shared" ref="G4:M4" si="0">F4+7</f>
        <v>45971</v>
      </c>
      <c r="H4" s="93">
        <f t="shared" si="0"/>
        <v>45978</v>
      </c>
      <c r="I4" s="93">
        <f t="shared" si="0"/>
        <v>45985</v>
      </c>
      <c r="J4" s="93">
        <f t="shared" si="0"/>
        <v>45992</v>
      </c>
      <c r="K4" s="93">
        <f t="shared" si="0"/>
        <v>45999</v>
      </c>
      <c r="L4" s="93">
        <f t="shared" si="0"/>
        <v>46006</v>
      </c>
      <c r="M4" s="93">
        <f t="shared" si="0"/>
        <v>46013</v>
      </c>
    </row>
    <row r="5" spans="1:16" hidden="1">
      <c r="D5" s="96" t="s">
        <v>3</v>
      </c>
      <c r="E5" s="95"/>
    </row>
    <row r="6" spans="1:16" hidden="1">
      <c r="D6" s="96" t="s">
        <v>4</v>
      </c>
      <c r="F6" s="95"/>
      <c r="G6" s="95"/>
    </row>
    <row r="7" spans="1:16" hidden="1">
      <c r="D7" s="96" t="s">
        <v>5</v>
      </c>
      <c r="H7" s="95"/>
      <c r="I7" s="95"/>
      <c r="J7" s="95"/>
    </row>
    <row r="8" spans="1:16" hidden="1">
      <c r="D8" s="96" t="s">
        <v>6</v>
      </c>
      <c r="K8" s="95"/>
    </row>
    <row r="9" spans="1:16" hidden="1">
      <c r="D9" s="96" t="s">
        <v>7</v>
      </c>
      <c r="L9" s="95"/>
    </row>
    <row r="11" spans="1:16">
      <c r="A11" s="112" t="s">
        <v>8</v>
      </c>
      <c r="D11" s="114" t="s">
        <v>1</v>
      </c>
      <c r="E11" s="126">
        <v>1</v>
      </c>
      <c r="F11" s="126">
        <v>2</v>
      </c>
      <c r="G11" s="135">
        <v>3</v>
      </c>
      <c r="H11" s="125">
        <v>4</v>
      </c>
      <c r="I11" s="131">
        <v>5</v>
      </c>
      <c r="J11" s="115">
        <v>6</v>
      </c>
      <c r="K11" s="115">
        <v>7</v>
      </c>
      <c r="L11" s="116">
        <v>8</v>
      </c>
      <c r="M11" s="126"/>
      <c r="N11" s="135">
        <v>9</v>
      </c>
      <c r="O11" s="125">
        <v>10</v>
      </c>
      <c r="P11" s="125">
        <v>11</v>
      </c>
    </row>
    <row r="12" spans="1:16">
      <c r="D12" s="137" t="s">
        <v>9</v>
      </c>
      <c r="E12" s="138">
        <v>45957</v>
      </c>
      <c r="F12" s="140">
        <f>E12+7</f>
        <v>45964</v>
      </c>
      <c r="G12" s="138">
        <f t="shared" ref="G12:M12" si="1">F12+7</f>
        <v>45971</v>
      </c>
      <c r="H12" s="139">
        <f t="shared" si="1"/>
        <v>45978</v>
      </c>
      <c r="I12" s="140">
        <f t="shared" si="1"/>
        <v>45985</v>
      </c>
      <c r="J12" s="138">
        <f t="shared" si="1"/>
        <v>45992</v>
      </c>
      <c r="K12" s="138">
        <f t="shared" si="1"/>
        <v>45999</v>
      </c>
      <c r="L12" s="139">
        <f t="shared" si="1"/>
        <v>46006</v>
      </c>
      <c r="M12" s="140">
        <f t="shared" si="1"/>
        <v>46013</v>
      </c>
      <c r="N12" s="138">
        <f>M12+7</f>
        <v>46020</v>
      </c>
      <c r="O12" s="139">
        <f>N12+7</f>
        <v>46027</v>
      </c>
      <c r="P12" s="139">
        <f>O12+7</f>
        <v>46034</v>
      </c>
    </row>
    <row r="13" spans="1:16">
      <c r="D13" s="122" t="s">
        <v>3</v>
      </c>
      <c r="E13" s="127"/>
      <c r="F13" s="117"/>
      <c r="I13" s="117"/>
      <c r="L13" s="118"/>
      <c r="P13" s="121"/>
    </row>
    <row r="14" spans="1:16">
      <c r="D14" s="122" t="s">
        <v>4</v>
      </c>
      <c r="E14" s="117"/>
      <c r="F14" s="127"/>
      <c r="G14" s="95"/>
      <c r="H14" s="95"/>
      <c r="I14" s="117"/>
      <c r="L14" s="118"/>
      <c r="P14" s="121"/>
    </row>
    <row r="15" spans="1:16">
      <c r="D15" s="122" t="s">
        <v>5</v>
      </c>
      <c r="E15" s="117"/>
      <c r="F15" s="117"/>
      <c r="I15" s="127"/>
      <c r="J15" s="95"/>
      <c r="K15" s="95"/>
      <c r="L15" s="129"/>
      <c r="P15" s="121"/>
    </row>
    <row r="16" spans="1:16">
      <c r="D16" s="122" t="s">
        <v>6</v>
      </c>
      <c r="E16" s="117"/>
      <c r="F16" s="117"/>
      <c r="I16" s="117"/>
      <c r="L16" s="118"/>
      <c r="M16" s="119"/>
      <c r="N16" s="110"/>
      <c r="O16" s="110"/>
      <c r="P16" s="121"/>
    </row>
    <row r="17" spans="4:16">
      <c r="D17" s="123" t="s">
        <v>7</v>
      </c>
      <c r="E17" s="128"/>
      <c r="F17" s="128"/>
      <c r="G17" s="120"/>
      <c r="H17" s="120"/>
      <c r="I17" s="128"/>
      <c r="J17" s="120"/>
      <c r="K17" s="120"/>
      <c r="L17" s="130"/>
      <c r="M17" s="120"/>
      <c r="N17" s="120"/>
      <c r="O17" s="120"/>
      <c r="P17" s="124"/>
    </row>
    <row r="21" spans="4:16">
      <c r="E21" s="136"/>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DA0BA9-94CD-4808-850D-092790CFC64A}">
  <sheetPr>
    <tabColor rgb="FF0070C0"/>
  </sheetPr>
  <dimension ref="A1:AA96"/>
  <sheetViews>
    <sheetView zoomScale="77" zoomScaleNormal="77" workbookViewId="0">
      <pane ySplit="2" topLeftCell="A3" activePane="bottomLeft" state="frozen"/>
      <selection pane="bottomLeft" sqref="A1:XFD1048576"/>
      <selection activeCell="F19" sqref="F19:K19"/>
    </sheetView>
  </sheetViews>
  <sheetFormatPr defaultColWidth="8.85546875" defaultRowHeight="15"/>
  <cols>
    <col min="1" max="1" width="8.85546875" style="1"/>
    <col min="2" max="2" width="16.140625" style="1" customWidth="1"/>
    <col min="3" max="3" width="15" style="1" customWidth="1"/>
    <col min="4" max="4" width="19.5703125" style="1" customWidth="1"/>
    <col min="5" max="5" width="44.42578125" style="1" customWidth="1"/>
    <col min="6" max="6" width="60.85546875" style="1" customWidth="1"/>
    <col min="7" max="7" width="31.140625" style="1" customWidth="1"/>
    <col min="8" max="8" width="18.85546875" style="1" customWidth="1"/>
    <col min="9" max="9" width="21.42578125" style="1" customWidth="1"/>
    <col min="10" max="10" width="16.42578125" style="1" customWidth="1"/>
    <col min="11" max="11" width="15" style="1" customWidth="1"/>
    <col min="12" max="12" width="17.42578125" style="1" customWidth="1"/>
    <col min="13" max="13" width="33.140625" style="1" customWidth="1"/>
    <col min="14" max="14" width="17.5703125" style="1" customWidth="1"/>
    <col min="15" max="15" width="17.140625" style="1" customWidth="1"/>
    <col min="16" max="16" width="13.140625" style="1" customWidth="1"/>
    <col min="17" max="17" width="64.28515625" style="1" customWidth="1"/>
    <col min="18" max="18" width="13.140625" style="1" customWidth="1"/>
    <col min="19" max="19" width="14.140625" style="1" customWidth="1"/>
    <col min="20" max="20" width="13.140625" style="1" customWidth="1"/>
    <col min="21" max="21" width="14.140625" style="1" customWidth="1"/>
    <col min="22" max="22" width="13.140625" style="1" customWidth="1"/>
    <col min="23" max="23" width="19.140625" style="1" customWidth="1"/>
    <col min="24" max="24" width="12.42578125" style="1" bestFit="1" customWidth="1"/>
    <col min="25" max="25" width="8.85546875" style="1"/>
    <col min="26" max="26" width="13.140625" style="1" customWidth="1"/>
    <col min="27" max="27" width="9" style="1" customWidth="1"/>
    <col min="28" max="28" width="14.140625" style="1" customWidth="1"/>
    <col min="29" max="29" width="9" style="1" customWidth="1"/>
    <col min="30" max="30" width="14.140625" style="1" customWidth="1"/>
    <col min="31" max="31" width="15.140625" style="1" bestFit="1" customWidth="1"/>
    <col min="32" max="32" width="14.140625" style="1" customWidth="1"/>
    <col min="33" max="33" width="15.140625" style="1" bestFit="1" customWidth="1"/>
    <col min="34" max="34" width="14.140625" style="1" customWidth="1"/>
    <col min="35" max="35" width="15.140625" style="1" bestFit="1" customWidth="1"/>
    <col min="36" max="36" width="14.140625" style="1" customWidth="1"/>
    <col min="37" max="37" width="15.140625" style="1" bestFit="1" customWidth="1"/>
    <col min="38" max="38" width="14.140625" style="1" customWidth="1"/>
    <col min="39" max="39" width="15.140625" style="1" bestFit="1" customWidth="1"/>
    <col min="40" max="16384" width="8.85546875" style="1"/>
  </cols>
  <sheetData>
    <row r="1" spans="1:27" ht="19.5" thickBot="1">
      <c r="B1" s="2" t="s">
        <v>10</v>
      </c>
      <c r="C1" s="2" t="s">
        <v>11</v>
      </c>
      <c r="D1" s="2" t="s">
        <v>12</v>
      </c>
      <c r="E1" s="3" t="s">
        <v>13</v>
      </c>
      <c r="F1" s="3" t="s">
        <v>14</v>
      </c>
      <c r="G1" s="3" t="s">
        <v>15</v>
      </c>
      <c r="H1" s="3" t="s">
        <v>16</v>
      </c>
      <c r="I1" s="3" t="s">
        <v>17</v>
      </c>
      <c r="J1" s="3" t="s">
        <v>18</v>
      </c>
      <c r="K1" s="3" t="s">
        <v>19</v>
      </c>
      <c r="L1" s="3" t="s">
        <v>20</v>
      </c>
      <c r="M1" s="3" t="s">
        <v>21</v>
      </c>
      <c r="N1" s="3" t="s">
        <v>22</v>
      </c>
      <c r="O1" s="3" t="s">
        <v>23</v>
      </c>
      <c r="P1" s="3" t="s">
        <v>24</v>
      </c>
      <c r="Q1" s="3" t="s">
        <v>25</v>
      </c>
      <c r="R1" s="3" t="s">
        <v>26</v>
      </c>
      <c r="S1" s="3" t="s">
        <v>27</v>
      </c>
      <c r="T1" s="3" t="s">
        <v>28</v>
      </c>
      <c r="U1" s="3" t="s">
        <v>29</v>
      </c>
      <c r="V1" s="3" t="s">
        <v>30</v>
      </c>
      <c r="W1" s="3" t="s">
        <v>31</v>
      </c>
      <c r="X1" s="3" t="s">
        <v>32</v>
      </c>
      <c r="Y1" s="3" t="s">
        <v>33</v>
      </c>
      <c r="Z1" s="3" t="s">
        <v>34</v>
      </c>
    </row>
    <row r="2" spans="1:27" ht="92.45" customHeight="1" thickBot="1">
      <c r="A2" s="4" t="s">
        <v>35</v>
      </c>
      <c r="B2" s="5" t="s">
        <v>36</v>
      </c>
      <c r="C2" s="6" t="s">
        <v>36</v>
      </c>
      <c r="D2" s="6" t="s">
        <v>36</v>
      </c>
      <c r="E2" s="5" t="s">
        <v>36</v>
      </c>
      <c r="F2" s="5" t="s">
        <v>36</v>
      </c>
      <c r="G2" s="5" t="s">
        <v>36</v>
      </c>
      <c r="H2" s="5" t="s">
        <v>36</v>
      </c>
      <c r="I2" s="5" t="s">
        <v>36</v>
      </c>
      <c r="J2" s="5" t="s">
        <v>36</v>
      </c>
      <c r="K2" s="7" t="s">
        <v>35</v>
      </c>
      <c r="L2" s="8" t="str">
        <f>Role_1</f>
        <v>Project Manager-PMO</v>
      </c>
      <c r="M2" s="8" t="str">
        <f>Role_2</f>
        <v>Solution Architect-Technology</v>
      </c>
      <c r="N2" s="8" t="str">
        <f>Role_3</f>
        <v>Business Process Consultant-Technology</v>
      </c>
      <c r="O2" s="8" t="str">
        <f>Role_4</f>
        <v>Senior Technical Consultant-Technology</v>
      </c>
      <c r="P2" s="8" t="str">
        <f>Role_5</f>
        <v>Workflow/Practice Strategist-Technology</v>
      </c>
      <c r="Q2" s="8" t="str">
        <f>Role_6</f>
        <v>-</v>
      </c>
      <c r="R2" s="8" t="str">
        <f>Role_7</f>
        <v>-</v>
      </c>
      <c r="S2" s="8" t="str">
        <f>Role_8</f>
        <v>-</v>
      </c>
      <c r="T2" s="8" t="str">
        <f>Role_9</f>
        <v>-</v>
      </c>
      <c r="U2" s="8" t="str">
        <f>Role_10</f>
        <v>-</v>
      </c>
      <c r="V2" s="8" t="str">
        <f>Role_11</f>
        <v>-</v>
      </c>
      <c r="W2" s="8" t="str">
        <f>Role_12</f>
        <v>-</v>
      </c>
      <c r="X2" s="8" t="str">
        <f>Role_13</f>
        <v>-</v>
      </c>
      <c r="Y2" s="8" t="str">
        <f>Role_14</f>
        <v>-</v>
      </c>
      <c r="Z2" s="9" t="str">
        <f>Role_15</f>
        <v>-</v>
      </c>
    </row>
    <row r="3" spans="1:27" ht="75.75" thickBot="1">
      <c r="A3" s="68"/>
      <c r="B3" s="16" t="s">
        <v>37</v>
      </c>
      <c r="C3" s="17">
        <v>1</v>
      </c>
      <c r="D3" s="17">
        <f t="shared" ref="D3" si="0">INITIATE_END</f>
        <v>1</v>
      </c>
      <c r="E3" s="17" t="s">
        <v>38</v>
      </c>
      <c r="F3" s="18" t="s">
        <v>39</v>
      </c>
      <c r="G3" s="18"/>
      <c r="H3" s="17"/>
      <c r="I3" s="17"/>
      <c r="J3" s="17"/>
      <c r="K3" s="17" t="s">
        <v>40</v>
      </c>
      <c r="L3" s="17">
        <f>ROUND([2]Pricing!$X27*Initiate_Length,0)</f>
        <v>10</v>
      </c>
      <c r="M3" s="17">
        <f>ROUND([2]Pricing!$X28*Initiate_Length,0)</f>
        <v>2</v>
      </c>
      <c r="N3" s="17">
        <f>ROUND([2]Pricing!$X29*Initiate_Length,0)</f>
        <v>2</v>
      </c>
      <c r="O3" s="17">
        <f>ROUND([2]Pricing!$X30*Initiate_Length,0)</f>
        <v>0</v>
      </c>
      <c r="P3" s="17">
        <f>ROUND([2]Pricing!$X31*Initiate_Length,0)</f>
        <v>2</v>
      </c>
      <c r="Q3" s="17">
        <f>ROUND([2]Pricing!$X32*Initiate_Length,0)</f>
        <v>0</v>
      </c>
      <c r="R3" s="17">
        <f>ROUND([2]Pricing!$X33*Initiate_Length,0)</f>
        <v>0</v>
      </c>
      <c r="S3" s="17">
        <f>ROUND([2]Pricing!$X34*Initiate_Length,0)</f>
        <v>0</v>
      </c>
      <c r="T3" s="17">
        <f>ROUND([2]Pricing!$X35*Initiate_Length,0)</f>
        <v>0</v>
      </c>
      <c r="U3" s="17">
        <f>ROUND([2]Pricing!$X36*Initiate_Length,0)</f>
        <v>0</v>
      </c>
      <c r="V3" s="17">
        <f>ROUND([2]Pricing!$X37*Initiate_Length,0)</f>
        <v>0</v>
      </c>
      <c r="W3" s="17">
        <f>ROUND([2]Pricing!$X38*Initiate_Length,0)</f>
        <v>0</v>
      </c>
      <c r="X3" s="17">
        <f>ROUND([2]Pricing!$X39*Initiate_Length,0)</f>
        <v>0</v>
      </c>
      <c r="Y3" s="17">
        <f>ROUND([2]Pricing!$X40*Initiate_Length,0)</f>
        <v>0</v>
      </c>
      <c r="Z3" s="17">
        <f>ROUND([2]Pricing!$X41*Initiate_Length,0)</f>
        <v>0</v>
      </c>
      <c r="AA3" s="1">
        <f ca="1">SUM(TandE[[#This Row],[Role 1]:[Role 5]])</f>
        <v>16</v>
      </c>
    </row>
    <row r="4" spans="1:27">
      <c r="A4" s="148" t="s">
        <v>41</v>
      </c>
      <c r="B4" s="19" t="s">
        <v>41</v>
      </c>
      <c r="C4" s="19">
        <f t="shared" ref="C4:C13" si="1">PLAN_START</f>
        <v>2</v>
      </c>
      <c r="D4" s="19">
        <f t="shared" ref="D4:D14" si="2">PLAN_END</f>
        <v>2</v>
      </c>
      <c r="E4" s="20" t="s">
        <v>42</v>
      </c>
      <c r="F4" s="20"/>
      <c r="G4" s="20"/>
      <c r="H4" s="21"/>
      <c r="I4" s="21"/>
      <c r="J4" s="21"/>
      <c r="K4" s="21" t="s">
        <v>40</v>
      </c>
      <c r="L4" s="10"/>
      <c r="M4" s="10">
        <v>4</v>
      </c>
      <c r="N4" s="22">
        <v>4</v>
      </c>
      <c r="O4" s="22"/>
      <c r="P4" s="21">
        <v>4</v>
      </c>
      <c r="Q4" s="21"/>
      <c r="R4" s="21"/>
      <c r="S4" s="21"/>
      <c r="T4" s="21"/>
      <c r="U4" s="21"/>
      <c r="V4" s="21"/>
      <c r="W4" s="21"/>
      <c r="X4" s="21"/>
      <c r="Y4" s="21"/>
      <c r="Z4" s="23"/>
      <c r="AA4" s="1">
        <f ca="1">SUM(TandE[[#This Row],[Role 1]:[Role 5]])</f>
        <v>12</v>
      </c>
    </row>
    <row r="5" spans="1:27" ht="30">
      <c r="A5" s="149"/>
      <c r="B5" s="19" t="s">
        <v>41</v>
      </c>
      <c r="C5" s="19">
        <f t="shared" si="1"/>
        <v>2</v>
      </c>
      <c r="D5" s="19">
        <f t="shared" si="2"/>
        <v>2</v>
      </c>
      <c r="E5" s="11" t="s">
        <v>43</v>
      </c>
      <c r="F5" s="11"/>
      <c r="G5" s="11" t="s">
        <v>44</v>
      </c>
      <c r="H5" s="10"/>
      <c r="I5" s="10"/>
      <c r="J5" s="10"/>
      <c r="K5" s="10" t="s">
        <v>40</v>
      </c>
      <c r="L5" s="10"/>
      <c r="M5" s="10">
        <v>4</v>
      </c>
      <c r="N5" s="12">
        <v>4</v>
      </c>
      <c r="O5" s="12"/>
      <c r="P5" s="10">
        <v>4</v>
      </c>
      <c r="Q5" s="10"/>
      <c r="R5" s="10"/>
      <c r="S5" s="10"/>
      <c r="T5" s="10"/>
      <c r="U5" s="10"/>
      <c r="V5" s="10"/>
      <c r="W5" s="10"/>
      <c r="X5" s="10"/>
      <c r="Y5" s="10"/>
      <c r="Z5" s="14"/>
      <c r="AA5" s="1">
        <f ca="1">SUM(TandE[[#This Row],[Role 1]:[Role 5]])</f>
        <v>12</v>
      </c>
    </row>
    <row r="6" spans="1:27">
      <c r="A6" s="149"/>
      <c r="B6" s="19" t="s">
        <v>41</v>
      </c>
      <c r="C6" s="19">
        <f t="shared" si="1"/>
        <v>2</v>
      </c>
      <c r="D6" s="19">
        <f t="shared" si="2"/>
        <v>2</v>
      </c>
      <c r="E6" s="11" t="s">
        <v>45</v>
      </c>
      <c r="F6" s="11"/>
      <c r="G6" s="11"/>
      <c r="H6" s="10"/>
      <c r="I6" s="10"/>
      <c r="J6" s="10"/>
      <c r="K6" s="10" t="s">
        <v>40</v>
      </c>
      <c r="L6" s="10"/>
      <c r="M6" s="10">
        <v>5</v>
      </c>
      <c r="N6" s="12">
        <v>10</v>
      </c>
      <c r="O6" s="12"/>
      <c r="P6" s="10"/>
      <c r="Q6" s="10"/>
      <c r="R6" s="10"/>
      <c r="S6" s="10"/>
      <c r="T6" s="10"/>
      <c r="U6" s="10"/>
      <c r="V6" s="10"/>
      <c r="W6" s="10"/>
      <c r="X6" s="10"/>
      <c r="Y6" s="10"/>
      <c r="Z6" s="14"/>
      <c r="AA6" s="1">
        <f ca="1">SUM(TandE[[#This Row],[Role 1]:[Role 5]])</f>
        <v>15</v>
      </c>
    </row>
    <row r="7" spans="1:27" ht="45">
      <c r="A7" s="149"/>
      <c r="B7" s="19" t="s">
        <v>41</v>
      </c>
      <c r="C7" s="19">
        <f t="shared" si="1"/>
        <v>2</v>
      </c>
      <c r="D7" s="19">
        <f t="shared" si="2"/>
        <v>2</v>
      </c>
      <c r="E7" s="10" t="s">
        <v>46</v>
      </c>
      <c r="F7" s="11"/>
      <c r="G7" s="11" t="s">
        <v>47</v>
      </c>
      <c r="H7" s="10"/>
      <c r="I7" s="10"/>
      <c r="J7" s="10"/>
      <c r="K7" s="10" t="s">
        <v>40</v>
      </c>
      <c r="L7" s="10"/>
      <c r="M7" s="10"/>
      <c r="N7" s="12">
        <v>4</v>
      </c>
      <c r="O7" s="12"/>
      <c r="P7" s="10">
        <v>4</v>
      </c>
      <c r="Q7" s="10"/>
      <c r="R7" s="10"/>
      <c r="S7" s="10"/>
      <c r="T7" s="10"/>
      <c r="U7" s="10"/>
      <c r="V7" s="10"/>
      <c r="W7" s="10"/>
      <c r="X7" s="10"/>
      <c r="Y7" s="10"/>
      <c r="Z7" s="14"/>
      <c r="AA7" s="1">
        <f ca="1">SUM(TandE[[#This Row],[Role 1]:[Role 5]])</f>
        <v>8</v>
      </c>
    </row>
    <row r="8" spans="1:27">
      <c r="A8" s="149"/>
      <c r="B8" s="19" t="s">
        <v>41</v>
      </c>
      <c r="C8" s="19">
        <f t="shared" si="1"/>
        <v>2</v>
      </c>
      <c r="D8" s="19">
        <f t="shared" si="2"/>
        <v>2</v>
      </c>
      <c r="E8" s="10" t="s">
        <v>48</v>
      </c>
      <c r="F8" s="11"/>
      <c r="G8" s="11"/>
      <c r="H8" s="10"/>
      <c r="I8" s="10"/>
      <c r="J8" s="10"/>
      <c r="K8" s="10" t="s">
        <v>40</v>
      </c>
      <c r="L8" s="10"/>
      <c r="M8" s="10"/>
      <c r="N8" s="12"/>
      <c r="O8" s="12"/>
      <c r="P8" s="10"/>
      <c r="Q8" s="10"/>
      <c r="R8" s="10"/>
      <c r="S8" s="10"/>
      <c r="T8" s="10"/>
      <c r="U8" s="10"/>
      <c r="V8" s="10"/>
      <c r="W8" s="10"/>
      <c r="X8" s="10"/>
      <c r="Y8" s="10"/>
      <c r="Z8" s="14"/>
      <c r="AA8" s="1">
        <f ca="1">SUM(TandE[[#This Row],[Role 1]:[Role 5]])</f>
        <v>0</v>
      </c>
    </row>
    <row r="9" spans="1:27" ht="45">
      <c r="A9" s="149"/>
      <c r="B9" s="19" t="s">
        <v>41</v>
      </c>
      <c r="C9" s="19">
        <f t="shared" si="1"/>
        <v>2</v>
      </c>
      <c r="D9" s="19">
        <f t="shared" si="2"/>
        <v>2</v>
      </c>
      <c r="E9" s="10" t="s">
        <v>49</v>
      </c>
      <c r="F9" s="11" t="s">
        <v>50</v>
      </c>
      <c r="G9" s="11"/>
      <c r="H9" s="10"/>
      <c r="I9" s="10"/>
      <c r="J9" s="10"/>
      <c r="K9" s="10" t="s">
        <v>40</v>
      </c>
      <c r="L9" s="10"/>
      <c r="M9" s="10">
        <v>8</v>
      </c>
      <c r="N9" s="12">
        <v>8</v>
      </c>
      <c r="O9" s="12"/>
      <c r="P9" s="10">
        <v>10</v>
      </c>
      <c r="Q9" s="10"/>
      <c r="R9" s="10"/>
      <c r="S9" s="10"/>
      <c r="T9" s="10"/>
      <c r="U9" s="10"/>
      <c r="V9" s="10"/>
      <c r="W9" s="10"/>
      <c r="X9" s="10"/>
      <c r="Y9" s="10"/>
      <c r="Z9" s="14"/>
      <c r="AA9" s="1">
        <f ca="1">SUM(TandE[[#This Row],[Role 1]:[Role 5]])</f>
        <v>26</v>
      </c>
    </row>
    <row r="10" spans="1:27" ht="30">
      <c r="A10" s="149"/>
      <c r="B10" s="19" t="s">
        <v>41</v>
      </c>
      <c r="C10" s="19">
        <f t="shared" si="1"/>
        <v>2</v>
      </c>
      <c r="D10" s="19">
        <f t="shared" si="2"/>
        <v>2</v>
      </c>
      <c r="E10" s="10" t="s">
        <v>51</v>
      </c>
      <c r="F10" s="11" t="s">
        <v>52</v>
      </c>
      <c r="G10" s="11"/>
      <c r="H10" s="10"/>
      <c r="I10" s="10"/>
      <c r="J10" s="10"/>
      <c r="K10" s="10" t="s">
        <v>40</v>
      </c>
      <c r="L10" s="10"/>
      <c r="M10" s="10">
        <v>4</v>
      </c>
      <c r="N10" s="12">
        <v>4</v>
      </c>
      <c r="O10" s="12"/>
      <c r="P10" s="10">
        <v>8</v>
      </c>
      <c r="Q10" s="10"/>
      <c r="R10" s="10"/>
      <c r="S10" s="10"/>
      <c r="T10" s="10"/>
      <c r="U10" s="10"/>
      <c r="V10" s="10"/>
      <c r="W10" s="10"/>
      <c r="X10" s="10"/>
      <c r="Y10" s="10"/>
      <c r="Z10" s="14"/>
      <c r="AA10" s="1">
        <f ca="1">SUM(TandE[[#This Row],[Role 1]:[Role 5]])</f>
        <v>16</v>
      </c>
    </row>
    <row r="11" spans="1:27" ht="30">
      <c r="A11" s="149"/>
      <c r="B11" s="19" t="s">
        <v>41</v>
      </c>
      <c r="C11" s="19">
        <f t="shared" si="1"/>
        <v>2</v>
      </c>
      <c r="D11" s="19">
        <f t="shared" si="2"/>
        <v>2</v>
      </c>
      <c r="E11" s="10" t="s">
        <v>53</v>
      </c>
      <c r="F11" s="11" t="s">
        <v>54</v>
      </c>
      <c r="G11" s="11"/>
      <c r="H11" s="10"/>
      <c r="I11" s="10"/>
      <c r="J11" s="10"/>
      <c r="K11" s="10" t="s">
        <v>40</v>
      </c>
      <c r="L11" s="10"/>
      <c r="M11" s="10">
        <v>4</v>
      </c>
      <c r="N11" s="12">
        <v>4</v>
      </c>
      <c r="O11" s="12"/>
      <c r="P11" s="10">
        <v>4</v>
      </c>
      <c r="Q11" s="10"/>
      <c r="R11" s="10"/>
      <c r="S11" s="10"/>
      <c r="T11" s="10"/>
      <c r="U11" s="10"/>
      <c r="V11" s="10"/>
      <c r="W11" s="10"/>
      <c r="X11" s="10"/>
      <c r="Y11" s="10"/>
      <c r="Z11" s="14"/>
      <c r="AA11" s="1">
        <f ca="1">SUM(TandE[[#This Row],[Role 1]:[Role 5]])</f>
        <v>12</v>
      </c>
    </row>
    <row r="12" spans="1:27">
      <c r="A12" s="149"/>
      <c r="B12" s="19" t="s">
        <v>41</v>
      </c>
      <c r="C12" s="19">
        <f t="shared" si="1"/>
        <v>2</v>
      </c>
      <c r="D12" s="19">
        <f t="shared" si="2"/>
        <v>2</v>
      </c>
      <c r="E12" s="10" t="s">
        <v>55</v>
      </c>
      <c r="F12" s="11" t="s">
        <v>56</v>
      </c>
      <c r="G12" s="11" t="s">
        <v>57</v>
      </c>
      <c r="H12" s="10"/>
      <c r="I12" s="10"/>
      <c r="J12" s="10"/>
      <c r="K12" s="10" t="s">
        <v>40</v>
      </c>
      <c r="L12" s="10"/>
      <c r="M12" s="10">
        <v>2</v>
      </c>
      <c r="N12" s="12">
        <v>2</v>
      </c>
      <c r="O12" s="12"/>
      <c r="P12" s="10">
        <v>2</v>
      </c>
      <c r="Q12" s="10"/>
      <c r="R12" s="10"/>
      <c r="S12" s="10"/>
      <c r="T12" s="10"/>
      <c r="U12" s="10"/>
      <c r="V12" s="10"/>
      <c r="W12" s="10"/>
      <c r="X12" s="10"/>
      <c r="Y12" s="10"/>
      <c r="Z12" s="14"/>
      <c r="AA12" s="1">
        <f ca="1">SUM(TandE[[#This Row],[Role 1]:[Role 5]])</f>
        <v>6</v>
      </c>
    </row>
    <row r="13" spans="1:27" ht="60.75" thickBot="1">
      <c r="A13" s="149"/>
      <c r="B13" s="16" t="s">
        <v>41</v>
      </c>
      <c r="C13" s="24">
        <f t="shared" si="1"/>
        <v>2</v>
      </c>
      <c r="D13" s="24">
        <f t="shared" si="2"/>
        <v>2</v>
      </c>
      <c r="E13" s="24" t="s">
        <v>58</v>
      </c>
      <c r="F13" s="25" t="s">
        <v>59</v>
      </c>
      <c r="G13" s="25"/>
      <c r="H13" s="24"/>
      <c r="I13" s="24"/>
      <c r="J13" s="24"/>
      <c r="K13" s="24" t="s">
        <v>40</v>
      </c>
      <c r="L13" s="24">
        <f>ROUND([2]Pricing!$Y27*Plan_Length,0)</f>
        <v>10</v>
      </c>
      <c r="M13" s="24">
        <f>ROUND([2]Pricing!$Y28*Plan_Length,0)</f>
        <v>0</v>
      </c>
      <c r="N13" s="24">
        <f>ROUND([2]Pricing!$Y29*Plan_Length,0)</f>
        <v>0</v>
      </c>
      <c r="O13" s="24">
        <f>ROUND([2]Pricing!$Y30*Plan_Length,0)</f>
        <v>0</v>
      </c>
      <c r="P13" s="24">
        <f>ROUND([2]Pricing!$Y31*Plan_Length,0)</f>
        <v>2</v>
      </c>
      <c r="Q13" s="24">
        <f>ROUND([2]Pricing!$Y32*Plan_Length,0)</f>
        <v>0</v>
      </c>
      <c r="R13" s="24">
        <f>ROUND([2]Pricing!$Y33*Plan_Length,0)</f>
        <v>0</v>
      </c>
      <c r="S13" s="24">
        <f>ROUND([2]Pricing!$Y34*Plan_Length,0)</f>
        <v>0</v>
      </c>
      <c r="T13" s="24">
        <f>ROUND([2]Pricing!$Y35*Plan_Length,0)</f>
        <v>0</v>
      </c>
      <c r="U13" s="24">
        <f>ROUND([2]Pricing!$Y36*Plan_Length,0)</f>
        <v>0</v>
      </c>
      <c r="V13" s="24">
        <f>ROUND([2]Pricing!$Y37*Plan_Length,0)</f>
        <v>0</v>
      </c>
      <c r="W13" s="24">
        <f>ROUND([2]Pricing!$Y38*Plan_Length,0)</f>
        <v>0</v>
      </c>
      <c r="X13" s="24">
        <f>ROUND([2]Pricing!$Y39*Plan_Length,0)</f>
        <v>0</v>
      </c>
      <c r="Y13" s="24">
        <f>ROUND([2]Pricing!$Y40*Plan_Length,0)</f>
        <v>0</v>
      </c>
      <c r="Z13" s="24">
        <f>ROUND([2]Pricing!$Y41*Plan_Length,0)</f>
        <v>0</v>
      </c>
      <c r="AA13" s="1">
        <f ca="1">SUM(TandE[[#This Row],[Role 1]:[Role 5]])</f>
        <v>12</v>
      </c>
    </row>
    <row r="14" spans="1:27" ht="60.75" thickBot="1">
      <c r="A14" s="149"/>
      <c r="B14" s="26" t="s">
        <v>41</v>
      </c>
      <c r="C14" s="27">
        <f>PLAN_END</f>
        <v>2</v>
      </c>
      <c r="D14" s="27">
        <f t="shared" si="2"/>
        <v>2</v>
      </c>
      <c r="E14" s="27" t="s">
        <v>60</v>
      </c>
      <c r="F14" s="27"/>
      <c r="G14" s="27"/>
      <c r="H14" s="28"/>
      <c r="I14" s="28"/>
      <c r="J14" s="27" t="s">
        <v>61</v>
      </c>
      <c r="K14" s="28" t="s">
        <v>40</v>
      </c>
      <c r="L14" s="28"/>
      <c r="M14" s="28"/>
      <c r="N14" s="28"/>
      <c r="O14" s="28"/>
      <c r="P14" s="28"/>
      <c r="Q14" s="28"/>
      <c r="R14" s="28"/>
      <c r="S14" s="28"/>
      <c r="T14" s="28"/>
      <c r="U14" s="28"/>
      <c r="V14" s="28"/>
      <c r="W14" s="28"/>
      <c r="X14" s="28"/>
      <c r="Y14" s="28"/>
      <c r="Z14" s="29">
        <f>20*0</f>
        <v>0</v>
      </c>
      <c r="AA14" s="1">
        <f ca="1">SUM(TandE[[#This Row],[Role 1]:[Role 5]])</f>
        <v>0</v>
      </c>
    </row>
    <row r="15" spans="1:27" ht="60">
      <c r="A15" s="150" t="s">
        <v>5</v>
      </c>
      <c r="B15" s="19" t="s">
        <v>5</v>
      </c>
      <c r="C15" s="19">
        <f t="shared" ref="C15:C17" si="3">EXECUTE_START</f>
        <v>3</v>
      </c>
      <c r="D15" s="19">
        <f t="shared" ref="D15:D17" si="4">EXECUTE_END</f>
        <v>6</v>
      </c>
      <c r="E15" s="20" t="s">
        <v>62</v>
      </c>
      <c r="F15" s="20" t="s">
        <v>63</v>
      </c>
      <c r="G15" s="20" t="s">
        <v>64</v>
      </c>
      <c r="H15" s="21"/>
      <c r="I15" s="21"/>
      <c r="J15" s="21"/>
      <c r="K15" s="21" t="s">
        <v>40</v>
      </c>
      <c r="L15" s="21"/>
      <c r="M15" s="22"/>
      <c r="N15" s="22"/>
      <c r="O15" s="21">
        <v>120</v>
      </c>
      <c r="P15" s="21"/>
      <c r="Q15" s="21"/>
      <c r="R15" s="21"/>
      <c r="S15" s="21"/>
      <c r="T15" s="21"/>
      <c r="U15" s="21"/>
      <c r="V15" s="21"/>
      <c r="W15" s="21"/>
      <c r="X15" s="21"/>
      <c r="Y15" s="21"/>
      <c r="Z15" s="23"/>
      <c r="AA15" s="1">
        <f ca="1">SUM(TandE[[#This Row],[Role 1]:[Role 5]])</f>
        <v>120</v>
      </c>
    </row>
    <row r="16" spans="1:27">
      <c r="A16" s="151"/>
      <c r="B16" s="15" t="s">
        <v>5</v>
      </c>
      <c r="C16" s="19">
        <f t="shared" si="3"/>
        <v>3</v>
      </c>
      <c r="D16" s="19">
        <f t="shared" si="4"/>
        <v>6</v>
      </c>
      <c r="E16" s="11" t="s">
        <v>65</v>
      </c>
      <c r="F16" s="11" t="s">
        <v>66</v>
      </c>
      <c r="G16" s="11"/>
      <c r="H16" s="10"/>
      <c r="I16" s="10"/>
      <c r="J16" s="10"/>
      <c r="K16" s="10" t="s">
        <v>40</v>
      </c>
      <c r="L16" s="10"/>
      <c r="M16" s="12"/>
      <c r="N16" s="12">
        <v>40</v>
      </c>
      <c r="O16" s="10"/>
      <c r="P16" s="10"/>
      <c r="Q16" s="10"/>
      <c r="R16" s="10"/>
      <c r="S16" s="10"/>
      <c r="T16" s="10"/>
      <c r="U16" s="10"/>
      <c r="V16" s="10"/>
      <c r="W16" s="10"/>
      <c r="X16" s="10"/>
      <c r="Y16" s="10"/>
      <c r="Z16" s="14"/>
      <c r="AA16" s="1">
        <f ca="1">SUM(TandE[[#This Row],[Role 1]:[Role 5]])</f>
        <v>40</v>
      </c>
    </row>
    <row r="17" spans="1:27" ht="30">
      <c r="A17" s="151"/>
      <c r="B17" s="15" t="s">
        <v>5</v>
      </c>
      <c r="C17" s="19">
        <f t="shared" si="3"/>
        <v>3</v>
      </c>
      <c r="D17" s="19">
        <f t="shared" si="4"/>
        <v>6</v>
      </c>
      <c r="E17" s="11" t="s">
        <v>67</v>
      </c>
      <c r="F17" s="11" t="s">
        <v>68</v>
      </c>
      <c r="G17" s="11"/>
      <c r="H17" s="10"/>
      <c r="I17" s="10"/>
      <c r="J17" s="10"/>
      <c r="K17" s="10" t="s">
        <v>40</v>
      </c>
      <c r="L17" s="10"/>
      <c r="M17" s="12">
        <v>4</v>
      </c>
      <c r="N17" s="12"/>
      <c r="O17" s="10">
        <v>4</v>
      </c>
      <c r="P17" s="10"/>
      <c r="Q17" s="10"/>
      <c r="R17" s="10"/>
      <c r="S17" s="10"/>
      <c r="T17" s="10"/>
      <c r="U17" s="10"/>
      <c r="V17" s="10"/>
      <c r="W17" s="10"/>
      <c r="X17" s="10"/>
      <c r="Y17" s="10"/>
      <c r="Z17" s="14"/>
      <c r="AA17" s="1">
        <f ca="1">SUM(TandE[[#This Row],[Role 1]:[Role 5]])</f>
        <v>8</v>
      </c>
    </row>
    <row r="18" spans="1:27" ht="45">
      <c r="A18" s="152"/>
      <c r="B18" s="24" t="s">
        <v>5</v>
      </c>
      <c r="C18" s="24">
        <f t="shared" ref="C18" si="5">EXECUTE_START</f>
        <v>3</v>
      </c>
      <c r="D18" s="24">
        <f t="shared" ref="D18" si="6">EXECUTE_END</f>
        <v>6</v>
      </c>
      <c r="E18" s="24" t="s">
        <v>69</v>
      </c>
      <c r="F18" s="25" t="s">
        <v>70</v>
      </c>
      <c r="G18" s="25"/>
      <c r="H18" s="24"/>
      <c r="I18" s="24"/>
      <c r="J18" s="24"/>
      <c r="K18" s="24" t="s">
        <v>40</v>
      </c>
      <c r="L18" s="24">
        <f>ROUND([2]Pricing!$Z27*Execute_Length,0)</f>
        <v>40</v>
      </c>
      <c r="M18" s="24">
        <f>ROUND([2]Pricing!$Z28*Execute_Length,0)</f>
        <v>32</v>
      </c>
      <c r="N18" s="24">
        <f>ROUND([2]Pricing!$Z29*Execute_Length,0)</f>
        <v>32</v>
      </c>
      <c r="O18" s="24">
        <f>ROUND([2]Pricing!$Z30*Execute_Length,0)</f>
        <v>0</v>
      </c>
      <c r="P18" s="24">
        <f>ROUND([2]Pricing!$Z31*Execute_Length,0)</f>
        <v>8</v>
      </c>
      <c r="Q18" s="24">
        <f>ROUND([2]Pricing!$Z32*Execute_Length,0)</f>
        <v>0</v>
      </c>
      <c r="R18" s="24">
        <f>ROUND([2]Pricing!$Z33*Execute_Length,0)</f>
        <v>0</v>
      </c>
      <c r="S18" s="24">
        <f>ROUND([2]Pricing!$Z34*Execute_Length,0)</f>
        <v>0</v>
      </c>
      <c r="T18" s="24">
        <f>ROUND([2]Pricing!$Z35*Execute_Length,0)</f>
        <v>0</v>
      </c>
      <c r="U18" s="24">
        <f>ROUND([2]Pricing!$Z36*Execute_Length,0)</f>
        <v>0</v>
      </c>
      <c r="V18" s="24">
        <f>ROUND([2]Pricing!$Z37*Execute_Length,0)</f>
        <v>0</v>
      </c>
      <c r="W18" s="24">
        <f>ROUND([2]Pricing!$Z38*Execute_Length,0)</f>
        <v>0</v>
      </c>
      <c r="X18" s="24">
        <f>ROUND([2]Pricing!$Z39*Execute_Length,0)</f>
        <v>0</v>
      </c>
      <c r="Y18" s="24">
        <f>ROUND([2]Pricing!$Z40*Execute_Length,0)</f>
        <v>0</v>
      </c>
      <c r="Z18" s="24">
        <f>ROUND([2]Pricing!$Z41*Execute_Length,0)</f>
        <v>0</v>
      </c>
      <c r="AA18" s="1">
        <f ca="1">SUM(TandE[[#This Row],[Role 1]:[Role 5]])</f>
        <v>112</v>
      </c>
    </row>
    <row r="19" spans="1:27" ht="30">
      <c r="A19" s="153"/>
      <c r="B19" s="10" t="s">
        <v>71</v>
      </c>
      <c r="C19" s="10">
        <f t="shared" ref="C19:C22" si="7">DELIVER_START</f>
        <v>7</v>
      </c>
      <c r="D19" s="10">
        <f t="shared" ref="D19:D22" si="8">DELIVER_END</f>
        <v>7</v>
      </c>
      <c r="E19" s="10" t="s">
        <v>72</v>
      </c>
      <c r="F19" s="11" t="s">
        <v>73</v>
      </c>
      <c r="G19" s="11"/>
      <c r="H19" s="10"/>
      <c r="I19" s="10"/>
      <c r="J19" s="10" t="s">
        <v>74</v>
      </c>
      <c r="K19" s="10" t="s">
        <v>40</v>
      </c>
      <c r="L19" s="12"/>
      <c r="M19" s="12"/>
      <c r="N19" s="12"/>
      <c r="O19" s="12"/>
      <c r="P19" s="10"/>
      <c r="Q19" s="10"/>
      <c r="R19" s="10"/>
      <c r="S19" s="10"/>
      <c r="T19" s="10"/>
      <c r="U19" s="10"/>
      <c r="V19" s="10"/>
      <c r="W19" s="10"/>
      <c r="X19" s="10"/>
      <c r="Y19" s="10"/>
      <c r="Z19" s="13"/>
      <c r="AA19" s="1">
        <f ca="1">SUM(TandE[[#This Row],[Role 1]:[Role 5]])</f>
        <v>0</v>
      </c>
    </row>
    <row r="20" spans="1:27" ht="90">
      <c r="A20" s="153"/>
      <c r="B20" s="10" t="s">
        <v>71</v>
      </c>
      <c r="C20" s="10">
        <f t="shared" si="7"/>
        <v>7</v>
      </c>
      <c r="D20" s="10">
        <f t="shared" si="8"/>
        <v>7</v>
      </c>
      <c r="E20" s="10" t="s">
        <v>75</v>
      </c>
      <c r="F20" s="11" t="s">
        <v>76</v>
      </c>
      <c r="G20" s="11" t="s">
        <v>77</v>
      </c>
      <c r="H20" s="10"/>
      <c r="I20" s="10"/>
      <c r="J20" s="10" t="s">
        <v>78</v>
      </c>
      <c r="K20" s="10" t="s">
        <v>40</v>
      </c>
      <c r="L20" s="12"/>
      <c r="M20" s="12"/>
      <c r="N20" s="12"/>
      <c r="O20" s="12"/>
      <c r="P20" s="10"/>
      <c r="Q20" s="10"/>
      <c r="R20" s="10"/>
      <c r="S20" s="10"/>
      <c r="T20" s="10"/>
      <c r="U20" s="10"/>
      <c r="V20" s="10"/>
      <c r="W20" s="10"/>
      <c r="X20" s="10"/>
      <c r="Y20" s="10"/>
      <c r="Z20" s="13"/>
      <c r="AA20" s="1">
        <f ca="1">SUM(TandE[[#This Row],[Role 1]:[Role 5]])</f>
        <v>0</v>
      </c>
    </row>
    <row r="21" spans="1:27" ht="180">
      <c r="A21" s="153"/>
      <c r="B21" s="10" t="s">
        <v>71</v>
      </c>
      <c r="C21" s="10">
        <f t="shared" si="7"/>
        <v>7</v>
      </c>
      <c r="D21" s="10">
        <f t="shared" si="8"/>
        <v>7</v>
      </c>
      <c r="E21" s="10" t="s">
        <v>79</v>
      </c>
      <c r="F21" s="11" t="s">
        <v>80</v>
      </c>
      <c r="G21" s="11" t="s">
        <v>81</v>
      </c>
      <c r="H21" s="10"/>
      <c r="I21" s="10"/>
      <c r="J21" s="11" t="s">
        <v>82</v>
      </c>
      <c r="K21" s="10" t="s">
        <v>40</v>
      </c>
      <c r="L21" s="12"/>
      <c r="M21" s="12"/>
      <c r="N21" s="12"/>
      <c r="O21" s="12"/>
      <c r="P21" s="10"/>
      <c r="Q21" s="10"/>
      <c r="R21" s="10"/>
      <c r="S21" s="10"/>
      <c r="T21" s="10"/>
      <c r="U21" s="10"/>
      <c r="V21" s="10"/>
      <c r="W21" s="10"/>
      <c r="X21" s="10"/>
      <c r="Y21" s="10"/>
      <c r="Z21" s="13"/>
      <c r="AA21" s="1">
        <f ca="1">SUM(TandE[[#This Row],[Role 1]:[Role 5]])</f>
        <v>0</v>
      </c>
    </row>
    <row r="22" spans="1:27" ht="76.5" customHeight="1" thickBot="1">
      <c r="A22" s="153"/>
      <c r="B22" s="17" t="s">
        <v>71</v>
      </c>
      <c r="C22" s="17">
        <f t="shared" si="7"/>
        <v>7</v>
      </c>
      <c r="D22" s="17">
        <f t="shared" si="8"/>
        <v>7</v>
      </c>
      <c r="E22" s="17" t="s">
        <v>83</v>
      </c>
      <c r="F22" s="18" t="s">
        <v>84</v>
      </c>
      <c r="G22" s="18"/>
      <c r="H22" s="17"/>
      <c r="I22" s="17"/>
      <c r="J22" s="17"/>
      <c r="K22" s="17" t="s">
        <v>40</v>
      </c>
      <c r="L22" s="17">
        <f>ROUND([2]Pricing!$AA27*Deliver_Length,0)</f>
        <v>10</v>
      </c>
      <c r="M22" s="17">
        <f>ROUND([2]Pricing!$AA28*Deliver_Length,0)</f>
        <v>8</v>
      </c>
      <c r="N22" s="17">
        <f>ROUND([2]Pricing!$AA29*Deliver_Length,0)</f>
        <v>4</v>
      </c>
      <c r="O22" s="17">
        <f>ROUND([2]Pricing!$AA30*Deliver_Length,0)</f>
        <v>20</v>
      </c>
      <c r="P22" s="17">
        <f>ROUND([2]Pricing!$AA31*Deliver_Length,0)</f>
        <v>2</v>
      </c>
      <c r="Q22" s="17">
        <f>ROUND([2]Pricing!$AA32*Deliver_Length,0)</f>
        <v>0</v>
      </c>
      <c r="R22" s="17">
        <f>ROUND([2]Pricing!$AA33*Deliver_Length,0)</f>
        <v>0</v>
      </c>
      <c r="S22" s="17">
        <f>ROUND([2]Pricing!$AA34*Deliver_Length,0)</f>
        <v>0</v>
      </c>
      <c r="T22" s="17">
        <f>ROUND([2]Pricing!$AA35*Deliver_Length,0)</f>
        <v>0</v>
      </c>
      <c r="U22" s="17">
        <f>ROUND([2]Pricing!$AA36*Deliver_Length,0)</f>
        <v>0</v>
      </c>
      <c r="V22" s="17">
        <f>ROUND([2]Pricing!$AA37*Deliver_Length,0)</f>
        <v>0</v>
      </c>
      <c r="W22" s="17">
        <f>ROUND([2]Pricing!$AA38*Deliver_Length,0)</f>
        <v>0</v>
      </c>
      <c r="X22" s="17">
        <f>ROUND([2]Pricing!$AA39*Deliver_Length,0)</f>
        <v>0</v>
      </c>
      <c r="Y22" s="17">
        <f>ROUND([2]Pricing!$AA40*Deliver_Length,0)</f>
        <v>0</v>
      </c>
      <c r="Z22" s="17">
        <f>ROUND([2]Pricing!$AA41*Deliver_Length,0)</f>
        <v>0</v>
      </c>
      <c r="AA22" s="1">
        <f ca="1">SUM(TandE[[#This Row],[Role 1]:[Role 5]])</f>
        <v>44</v>
      </c>
    </row>
    <row r="23" spans="1:27" ht="75.75" thickBot="1">
      <c r="A23" s="69"/>
      <c r="B23" s="16" t="s">
        <v>7</v>
      </c>
      <c r="C23" s="30">
        <f t="shared" ref="C23" si="9">CLOSE_START</f>
        <v>8</v>
      </c>
      <c r="D23" s="30">
        <f t="shared" ref="D23" si="10">CLOSE_END</f>
        <v>8</v>
      </c>
      <c r="E23" s="17" t="s">
        <v>85</v>
      </c>
      <c r="F23" s="18" t="s">
        <v>86</v>
      </c>
      <c r="G23" s="18"/>
      <c r="H23" s="17"/>
      <c r="I23" s="17"/>
      <c r="J23" s="17"/>
      <c r="K23" s="17" t="s">
        <v>40</v>
      </c>
      <c r="L23" s="17">
        <f>ROUND([2]Pricing!$AB27*Close_Length,0)</f>
        <v>10</v>
      </c>
      <c r="M23" s="17">
        <f>ROUND([2]Pricing!$AB28*Close_Length,0)</f>
        <v>2</v>
      </c>
      <c r="N23" s="17">
        <f>ROUND([2]Pricing!$AB29*Close_Length,0)</f>
        <v>2</v>
      </c>
      <c r="O23" s="17">
        <f>ROUND([2]Pricing!$AB30*Close_Length,0)</f>
        <v>10</v>
      </c>
      <c r="P23" s="17">
        <f>ROUND([2]Pricing!$AB31*Close_Length,0)</f>
        <v>2</v>
      </c>
      <c r="Q23" s="17">
        <f>ROUND([2]Pricing!$AB32*Close_Length,0)</f>
        <v>0</v>
      </c>
      <c r="R23" s="17">
        <f>ROUND([2]Pricing!$AB33*Close_Length,0)</f>
        <v>0</v>
      </c>
      <c r="S23" s="17">
        <f>ROUND([2]Pricing!$AB34*Close_Length,0)</f>
        <v>0</v>
      </c>
      <c r="T23" s="17">
        <f>ROUND([2]Pricing!$AB35*Close_Length,0)</f>
        <v>0</v>
      </c>
      <c r="U23" s="17">
        <f>ROUND([2]Pricing!$AB36*Close_Length,0)</f>
        <v>0</v>
      </c>
      <c r="V23" s="17">
        <f>ROUND([2]Pricing!$AB37*Close_Length,0)</f>
        <v>0</v>
      </c>
      <c r="W23" s="17">
        <f>ROUND([2]Pricing!$AB38*Close_Length,0)</f>
        <v>0</v>
      </c>
      <c r="X23" s="17">
        <f>ROUND([2]Pricing!$AB39*Close_Length,0)</f>
        <v>0</v>
      </c>
      <c r="Y23" s="17">
        <f>ROUND([2]Pricing!$AB40*Close_Length,0)</f>
        <v>0</v>
      </c>
      <c r="Z23" s="17">
        <f>ROUND([2]Pricing!$AB41*Close_Length,0)</f>
        <v>0</v>
      </c>
      <c r="AA23" s="1">
        <f ca="1">SUM(TandE[[#This Row],[Role 1]:[Role 5]])</f>
        <v>26</v>
      </c>
    </row>
    <row r="24" spans="1:27">
      <c r="A24" s="154" t="s">
        <v>87</v>
      </c>
      <c r="B24" s="31" t="s">
        <v>37</v>
      </c>
      <c r="C24" s="32">
        <v>1</v>
      </c>
      <c r="D24" s="32">
        <f>INITIATE_END</f>
        <v>1</v>
      </c>
      <c r="E24" s="33" t="s">
        <v>88</v>
      </c>
      <c r="F24" s="34"/>
      <c r="G24" s="34"/>
      <c r="H24" s="33" t="s">
        <v>89</v>
      </c>
      <c r="I24" s="33" t="s">
        <v>90</v>
      </c>
      <c r="J24" s="33"/>
      <c r="K24" s="33" t="s">
        <v>40</v>
      </c>
      <c r="L24" s="35" cm="1">
        <f t="array" aca="1" ref="L24" ca="1">IFERROR(IF(AND((SUM(_xlfn._xlws.FILTER(TandE[Role 1], (TandE[[Practice]:[Practice]]&lt;&gt;"Padding")*(TandE[[Phase]:[Phase]]=TandE[[#This Row],[Phase]:[Phase]])))) &gt;0,(SUM(_xlfn._xlws.FILTER(TandE[Role 1], (TandE[[Practice]:[Practice]]&lt;&gt;"Padding")*(TandE[[Phase]:[Phase]]=TandE[[#This Row],[Phase]:[Phase]])))) / INDIRECT(TandE[[#This Row],[Phase]:[Phase]]&amp; "_Length") &lt; SUM(_xlfn._xlws.FILTER([2]!AllocationMinimums[[Min]:[Min]], ([2]!AllocationMinimums[[Role]:[Role]]= LEFT(L$2,FIND("-",L$2)-1))*([2]!AllocationMinimums[[Phase]:[Phase]]= TandE[[#This Row],[Phase]:[Phase]])))), (SUM(_xlfn._xlws.FILTER([2]!AllocationMinimums[[Min]:[Min]], ([2]!AllocationMinimums[[Role]:[Role]] = LEFT(L$2,FIND("-",L$2)-1))*([2]!AllocationMinimums[[Phase]:[Phase]]= TandE[[#This Row],[Phase]:[Phase]]))) - (SUM(_xlfn._xlws.FILTER(TandE[Role 1], (TandE[[Practice]:[Practice]] &lt;&gt;"Padding")*(TandE[[Phase]:[Phase]]=TandE[[#This Row],[Phase]:[Phase]])))) / INDIRECT(TandE[[#This Row],[Phase]:[Phase]]&amp;"_Length")) *INDIRECT(TandE[[#This Row],[Phase]:[Phase]]&amp;"_Length"), 0), 0)</f>
        <v>0</v>
      </c>
      <c r="M24" s="35" cm="1">
        <f t="array" aca="1" ref="M24" ca="1">IFERROR(IF(AND((SUM(_xlfn._xlws.FILTER(TandE[Role 2], (TandE[[Practice]:[Practice]]&lt;&gt;"Padding")*(TandE[[Phase]:[Phase]]=TandE[[#This Row],[Phase]:[Phase]])))) &gt;0,(SUM(_xlfn._xlws.FILTER(TandE[Role 2], (TandE[[Practice]:[Practice]]&lt;&gt;"Padding")*(TandE[[Phase]:[Phase]]=TandE[[#This Row],[Phase]:[Phase]])))) / INDIRECT(TandE[[#This Row],[Phase]:[Phase]]&amp; "_Length") &lt; SUM(_xlfn._xlws.FILTER([2]!AllocationMinimums[[Min]:[Min]], ([2]!AllocationMinimums[[Role]:[Role]]= LEFT(M$2,FIND("-",M$2)-1))*([2]!AllocationMinimums[[Phase]:[Phase]]= TandE[[#This Row],[Phase]:[Phase]])))), (SUM(_xlfn._xlws.FILTER([2]!AllocationMinimums[[Min]:[Min]], ([2]!AllocationMinimums[[Role]:[Role]] = LEFT(M$2,FIND("-",M$2)-1))*([2]!AllocationMinimums[[Phase]:[Phase]]= TandE[[#This Row],[Phase]:[Phase]]))) - (SUM(_xlfn._xlws.FILTER(TandE[Role 2], (TandE[[Practice]:[Practice]] &lt;&gt;"Padding")*(TandE[[Phase]:[Phase]]=TandE[[#This Row],[Phase]:[Phase]])))) / INDIRECT(TandE[[#This Row],[Phase]:[Phase]]&amp;"_Length")) *INDIRECT(TandE[[#This Row],[Phase]:[Phase]]&amp;"_Length"), 0), 0)</f>
        <v>0</v>
      </c>
      <c r="N24" s="35" cm="1">
        <f t="array" aca="1" ref="N24" ca="1">IFERROR(IF(AND((SUM(_xlfn._xlws.FILTER(TandE[Role 3], (TandE[[Practice]:[Practice]]&lt;&gt;"Padding")*(TandE[[Phase]:[Phase]]=TandE[[#This Row],[Phase]:[Phase]])))) &gt;0,(SUM(_xlfn._xlws.FILTER(TandE[Role 3], (TandE[[Practice]:[Practice]]&lt;&gt;"Padding")*(TandE[[Phase]:[Phase]]=TandE[[#This Row],[Phase]:[Phase]])))) / INDIRECT(TandE[[#This Row],[Phase]:[Phase]]&amp; "_Length") &lt; SUM(_xlfn._xlws.FILTER([2]!AllocationMinimums[[Min]:[Min]], ([2]!AllocationMinimums[[Role]:[Role]]= LEFT(N$2,FIND("-",N$2)-1))*([2]!AllocationMinimums[[Phase]:[Phase]]= TandE[[#This Row],[Phase]:[Phase]])))), (SUM(_xlfn._xlws.FILTER([2]!AllocationMinimums[[Min]:[Min]], ([2]!AllocationMinimums[[Role]:[Role]] = LEFT(N$2,FIND("-",N$2)-1))*([2]!AllocationMinimums[[Phase]:[Phase]]= TandE[[#This Row],[Phase]:[Phase]]))) - (SUM(_xlfn._xlws.FILTER(TandE[Role 3], (TandE[[Practice]:[Practice]] &lt;&gt;"Padding")*(TandE[[Phase]:[Phase]]=TandE[[#This Row],[Phase]:[Phase]])))) / INDIRECT(TandE[[#This Row],[Phase]:[Phase]]&amp;"_Length")) *INDIRECT(TandE[[#This Row],[Phase]:[Phase]]&amp;"_Length"), 0), 0)</f>
        <v>0</v>
      </c>
      <c r="O24" s="35" cm="1">
        <f t="array" aca="1" ref="O24" ca="1">IFERROR(IF(AND((SUM(_xlfn._xlws.FILTER(TandE[Role 4], (TandE[[Practice]:[Practice]]&lt;&gt;"Padding")*(TandE[[Phase]:[Phase]]=TandE[[#This Row],[Phase]:[Phase]])))) &gt;0,(SUM(_xlfn._xlws.FILTER(TandE[Role 4], (TandE[[Practice]:[Practice]]&lt;&gt;"Padding")*(TandE[[Phase]:[Phase]]=TandE[[#This Row],[Phase]:[Phase]])))) / INDIRECT(TandE[[#This Row],[Phase]:[Phase]]&amp; "_Length") &lt; SUM(_xlfn._xlws.FILTER([2]!AllocationMinimums[[Min]:[Min]], ([2]!AllocationMinimums[[Role]:[Role]]= LEFT(O$2,FIND("-",O$2)-1))*([2]!AllocationMinimums[[Phase]:[Phase]]= TandE[[#This Row],[Phase]:[Phase]])))), (SUM(_xlfn._xlws.FILTER([2]!AllocationMinimums[[Min]:[Min]], ([2]!AllocationMinimums[[Role]:[Role]] = LEFT(O$2,FIND("-",O$2)-1))*([2]!AllocationMinimums[[Phase]:[Phase]]= TandE[[#This Row],[Phase]:[Phase]]))) - (SUM(_xlfn._xlws.FILTER(TandE[Role 4], (TandE[[Practice]:[Practice]] &lt;&gt;"Padding")*(TandE[[Phase]:[Phase]]=TandE[[#This Row],[Phase]:[Phase]])))) / INDIRECT(TandE[[#This Row],[Phase]:[Phase]]&amp;"_Length")) *INDIRECT(TandE[[#This Row],[Phase]:[Phase]]&amp;"_Length"), 0), 0)</f>
        <v>0</v>
      </c>
      <c r="P24" s="35" cm="1">
        <f t="array" aca="1" ref="P24" ca="1">IFERROR(IF(AND((SUM(_xlfn._xlws.FILTER(TandE[Role 5], (TandE[[Practice]:[Practice]]&lt;&gt;"Padding")*(TandE[[Phase]:[Phase]]=TandE[[#This Row],[Phase]:[Phase]])))) &gt;0,(SUM(_xlfn._xlws.FILTER(TandE[Role 5], (TandE[[Practice]:[Practice]]&lt;&gt;"Padding")*(TandE[[Phase]:[Phase]]=TandE[[#This Row],[Phase]:[Phase]])))) / INDIRECT(TandE[[#This Row],[Phase]:[Phase]]&amp; "_Length") &lt; SUM(_xlfn._xlws.FILTER([2]!AllocationMinimums[[Min]:[Min]], ([2]!AllocationMinimums[[Role]:[Role]]= LEFT(P$2,FIND("-",P$2)-1))*([2]!AllocationMinimums[[Phase]:[Phase]]= TandE[[#This Row],[Phase]:[Phase]])))), (SUM(_xlfn._xlws.FILTER([2]!AllocationMinimums[[Min]:[Min]], ([2]!AllocationMinimums[[Role]:[Role]] = LEFT(P$2,FIND("-",P$2)-1))*([2]!AllocationMinimums[[Phase]:[Phase]]= TandE[[#This Row],[Phase]:[Phase]]))) - (SUM(_xlfn._xlws.FILTER(TandE[Role 5], (TandE[[Practice]:[Practice]] &lt;&gt;"Padding")*(TandE[[Phase]:[Phase]]=TandE[[#This Row],[Phase]:[Phase]])))) / INDIRECT(TandE[[#This Row],[Phase]:[Phase]]&amp;"_Length")) *INDIRECT(TandE[[#This Row],[Phase]:[Phase]]&amp;"_Length"), 0), 0)</f>
        <v>0</v>
      </c>
      <c r="Q24" s="35" cm="1">
        <f t="array" aca="1" ref="Q24" ca="1">IFERROR(IF(AND((SUM(_xlfn._xlws.FILTER(TandE[Role 6], (TandE[[Practice]:[Practice]]&lt;&gt;"Padding")*(TandE[[Phase]:[Phase]]=TandE[[#This Row],[Phase]:[Phase]])))) &gt;0,(SUM(_xlfn._xlws.FILTER(TandE[Role 6], (TandE[[Practice]:[Practice]]&lt;&gt;"Padding")*(TandE[[Phase]:[Phase]]=TandE[[#This Row],[Phase]:[Phase]])))) / INDIRECT(TandE[[#This Row],[Phase]:[Phase]]&amp; "_Length") &lt; SUM(_xlfn._xlws.FILTER([2]!AllocationMinimums[[Min]:[Min]], ([2]!AllocationMinimums[[Role]:[Role]]= LEFT(Q$2,FIND("-",Q$2)-1))*([2]!AllocationMinimums[[Phase]:[Phase]]= TandE[[#This Row],[Phase]:[Phase]])))), (SUM(_xlfn._xlws.FILTER([2]!AllocationMinimums[[Min]:[Min]], ([2]!AllocationMinimums[[Role]:[Role]] = LEFT(Q$2,FIND("-",Q$2)-1))*([2]!AllocationMinimums[[Phase]:[Phase]]= TandE[[#This Row],[Phase]:[Phase]]))) - (SUM(_xlfn._xlws.FILTER(TandE[Role 6], (TandE[[Practice]:[Practice]] &lt;&gt;"Padding")*(TandE[[Phase]:[Phase]]=TandE[[#This Row],[Phase]:[Phase]])))) / INDIRECT(TandE[[#This Row],[Phase]:[Phase]]&amp;"_Length")) *INDIRECT(TandE[[#This Row],[Phase]:[Phase]]&amp;"_Length"), 0), 0)</f>
        <v>0</v>
      </c>
      <c r="R24" s="35" cm="1">
        <f t="array" aca="1" ref="R24" ca="1">IFERROR(IF(AND((SUM(_xlfn._xlws.FILTER(TandE[Role 7], (TandE[[Practice]:[Practice]]&lt;&gt;"Padding")*(TandE[[Phase]:[Phase]]=TandE[[#This Row],[Phase]:[Phase]])))) &gt;0,(SUM(_xlfn._xlws.FILTER(TandE[Role 7], (TandE[[Practice]:[Practice]]&lt;&gt;"Padding")*(TandE[[Phase]:[Phase]]=TandE[[#This Row],[Phase]:[Phase]])))) / INDIRECT(TandE[[#This Row],[Phase]:[Phase]]&amp; "_Length") &lt; SUM(_xlfn._xlws.FILTER([2]!AllocationMinimums[[Min]:[Min]], ([2]!AllocationMinimums[[Role]:[Role]]= LEFT(R$2,FIND("-",R$2)-1))*([2]!AllocationMinimums[[Phase]:[Phase]]= TandE[[#This Row],[Phase]:[Phase]])))), (SUM(_xlfn._xlws.FILTER([2]!AllocationMinimums[[Min]:[Min]], ([2]!AllocationMinimums[[Role]:[Role]] = LEFT(R$2,FIND("-",R$2)-1))*([2]!AllocationMinimums[[Phase]:[Phase]]= TandE[[#This Row],[Phase]:[Phase]]))) - (SUM(_xlfn._xlws.FILTER(TandE[Role 7], (TandE[[Practice]:[Practice]] &lt;&gt;"Padding")*(TandE[[Phase]:[Phase]]=TandE[[#This Row],[Phase]:[Phase]])))) / INDIRECT(TandE[[#This Row],[Phase]:[Phase]]&amp;"_Length")) *INDIRECT(TandE[[#This Row],[Phase]:[Phase]]&amp;"_Length"), 0), 0)</f>
        <v>0</v>
      </c>
      <c r="S24" s="35" cm="1">
        <f t="array" aca="1" ref="S24" ca="1">IFERROR(IF(AND((SUM(_xlfn._xlws.FILTER(TandE[Role 8], (TandE[[Practice]:[Practice]]&lt;&gt;"Padding")*(TandE[[Phase]:[Phase]]=TandE[[#This Row],[Phase]:[Phase]])))) &gt;0,(SUM(_xlfn._xlws.FILTER(TandE[Role 8], (TandE[[Practice]:[Practice]]&lt;&gt;"Padding")*(TandE[[Phase]:[Phase]]=TandE[[#This Row],[Phase]:[Phase]])))) / INDIRECT(TandE[[#This Row],[Phase]:[Phase]]&amp; "_Length") &lt; SUM(_xlfn._xlws.FILTER([2]!AllocationMinimums[[Min]:[Min]], ([2]!AllocationMinimums[[Role]:[Role]]= LEFT(S$2,FIND("-",S$2)-1))*([2]!AllocationMinimums[[Phase]:[Phase]]= TandE[[#This Row],[Phase]:[Phase]])))), (SUM(_xlfn._xlws.FILTER([2]!AllocationMinimums[[Min]:[Min]], ([2]!AllocationMinimums[[Role]:[Role]] = LEFT(S$2,FIND("-",S$2)-1))*([2]!AllocationMinimums[[Phase]:[Phase]]= TandE[[#This Row],[Phase]:[Phase]]))) - (SUM(_xlfn._xlws.FILTER(TandE[Role 8], (TandE[[Practice]:[Practice]] &lt;&gt;"Padding")*(TandE[[Phase]:[Phase]]=TandE[[#This Row],[Phase]:[Phase]])))) / INDIRECT(TandE[[#This Row],[Phase]:[Phase]]&amp;"_Length")) *INDIRECT(TandE[[#This Row],[Phase]:[Phase]]&amp;"_Length"), 0), 0)</f>
        <v>0</v>
      </c>
      <c r="T24" s="35" cm="1">
        <f t="array" aca="1" ref="T24" ca="1">IFERROR(IF(AND((SUM(_xlfn._xlws.FILTER(TandE[Role 9], (TandE[[Practice]:[Practice]]&lt;&gt;"Padding")*(TandE[[Phase]:[Phase]]=TandE[[#This Row],[Phase]:[Phase]])))) &gt;0,(SUM(_xlfn._xlws.FILTER(TandE[Role 9], (TandE[[Practice]:[Practice]]&lt;&gt;"Padding")*(TandE[[Phase]:[Phase]]=TandE[[#This Row],[Phase]:[Phase]])))) / INDIRECT(TandE[[#This Row],[Phase]:[Phase]]&amp; "_Length") &lt; SUM(_xlfn._xlws.FILTER([2]!AllocationMinimums[[Min]:[Min]], ([2]!AllocationMinimums[[Role]:[Role]]= LEFT(T$2,FIND("-",T$2)-1))*([2]!AllocationMinimums[[Phase]:[Phase]]= TandE[[#This Row],[Phase]:[Phase]])))), (SUM(_xlfn._xlws.FILTER([2]!AllocationMinimums[[Min]:[Min]], ([2]!AllocationMinimums[[Role]:[Role]] = LEFT(T$2,FIND("-",T$2)-1))*([2]!AllocationMinimums[[Phase]:[Phase]]= TandE[[#This Row],[Phase]:[Phase]]))) - (SUM(_xlfn._xlws.FILTER(TandE[Role 9], (TandE[[Practice]:[Practice]] &lt;&gt;"Padding")*(TandE[[Phase]:[Phase]]=TandE[[#This Row],[Phase]:[Phase]])))) / INDIRECT(TandE[[#This Row],[Phase]:[Phase]]&amp;"_Length")) *INDIRECT(TandE[[#This Row],[Phase]:[Phase]]&amp;"_Length"), 0), 0)</f>
        <v>0</v>
      </c>
      <c r="U24" s="35" cm="1">
        <f t="array" aca="1" ref="U24" ca="1">IFERROR(IF(AND((SUM(_xlfn._xlws.FILTER(TandE[Role 10], (TandE[[Practice]:[Practice]]&lt;&gt;"Padding")*(TandE[[Phase]:[Phase]]=TandE[[#This Row],[Phase]:[Phase]])))) &gt;0,(SUM(_xlfn._xlws.FILTER(TandE[Role 10], (TandE[[Practice]:[Practice]]&lt;&gt;"Padding")*(TandE[[Phase]:[Phase]]=TandE[[#This Row],[Phase]:[Phase]])))) / INDIRECT(TandE[[#This Row],[Phase]:[Phase]]&amp; "_Length") &lt; SUM(_xlfn._xlws.FILTER([2]!AllocationMinimums[[Min]:[Min]], ([2]!AllocationMinimums[[Role]:[Role]]= LEFT(U$2,FIND("-",U$2)-1))*([2]!AllocationMinimums[[Phase]:[Phase]]= TandE[[#This Row],[Phase]:[Phase]])))), (SUM(_xlfn._xlws.FILTER([2]!AllocationMinimums[[Min]:[Min]], ([2]!AllocationMinimums[[Role]:[Role]] = LEFT(U$2,FIND("-",U$2)-1))*([2]!AllocationMinimums[[Phase]:[Phase]]= TandE[[#This Row],[Phase]:[Phase]]))) - (SUM(_xlfn._xlws.FILTER(TandE[Role 10], (TandE[[Practice]:[Practice]] &lt;&gt;"Padding")*(TandE[[Phase]:[Phase]]=TandE[[#This Row],[Phase]:[Phase]])))) / INDIRECT(TandE[[#This Row],[Phase]:[Phase]]&amp;"_Length")) *INDIRECT(TandE[[#This Row],[Phase]:[Phase]]&amp;"_Length"), 0), 0)</f>
        <v>0</v>
      </c>
      <c r="V24" s="35" cm="1">
        <f t="array" aca="1" ref="V24" ca="1">IFERROR(IF(AND((SUM(_xlfn._xlws.FILTER(TandE[Role 11], (TandE[[Practice]:[Practice]]&lt;&gt;"Padding")*(TandE[[Phase]:[Phase]]=TandE[[#This Row],[Phase]:[Phase]])))) &gt;0,(SUM(_xlfn._xlws.FILTER(TandE[Role 11], (TandE[[Practice]:[Practice]]&lt;&gt;"Padding")*(TandE[[Phase]:[Phase]]=TandE[[#This Row],[Phase]:[Phase]])))) / INDIRECT(TandE[[#This Row],[Phase]:[Phase]]&amp; "_Length") &lt; SUM(_xlfn._xlws.FILTER([2]!AllocationMinimums[[Min]:[Min]], ([2]!AllocationMinimums[[Role]:[Role]]= LEFT(V$2,FIND("-",V$2)-1))*([2]!AllocationMinimums[[Phase]:[Phase]]= TandE[[#This Row],[Phase]:[Phase]])))), (SUM(_xlfn._xlws.FILTER([2]!AllocationMinimums[[Min]:[Min]], ([2]!AllocationMinimums[[Role]:[Role]] = LEFT(V$2,FIND("-",V$2)-1))*([2]!AllocationMinimums[[Phase]:[Phase]]= TandE[[#This Row],[Phase]:[Phase]]))) - (SUM(_xlfn._xlws.FILTER(TandE[Role 11], (TandE[[Practice]:[Practice]] &lt;&gt;"Padding")*(TandE[[Phase]:[Phase]]=TandE[[#This Row],[Phase]:[Phase]])))) / INDIRECT(TandE[[#This Row],[Phase]:[Phase]]&amp;"_Length")) *INDIRECT(TandE[[#This Row],[Phase]:[Phase]]&amp;"_Length"), 0), 0)</f>
        <v>0</v>
      </c>
      <c r="W24" s="35" cm="1">
        <f t="array" aca="1" ref="W24" ca="1">IFERROR(IF(AND((SUM(_xlfn._xlws.FILTER(TandE[Role 12], (TandE[[Practice]:[Practice]]&lt;&gt;"Padding")*(TandE[[Phase]:[Phase]]=TandE[[#This Row],[Phase]:[Phase]])))) &gt;0,(SUM(_xlfn._xlws.FILTER(TandE[Role 12], (TandE[[Practice]:[Practice]]&lt;&gt;"Padding")*(TandE[[Phase]:[Phase]]=TandE[[#This Row],[Phase]:[Phase]])))) / INDIRECT(TandE[[#This Row],[Phase]:[Phase]]&amp; "_Length") &lt; SUM(_xlfn._xlws.FILTER([2]!AllocationMinimums[[Min]:[Min]], ([2]!AllocationMinimums[[Role]:[Role]]= LEFT(W$2,FIND("-",W$2)-1))*([2]!AllocationMinimums[[Phase]:[Phase]]= TandE[[#This Row],[Phase]:[Phase]])))), (SUM(_xlfn._xlws.FILTER([2]!AllocationMinimums[[Min]:[Min]], ([2]!AllocationMinimums[[Role]:[Role]] = LEFT(W$2,FIND("-",W$2)-1))*([2]!AllocationMinimums[[Phase]:[Phase]]= TandE[[#This Row],[Phase]:[Phase]]))) - (SUM(_xlfn._xlws.FILTER(TandE[Role 12], (TandE[[Practice]:[Practice]] &lt;&gt;"Padding")*(TandE[[Phase]:[Phase]]=TandE[[#This Row],[Phase]:[Phase]])))) / INDIRECT(TandE[[#This Row],[Phase]:[Phase]]&amp;"_Length")) *INDIRECT(TandE[[#This Row],[Phase]:[Phase]]&amp;"_Length"), 0), 0)</f>
        <v>0</v>
      </c>
      <c r="X24" s="35" cm="1">
        <f t="array" aca="1" ref="X24" ca="1">IFERROR(IF(AND((SUM(_xlfn._xlws.FILTER(TandE[Role 13], (TandE[[Practice]:[Practice]]&lt;&gt;"Padding")*(TandE[[Phase]:[Phase]]=TandE[[#This Row],[Phase]:[Phase]])))) &gt;0,(SUM(_xlfn._xlws.FILTER(TandE[Role 13], (TandE[[Practice]:[Practice]]&lt;&gt;"Padding")*(TandE[[Phase]:[Phase]]=TandE[[#This Row],[Phase]:[Phase]])))) / INDIRECT(TandE[[#This Row],[Phase]:[Phase]]&amp; "_Length") &lt; SUM(_xlfn._xlws.FILTER([2]!AllocationMinimums[[Min]:[Min]], ([2]!AllocationMinimums[[Role]:[Role]]= LEFT(X$2,FIND("-",X$2)-1))*([2]!AllocationMinimums[[Phase]:[Phase]]= TandE[[#This Row],[Phase]:[Phase]])))), (SUM(_xlfn._xlws.FILTER([2]!AllocationMinimums[[Min]:[Min]], ([2]!AllocationMinimums[[Role]:[Role]] = LEFT(X$2,FIND("-",X$2)-1))*([2]!AllocationMinimums[[Phase]:[Phase]]= TandE[[#This Row],[Phase]:[Phase]]))) - (SUM(_xlfn._xlws.FILTER(TandE[Role 13], (TandE[[Practice]:[Practice]] &lt;&gt;"Padding")*(TandE[[Phase]:[Phase]]=TandE[[#This Row],[Phase]:[Phase]])))) / INDIRECT(TandE[[#This Row],[Phase]:[Phase]]&amp;"_Length")) *INDIRECT(TandE[[#This Row],[Phase]:[Phase]]&amp;"_Length"), 0), 0)</f>
        <v>0</v>
      </c>
      <c r="Y24" s="35" cm="1">
        <f t="array" aca="1" ref="Y24" ca="1">IFERROR(IF(AND((SUM(_xlfn._xlws.FILTER(TandE[Role 14], (TandE[[Practice]:[Practice]]&lt;&gt;"Padding")*(TandE[[Phase]:[Phase]]=TandE[[#This Row],[Phase]:[Phase]])))) &gt;0,(SUM(_xlfn._xlws.FILTER(TandE[Role 14], (TandE[[Practice]:[Practice]]&lt;&gt;"Padding")*(TandE[[Phase]:[Phase]]=TandE[[#This Row],[Phase]:[Phase]])))) / INDIRECT(TandE[[#This Row],[Phase]:[Phase]]&amp; "_Length") &lt; SUM(_xlfn._xlws.FILTER([2]!AllocationMinimums[[Min]:[Min]], ([2]!AllocationMinimums[[Role]:[Role]]= LEFT(Y$2,FIND("-",Y$2)-1))*([2]!AllocationMinimums[[Phase]:[Phase]]= TandE[[#This Row],[Phase]:[Phase]])))), (SUM(_xlfn._xlws.FILTER([2]!AllocationMinimums[[Min]:[Min]], ([2]!AllocationMinimums[[Role]:[Role]] = LEFT(Y$2,FIND("-",Y$2)-1))*([2]!AllocationMinimums[[Phase]:[Phase]]= TandE[[#This Row],[Phase]:[Phase]]))) - (SUM(_xlfn._xlws.FILTER(TandE[Role 14], (TandE[[Practice]:[Practice]] &lt;&gt;"Padding")*(TandE[[Phase]:[Phase]]=TandE[[#This Row],[Phase]:[Phase]])))) / INDIRECT(TandE[[#This Row],[Phase]:[Phase]]&amp;"_Length")) *INDIRECT(TandE[[#This Row],[Phase]:[Phase]]&amp;"_Length"), 0), 0)</f>
        <v>0</v>
      </c>
      <c r="Z24" s="35" cm="1">
        <f t="array" aca="1" ref="Z24" ca="1">IFERROR(IF(AND((SUM(_xlfn._xlws.FILTER(TandE[Role 15], (TandE[[Practice]:[Practice]]&lt;&gt;"Padding")*(TandE[[Phase]:[Phase]]=TandE[[#This Row],[Phase]:[Phase]])))) &gt;0,(SUM(_xlfn._xlws.FILTER(TandE[Role 15], (TandE[[Practice]:[Practice]]&lt;&gt;"Padding")*(TandE[[Phase]:[Phase]]=TandE[[#This Row],[Phase]:[Phase]])))) / INDIRECT(TandE[[#This Row],[Phase]:[Phase]]&amp; "_Length") &lt; SUM(_xlfn._xlws.FILTER([2]!AllocationMinimums[[Min]:[Min]], ([2]!AllocationMinimums[[Role]:[Role]]= LEFT(Z$2,FIND("-",Z$2)-1))*([2]!AllocationMinimums[[Phase]:[Phase]]= TandE[[#This Row],[Phase]:[Phase]])))), (SUM(_xlfn._xlws.FILTER([2]!AllocationMinimums[[Min]:[Min]], ([2]!AllocationMinimums[[Role]:[Role]] = LEFT(Z$2,FIND("-",Z$2)-1))*([2]!AllocationMinimums[[Phase]:[Phase]]= TandE[[#This Row],[Phase]:[Phase]]))) - (SUM(_xlfn._xlws.FILTER(TandE[Role 15], (TandE[[Practice]:[Practice]] &lt;&gt;"Padding")*(TandE[[Phase]:[Phase]]=TandE[[#This Row],[Phase]:[Phase]])))) / INDIRECT(TandE[[#This Row],[Phase]:[Phase]]&amp;"_Length")) *INDIRECT(TandE[[#This Row],[Phase]:[Phase]]&amp;"_Length"), 0), 0)</f>
        <v>0</v>
      </c>
      <c r="AA24" s="1">
        <f ca="1">SUM(TandE[[#This Row],[Role 1]:[Role 5]])</f>
        <v>0</v>
      </c>
    </row>
    <row r="25" spans="1:27">
      <c r="A25" s="154"/>
      <c r="B25" s="31" t="s">
        <v>41</v>
      </c>
      <c r="C25" s="32">
        <f>PLAN_START</f>
        <v>2</v>
      </c>
      <c r="D25" s="32">
        <f>PLAN_END</f>
        <v>2</v>
      </c>
      <c r="E25" s="33" t="s">
        <v>88</v>
      </c>
      <c r="F25" s="34"/>
      <c r="G25" s="34"/>
      <c r="H25" s="33" t="s">
        <v>89</v>
      </c>
      <c r="I25" s="33" t="s">
        <v>90</v>
      </c>
      <c r="J25" s="33"/>
      <c r="K25" s="33" t="s">
        <v>40</v>
      </c>
      <c r="L25" s="35"/>
      <c r="M25" s="35" cm="1">
        <f t="array" aca="1" ref="M25" ca="1">IFERROR(IF(AND((SUM(_xlfn._xlws.FILTER(TandE[Role 2], (TandE[[Practice]:[Practice]]&lt;&gt;"Padding")*(TandE[[Phase]:[Phase]]=TandE[[#This Row],[Phase]:[Phase]])))) &gt;0,(SUM(_xlfn._xlws.FILTER(TandE[Role 2], (TandE[[Practice]:[Practice]]&lt;&gt;"Padding")*(TandE[[Phase]:[Phase]]=TandE[[#This Row],[Phase]:[Phase]])))) / INDIRECT(TandE[[#This Row],[Phase]:[Phase]]&amp; "_Length") &lt; SUM(_xlfn._xlws.FILTER([2]!AllocationMinimums[[Min]:[Min]], ([2]!AllocationMinimums[[Role]:[Role]]= LEFT(M$2,FIND("-",M$2)-1))*([2]!AllocationMinimums[[Phase]:[Phase]]= TandE[[#This Row],[Phase]:[Phase]])))), (SUM(_xlfn._xlws.FILTER([2]!AllocationMinimums[[Min]:[Min]], ([2]!AllocationMinimums[[Role]:[Role]] = LEFT(M$2,FIND("-",M$2)-1))*([2]!AllocationMinimums[[Phase]:[Phase]]= TandE[[#This Row],[Phase]:[Phase]]))) - (SUM(_xlfn._xlws.FILTER(TandE[Role 2], (TandE[[Practice]:[Practice]] &lt;&gt;"Padding")*(TandE[[Phase]:[Phase]]=TandE[[#This Row],[Phase]:[Phase]])))) / INDIRECT(TandE[[#This Row],[Phase]:[Phase]]&amp;"_Length")) *INDIRECT(TandE[[#This Row],[Phase]:[Phase]]&amp;"_Length"), 0), 0)</f>
        <v>0</v>
      </c>
      <c r="N25" s="35" cm="1">
        <f t="array" aca="1" ref="N25" ca="1">IFERROR(IF(AND((SUM(_xlfn._xlws.FILTER(TandE[Role 3], (TandE[[Practice]:[Practice]]&lt;&gt;"Padding")*(TandE[[Phase]:[Phase]]=TandE[[#This Row],[Phase]:[Phase]])))) &gt;0,(SUM(_xlfn._xlws.FILTER(TandE[Role 3], (TandE[[Practice]:[Practice]]&lt;&gt;"Padding")*(TandE[[Phase]:[Phase]]=TandE[[#This Row],[Phase]:[Phase]])))) / INDIRECT(TandE[[#This Row],[Phase]:[Phase]]&amp; "_Length") &lt; SUM(_xlfn._xlws.FILTER([2]!AllocationMinimums[[Min]:[Min]], ([2]!AllocationMinimums[[Role]:[Role]]= LEFT(N$2,FIND("-",N$2)-1))*([2]!AllocationMinimums[[Phase]:[Phase]]= TandE[[#This Row],[Phase]:[Phase]])))), (SUM(_xlfn._xlws.FILTER([2]!AllocationMinimums[[Min]:[Min]], ([2]!AllocationMinimums[[Role]:[Role]] = LEFT(N$2,FIND("-",N$2)-1))*([2]!AllocationMinimums[[Phase]:[Phase]]= TandE[[#This Row],[Phase]:[Phase]]))) - (SUM(_xlfn._xlws.FILTER(TandE[Role 3], (TandE[[Practice]:[Practice]] &lt;&gt;"Padding")*(TandE[[Phase]:[Phase]]=TandE[[#This Row],[Phase]:[Phase]])))) / INDIRECT(TandE[[#This Row],[Phase]:[Phase]]&amp;"_Length")) *INDIRECT(TandE[[#This Row],[Phase]:[Phase]]&amp;"_Length"), 0), 0)</f>
        <v>0</v>
      </c>
      <c r="O25" s="35" cm="1">
        <f t="array" aca="1" ref="O25" ca="1">IFERROR(IF(AND((SUM(_xlfn._xlws.FILTER(TandE[Role 4], (TandE[[Practice]:[Practice]]&lt;&gt;"Padding")*(TandE[[Phase]:[Phase]]=TandE[[#This Row],[Phase]:[Phase]])))) &gt;0,(SUM(_xlfn._xlws.FILTER(TandE[Role 4], (TandE[[Practice]:[Practice]]&lt;&gt;"Padding")*(TandE[[Phase]:[Phase]]=TandE[[#This Row],[Phase]:[Phase]])))) / INDIRECT(TandE[[#This Row],[Phase]:[Phase]]&amp; "_Length") &lt; SUM(_xlfn._xlws.FILTER([2]!AllocationMinimums[[Min]:[Min]], ([2]!AllocationMinimums[[Role]:[Role]]= LEFT(O$2,FIND("-",O$2)-1))*([2]!AllocationMinimums[[Phase]:[Phase]]= TandE[[#This Row],[Phase]:[Phase]])))), (SUM(_xlfn._xlws.FILTER([2]!AllocationMinimums[[Min]:[Min]], ([2]!AllocationMinimums[[Role]:[Role]] = LEFT(O$2,FIND("-",O$2)-1))*([2]!AllocationMinimums[[Phase]:[Phase]]= TandE[[#This Row],[Phase]:[Phase]]))) - (SUM(_xlfn._xlws.FILTER(TandE[Role 4], (TandE[[Practice]:[Practice]] &lt;&gt;"Padding")*(TandE[[Phase]:[Phase]]=TandE[[#This Row],[Phase]:[Phase]])))) / INDIRECT(TandE[[#This Row],[Phase]:[Phase]]&amp;"_Length")) *INDIRECT(TandE[[#This Row],[Phase]:[Phase]]&amp;"_Length"), 0), 0)</f>
        <v>0</v>
      </c>
      <c r="P25" s="35" cm="1">
        <f t="array" aca="1" ref="P25" ca="1">IFERROR(IF(AND((SUM(_xlfn._xlws.FILTER(TandE[Role 5], (TandE[[Practice]:[Practice]]&lt;&gt;"Padding")*(TandE[[Phase]:[Phase]]=TandE[[#This Row],[Phase]:[Phase]])))) &gt;0,(SUM(_xlfn._xlws.FILTER(TandE[Role 5], (TandE[[Practice]:[Practice]]&lt;&gt;"Padding")*(TandE[[Phase]:[Phase]]=TandE[[#This Row],[Phase]:[Phase]])))) / INDIRECT(TandE[[#This Row],[Phase]:[Phase]]&amp; "_Length") &lt; SUM(_xlfn._xlws.FILTER([2]!AllocationMinimums[[Min]:[Min]], ([2]!AllocationMinimums[[Role]:[Role]]= LEFT(P$2,FIND("-",P$2)-1))*([2]!AllocationMinimums[[Phase]:[Phase]]= TandE[[#This Row],[Phase]:[Phase]])))), (SUM(_xlfn._xlws.FILTER([2]!AllocationMinimums[[Min]:[Min]], ([2]!AllocationMinimums[[Role]:[Role]] = LEFT(P$2,FIND("-",P$2)-1))*([2]!AllocationMinimums[[Phase]:[Phase]]= TandE[[#This Row],[Phase]:[Phase]]))) - (SUM(_xlfn._xlws.FILTER(TandE[Role 5], (TandE[[Practice]:[Practice]] &lt;&gt;"Padding")*(TandE[[Phase]:[Phase]]=TandE[[#This Row],[Phase]:[Phase]])))) / INDIRECT(TandE[[#This Row],[Phase]:[Phase]]&amp;"_Length")) *INDIRECT(TandE[[#This Row],[Phase]:[Phase]]&amp;"_Length"), 0), 0)</f>
        <v>0</v>
      </c>
      <c r="Q25" s="35" cm="1">
        <f t="array" aca="1" ref="Q25" ca="1">IFERROR(IF(AND((SUM(_xlfn._xlws.FILTER(TandE[Role 6], (TandE[[Practice]:[Practice]]&lt;&gt;"Padding")*(TandE[[Phase]:[Phase]]=TandE[[#This Row],[Phase]:[Phase]])))) &gt;0,(SUM(_xlfn._xlws.FILTER(TandE[Role 6], (TandE[[Practice]:[Practice]]&lt;&gt;"Padding")*(TandE[[Phase]:[Phase]]=TandE[[#This Row],[Phase]:[Phase]])))) / INDIRECT(TandE[[#This Row],[Phase]:[Phase]]&amp; "_Length") &lt; SUM(_xlfn._xlws.FILTER([2]!AllocationMinimums[[Min]:[Min]], ([2]!AllocationMinimums[[Role]:[Role]]= LEFT(Q$2,FIND("-",Q$2)-1))*([2]!AllocationMinimums[[Phase]:[Phase]]= TandE[[#This Row],[Phase]:[Phase]])))), (SUM(_xlfn._xlws.FILTER([2]!AllocationMinimums[[Min]:[Min]], ([2]!AllocationMinimums[[Role]:[Role]] = LEFT(Q$2,FIND("-",Q$2)-1))*([2]!AllocationMinimums[[Phase]:[Phase]]= TandE[[#This Row],[Phase]:[Phase]]))) - (SUM(_xlfn._xlws.FILTER(TandE[Role 6], (TandE[[Practice]:[Practice]] &lt;&gt;"Padding")*(TandE[[Phase]:[Phase]]=TandE[[#This Row],[Phase]:[Phase]])))) / INDIRECT(TandE[[#This Row],[Phase]:[Phase]]&amp;"_Length")) *INDIRECT(TandE[[#This Row],[Phase]:[Phase]]&amp;"_Length"), 0), 0)</f>
        <v>0</v>
      </c>
      <c r="R25" s="35" cm="1">
        <f t="array" aca="1" ref="R25" ca="1">IFERROR(IF(AND((SUM(_xlfn._xlws.FILTER(TandE[Role 7], (TandE[[Practice]:[Practice]]&lt;&gt;"Padding")*(TandE[[Phase]:[Phase]]=TandE[[#This Row],[Phase]:[Phase]])))) &gt;0,(SUM(_xlfn._xlws.FILTER(TandE[Role 7], (TandE[[Practice]:[Practice]]&lt;&gt;"Padding")*(TandE[[Phase]:[Phase]]=TandE[[#This Row],[Phase]:[Phase]])))) / INDIRECT(TandE[[#This Row],[Phase]:[Phase]]&amp; "_Length") &lt; SUM(_xlfn._xlws.FILTER([2]!AllocationMinimums[[Min]:[Min]], ([2]!AllocationMinimums[[Role]:[Role]]= LEFT(R$2,FIND("-",R$2)-1))*([2]!AllocationMinimums[[Phase]:[Phase]]= TandE[[#This Row],[Phase]:[Phase]])))), (SUM(_xlfn._xlws.FILTER([2]!AllocationMinimums[[Min]:[Min]], ([2]!AllocationMinimums[[Role]:[Role]] = LEFT(R$2,FIND("-",R$2)-1))*([2]!AllocationMinimums[[Phase]:[Phase]]= TandE[[#This Row],[Phase]:[Phase]]))) - (SUM(_xlfn._xlws.FILTER(TandE[Role 7], (TandE[[Practice]:[Practice]] &lt;&gt;"Padding")*(TandE[[Phase]:[Phase]]=TandE[[#This Row],[Phase]:[Phase]])))) / INDIRECT(TandE[[#This Row],[Phase]:[Phase]]&amp;"_Length")) *INDIRECT(TandE[[#This Row],[Phase]:[Phase]]&amp;"_Length"), 0), 0)</f>
        <v>0</v>
      </c>
      <c r="S25" s="35" cm="1">
        <f t="array" aca="1" ref="S25" ca="1">IFERROR(IF(AND((SUM(_xlfn._xlws.FILTER(TandE[Role 8], (TandE[[Practice]:[Practice]]&lt;&gt;"Padding")*(TandE[[Phase]:[Phase]]=TandE[[#This Row],[Phase]:[Phase]])))) &gt;0,(SUM(_xlfn._xlws.FILTER(TandE[Role 8], (TandE[[Practice]:[Practice]]&lt;&gt;"Padding")*(TandE[[Phase]:[Phase]]=TandE[[#This Row],[Phase]:[Phase]])))) / INDIRECT(TandE[[#This Row],[Phase]:[Phase]]&amp; "_Length") &lt; SUM(_xlfn._xlws.FILTER([2]!AllocationMinimums[[Min]:[Min]], ([2]!AllocationMinimums[[Role]:[Role]]= LEFT(S$2,FIND("-",S$2)-1))*([2]!AllocationMinimums[[Phase]:[Phase]]= TandE[[#This Row],[Phase]:[Phase]])))), (SUM(_xlfn._xlws.FILTER([2]!AllocationMinimums[[Min]:[Min]], ([2]!AllocationMinimums[[Role]:[Role]] = LEFT(S$2,FIND("-",S$2)-1))*([2]!AllocationMinimums[[Phase]:[Phase]]= TandE[[#This Row],[Phase]:[Phase]]))) - (SUM(_xlfn._xlws.FILTER(TandE[Role 8], (TandE[[Practice]:[Practice]] &lt;&gt;"Padding")*(TandE[[Phase]:[Phase]]=TandE[[#This Row],[Phase]:[Phase]])))) / INDIRECT(TandE[[#This Row],[Phase]:[Phase]]&amp;"_Length")) *INDIRECT(TandE[[#This Row],[Phase]:[Phase]]&amp;"_Length"), 0), 0)</f>
        <v>0</v>
      </c>
      <c r="T25" s="35" cm="1">
        <f t="array" aca="1" ref="T25" ca="1">IFERROR(IF(AND((SUM(_xlfn._xlws.FILTER(TandE[Role 9], (TandE[[Practice]:[Practice]]&lt;&gt;"Padding")*(TandE[[Phase]:[Phase]]=TandE[[#This Row],[Phase]:[Phase]])))) &gt;0,(SUM(_xlfn._xlws.FILTER(TandE[Role 9], (TandE[[Practice]:[Practice]]&lt;&gt;"Padding")*(TandE[[Phase]:[Phase]]=TandE[[#This Row],[Phase]:[Phase]])))) / INDIRECT(TandE[[#This Row],[Phase]:[Phase]]&amp; "_Length") &lt; SUM(_xlfn._xlws.FILTER([2]!AllocationMinimums[[Min]:[Min]], ([2]!AllocationMinimums[[Role]:[Role]]= LEFT(T$2,FIND("-",T$2)-1))*([2]!AllocationMinimums[[Phase]:[Phase]]= TandE[[#This Row],[Phase]:[Phase]])))), (SUM(_xlfn._xlws.FILTER([2]!AllocationMinimums[[Min]:[Min]], ([2]!AllocationMinimums[[Role]:[Role]] = LEFT(T$2,FIND("-",T$2)-1))*([2]!AllocationMinimums[[Phase]:[Phase]]= TandE[[#This Row],[Phase]:[Phase]]))) - (SUM(_xlfn._xlws.FILTER(TandE[Role 9], (TandE[[Practice]:[Practice]] &lt;&gt;"Padding")*(TandE[[Phase]:[Phase]]=TandE[[#This Row],[Phase]:[Phase]])))) / INDIRECT(TandE[[#This Row],[Phase]:[Phase]]&amp;"_Length")) *INDIRECT(TandE[[#This Row],[Phase]:[Phase]]&amp;"_Length"), 0), 0)</f>
        <v>0</v>
      </c>
      <c r="U25" s="35" cm="1">
        <f t="array" aca="1" ref="U25" ca="1">IFERROR(IF(AND((SUM(_xlfn._xlws.FILTER(TandE[Role 10], (TandE[[Practice]:[Practice]]&lt;&gt;"Padding")*(TandE[[Phase]:[Phase]]=TandE[[#This Row],[Phase]:[Phase]])))) &gt;0,(SUM(_xlfn._xlws.FILTER(TandE[Role 10], (TandE[[Practice]:[Practice]]&lt;&gt;"Padding")*(TandE[[Phase]:[Phase]]=TandE[[#This Row],[Phase]:[Phase]])))) / INDIRECT(TandE[[#This Row],[Phase]:[Phase]]&amp; "_Length") &lt; SUM(_xlfn._xlws.FILTER([2]!AllocationMinimums[[Min]:[Min]], ([2]!AllocationMinimums[[Role]:[Role]]= LEFT(U$2,FIND("-",U$2)-1))*([2]!AllocationMinimums[[Phase]:[Phase]]= TandE[[#This Row],[Phase]:[Phase]])))), (SUM(_xlfn._xlws.FILTER([2]!AllocationMinimums[[Min]:[Min]], ([2]!AllocationMinimums[[Role]:[Role]] = LEFT(U$2,FIND("-",U$2)-1))*([2]!AllocationMinimums[[Phase]:[Phase]]= TandE[[#This Row],[Phase]:[Phase]]))) - (SUM(_xlfn._xlws.FILTER(TandE[Role 10], (TandE[[Practice]:[Practice]] &lt;&gt;"Padding")*(TandE[[Phase]:[Phase]]=TandE[[#This Row],[Phase]:[Phase]])))) / INDIRECT(TandE[[#This Row],[Phase]:[Phase]]&amp;"_Length")) *INDIRECT(TandE[[#This Row],[Phase]:[Phase]]&amp;"_Length"), 0), 0)</f>
        <v>0</v>
      </c>
      <c r="V25" s="35" cm="1">
        <f t="array" aca="1" ref="V25" ca="1">IFERROR(IF(AND((SUM(_xlfn._xlws.FILTER(TandE[Role 11], (TandE[[Practice]:[Practice]]&lt;&gt;"Padding")*(TandE[[Phase]:[Phase]]=TandE[[#This Row],[Phase]:[Phase]])))) &gt;0,(SUM(_xlfn._xlws.FILTER(TandE[Role 11], (TandE[[Practice]:[Practice]]&lt;&gt;"Padding")*(TandE[[Phase]:[Phase]]=TandE[[#This Row],[Phase]:[Phase]])))) / INDIRECT(TandE[[#This Row],[Phase]:[Phase]]&amp; "_Length") &lt; SUM(_xlfn._xlws.FILTER([2]!AllocationMinimums[[Min]:[Min]], ([2]!AllocationMinimums[[Role]:[Role]]= LEFT(V$2,FIND("-",V$2)-1))*([2]!AllocationMinimums[[Phase]:[Phase]]= TandE[[#This Row],[Phase]:[Phase]])))), (SUM(_xlfn._xlws.FILTER([2]!AllocationMinimums[[Min]:[Min]], ([2]!AllocationMinimums[[Role]:[Role]] = LEFT(V$2,FIND("-",V$2)-1))*([2]!AllocationMinimums[[Phase]:[Phase]]= TandE[[#This Row],[Phase]:[Phase]]))) - (SUM(_xlfn._xlws.FILTER(TandE[Role 11], (TandE[[Practice]:[Practice]] &lt;&gt;"Padding")*(TandE[[Phase]:[Phase]]=TandE[[#This Row],[Phase]:[Phase]])))) / INDIRECT(TandE[[#This Row],[Phase]:[Phase]]&amp;"_Length")) *INDIRECT(TandE[[#This Row],[Phase]:[Phase]]&amp;"_Length"), 0), 0)</f>
        <v>0</v>
      </c>
      <c r="W25" s="35" cm="1">
        <f t="array" aca="1" ref="W25" ca="1">IFERROR(IF(AND((SUM(_xlfn._xlws.FILTER(TandE[Role 12], (TandE[[Practice]:[Practice]]&lt;&gt;"Padding")*(TandE[[Phase]:[Phase]]=TandE[[#This Row],[Phase]:[Phase]])))) &gt;0,(SUM(_xlfn._xlws.FILTER(TandE[Role 12], (TandE[[Practice]:[Practice]]&lt;&gt;"Padding")*(TandE[[Phase]:[Phase]]=TandE[[#This Row],[Phase]:[Phase]])))) / INDIRECT(TandE[[#This Row],[Phase]:[Phase]]&amp; "_Length") &lt; SUM(_xlfn._xlws.FILTER([2]!AllocationMinimums[[Min]:[Min]], ([2]!AllocationMinimums[[Role]:[Role]]= LEFT(W$2,FIND("-",W$2)-1))*([2]!AllocationMinimums[[Phase]:[Phase]]= TandE[[#This Row],[Phase]:[Phase]])))), (SUM(_xlfn._xlws.FILTER([2]!AllocationMinimums[[Min]:[Min]], ([2]!AllocationMinimums[[Role]:[Role]] = LEFT(W$2,FIND("-",W$2)-1))*([2]!AllocationMinimums[[Phase]:[Phase]]= TandE[[#This Row],[Phase]:[Phase]]))) - (SUM(_xlfn._xlws.FILTER(TandE[Role 12], (TandE[[Practice]:[Practice]] &lt;&gt;"Padding")*(TandE[[Phase]:[Phase]]=TandE[[#This Row],[Phase]:[Phase]])))) / INDIRECT(TandE[[#This Row],[Phase]:[Phase]]&amp;"_Length")) *INDIRECT(TandE[[#This Row],[Phase]:[Phase]]&amp;"_Length"), 0), 0)</f>
        <v>0</v>
      </c>
      <c r="X25" s="35" cm="1">
        <f t="array" aca="1" ref="X25" ca="1">IFERROR(IF(AND((SUM(_xlfn._xlws.FILTER(TandE[Role 13], (TandE[[Practice]:[Practice]]&lt;&gt;"Padding")*(TandE[[Phase]:[Phase]]=TandE[[#This Row],[Phase]:[Phase]])))) &gt;0,(SUM(_xlfn._xlws.FILTER(TandE[Role 13], (TandE[[Practice]:[Practice]]&lt;&gt;"Padding")*(TandE[[Phase]:[Phase]]=TandE[[#This Row],[Phase]:[Phase]])))) / INDIRECT(TandE[[#This Row],[Phase]:[Phase]]&amp; "_Length") &lt; SUM(_xlfn._xlws.FILTER([2]!AllocationMinimums[[Min]:[Min]], ([2]!AllocationMinimums[[Role]:[Role]]= LEFT(X$2,FIND("-",X$2)-1))*([2]!AllocationMinimums[[Phase]:[Phase]]= TandE[[#This Row],[Phase]:[Phase]])))), (SUM(_xlfn._xlws.FILTER([2]!AllocationMinimums[[Min]:[Min]], ([2]!AllocationMinimums[[Role]:[Role]] = LEFT(X$2,FIND("-",X$2)-1))*([2]!AllocationMinimums[[Phase]:[Phase]]= TandE[[#This Row],[Phase]:[Phase]]))) - (SUM(_xlfn._xlws.FILTER(TandE[Role 13], (TandE[[Practice]:[Practice]] &lt;&gt;"Padding")*(TandE[[Phase]:[Phase]]=TandE[[#This Row],[Phase]:[Phase]])))) / INDIRECT(TandE[[#This Row],[Phase]:[Phase]]&amp;"_Length")) *INDIRECT(TandE[[#This Row],[Phase]:[Phase]]&amp;"_Length"), 0), 0)</f>
        <v>0</v>
      </c>
      <c r="Y25" s="35" cm="1">
        <f t="array" aca="1" ref="Y25" ca="1">IFERROR(IF(AND((SUM(_xlfn._xlws.FILTER(TandE[Role 14], (TandE[[Practice]:[Practice]]&lt;&gt;"Padding")*(TandE[[Phase]:[Phase]]=TandE[[#This Row],[Phase]:[Phase]])))) &gt;0,(SUM(_xlfn._xlws.FILTER(TandE[Role 14], (TandE[[Practice]:[Practice]]&lt;&gt;"Padding")*(TandE[[Phase]:[Phase]]=TandE[[#This Row],[Phase]:[Phase]])))) / INDIRECT(TandE[[#This Row],[Phase]:[Phase]]&amp; "_Length") &lt; SUM(_xlfn._xlws.FILTER([2]!AllocationMinimums[[Min]:[Min]], ([2]!AllocationMinimums[[Role]:[Role]]= LEFT(Y$2,FIND("-",Y$2)-1))*([2]!AllocationMinimums[[Phase]:[Phase]]= TandE[[#This Row],[Phase]:[Phase]])))), (SUM(_xlfn._xlws.FILTER([2]!AllocationMinimums[[Min]:[Min]], ([2]!AllocationMinimums[[Role]:[Role]] = LEFT(Y$2,FIND("-",Y$2)-1))*([2]!AllocationMinimums[[Phase]:[Phase]]= TandE[[#This Row],[Phase]:[Phase]]))) - (SUM(_xlfn._xlws.FILTER(TandE[Role 14], (TandE[[Practice]:[Practice]] &lt;&gt;"Padding")*(TandE[[Phase]:[Phase]]=TandE[[#This Row],[Phase]:[Phase]])))) / INDIRECT(TandE[[#This Row],[Phase]:[Phase]]&amp;"_Length")) *INDIRECT(TandE[[#This Row],[Phase]:[Phase]]&amp;"_Length"), 0), 0)</f>
        <v>0</v>
      </c>
      <c r="Z25" s="35" cm="1">
        <f t="array" aca="1" ref="Z25" ca="1">IFERROR(IF(AND((SUM(_xlfn._xlws.FILTER(TandE[Role 15], (TandE[[Practice]:[Practice]]&lt;&gt;"Padding")*(TandE[[Phase]:[Phase]]=TandE[[#This Row],[Phase]:[Phase]])))) &gt;0,(SUM(_xlfn._xlws.FILTER(TandE[Role 15], (TandE[[Practice]:[Practice]]&lt;&gt;"Padding")*(TandE[[Phase]:[Phase]]=TandE[[#This Row],[Phase]:[Phase]])))) / INDIRECT(TandE[[#This Row],[Phase]:[Phase]]&amp; "_Length") &lt; SUM(_xlfn._xlws.FILTER([2]!AllocationMinimums[[Min]:[Min]], ([2]!AllocationMinimums[[Role]:[Role]]= LEFT(Z$2,FIND("-",Z$2)-1))*([2]!AllocationMinimums[[Phase]:[Phase]]= TandE[[#This Row],[Phase]:[Phase]])))), (SUM(_xlfn._xlws.FILTER([2]!AllocationMinimums[[Min]:[Min]], ([2]!AllocationMinimums[[Role]:[Role]] = LEFT(Z$2,FIND("-",Z$2)-1))*([2]!AllocationMinimums[[Phase]:[Phase]]= TandE[[#This Row],[Phase]:[Phase]]))) - (SUM(_xlfn._xlws.FILTER(TandE[Role 15], (TandE[[Practice]:[Practice]] &lt;&gt;"Padding")*(TandE[[Phase]:[Phase]]=TandE[[#This Row],[Phase]:[Phase]])))) / INDIRECT(TandE[[#This Row],[Phase]:[Phase]]&amp;"_Length")) *INDIRECT(TandE[[#This Row],[Phase]:[Phase]]&amp;"_Length"), 0), 0)</f>
        <v>0</v>
      </c>
      <c r="AA25" s="1">
        <f ca="1">SUM(TandE[[#This Row],[Role 1]:[Role 5]])</f>
        <v>0</v>
      </c>
    </row>
    <row r="26" spans="1:27">
      <c r="A26" s="154"/>
      <c r="B26" s="31" t="s">
        <v>5</v>
      </c>
      <c r="C26" s="32">
        <f>EXECUTE_START</f>
        <v>3</v>
      </c>
      <c r="D26" s="32">
        <f>EXECUTE_END</f>
        <v>6</v>
      </c>
      <c r="E26" s="33" t="s">
        <v>88</v>
      </c>
      <c r="F26" s="34"/>
      <c r="G26" s="34"/>
      <c r="H26" s="33" t="s">
        <v>89</v>
      </c>
      <c r="I26" s="33" t="s">
        <v>90</v>
      </c>
      <c r="J26" s="33"/>
      <c r="K26" s="33" t="s">
        <v>40</v>
      </c>
      <c r="L26" s="35"/>
      <c r="M26" s="35" cm="1">
        <f t="array" aca="1" ref="M26" ca="1">IFERROR(IF(AND((SUM(_xlfn._xlws.FILTER(TandE[Role 2], (TandE[[Practice]:[Practice]]&lt;&gt;"Padding")*(TandE[[Phase]:[Phase]]=TandE[[#This Row],[Phase]:[Phase]])))) &gt;0,(SUM(_xlfn._xlws.FILTER(TandE[Role 2], (TandE[[Practice]:[Practice]]&lt;&gt;"Padding")*(TandE[[Phase]:[Phase]]=TandE[[#This Row],[Phase]:[Phase]])))) / INDIRECT(TandE[[#This Row],[Phase]:[Phase]]&amp; "_Length") &lt; SUM(_xlfn._xlws.FILTER([2]!AllocationMinimums[[Min]:[Min]], ([2]!AllocationMinimums[[Role]:[Role]]= LEFT(M$2,FIND("-",M$2)-1))*([2]!AllocationMinimums[[Phase]:[Phase]]= TandE[[#This Row],[Phase]:[Phase]])))), (SUM(_xlfn._xlws.FILTER([2]!AllocationMinimums[[Min]:[Min]], ([2]!AllocationMinimums[[Role]:[Role]] = LEFT(M$2,FIND("-",M$2)-1))*([2]!AllocationMinimums[[Phase]:[Phase]]= TandE[[#This Row],[Phase]:[Phase]]))) - (SUM(_xlfn._xlws.FILTER(TandE[Role 2], (TandE[[Practice]:[Practice]] &lt;&gt;"Padding")*(TandE[[Phase]:[Phase]]=TandE[[#This Row],[Phase]:[Phase]])))) / INDIRECT(TandE[[#This Row],[Phase]:[Phase]]&amp;"_Length")) *INDIRECT(TandE[[#This Row],[Phase]:[Phase]]&amp;"_Length"), 0), 0)</f>
        <v>0</v>
      </c>
      <c r="N26" s="35" cm="1">
        <f t="array" aca="1" ref="N26" ca="1">IFERROR(IF(AND((SUM(_xlfn._xlws.FILTER(TandE[Role 3], (TandE[[Practice]:[Practice]]&lt;&gt;"Padding")*(TandE[[Phase]:[Phase]]=TandE[[#This Row],[Phase]:[Phase]])))) &gt;0,(SUM(_xlfn._xlws.FILTER(TandE[Role 3], (TandE[[Practice]:[Practice]]&lt;&gt;"Padding")*(TandE[[Phase]:[Phase]]=TandE[[#This Row],[Phase]:[Phase]])))) / INDIRECT(TandE[[#This Row],[Phase]:[Phase]]&amp; "_Length") &lt; SUM(_xlfn._xlws.FILTER([2]!AllocationMinimums[[Min]:[Min]], ([2]!AllocationMinimums[[Role]:[Role]]= LEFT(N$2,FIND("-",N$2)-1))*([2]!AllocationMinimums[[Phase]:[Phase]]= TandE[[#This Row],[Phase]:[Phase]])))), (SUM(_xlfn._xlws.FILTER([2]!AllocationMinimums[[Min]:[Min]], ([2]!AllocationMinimums[[Role]:[Role]] = LEFT(N$2,FIND("-",N$2)-1))*([2]!AllocationMinimums[[Phase]:[Phase]]= TandE[[#This Row],[Phase]:[Phase]]))) - (SUM(_xlfn._xlws.FILTER(TandE[Role 3], (TandE[[Practice]:[Practice]] &lt;&gt;"Padding")*(TandE[[Phase]:[Phase]]=TandE[[#This Row],[Phase]:[Phase]])))) / INDIRECT(TandE[[#This Row],[Phase]:[Phase]]&amp;"_Length")) *INDIRECT(TandE[[#This Row],[Phase]:[Phase]]&amp;"_Length"), 0), 0)</f>
        <v>0</v>
      </c>
      <c r="O26" s="35" cm="1">
        <f t="array" aca="1" ref="O26" ca="1">IFERROR(IF(AND((SUM(_xlfn._xlws.FILTER(TandE[Role 4], (TandE[[Practice]:[Practice]]&lt;&gt;"Padding")*(TandE[[Phase]:[Phase]]=TandE[[#This Row],[Phase]:[Phase]])))) &gt;0,(SUM(_xlfn._xlws.FILTER(TandE[Role 4], (TandE[[Practice]:[Practice]]&lt;&gt;"Padding")*(TandE[[Phase]:[Phase]]=TandE[[#This Row],[Phase]:[Phase]])))) / INDIRECT(TandE[[#This Row],[Phase]:[Phase]]&amp; "_Length") &lt; SUM(_xlfn._xlws.FILTER([2]!AllocationMinimums[[Min]:[Min]], ([2]!AllocationMinimums[[Role]:[Role]]= LEFT(O$2,FIND("-",O$2)-1))*([2]!AllocationMinimums[[Phase]:[Phase]]= TandE[[#This Row],[Phase]:[Phase]])))), (SUM(_xlfn._xlws.FILTER([2]!AllocationMinimums[[Min]:[Min]], ([2]!AllocationMinimums[[Role]:[Role]] = LEFT(O$2,FIND("-",O$2)-1))*([2]!AllocationMinimums[[Phase]:[Phase]]= TandE[[#This Row],[Phase]:[Phase]]))) - (SUM(_xlfn._xlws.FILTER(TandE[Role 4], (TandE[[Practice]:[Practice]] &lt;&gt;"Padding")*(TandE[[Phase]:[Phase]]=TandE[[#This Row],[Phase]:[Phase]])))) / INDIRECT(TandE[[#This Row],[Phase]:[Phase]]&amp;"_Length")) *INDIRECT(TandE[[#This Row],[Phase]:[Phase]]&amp;"_Length"), 0), 0)</f>
        <v>0</v>
      </c>
      <c r="P26" s="35" cm="1">
        <f t="array" aca="1" ref="P26" ca="1">IFERROR(IF(AND((SUM(_xlfn._xlws.FILTER(TandE[Role 5], (TandE[[Practice]:[Practice]]&lt;&gt;"Padding")*(TandE[[Phase]:[Phase]]=TandE[[#This Row],[Phase]:[Phase]])))) &gt;0,(SUM(_xlfn._xlws.FILTER(TandE[Role 5], (TandE[[Practice]:[Practice]]&lt;&gt;"Padding")*(TandE[[Phase]:[Phase]]=TandE[[#This Row],[Phase]:[Phase]])))) / INDIRECT(TandE[[#This Row],[Phase]:[Phase]]&amp; "_Length") &lt; SUM(_xlfn._xlws.FILTER([2]!AllocationMinimums[[Min]:[Min]], ([2]!AllocationMinimums[[Role]:[Role]]= LEFT(P$2,FIND("-",P$2)-1))*([2]!AllocationMinimums[[Phase]:[Phase]]= TandE[[#This Row],[Phase]:[Phase]])))), (SUM(_xlfn._xlws.FILTER([2]!AllocationMinimums[[Min]:[Min]], ([2]!AllocationMinimums[[Role]:[Role]] = LEFT(P$2,FIND("-",P$2)-1))*([2]!AllocationMinimums[[Phase]:[Phase]]= TandE[[#This Row],[Phase]:[Phase]]))) - (SUM(_xlfn._xlws.FILTER(TandE[Role 5], (TandE[[Practice]:[Practice]] &lt;&gt;"Padding")*(TandE[[Phase]:[Phase]]=TandE[[#This Row],[Phase]:[Phase]])))) / INDIRECT(TandE[[#This Row],[Phase]:[Phase]]&amp;"_Length")) *INDIRECT(TandE[[#This Row],[Phase]:[Phase]]&amp;"_Length"), 0), 0)</f>
        <v>0</v>
      </c>
      <c r="Q26" s="35" cm="1">
        <f t="array" aca="1" ref="Q26" ca="1">IFERROR(IF(AND((SUM(_xlfn._xlws.FILTER(TandE[Role 6], (TandE[[Practice]:[Practice]]&lt;&gt;"Padding")*(TandE[[Phase]:[Phase]]=TandE[[#This Row],[Phase]:[Phase]])))) &gt;0,(SUM(_xlfn._xlws.FILTER(TandE[Role 6], (TandE[[Practice]:[Practice]]&lt;&gt;"Padding")*(TandE[[Phase]:[Phase]]=TandE[[#This Row],[Phase]:[Phase]])))) / INDIRECT(TandE[[#This Row],[Phase]:[Phase]]&amp; "_Length") &lt; SUM(_xlfn._xlws.FILTER([2]!AllocationMinimums[[Min]:[Min]], ([2]!AllocationMinimums[[Role]:[Role]]= LEFT(Q$2,FIND("-",Q$2)-1))*([2]!AllocationMinimums[[Phase]:[Phase]]= TandE[[#This Row],[Phase]:[Phase]])))), (SUM(_xlfn._xlws.FILTER([2]!AllocationMinimums[[Min]:[Min]], ([2]!AllocationMinimums[[Role]:[Role]] = LEFT(Q$2,FIND("-",Q$2)-1))*([2]!AllocationMinimums[[Phase]:[Phase]]= TandE[[#This Row],[Phase]:[Phase]]))) - (SUM(_xlfn._xlws.FILTER(TandE[Role 6], (TandE[[Practice]:[Practice]] &lt;&gt;"Padding")*(TandE[[Phase]:[Phase]]=TandE[[#This Row],[Phase]:[Phase]])))) / INDIRECT(TandE[[#This Row],[Phase]:[Phase]]&amp;"_Length")) *INDIRECT(TandE[[#This Row],[Phase]:[Phase]]&amp;"_Length"), 0), 0)</f>
        <v>0</v>
      </c>
      <c r="R26" s="35" cm="1">
        <f t="array" aca="1" ref="R26" ca="1">IFERROR(IF(AND((SUM(_xlfn._xlws.FILTER(TandE[Role 7], (TandE[[Practice]:[Practice]]&lt;&gt;"Padding")*(TandE[[Phase]:[Phase]]=TandE[[#This Row],[Phase]:[Phase]])))) &gt;0,(SUM(_xlfn._xlws.FILTER(TandE[Role 7], (TandE[[Practice]:[Practice]]&lt;&gt;"Padding")*(TandE[[Phase]:[Phase]]=TandE[[#This Row],[Phase]:[Phase]])))) / INDIRECT(TandE[[#This Row],[Phase]:[Phase]]&amp; "_Length") &lt; SUM(_xlfn._xlws.FILTER([2]!AllocationMinimums[[Min]:[Min]], ([2]!AllocationMinimums[[Role]:[Role]]= LEFT(R$2,FIND("-",R$2)-1))*([2]!AllocationMinimums[[Phase]:[Phase]]= TandE[[#This Row],[Phase]:[Phase]])))), (SUM(_xlfn._xlws.FILTER([2]!AllocationMinimums[[Min]:[Min]], ([2]!AllocationMinimums[[Role]:[Role]] = LEFT(R$2,FIND("-",R$2)-1))*([2]!AllocationMinimums[[Phase]:[Phase]]= TandE[[#This Row],[Phase]:[Phase]]))) - (SUM(_xlfn._xlws.FILTER(TandE[Role 7], (TandE[[Practice]:[Practice]] &lt;&gt;"Padding")*(TandE[[Phase]:[Phase]]=TandE[[#This Row],[Phase]:[Phase]])))) / INDIRECT(TandE[[#This Row],[Phase]:[Phase]]&amp;"_Length")) *INDIRECT(TandE[[#This Row],[Phase]:[Phase]]&amp;"_Length"), 0), 0)</f>
        <v>0</v>
      </c>
      <c r="S26" s="35" cm="1">
        <f t="array" aca="1" ref="S26" ca="1">IFERROR(IF(AND((SUM(_xlfn._xlws.FILTER(TandE[Role 8], (TandE[[Practice]:[Practice]]&lt;&gt;"Padding")*(TandE[[Phase]:[Phase]]=TandE[[#This Row],[Phase]:[Phase]])))) &gt;0,(SUM(_xlfn._xlws.FILTER(TandE[Role 8], (TandE[[Practice]:[Practice]]&lt;&gt;"Padding")*(TandE[[Phase]:[Phase]]=TandE[[#This Row],[Phase]:[Phase]])))) / INDIRECT(TandE[[#This Row],[Phase]:[Phase]]&amp; "_Length") &lt; SUM(_xlfn._xlws.FILTER([2]!AllocationMinimums[[Min]:[Min]], ([2]!AllocationMinimums[[Role]:[Role]]= LEFT(S$2,FIND("-",S$2)-1))*([2]!AllocationMinimums[[Phase]:[Phase]]= TandE[[#This Row],[Phase]:[Phase]])))), (SUM(_xlfn._xlws.FILTER([2]!AllocationMinimums[[Min]:[Min]], ([2]!AllocationMinimums[[Role]:[Role]] = LEFT(S$2,FIND("-",S$2)-1))*([2]!AllocationMinimums[[Phase]:[Phase]]= TandE[[#This Row],[Phase]:[Phase]]))) - (SUM(_xlfn._xlws.FILTER(TandE[Role 8], (TandE[[Practice]:[Practice]] &lt;&gt;"Padding")*(TandE[[Phase]:[Phase]]=TandE[[#This Row],[Phase]:[Phase]])))) / INDIRECT(TandE[[#This Row],[Phase]:[Phase]]&amp;"_Length")) *INDIRECT(TandE[[#This Row],[Phase]:[Phase]]&amp;"_Length"), 0), 0)</f>
        <v>0</v>
      </c>
      <c r="T26" s="35" cm="1">
        <f t="array" aca="1" ref="T26" ca="1">IFERROR(IF(AND((SUM(_xlfn._xlws.FILTER(TandE[Role 9], (TandE[[Practice]:[Practice]]&lt;&gt;"Padding")*(TandE[[Phase]:[Phase]]=TandE[[#This Row],[Phase]:[Phase]])))) &gt;0,(SUM(_xlfn._xlws.FILTER(TandE[Role 9], (TandE[[Practice]:[Practice]]&lt;&gt;"Padding")*(TandE[[Phase]:[Phase]]=TandE[[#This Row],[Phase]:[Phase]])))) / INDIRECT(TandE[[#This Row],[Phase]:[Phase]]&amp; "_Length") &lt; SUM(_xlfn._xlws.FILTER([2]!AllocationMinimums[[Min]:[Min]], ([2]!AllocationMinimums[[Role]:[Role]]= LEFT(T$2,FIND("-",T$2)-1))*([2]!AllocationMinimums[[Phase]:[Phase]]= TandE[[#This Row],[Phase]:[Phase]])))), (SUM(_xlfn._xlws.FILTER([2]!AllocationMinimums[[Min]:[Min]], ([2]!AllocationMinimums[[Role]:[Role]] = LEFT(T$2,FIND("-",T$2)-1))*([2]!AllocationMinimums[[Phase]:[Phase]]= TandE[[#This Row],[Phase]:[Phase]]))) - (SUM(_xlfn._xlws.FILTER(TandE[Role 9], (TandE[[Practice]:[Practice]] &lt;&gt;"Padding")*(TandE[[Phase]:[Phase]]=TandE[[#This Row],[Phase]:[Phase]])))) / INDIRECT(TandE[[#This Row],[Phase]:[Phase]]&amp;"_Length")) *INDIRECT(TandE[[#This Row],[Phase]:[Phase]]&amp;"_Length"), 0), 0)</f>
        <v>0</v>
      </c>
      <c r="U26" s="35" cm="1">
        <f t="array" aca="1" ref="U26" ca="1">IFERROR(IF(AND((SUM(_xlfn._xlws.FILTER(TandE[Role 10], (TandE[[Practice]:[Practice]]&lt;&gt;"Padding")*(TandE[[Phase]:[Phase]]=TandE[[#This Row],[Phase]:[Phase]])))) &gt;0,(SUM(_xlfn._xlws.FILTER(TandE[Role 10], (TandE[[Practice]:[Practice]]&lt;&gt;"Padding")*(TandE[[Phase]:[Phase]]=TandE[[#This Row],[Phase]:[Phase]])))) / INDIRECT(TandE[[#This Row],[Phase]:[Phase]]&amp; "_Length") &lt; SUM(_xlfn._xlws.FILTER([2]!AllocationMinimums[[Min]:[Min]], ([2]!AllocationMinimums[[Role]:[Role]]= LEFT(U$2,FIND("-",U$2)-1))*([2]!AllocationMinimums[[Phase]:[Phase]]= TandE[[#This Row],[Phase]:[Phase]])))), (SUM(_xlfn._xlws.FILTER([2]!AllocationMinimums[[Min]:[Min]], ([2]!AllocationMinimums[[Role]:[Role]] = LEFT(U$2,FIND("-",U$2)-1))*([2]!AllocationMinimums[[Phase]:[Phase]]= TandE[[#This Row],[Phase]:[Phase]]))) - (SUM(_xlfn._xlws.FILTER(TandE[Role 10], (TandE[[Practice]:[Practice]] &lt;&gt;"Padding")*(TandE[[Phase]:[Phase]]=TandE[[#This Row],[Phase]:[Phase]])))) / INDIRECT(TandE[[#This Row],[Phase]:[Phase]]&amp;"_Length")) *INDIRECT(TandE[[#This Row],[Phase]:[Phase]]&amp;"_Length"), 0), 0)</f>
        <v>0</v>
      </c>
      <c r="V26" s="35" cm="1">
        <f t="array" aca="1" ref="V26" ca="1">IFERROR(IF(AND((SUM(_xlfn._xlws.FILTER(TandE[Role 11], (TandE[[Practice]:[Practice]]&lt;&gt;"Padding")*(TandE[[Phase]:[Phase]]=TandE[[#This Row],[Phase]:[Phase]])))) &gt;0,(SUM(_xlfn._xlws.FILTER(TandE[Role 11], (TandE[[Practice]:[Practice]]&lt;&gt;"Padding")*(TandE[[Phase]:[Phase]]=TandE[[#This Row],[Phase]:[Phase]])))) / INDIRECT(TandE[[#This Row],[Phase]:[Phase]]&amp; "_Length") &lt; SUM(_xlfn._xlws.FILTER([2]!AllocationMinimums[[Min]:[Min]], ([2]!AllocationMinimums[[Role]:[Role]]= LEFT(V$2,FIND("-",V$2)-1))*([2]!AllocationMinimums[[Phase]:[Phase]]= TandE[[#This Row],[Phase]:[Phase]])))), (SUM(_xlfn._xlws.FILTER([2]!AllocationMinimums[[Min]:[Min]], ([2]!AllocationMinimums[[Role]:[Role]] = LEFT(V$2,FIND("-",V$2)-1))*([2]!AllocationMinimums[[Phase]:[Phase]]= TandE[[#This Row],[Phase]:[Phase]]))) - (SUM(_xlfn._xlws.FILTER(TandE[Role 11], (TandE[[Practice]:[Practice]] &lt;&gt;"Padding")*(TandE[[Phase]:[Phase]]=TandE[[#This Row],[Phase]:[Phase]])))) / INDIRECT(TandE[[#This Row],[Phase]:[Phase]]&amp;"_Length")) *INDIRECT(TandE[[#This Row],[Phase]:[Phase]]&amp;"_Length"), 0), 0)</f>
        <v>0</v>
      </c>
      <c r="W26" s="35" cm="1">
        <f t="array" aca="1" ref="W26" ca="1">IFERROR(IF(AND((SUM(_xlfn._xlws.FILTER(TandE[Role 12], (TandE[[Practice]:[Practice]]&lt;&gt;"Padding")*(TandE[[Phase]:[Phase]]=TandE[[#This Row],[Phase]:[Phase]])))) &gt;0,(SUM(_xlfn._xlws.FILTER(TandE[Role 12], (TandE[[Practice]:[Practice]]&lt;&gt;"Padding")*(TandE[[Phase]:[Phase]]=TandE[[#This Row],[Phase]:[Phase]])))) / INDIRECT(TandE[[#This Row],[Phase]:[Phase]]&amp; "_Length") &lt; SUM(_xlfn._xlws.FILTER([2]!AllocationMinimums[[Min]:[Min]], ([2]!AllocationMinimums[[Role]:[Role]]= LEFT(W$2,FIND("-",W$2)-1))*([2]!AllocationMinimums[[Phase]:[Phase]]= TandE[[#This Row],[Phase]:[Phase]])))), (SUM(_xlfn._xlws.FILTER([2]!AllocationMinimums[[Min]:[Min]], ([2]!AllocationMinimums[[Role]:[Role]] = LEFT(W$2,FIND("-",W$2)-1))*([2]!AllocationMinimums[[Phase]:[Phase]]= TandE[[#This Row],[Phase]:[Phase]]))) - (SUM(_xlfn._xlws.FILTER(TandE[Role 12], (TandE[[Practice]:[Practice]] &lt;&gt;"Padding")*(TandE[[Phase]:[Phase]]=TandE[[#This Row],[Phase]:[Phase]])))) / INDIRECT(TandE[[#This Row],[Phase]:[Phase]]&amp;"_Length")) *INDIRECT(TandE[[#This Row],[Phase]:[Phase]]&amp;"_Length"), 0), 0)</f>
        <v>0</v>
      </c>
      <c r="X26" s="35" cm="1">
        <f t="array" aca="1" ref="X26" ca="1">IFERROR(IF(AND((SUM(_xlfn._xlws.FILTER(TandE[Role 13], (TandE[[Practice]:[Practice]]&lt;&gt;"Padding")*(TandE[[Phase]:[Phase]]=TandE[[#This Row],[Phase]:[Phase]])))) &gt;0,(SUM(_xlfn._xlws.FILTER(TandE[Role 13], (TandE[[Practice]:[Practice]]&lt;&gt;"Padding")*(TandE[[Phase]:[Phase]]=TandE[[#This Row],[Phase]:[Phase]])))) / INDIRECT(TandE[[#This Row],[Phase]:[Phase]]&amp; "_Length") &lt; SUM(_xlfn._xlws.FILTER([2]!AllocationMinimums[[Min]:[Min]], ([2]!AllocationMinimums[[Role]:[Role]]= LEFT(X$2,FIND("-",X$2)-1))*([2]!AllocationMinimums[[Phase]:[Phase]]= TandE[[#This Row],[Phase]:[Phase]])))), (SUM(_xlfn._xlws.FILTER([2]!AllocationMinimums[[Min]:[Min]], ([2]!AllocationMinimums[[Role]:[Role]] = LEFT(X$2,FIND("-",X$2)-1))*([2]!AllocationMinimums[[Phase]:[Phase]]= TandE[[#This Row],[Phase]:[Phase]]))) - (SUM(_xlfn._xlws.FILTER(TandE[Role 13], (TandE[[Practice]:[Practice]] &lt;&gt;"Padding")*(TandE[[Phase]:[Phase]]=TandE[[#This Row],[Phase]:[Phase]])))) / INDIRECT(TandE[[#This Row],[Phase]:[Phase]]&amp;"_Length")) *INDIRECT(TandE[[#This Row],[Phase]:[Phase]]&amp;"_Length"), 0), 0)</f>
        <v>0</v>
      </c>
      <c r="Y26" s="35" cm="1">
        <f t="array" aca="1" ref="Y26" ca="1">IFERROR(IF(AND((SUM(_xlfn._xlws.FILTER(TandE[Role 14], (TandE[[Practice]:[Practice]]&lt;&gt;"Padding")*(TandE[[Phase]:[Phase]]=TandE[[#This Row],[Phase]:[Phase]])))) &gt;0,(SUM(_xlfn._xlws.FILTER(TandE[Role 14], (TandE[[Practice]:[Practice]]&lt;&gt;"Padding")*(TandE[[Phase]:[Phase]]=TandE[[#This Row],[Phase]:[Phase]])))) / INDIRECT(TandE[[#This Row],[Phase]:[Phase]]&amp; "_Length") &lt; SUM(_xlfn._xlws.FILTER([2]!AllocationMinimums[[Min]:[Min]], ([2]!AllocationMinimums[[Role]:[Role]]= LEFT(Y$2,FIND("-",Y$2)-1))*([2]!AllocationMinimums[[Phase]:[Phase]]= TandE[[#This Row],[Phase]:[Phase]])))), (SUM(_xlfn._xlws.FILTER([2]!AllocationMinimums[[Min]:[Min]], ([2]!AllocationMinimums[[Role]:[Role]] = LEFT(Y$2,FIND("-",Y$2)-1))*([2]!AllocationMinimums[[Phase]:[Phase]]= TandE[[#This Row],[Phase]:[Phase]]))) - (SUM(_xlfn._xlws.FILTER(TandE[Role 14], (TandE[[Practice]:[Practice]] &lt;&gt;"Padding")*(TandE[[Phase]:[Phase]]=TandE[[#This Row],[Phase]:[Phase]])))) / INDIRECT(TandE[[#This Row],[Phase]:[Phase]]&amp;"_Length")) *INDIRECT(TandE[[#This Row],[Phase]:[Phase]]&amp;"_Length"), 0), 0)</f>
        <v>0</v>
      </c>
      <c r="Z26" s="35" cm="1">
        <f t="array" aca="1" ref="Z26" ca="1">IFERROR(IF(AND((SUM(_xlfn._xlws.FILTER(TandE[Role 15], (TandE[[Practice]:[Practice]]&lt;&gt;"Padding")*(TandE[[Phase]:[Phase]]=TandE[[#This Row],[Phase]:[Phase]])))) &gt;0,(SUM(_xlfn._xlws.FILTER(TandE[Role 15], (TandE[[Practice]:[Practice]]&lt;&gt;"Padding")*(TandE[[Phase]:[Phase]]=TandE[[#This Row],[Phase]:[Phase]])))) / INDIRECT(TandE[[#This Row],[Phase]:[Phase]]&amp; "_Length") &lt; SUM(_xlfn._xlws.FILTER([2]!AllocationMinimums[[Min]:[Min]], ([2]!AllocationMinimums[[Role]:[Role]]= LEFT(Z$2,FIND("-",Z$2)-1))*([2]!AllocationMinimums[[Phase]:[Phase]]= TandE[[#This Row],[Phase]:[Phase]])))), (SUM(_xlfn._xlws.FILTER([2]!AllocationMinimums[[Min]:[Min]], ([2]!AllocationMinimums[[Role]:[Role]] = LEFT(Z$2,FIND("-",Z$2)-1))*([2]!AllocationMinimums[[Phase]:[Phase]]= TandE[[#This Row],[Phase]:[Phase]]))) - (SUM(_xlfn._xlws.FILTER(TandE[Role 15], (TandE[[Practice]:[Practice]] &lt;&gt;"Padding")*(TandE[[Phase]:[Phase]]=TandE[[#This Row],[Phase]:[Phase]])))) / INDIRECT(TandE[[#This Row],[Phase]:[Phase]]&amp;"_Length")) *INDIRECT(TandE[[#This Row],[Phase]:[Phase]]&amp;"_Length"), 0), 0)</f>
        <v>0</v>
      </c>
      <c r="AA26" s="1">
        <f ca="1">SUM(TandE[[#This Row],[Role 1]:[Role 5]])</f>
        <v>0</v>
      </c>
    </row>
    <row r="27" spans="1:27">
      <c r="A27" s="154"/>
      <c r="B27" s="31" t="s">
        <v>71</v>
      </c>
      <c r="C27" s="32">
        <f>DELIVER_START</f>
        <v>7</v>
      </c>
      <c r="D27" s="32">
        <f>DELIVER_END</f>
        <v>7</v>
      </c>
      <c r="E27" s="33" t="s">
        <v>88</v>
      </c>
      <c r="F27" s="34"/>
      <c r="G27" s="34"/>
      <c r="H27" s="33" t="s">
        <v>89</v>
      </c>
      <c r="I27" s="33" t="s">
        <v>90</v>
      </c>
      <c r="J27" s="33"/>
      <c r="K27" s="33" t="s">
        <v>40</v>
      </c>
      <c r="L27" s="35"/>
      <c r="M27" s="35" cm="1">
        <f t="array" aca="1" ref="M27" ca="1">IFERROR(IF(AND((SUM(_xlfn._xlws.FILTER(TandE[Role 2], (TandE[[Practice]:[Practice]]&lt;&gt;"Padding")*(TandE[[Phase]:[Phase]]=TandE[[#This Row],[Phase]:[Phase]])))) &gt;0,(SUM(_xlfn._xlws.FILTER(TandE[Role 2], (TandE[[Practice]:[Practice]]&lt;&gt;"Padding")*(TandE[[Phase]:[Phase]]=TandE[[#This Row],[Phase]:[Phase]])))) / INDIRECT(TandE[[#This Row],[Phase]:[Phase]]&amp; "_Length") &lt; SUM(_xlfn._xlws.FILTER([2]!AllocationMinimums[[Min]:[Min]], ([2]!AllocationMinimums[[Role]:[Role]]= LEFT(M$2,FIND("-",M$2)-1))*([2]!AllocationMinimums[[Phase]:[Phase]]= TandE[[#This Row],[Phase]:[Phase]])))), (SUM(_xlfn._xlws.FILTER([2]!AllocationMinimums[[Min]:[Min]], ([2]!AllocationMinimums[[Role]:[Role]] = LEFT(M$2,FIND("-",M$2)-1))*([2]!AllocationMinimums[[Phase]:[Phase]]= TandE[[#This Row],[Phase]:[Phase]]))) - (SUM(_xlfn._xlws.FILTER(TandE[Role 2], (TandE[[Practice]:[Practice]] &lt;&gt;"Padding")*(TandE[[Phase]:[Phase]]=TandE[[#This Row],[Phase]:[Phase]])))) / INDIRECT(TandE[[#This Row],[Phase]:[Phase]]&amp;"_Length")) *INDIRECT(TandE[[#This Row],[Phase]:[Phase]]&amp;"_Length"), 0), 0)</f>
        <v>0</v>
      </c>
      <c r="N27" s="35" cm="1">
        <f t="array" aca="1" ref="N27" ca="1">IFERROR(IF(AND((SUM(_xlfn._xlws.FILTER(TandE[Role 3], (TandE[[Practice]:[Practice]]&lt;&gt;"Padding")*(TandE[[Phase]:[Phase]]=TandE[[#This Row],[Phase]:[Phase]])))) &gt;0,(SUM(_xlfn._xlws.FILTER(TandE[Role 3], (TandE[[Practice]:[Practice]]&lt;&gt;"Padding")*(TandE[[Phase]:[Phase]]=TandE[[#This Row],[Phase]:[Phase]])))) / INDIRECT(TandE[[#This Row],[Phase]:[Phase]]&amp; "_Length") &lt; SUM(_xlfn._xlws.FILTER([2]!AllocationMinimums[[Min]:[Min]], ([2]!AllocationMinimums[[Role]:[Role]]= LEFT(N$2,FIND("-",N$2)-1))*([2]!AllocationMinimums[[Phase]:[Phase]]= TandE[[#This Row],[Phase]:[Phase]])))), (SUM(_xlfn._xlws.FILTER([2]!AllocationMinimums[[Min]:[Min]], ([2]!AllocationMinimums[[Role]:[Role]] = LEFT(N$2,FIND("-",N$2)-1))*([2]!AllocationMinimums[[Phase]:[Phase]]= TandE[[#This Row],[Phase]:[Phase]]))) - (SUM(_xlfn._xlws.FILTER(TandE[Role 3], (TandE[[Practice]:[Practice]] &lt;&gt;"Padding")*(TandE[[Phase]:[Phase]]=TandE[[#This Row],[Phase]:[Phase]])))) / INDIRECT(TandE[[#This Row],[Phase]:[Phase]]&amp;"_Length")) *INDIRECT(TandE[[#This Row],[Phase]:[Phase]]&amp;"_Length"), 0), 0)</f>
        <v>0</v>
      </c>
      <c r="O27" s="35" cm="1">
        <f t="array" aca="1" ref="O27" ca="1">IFERROR(IF(AND((SUM(_xlfn._xlws.FILTER(TandE[Role 4], (TandE[[Practice]:[Practice]]&lt;&gt;"Padding")*(TandE[[Phase]:[Phase]]=TandE[[#This Row],[Phase]:[Phase]])))) &gt;0,(SUM(_xlfn._xlws.FILTER(TandE[Role 4], (TandE[[Practice]:[Practice]]&lt;&gt;"Padding")*(TandE[[Phase]:[Phase]]=TandE[[#This Row],[Phase]:[Phase]])))) / INDIRECT(TandE[[#This Row],[Phase]:[Phase]]&amp; "_Length") &lt; SUM(_xlfn._xlws.FILTER([2]!AllocationMinimums[[Min]:[Min]], ([2]!AllocationMinimums[[Role]:[Role]]= LEFT(O$2,FIND("-",O$2)-1))*([2]!AllocationMinimums[[Phase]:[Phase]]= TandE[[#This Row],[Phase]:[Phase]])))), (SUM(_xlfn._xlws.FILTER([2]!AllocationMinimums[[Min]:[Min]], ([2]!AllocationMinimums[[Role]:[Role]] = LEFT(O$2,FIND("-",O$2)-1))*([2]!AllocationMinimums[[Phase]:[Phase]]= TandE[[#This Row],[Phase]:[Phase]]))) - (SUM(_xlfn._xlws.FILTER(TandE[Role 4], (TandE[[Practice]:[Practice]] &lt;&gt;"Padding")*(TandE[[Phase]:[Phase]]=TandE[[#This Row],[Phase]:[Phase]])))) / INDIRECT(TandE[[#This Row],[Phase]:[Phase]]&amp;"_Length")) *INDIRECT(TandE[[#This Row],[Phase]:[Phase]]&amp;"_Length"), 0), 0)</f>
        <v>0</v>
      </c>
      <c r="P27" s="35" cm="1">
        <f t="array" aca="1" ref="P27" ca="1">IFERROR(IF(AND((SUM(_xlfn._xlws.FILTER(TandE[Role 5], (TandE[[Practice]:[Practice]]&lt;&gt;"Padding")*(TandE[[Phase]:[Phase]]=TandE[[#This Row],[Phase]:[Phase]])))) &gt;0,(SUM(_xlfn._xlws.FILTER(TandE[Role 5], (TandE[[Practice]:[Practice]]&lt;&gt;"Padding")*(TandE[[Phase]:[Phase]]=TandE[[#This Row],[Phase]:[Phase]])))) / INDIRECT(TandE[[#This Row],[Phase]:[Phase]]&amp; "_Length") &lt; SUM(_xlfn._xlws.FILTER([2]!AllocationMinimums[[Min]:[Min]], ([2]!AllocationMinimums[[Role]:[Role]]= LEFT(P$2,FIND("-",P$2)-1))*([2]!AllocationMinimums[[Phase]:[Phase]]= TandE[[#This Row],[Phase]:[Phase]])))), (SUM(_xlfn._xlws.FILTER([2]!AllocationMinimums[[Min]:[Min]], ([2]!AllocationMinimums[[Role]:[Role]] = LEFT(P$2,FIND("-",P$2)-1))*([2]!AllocationMinimums[[Phase]:[Phase]]= TandE[[#This Row],[Phase]:[Phase]]))) - (SUM(_xlfn._xlws.FILTER(TandE[Role 5], (TandE[[Practice]:[Practice]] &lt;&gt;"Padding")*(TandE[[Phase]:[Phase]]=TandE[[#This Row],[Phase]:[Phase]])))) / INDIRECT(TandE[[#This Row],[Phase]:[Phase]]&amp;"_Length")) *INDIRECT(TandE[[#This Row],[Phase]:[Phase]]&amp;"_Length"), 0), 0)</f>
        <v>0</v>
      </c>
      <c r="Q27" s="35" cm="1">
        <f t="array" aca="1" ref="Q27" ca="1">IFERROR(IF(AND((SUM(_xlfn._xlws.FILTER(TandE[Role 6], (TandE[[Practice]:[Practice]]&lt;&gt;"Padding")*(TandE[[Phase]:[Phase]]=TandE[[#This Row],[Phase]:[Phase]])))) &gt;0,(SUM(_xlfn._xlws.FILTER(TandE[Role 6], (TandE[[Practice]:[Practice]]&lt;&gt;"Padding")*(TandE[[Phase]:[Phase]]=TandE[[#This Row],[Phase]:[Phase]])))) / INDIRECT(TandE[[#This Row],[Phase]:[Phase]]&amp; "_Length") &lt; SUM(_xlfn._xlws.FILTER([2]!AllocationMinimums[[Min]:[Min]], ([2]!AllocationMinimums[[Role]:[Role]]= LEFT(Q$2,FIND("-",Q$2)-1))*([2]!AllocationMinimums[[Phase]:[Phase]]= TandE[[#This Row],[Phase]:[Phase]])))), (SUM(_xlfn._xlws.FILTER([2]!AllocationMinimums[[Min]:[Min]], ([2]!AllocationMinimums[[Role]:[Role]] = LEFT(Q$2,FIND("-",Q$2)-1))*([2]!AllocationMinimums[[Phase]:[Phase]]= TandE[[#This Row],[Phase]:[Phase]]))) - (SUM(_xlfn._xlws.FILTER(TandE[Role 6], (TandE[[Practice]:[Practice]] &lt;&gt;"Padding")*(TandE[[Phase]:[Phase]]=TandE[[#This Row],[Phase]:[Phase]])))) / INDIRECT(TandE[[#This Row],[Phase]:[Phase]]&amp;"_Length")) *INDIRECT(TandE[[#This Row],[Phase]:[Phase]]&amp;"_Length"), 0), 0)</f>
        <v>0</v>
      </c>
      <c r="R27" s="35" cm="1">
        <f t="array" aca="1" ref="R27" ca="1">IFERROR(IF(AND((SUM(_xlfn._xlws.FILTER(TandE[Role 7], (TandE[[Practice]:[Practice]]&lt;&gt;"Padding")*(TandE[[Phase]:[Phase]]=TandE[[#This Row],[Phase]:[Phase]])))) &gt;0,(SUM(_xlfn._xlws.FILTER(TandE[Role 7], (TandE[[Practice]:[Practice]]&lt;&gt;"Padding")*(TandE[[Phase]:[Phase]]=TandE[[#This Row],[Phase]:[Phase]])))) / INDIRECT(TandE[[#This Row],[Phase]:[Phase]]&amp; "_Length") &lt; SUM(_xlfn._xlws.FILTER([2]!AllocationMinimums[[Min]:[Min]], ([2]!AllocationMinimums[[Role]:[Role]]= LEFT(R$2,FIND("-",R$2)-1))*([2]!AllocationMinimums[[Phase]:[Phase]]= TandE[[#This Row],[Phase]:[Phase]])))), (SUM(_xlfn._xlws.FILTER([2]!AllocationMinimums[[Min]:[Min]], ([2]!AllocationMinimums[[Role]:[Role]] = LEFT(R$2,FIND("-",R$2)-1))*([2]!AllocationMinimums[[Phase]:[Phase]]= TandE[[#This Row],[Phase]:[Phase]]))) - (SUM(_xlfn._xlws.FILTER(TandE[Role 7], (TandE[[Practice]:[Practice]] &lt;&gt;"Padding")*(TandE[[Phase]:[Phase]]=TandE[[#This Row],[Phase]:[Phase]])))) / INDIRECT(TandE[[#This Row],[Phase]:[Phase]]&amp;"_Length")) *INDIRECT(TandE[[#This Row],[Phase]:[Phase]]&amp;"_Length"), 0), 0)</f>
        <v>0</v>
      </c>
      <c r="S27" s="35" cm="1">
        <f t="array" aca="1" ref="S27" ca="1">IFERROR(IF(AND((SUM(_xlfn._xlws.FILTER(TandE[Role 8], (TandE[[Practice]:[Practice]]&lt;&gt;"Padding")*(TandE[[Phase]:[Phase]]=TandE[[#This Row],[Phase]:[Phase]])))) &gt;0,(SUM(_xlfn._xlws.FILTER(TandE[Role 8], (TandE[[Practice]:[Practice]]&lt;&gt;"Padding")*(TandE[[Phase]:[Phase]]=TandE[[#This Row],[Phase]:[Phase]])))) / INDIRECT(TandE[[#This Row],[Phase]:[Phase]]&amp; "_Length") &lt; SUM(_xlfn._xlws.FILTER([2]!AllocationMinimums[[Min]:[Min]], ([2]!AllocationMinimums[[Role]:[Role]]= LEFT(S$2,FIND("-",S$2)-1))*([2]!AllocationMinimums[[Phase]:[Phase]]= TandE[[#This Row],[Phase]:[Phase]])))), (SUM(_xlfn._xlws.FILTER([2]!AllocationMinimums[[Min]:[Min]], ([2]!AllocationMinimums[[Role]:[Role]] = LEFT(S$2,FIND("-",S$2)-1))*([2]!AllocationMinimums[[Phase]:[Phase]]= TandE[[#This Row],[Phase]:[Phase]]))) - (SUM(_xlfn._xlws.FILTER(TandE[Role 8], (TandE[[Practice]:[Practice]] &lt;&gt;"Padding")*(TandE[[Phase]:[Phase]]=TandE[[#This Row],[Phase]:[Phase]])))) / INDIRECT(TandE[[#This Row],[Phase]:[Phase]]&amp;"_Length")) *INDIRECT(TandE[[#This Row],[Phase]:[Phase]]&amp;"_Length"), 0), 0)</f>
        <v>0</v>
      </c>
      <c r="T27" s="35" cm="1">
        <f t="array" aca="1" ref="T27" ca="1">IFERROR(IF(AND((SUM(_xlfn._xlws.FILTER(TandE[Role 9], (TandE[[Practice]:[Practice]]&lt;&gt;"Padding")*(TandE[[Phase]:[Phase]]=TandE[[#This Row],[Phase]:[Phase]])))) &gt;0,(SUM(_xlfn._xlws.FILTER(TandE[Role 9], (TandE[[Practice]:[Practice]]&lt;&gt;"Padding")*(TandE[[Phase]:[Phase]]=TandE[[#This Row],[Phase]:[Phase]])))) / INDIRECT(TandE[[#This Row],[Phase]:[Phase]]&amp; "_Length") &lt; SUM(_xlfn._xlws.FILTER([2]!AllocationMinimums[[Min]:[Min]], ([2]!AllocationMinimums[[Role]:[Role]]= LEFT(T$2,FIND("-",T$2)-1))*([2]!AllocationMinimums[[Phase]:[Phase]]= TandE[[#This Row],[Phase]:[Phase]])))), (SUM(_xlfn._xlws.FILTER([2]!AllocationMinimums[[Min]:[Min]], ([2]!AllocationMinimums[[Role]:[Role]] = LEFT(T$2,FIND("-",T$2)-1))*([2]!AllocationMinimums[[Phase]:[Phase]]= TandE[[#This Row],[Phase]:[Phase]]))) - (SUM(_xlfn._xlws.FILTER(TandE[Role 9], (TandE[[Practice]:[Practice]] &lt;&gt;"Padding")*(TandE[[Phase]:[Phase]]=TandE[[#This Row],[Phase]:[Phase]])))) / INDIRECT(TandE[[#This Row],[Phase]:[Phase]]&amp;"_Length")) *INDIRECT(TandE[[#This Row],[Phase]:[Phase]]&amp;"_Length"), 0), 0)</f>
        <v>0</v>
      </c>
      <c r="U27" s="35" cm="1">
        <f t="array" aca="1" ref="U27" ca="1">IFERROR(IF(AND((SUM(_xlfn._xlws.FILTER(TandE[Role 10], (TandE[[Practice]:[Practice]]&lt;&gt;"Padding")*(TandE[[Phase]:[Phase]]=TandE[[#This Row],[Phase]:[Phase]])))) &gt;0,(SUM(_xlfn._xlws.FILTER(TandE[Role 10], (TandE[[Practice]:[Practice]]&lt;&gt;"Padding")*(TandE[[Phase]:[Phase]]=TandE[[#This Row],[Phase]:[Phase]])))) / INDIRECT(TandE[[#This Row],[Phase]:[Phase]]&amp; "_Length") &lt; SUM(_xlfn._xlws.FILTER([2]!AllocationMinimums[[Min]:[Min]], ([2]!AllocationMinimums[[Role]:[Role]]= LEFT(U$2,FIND("-",U$2)-1))*([2]!AllocationMinimums[[Phase]:[Phase]]= TandE[[#This Row],[Phase]:[Phase]])))), (SUM(_xlfn._xlws.FILTER([2]!AllocationMinimums[[Min]:[Min]], ([2]!AllocationMinimums[[Role]:[Role]] = LEFT(U$2,FIND("-",U$2)-1))*([2]!AllocationMinimums[[Phase]:[Phase]]= TandE[[#This Row],[Phase]:[Phase]]))) - (SUM(_xlfn._xlws.FILTER(TandE[Role 10], (TandE[[Practice]:[Practice]] &lt;&gt;"Padding")*(TandE[[Phase]:[Phase]]=TandE[[#This Row],[Phase]:[Phase]])))) / INDIRECT(TandE[[#This Row],[Phase]:[Phase]]&amp;"_Length")) *INDIRECT(TandE[[#This Row],[Phase]:[Phase]]&amp;"_Length"), 0), 0)</f>
        <v>0</v>
      </c>
      <c r="V27" s="35" cm="1">
        <f t="array" aca="1" ref="V27" ca="1">IFERROR(IF(AND((SUM(_xlfn._xlws.FILTER(TandE[Role 11], (TandE[[Practice]:[Practice]]&lt;&gt;"Padding")*(TandE[[Phase]:[Phase]]=TandE[[#This Row],[Phase]:[Phase]])))) &gt;0,(SUM(_xlfn._xlws.FILTER(TandE[Role 11], (TandE[[Practice]:[Practice]]&lt;&gt;"Padding")*(TandE[[Phase]:[Phase]]=TandE[[#This Row],[Phase]:[Phase]])))) / INDIRECT(TandE[[#This Row],[Phase]:[Phase]]&amp; "_Length") &lt; SUM(_xlfn._xlws.FILTER([2]!AllocationMinimums[[Min]:[Min]], ([2]!AllocationMinimums[[Role]:[Role]]= LEFT(V$2,FIND("-",V$2)-1))*([2]!AllocationMinimums[[Phase]:[Phase]]= TandE[[#This Row],[Phase]:[Phase]])))), (SUM(_xlfn._xlws.FILTER([2]!AllocationMinimums[[Min]:[Min]], ([2]!AllocationMinimums[[Role]:[Role]] = LEFT(V$2,FIND("-",V$2)-1))*([2]!AllocationMinimums[[Phase]:[Phase]]= TandE[[#This Row],[Phase]:[Phase]]))) - (SUM(_xlfn._xlws.FILTER(TandE[Role 11], (TandE[[Practice]:[Practice]] &lt;&gt;"Padding")*(TandE[[Phase]:[Phase]]=TandE[[#This Row],[Phase]:[Phase]])))) / INDIRECT(TandE[[#This Row],[Phase]:[Phase]]&amp;"_Length")) *INDIRECT(TandE[[#This Row],[Phase]:[Phase]]&amp;"_Length"), 0), 0)</f>
        <v>0</v>
      </c>
      <c r="W27" s="35" cm="1">
        <f t="array" aca="1" ref="W27" ca="1">IFERROR(IF(AND((SUM(_xlfn._xlws.FILTER(TandE[Role 12], (TandE[[Practice]:[Practice]]&lt;&gt;"Padding")*(TandE[[Phase]:[Phase]]=TandE[[#This Row],[Phase]:[Phase]])))) &gt;0,(SUM(_xlfn._xlws.FILTER(TandE[Role 12], (TandE[[Practice]:[Practice]]&lt;&gt;"Padding")*(TandE[[Phase]:[Phase]]=TandE[[#This Row],[Phase]:[Phase]])))) / INDIRECT(TandE[[#This Row],[Phase]:[Phase]]&amp; "_Length") &lt; SUM(_xlfn._xlws.FILTER([2]!AllocationMinimums[[Min]:[Min]], ([2]!AllocationMinimums[[Role]:[Role]]= LEFT(W$2,FIND("-",W$2)-1))*([2]!AllocationMinimums[[Phase]:[Phase]]= TandE[[#This Row],[Phase]:[Phase]])))), (SUM(_xlfn._xlws.FILTER([2]!AllocationMinimums[[Min]:[Min]], ([2]!AllocationMinimums[[Role]:[Role]] = LEFT(W$2,FIND("-",W$2)-1))*([2]!AllocationMinimums[[Phase]:[Phase]]= TandE[[#This Row],[Phase]:[Phase]]))) - (SUM(_xlfn._xlws.FILTER(TandE[Role 12], (TandE[[Practice]:[Practice]] &lt;&gt;"Padding")*(TandE[[Phase]:[Phase]]=TandE[[#This Row],[Phase]:[Phase]])))) / INDIRECT(TandE[[#This Row],[Phase]:[Phase]]&amp;"_Length")) *INDIRECT(TandE[[#This Row],[Phase]:[Phase]]&amp;"_Length"), 0), 0)</f>
        <v>0</v>
      </c>
      <c r="X27" s="35" cm="1">
        <f t="array" aca="1" ref="X27" ca="1">IFERROR(IF(AND((SUM(_xlfn._xlws.FILTER(TandE[Role 13], (TandE[[Practice]:[Practice]]&lt;&gt;"Padding")*(TandE[[Phase]:[Phase]]=TandE[[#This Row],[Phase]:[Phase]])))) &gt;0,(SUM(_xlfn._xlws.FILTER(TandE[Role 13], (TandE[[Practice]:[Practice]]&lt;&gt;"Padding")*(TandE[[Phase]:[Phase]]=TandE[[#This Row],[Phase]:[Phase]])))) / INDIRECT(TandE[[#This Row],[Phase]:[Phase]]&amp; "_Length") &lt; SUM(_xlfn._xlws.FILTER([2]!AllocationMinimums[[Min]:[Min]], ([2]!AllocationMinimums[[Role]:[Role]]= LEFT(X$2,FIND("-",X$2)-1))*([2]!AllocationMinimums[[Phase]:[Phase]]= TandE[[#This Row],[Phase]:[Phase]])))), (SUM(_xlfn._xlws.FILTER([2]!AllocationMinimums[[Min]:[Min]], ([2]!AllocationMinimums[[Role]:[Role]] = LEFT(X$2,FIND("-",X$2)-1))*([2]!AllocationMinimums[[Phase]:[Phase]]= TandE[[#This Row],[Phase]:[Phase]]))) - (SUM(_xlfn._xlws.FILTER(TandE[Role 13], (TandE[[Practice]:[Practice]] &lt;&gt;"Padding")*(TandE[[Phase]:[Phase]]=TandE[[#This Row],[Phase]:[Phase]])))) / INDIRECT(TandE[[#This Row],[Phase]:[Phase]]&amp;"_Length")) *INDIRECT(TandE[[#This Row],[Phase]:[Phase]]&amp;"_Length"), 0), 0)</f>
        <v>0</v>
      </c>
      <c r="Y27" s="35" cm="1">
        <f t="array" aca="1" ref="Y27" ca="1">IFERROR(IF(AND((SUM(_xlfn._xlws.FILTER(TandE[Role 14], (TandE[[Practice]:[Practice]]&lt;&gt;"Padding")*(TandE[[Phase]:[Phase]]=TandE[[#This Row],[Phase]:[Phase]])))) &gt;0,(SUM(_xlfn._xlws.FILTER(TandE[Role 14], (TandE[[Practice]:[Practice]]&lt;&gt;"Padding")*(TandE[[Phase]:[Phase]]=TandE[[#This Row],[Phase]:[Phase]])))) / INDIRECT(TandE[[#This Row],[Phase]:[Phase]]&amp; "_Length") &lt; SUM(_xlfn._xlws.FILTER([2]!AllocationMinimums[[Min]:[Min]], ([2]!AllocationMinimums[[Role]:[Role]]= LEFT(Y$2,FIND("-",Y$2)-1))*([2]!AllocationMinimums[[Phase]:[Phase]]= TandE[[#This Row],[Phase]:[Phase]])))), (SUM(_xlfn._xlws.FILTER([2]!AllocationMinimums[[Min]:[Min]], ([2]!AllocationMinimums[[Role]:[Role]] = LEFT(Y$2,FIND("-",Y$2)-1))*([2]!AllocationMinimums[[Phase]:[Phase]]= TandE[[#This Row],[Phase]:[Phase]]))) - (SUM(_xlfn._xlws.FILTER(TandE[Role 14], (TandE[[Practice]:[Practice]] &lt;&gt;"Padding")*(TandE[[Phase]:[Phase]]=TandE[[#This Row],[Phase]:[Phase]])))) / INDIRECT(TandE[[#This Row],[Phase]:[Phase]]&amp;"_Length")) *INDIRECT(TandE[[#This Row],[Phase]:[Phase]]&amp;"_Length"), 0), 0)</f>
        <v>0</v>
      </c>
      <c r="Z27" s="35" cm="1">
        <f t="array" aca="1" ref="Z27" ca="1">IFERROR(IF(AND((SUM(_xlfn._xlws.FILTER(TandE[Role 15], (TandE[[Practice]:[Practice]]&lt;&gt;"Padding")*(TandE[[Phase]:[Phase]]=TandE[[#This Row],[Phase]:[Phase]])))) &gt;0,(SUM(_xlfn._xlws.FILTER(TandE[Role 15], (TandE[[Practice]:[Practice]]&lt;&gt;"Padding")*(TandE[[Phase]:[Phase]]=TandE[[#This Row],[Phase]:[Phase]])))) / INDIRECT(TandE[[#This Row],[Phase]:[Phase]]&amp; "_Length") &lt; SUM(_xlfn._xlws.FILTER([2]!AllocationMinimums[[Min]:[Min]], ([2]!AllocationMinimums[[Role]:[Role]]= LEFT(Z$2,FIND("-",Z$2)-1))*([2]!AllocationMinimums[[Phase]:[Phase]]= TandE[[#This Row],[Phase]:[Phase]])))), (SUM(_xlfn._xlws.FILTER([2]!AllocationMinimums[[Min]:[Min]], ([2]!AllocationMinimums[[Role]:[Role]] = LEFT(Z$2,FIND("-",Z$2)-1))*([2]!AllocationMinimums[[Phase]:[Phase]]= TandE[[#This Row],[Phase]:[Phase]]))) - (SUM(_xlfn._xlws.FILTER(TandE[Role 15], (TandE[[Practice]:[Practice]] &lt;&gt;"Padding")*(TandE[[Phase]:[Phase]]=TandE[[#This Row],[Phase]:[Phase]])))) / INDIRECT(TandE[[#This Row],[Phase]:[Phase]]&amp;"_Length")) *INDIRECT(TandE[[#This Row],[Phase]:[Phase]]&amp;"_Length"), 0), 0)</f>
        <v>0</v>
      </c>
      <c r="AA27" s="1">
        <f ca="1">SUM(TandE[[#This Row],[Role 1]:[Role 5]])</f>
        <v>0</v>
      </c>
    </row>
    <row r="28" spans="1:27" ht="15.75" thickBot="1">
      <c r="A28" s="155"/>
      <c r="B28" s="31" t="s">
        <v>7</v>
      </c>
      <c r="C28" s="32">
        <f>CLOSE_START</f>
        <v>8</v>
      </c>
      <c r="D28" s="32">
        <f>CLOSE_END</f>
        <v>8</v>
      </c>
      <c r="E28" s="33" t="s">
        <v>88</v>
      </c>
      <c r="F28" s="33"/>
      <c r="G28" s="33"/>
      <c r="H28" s="33" t="s">
        <v>89</v>
      </c>
      <c r="I28" s="33" t="s">
        <v>90</v>
      </c>
      <c r="J28" s="33"/>
      <c r="K28" s="33" t="s">
        <v>40</v>
      </c>
      <c r="L28" s="35" cm="1">
        <f t="array" aca="1" ref="L28" ca="1">IFERROR(IF(AND((SUM(_xlfn._xlws.FILTER(TandE[Role 1], (TandE[[Practice]:[Practice]]&lt;&gt;"Padding")*(TandE[[Phase]:[Phase]]=TandE[[#This Row],[Phase]:[Phase]])))) &gt;0,(SUM(_xlfn._xlws.FILTER(TandE[Role 1], (TandE[[Practice]:[Practice]]&lt;&gt;"Padding")*(TandE[[Phase]:[Phase]]=TandE[[#This Row],[Phase]:[Phase]])))) / INDIRECT(TandE[[#This Row],[Phase]:[Phase]]&amp; "_Length") &lt; SUM(_xlfn._xlws.FILTER([2]!AllocationMinimums[[Min]:[Min]], ([2]!AllocationMinimums[[Role]:[Role]]= LEFT(L$2,FIND("-",L$2)-1))*([2]!AllocationMinimums[[Phase]:[Phase]]= TandE[[#This Row],[Phase]:[Phase]])))), (SUM(_xlfn._xlws.FILTER([2]!AllocationMinimums[[Min]:[Min]], ([2]!AllocationMinimums[[Role]:[Role]] = LEFT(L$2,FIND("-",L$2)-1))*([2]!AllocationMinimums[[Phase]:[Phase]]= TandE[[#This Row],[Phase]:[Phase]]))) - (SUM(_xlfn._xlws.FILTER(TandE[Role 1], (TandE[[Practice]:[Practice]] &lt;&gt;"Padding")*(TandE[[Phase]:[Phase]]=TandE[[#This Row],[Phase]:[Phase]])))) / INDIRECT(TandE[[#This Row],[Phase]:[Phase]]&amp;"_Length")) *INDIRECT(TandE[[#This Row],[Phase]:[Phase]]&amp;"_Length"), 0), 0)</f>
        <v>0</v>
      </c>
      <c r="M28" s="35" cm="1">
        <f t="array" aca="1" ref="M28" ca="1">IFERROR(IF(AND((SUM(_xlfn._xlws.FILTER(TandE[Role 2], (TandE[[Practice]:[Practice]]&lt;&gt;"Padding")*(TandE[[Phase]:[Phase]]=TandE[[#This Row],[Phase]:[Phase]])))) &gt;0,(SUM(_xlfn._xlws.FILTER(TandE[Role 2], (TandE[[Practice]:[Practice]]&lt;&gt;"Padding")*(TandE[[Phase]:[Phase]]=TandE[[#This Row],[Phase]:[Phase]])))) / INDIRECT(TandE[[#This Row],[Phase]:[Phase]]&amp; "_Length") &lt; SUM(_xlfn._xlws.FILTER([2]!AllocationMinimums[[Min]:[Min]], ([2]!AllocationMinimums[[Role]:[Role]]= LEFT(M$2,FIND("-",M$2)-1))*([2]!AllocationMinimums[[Phase]:[Phase]]= TandE[[#This Row],[Phase]:[Phase]])))), (SUM(_xlfn._xlws.FILTER([2]!AllocationMinimums[[Min]:[Min]], ([2]!AllocationMinimums[[Role]:[Role]] = LEFT(M$2,FIND("-",M$2)-1))*([2]!AllocationMinimums[[Phase]:[Phase]]= TandE[[#This Row],[Phase]:[Phase]]))) - (SUM(_xlfn._xlws.FILTER(TandE[Role 2], (TandE[[Practice]:[Practice]] &lt;&gt;"Padding")*(TandE[[Phase]:[Phase]]=TandE[[#This Row],[Phase]:[Phase]])))) / INDIRECT(TandE[[#This Row],[Phase]:[Phase]]&amp;"_Length")) *INDIRECT(TandE[[#This Row],[Phase]:[Phase]]&amp;"_Length"), 0), 0)</f>
        <v>0</v>
      </c>
      <c r="N28" s="35" cm="1">
        <f t="array" aca="1" ref="N28" ca="1">IFERROR(IF(AND((SUM(_xlfn._xlws.FILTER(TandE[Role 3], (TandE[[Practice]:[Practice]]&lt;&gt;"Padding")*(TandE[[Phase]:[Phase]]=TandE[[#This Row],[Phase]:[Phase]])))) &gt;0,(SUM(_xlfn._xlws.FILTER(TandE[Role 3], (TandE[[Practice]:[Practice]]&lt;&gt;"Padding")*(TandE[[Phase]:[Phase]]=TandE[[#This Row],[Phase]:[Phase]])))) / INDIRECT(TandE[[#This Row],[Phase]:[Phase]]&amp; "_Length") &lt; SUM(_xlfn._xlws.FILTER([2]!AllocationMinimums[[Min]:[Min]], ([2]!AllocationMinimums[[Role]:[Role]]= LEFT(N$2,FIND("-",N$2)-1))*([2]!AllocationMinimums[[Phase]:[Phase]]= TandE[[#This Row],[Phase]:[Phase]])))), (SUM(_xlfn._xlws.FILTER([2]!AllocationMinimums[[Min]:[Min]], ([2]!AllocationMinimums[[Role]:[Role]] = LEFT(N$2,FIND("-",N$2)-1))*([2]!AllocationMinimums[[Phase]:[Phase]]= TandE[[#This Row],[Phase]:[Phase]]))) - (SUM(_xlfn._xlws.FILTER(TandE[Role 3], (TandE[[Practice]:[Practice]] &lt;&gt;"Padding")*(TandE[[Phase]:[Phase]]=TandE[[#This Row],[Phase]:[Phase]])))) / INDIRECT(TandE[[#This Row],[Phase]:[Phase]]&amp;"_Length")) *INDIRECT(TandE[[#This Row],[Phase]:[Phase]]&amp;"_Length"), 0), 0)</f>
        <v>0</v>
      </c>
      <c r="O28" s="35" cm="1">
        <f t="array" aca="1" ref="O28" ca="1">IFERROR(IF(AND((SUM(_xlfn._xlws.FILTER(TandE[Role 4], (TandE[[Practice]:[Practice]]&lt;&gt;"Padding")*(TandE[[Phase]:[Phase]]=TandE[[#This Row],[Phase]:[Phase]])))) &gt;0,(SUM(_xlfn._xlws.FILTER(TandE[Role 4], (TandE[[Practice]:[Practice]]&lt;&gt;"Padding")*(TandE[[Phase]:[Phase]]=TandE[[#This Row],[Phase]:[Phase]])))) / INDIRECT(TandE[[#This Row],[Phase]:[Phase]]&amp; "_Length") &lt; SUM(_xlfn._xlws.FILTER([2]!AllocationMinimums[[Min]:[Min]], ([2]!AllocationMinimums[[Role]:[Role]]= LEFT(O$2,FIND("-",O$2)-1))*([2]!AllocationMinimums[[Phase]:[Phase]]= TandE[[#This Row],[Phase]:[Phase]])))), (SUM(_xlfn._xlws.FILTER([2]!AllocationMinimums[[Min]:[Min]], ([2]!AllocationMinimums[[Role]:[Role]] = LEFT(O$2,FIND("-",O$2)-1))*([2]!AllocationMinimums[[Phase]:[Phase]]= TandE[[#This Row],[Phase]:[Phase]]))) - (SUM(_xlfn._xlws.FILTER(TandE[Role 4], (TandE[[Practice]:[Practice]] &lt;&gt;"Padding")*(TandE[[Phase]:[Phase]]=TandE[[#This Row],[Phase]:[Phase]])))) / INDIRECT(TandE[[#This Row],[Phase]:[Phase]]&amp;"_Length")) *INDIRECT(TandE[[#This Row],[Phase]:[Phase]]&amp;"_Length"), 0), 0)</f>
        <v>0</v>
      </c>
      <c r="P28" s="35" cm="1">
        <f t="array" aca="1" ref="P28" ca="1">IFERROR(IF(AND((SUM(_xlfn._xlws.FILTER(TandE[Role 5], (TandE[[Practice]:[Practice]]&lt;&gt;"Padding")*(TandE[[Phase]:[Phase]]=TandE[[#This Row],[Phase]:[Phase]])))) &gt;0,(SUM(_xlfn._xlws.FILTER(TandE[Role 5], (TandE[[Practice]:[Practice]]&lt;&gt;"Padding")*(TandE[[Phase]:[Phase]]=TandE[[#This Row],[Phase]:[Phase]])))) / INDIRECT(TandE[[#This Row],[Phase]:[Phase]]&amp; "_Length") &lt; SUM(_xlfn._xlws.FILTER([2]!AllocationMinimums[[Min]:[Min]], ([2]!AllocationMinimums[[Role]:[Role]]= LEFT(P$2,FIND("-",P$2)-1))*([2]!AllocationMinimums[[Phase]:[Phase]]= TandE[[#This Row],[Phase]:[Phase]])))), (SUM(_xlfn._xlws.FILTER([2]!AllocationMinimums[[Min]:[Min]], ([2]!AllocationMinimums[[Role]:[Role]] = LEFT(P$2,FIND("-",P$2)-1))*([2]!AllocationMinimums[[Phase]:[Phase]]= TandE[[#This Row],[Phase]:[Phase]]))) - (SUM(_xlfn._xlws.FILTER(TandE[Role 5], (TandE[[Practice]:[Practice]] &lt;&gt;"Padding")*(TandE[[Phase]:[Phase]]=TandE[[#This Row],[Phase]:[Phase]])))) / INDIRECT(TandE[[#This Row],[Phase]:[Phase]]&amp;"_Length")) *INDIRECT(TandE[[#This Row],[Phase]:[Phase]]&amp;"_Length"), 0), 0)</f>
        <v>0</v>
      </c>
      <c r="Q28" s="35" cm="1">
        <f t="array" aca="1" ref="Q28" ca="1">IFERROR(IF(AND((SUM(_xlfn._xlws.FILTER(TandE[Role 6], (TandE[[Practice]:[Practice]]&lt;&gt;"Padding")*(TandE[[Phase]:[Phase]]=TandE[[#This Row],[Phase]:[Phase]])))) &gt;0,(SUM(_xlfn._xlws.FILTER(TandE[Role 6], (TandE[[Practice]:[Practice]]&lt;&gt;"Padding")*(TandE[[Phase]:[Phase]]=TandE[[#This Row],[Phase]:[Phase]])))) / INDIRECT(TandE[[#This Row],[Phase]:[Phase]]&amp; "_Length") &lt; SUM(_xlfn._xlws.FILTER([2]!AllocationMinimums[[Min]:[Min]], ([2]!AllocationMinimums[[Role]:[Role]]= LEFT(Q$2,FIND("-",Q$2)-1))*([2]!AllocationMinimums[[Phase]:[Phase]]= TandE[[#This Row],[Phase]:[Phase]])))), (SUM(_xlfn._xlws.FILTER([2]!AllocationMinimums[[Min]:[Min]], ([2]!AllocationMinimums[[Role]:[Role]] = LEFT(Q$2,FIND("-",Q$2)-1))*([2]!AllocationMinimums[[Phase]:[Phase]]= TandE[[#This Row],[Phase]:[Phase]]))) - (SUM(_xlfn._xlws.FILTER(TandE[Role 6], (TandE[[Practice]:[Practice]] &lt;&gt;"Padding")*(TandE[[Phase]:[Phase]]=TandE[[#This Row],[Phase]:[Phase]])))) / INDIRECT(TandE[[#This Row],[Phase]:[Phase]]&amp;"_Length")) *INDIRECT(TandE[[#This Row],[Phase]:[Phase]]&amp;"_Length"), 0), 0)</f>
        <v>0</v>
      </c>
      <c r="R28" s="35" cm="1">
        <f t="array" aca="1" ref="R28" ca="1">IFERROR(IF(AND((SUM(_xlfn._xlws.FILTER(TandE[Role 7], (TandE[[Practice]:[Practice]]&lt;&gt;"Padding")*(TandE[[Phase]:[Phase]]=TandE[[#This Row],[Phase]:[Phase]])))) &gt;0,(SUM(_xlfn._xlws.FILTER(TandE[Role 7], (TandE[[Practice]:[Practice]]&lt;&gt;"Padding")*(TandE[[Phase]:[Phase]]=TandE[[#This Row],[Phase]:[Phase]])))) / INDIRECT(TandE[[#This Row],[Phase]:[Phase]]&amp; "_Length") &lt; SUM(_xlfn._xlws.FILTER([2]!AllocationMinimums[[Min]:[Min]], ([2]!AllocationMinimums[[Role]:[Role]]= LEFT(R$2,FIND("-",R$2)-1))*([2]!AllocationMinimums[[Phase]:[Phase]]= TandE[[#This Row],[Phase]:[Phase]])))), (SUM(_xlfn._xlws.FILTER([2]!AllocationMinimums[[Min]:[Min]], ([2]!AllocationMinimums[[Role]:[Role]] = LEFT(R$2,FIND("-",R$2)-1))*([2]!AllocationMinimums[[Phase]:[Phase]]= TandE[[#This Row],[Phase]:[Phase]]))) - (SUM(_xlfn._xlws.FILTER(TandE[Role 7], (TandE[[Practice]:[Practice]] &lt;&gt;"Padding")*(TandE[[Phase]:[Phase]]=TandE[[#This Row],[Phase]:[Phase]])))) / INDIRECT(TandE[[#This Row],[Phase]:[Phase]]&amp;"_Length")) *INDIRECT(TandE[[#This Row],[Phase]:[Phase]]&amp;"_Length"), 0), 0)</f>
        <v>0</v>
      </c>
      <c r="S28" s="35" cm="1">
        <f t="array" aca="1" ref="S28" ca="1">IFERROR(IF(AND((SUM(_xlfn._xlws.FILTER(TandE[Role 8], (TandE[[Practice]:[Practice]]&lt;&gt;"Padding")*(TandE[[Phase]:[Phase]]=TandE[[#This Row],[Phase]:[Phase]])))) &gt;0,(SUM(_xlfn._xlws.FILTER(TandE[Role 8], (TandE[[Practice]:[Practice]]&lt;&gt;"Padding")*(TandE[[Phase]:[Phase]]=TandE[[#This Row],[Phase]:[Phase]])))) / INDIRECT(TandE[[#This Row],[Phase]:[Phase]]&amp; "_Length") &lt; SUM(_xlfn._xlws.FILTER([2]!AllocationMinimums[[Min]:[Min]], ([2]!AllocationMinimums[[Role]:[Role]]= LEFT(S$2,FIND("-",S$2)-1))*([2]!AllocationMinimums[[Phase]:[Phase]]= TandE[[#This Row],[Phase]:[Phase]])))), (SUM(_xlfn._xlws.FILTER([2]!AllocationMinimums[[Min]:[Min]], ([2]!AllocationMinimums[[Role]:[Role]] = LEFT(S$2,FIND("-",S$2)-1))*([2]!AllocationMinimums[[Phase]:[Phase]]= TandE[[#This Row],[Phase]:[Phase]]))) - (SUM(_xlfn._xlws.FILTER(TandE[Role 8], (TandE[[Practice]:[Practice]] &lt;&gt;"Padding")*(TandE[[Phase]:[Phase]]=TandE[[#This Row],[Phase]:[Phase]])))) / INDIRECT(TandE[[#This Row],[Phase]:[Phase]]&amp;"_Length")) *INDIRECT(TandE[[#This Row],[Phase]:[Phase]]&amp;"_Length"), 0), 0)</f>
        <v>0</v>
      </c>
      <c r="T28" s="35" cm="1">
        <f t="array" aca="1" ref="T28" ca="1">IFERROR(IF(AND((SUM(_xlfn._xlws.FILTER(TandE[Role 9], (TandE[[Practice]:[Practice]]&lt;&gt;"Padding")*(TandE[[Phase]:[Phase]]=TandE[[#This Row],[Phase]:[Phase]])))) &gt;0,(SUM(_xlfn._xlws.FILTER(TandE[Role 9], (TandE[[Practice]:[Practice]]&lt;&gt;"Padding")*(TandE[[Phase]:[Phase]]=TandE[[#This Row],[Phase]:[Phase]])))) / INDIRECT(TandE[[#This Row],[Phase]:[Phase]]&amp; "_Length") &lt; SUM(_xlfn._xlws.FILTER([2]!AllocationMinimums[[Min]:[Min]], ([2]!AllocationMinimums[[Role]:[Role]]= LEFT(T$2,FIND("-",T$2)-1))*([2]!AllocationMinimums[[Phase]:[Phase]]= TandE[[#This Row],[Phase]:[Phase]])))), (SUM(_xlfn._xlws.FILTER([2]!AllocationMinimums[[Min]:[Min]], ([2]!AllocationMinimums[[Role]:[Role]] = LEFT(T$2,FIND("-",T$2)-1))*([2]!AllocationMinimums[[Phase]:[Phase]]= TandE[[#This Row],[Phase]:[Phase]]))) - (SUM(_xlfn._xlws.FILTER(TandE[Role 9], (TandE[[Practice]:[Practice]] &lt;&gt;"Padding")*(TandE[[Phase]:[Phase]]=TandE[[#This Row],[Phase]:[Phase]])))) / INDIRECT(TandE[[#This Row],[Phase]:[Phase]]&amp;"_Length")) *INDIRECT(TandE[[#This Row],[Phase]:[Phase]]&amp;"_Length"), 0), 0)</f>
        <v>0</v>
      </c>
      <c r="U28" s="35" cm="1">
        <f t="array" aca="1" ref="U28" ca="1">IFERROR(IF(AND((SUM(_xlfn._xlws.FILTER(TandE[Role 10], (TandE[[Practice]:[Practice]]&lt;&gt;"Padding")*(TandE[[Phase]:[Phase]]=TandE[[#This Row],[Phase]:[Phase]])))) &gt;0,(SUM(_xlfn._xlws.FILTER(TandE[Role 10], (TandE[[Practice]:[Practice]]&lt;&gt;"Padding")*(TandE[[Phase]:[Phase]]=TandE[[#This Row],[Phase]:[Phase]])))) / INDIRECT(TandE[[#This Row],[Phase]:[Phase]]&amp; "_Length") &lt; SUM(_xlfn._xlws.FILTER([2]!AllocationMinimums[[Min]:[Min]], ([2]!AllocationMinimums[[Role]:[Role]]= LEFT(U$2,FIND("-",U$2)-1))*([2]!AllocationMinimums[[Phase]:[Phase]]= TandE[[#This Row],[Phase]:[Phase]])))), (SUM(_xlfn._xlws.FILTER([2]!AllocationMinimums[[Min]:[Min]], ([2]!AllocationMinimums[[Role]:[Role]] = LEFT(U$2,FIND("-",U$2)-1))*([2]!AllocationMinimums[[Phase]:[Phase]]= TandE[[#This Row],[Phase]:[Phase]]))) - (SUM(_xlfn._xlws.FILTER(TandE[Role 10], (TandE[[Practice]:[Practice]] &lt;&gt;"Padding")*(TandE[[Phase]:[Phase]]=TandE[[#This Row],[Phase]:[Phase]])))) / INDIRECT(TandE[[#This Row],[Phase]:[Phase]]&amp;"_Length")) *INDIRECT(TandE[[#This Row],[Phase]:[Phase]]&amp;"_Length"), 0), 0)</f>
        <v>0</v>
      </c>
      <c r="V28" s="35" cm="1">
        <f t="array" aca="1" ref="V28" ca="1">IFERROR(IF(AND((SUM(_xlfn._xlws.FILTER(TandE[Role 11], (TandE[[Practice]:[Practice]]&lt;&gt;"Padding")*(TandE[[Phase]:[Phase]]=TandE[[#This Row],[Phase]:[Phase]])))) &gt;0,(SUM(_xlfn._xlws.FILTER(TandE[Role 11], (TandE[[Practice]:[Practice]]&lt;&gt;"Padding")*(TandE[[Phase]:[Phase]]=TandE[[#This Row],[Phase]:[Phase]])))) / INDIRECT(TandE[[#This Row],[Phase]:[Phase]]&amp; "_Length") &lt; SUM(_xlfn._xlws.FILTER([2]!AllocationMinimums[[Min]:[Min]], ([2]!AllocationMinimums[[Role]:[Role]]= LEFT(V$2,FIND("-",V$2)-1))*([2]!AllocationMinimums[[Phase]:[Phase]]= TandE[[#This Row],[Phase]:[Phase]])))), (SUM(_xlfn._xlws.FILTER([2]!AllocationMinimums[[Min]:[Min]], ([2]!AllocationMinimums[[Role]:[Role]] = LEFT(V$2,FIND("-",V$2)-1))*([2]!AllocationMinimums[[Phase]:[Phase]]= TandE[[#This Row],[Phase]:[Phase]]))) - (SUM(_xlfn._xlws.FILTER(TandE[Role 11], (TandE[[Practice]:[Practice]] &lt;&gt;"Padding")*(TandE[[Phase]:[Phase]]=TandE[[#This Row],[Phase]:[Phase]])))) / INDIRECT(TandE[[#This Row],[Phase]:[Phase]]&amp;"_Length")) *INDIRECT(TandE[[#This Row],[Phase]:[Phase]]&amp;"_Length"), 0), 0)</f>
        <v>0</v>
      </c>
      <c r="W28" s="35" cm="1">
        <f t="array" aca="1" ref="W28" ca="1">IFERROR(IF(AND((SUM(_xlfn._xlws.FILTER(TandE[Role 12], (TandE[[Practice]:[Practice]]&lt;&gt;"Padding")*(TandE[[Phase]:[Phase]]=TandE[[#This Row],[Phase]:[Phase]])))) &gt;0,(SUM(_xlfn._xlws.FILTER(TandE[Role 12], (TandE[[Practice]:[Practice]]&lt;&gt;"Padding")*(TandE[[Phase]:[Phase]]=TandE[[#This Row],[Phase]:[Phase]])))) / INDIRECT(TandE[[#This Row],[Phase]:[Phase]]&amp; "_Length") &lt; SUM(_xlfn._xlws.FILTER([2]!AllocationMinimums[[Min]:[Min]], ([2]!AllocationMinimums[[Role]:[Role]]= LEFT(W$2,FIND("-",W$2)-1))*([2]!AllocationMinimums[[Phase]:[Phase]]= TandE[[#This Row],[Phase]:[Phase]])))), (SUM(_xlfn._xlws.FILTER([2]!AllocationMinimums[[Min]:[Min]], ([2]!AllocationMinimums[[Role]:[Role]] = LEFT(W$2,FIND("-",W$2)-1))*([2]!AllocationMinimums[[Phase]:[Phase]]= TandE[[#This Row],[Phase]:[Phase]]))) - (SUM(_xlfn._xlws.FILTER(TandE[Role 12], (TandE[[Practice]:[Practice]] &lt;&gt;"Padding")*(TandE[[Phase]:[Phase]]=TandE[[#This Row],[Phase]:[Phase]])))) / INDIRECT(TandE[[#This Row],[Phase]:[Phase]]&amp;"_Length")) *INDIRECT(TandE[[#This Row],[Phase]:[Phase]]&amp;"_Length"), 0), 0)</f>
        <v>0</v>
      </c>
      <c r="X28" s="35" cm="1">
        <f t="array" aca="1" ref="X28" ca="1">IFERROR(IF(AND((SUM(_xlfn._xlws.FILTER(TandE[Role 13], (TandE[[Practice]:[Practice]]&lt;&gt;"Padding")*(TandE[[Phase]:[Phase]]=TandE[[#This Row],[Phase]:[Phase]])))) &gt;0,(SUM(_xlfn._xlws.FILTER(TandE[Role 13], (TandE[[Practice]:[Practice]]&lt;&gt;"Padding")*(TandE[[Phase]:[Phase]]=TandE[[#This Row],[Phase]:[Phase]])))) / INDIRECT(TandE[[#This Row],[Phase]:[Phase]]&amp; "_Length") &lt; SUM(_xlfn._xlws.FILTER([2]!AllocationMinimums[[Min]:[Min]], ([2]!AllocationMinimums[[Role]:[Role]]= LEFT(X$2,FIND("-",X$2)-1))*([2]!AllocationMinimums[[Phase]:[Phase]]= TandE[[#This Row],[Phase]:[Phase]])))), (SUM(_xlfn._xlws.FILTER([2]!AllocationMinimums[[Min]:[Min]], ([2]!AllocationMinimums[[Role]:[Role]] = LEFT(X$2,FIND("-",X$2)-1))*([2]!AllocationMinimums[[Phase]:[Phase]]= TandE[[#This Row],[Phase]:[Phase]]))) - (SUM(_xlfn._xlws.FILTER(TandE[Role 13], (TandE[[Practice]:[Practice]] &lt;&gt;"Padding")*(TandE[[Phase]:[Phase]]=TandE[[#This Row],[Phase]:[Phase]])))) / INDIRECT(TandE[[#This Row],[Phase]:[Phase]]&amp;"_Length")) *INDIRECT(TandE[[#This Row],[Phase]:[Phase]]&amp;"_Length"), 0), 0)</f>
        <v>0</v>
      </c>
      <c r="Y28" s="35" cm="1">
        <f t="array" aca="1" ref="Y28" ca="1">IFERROR(IF(AND((SUM(_xlfn._xlws.FILTER(TandE[Role 14], (TandE[[Practice]:[Practice]]&lt;&gt;"Padding")*(TandE[[Phase]:[Phase]]=TandE[[#This Row],[Phase]:[Phase]])))) &gt;0,(SUM(_xlfn._xlws.FILTER(TandE[Role 14], (TandE[[Practice]:[Practice]]&lt;&gt;"Padding")*(TandE[[Phase]:[Phase]]=TandE[[#This Row],[Phase]:[Phase]])))) / INDIRECT(TandE[[#This Row],[Phase]:[Phase]]&amp; "_Length") &lt; SUM(_xlfn._xlws.FILTER([2]!AllocationMinimums[[Min]:[Min]], ([2]!AllocationMinimums[[Role]:[Role]]= LEFT(Y$2,FIND("-",Y$2)-1))*([2]!AllocationMinimums[[Phase]:[Phase]]= TandE[[#This Row],[Phase]:[Phase]])))), (SUM(_xlfn._xlws.FILTER([2]!AllocationMinimums[[Min]:[Min]], ([2]!AllocationMinimums[[Role]:[Role]] = LEFT(Y$2,FIND("-",Y$2)-1))*([2]!AllocationMinimums[[Phase]:[Phase]]= TandE[[#This Row],[Phase]:[Phase]]))) - (SUM(_xlfn._xlws.FILTER(TandE[Role 14], (TandE[[Practice]:[Practice]] &lt;&gt;"Padding")*(TandE[[Phase]:[Phase]]=TandE[[#This Row],[Phase]:[Phase]])))) / INDIRECT(TandE[[#This Row],[Phase]:[Phase]]&amp;"_Length")) *INDIRECT(TandE[[#This Row],[Phase]:[Phase]]&amp;"_Length"), 0), 0)</f>
        <v>0</v>
      </c>
      <c r="Z28" s="35" cm="1">
        <f t="array" aca="1" ref="Z28" ca="1">IFERROR(IF(AND((SUM(_xlfn._xlws.FILTER(TandE[Role 15], (TandE[[Practice]:[Practice]]&lt;&gt;"Padding")*(TandE[[Phase]:[Phase]]=TandE[[#This Row],[Phase]:[Phase]])))) &gt;0,(SUM(_xlfn._xlws.FILTER(TandE[Role 15], (TandE[[Practice]:[Practice]]&lt;&gt;"Padding")*(TandE[[Phase]:[Phase]]=TandE[[#This Row],[Phase]:[Phase]])))) / INDIRECT(TandE[[#This Row],[Phase]:[Phase]]&amp; "_Length") &lt; SUM(_xlfn._xlws.FILTER([2]!AllocationMinimums[[Min]:[Min]], ([2]!AllocationMinimums[[Role]:[Role]]= LEFT(Z$2,FIND("-",Z$2)-1))*([2]!AllocationMinimums[[Phase]:[Phase]]= TandE[[#This Row],[Phase]:[Phase]])))), (SUM(_xlfn._xlws.FILTER([2]!AllocationMinimums[[Min]:[Min]], ([2]!AllocationMinimums[[Role]:[Role]] = LEFT(Z$2,FIND("-",Z$2)-1))*([2]!AllocationMinimums[[Phase]:[Phase]]= TandE[[#This Row],[Phase]:[Phase]]))) - (SUM(_xlfn._xlws.FILTER(TandE[Role 15], (TandE[[Practice]:[Practice]] &lt;&gt;"Padding")*(TandE[[Phase]:[Phase]]=TandE[[#This Row],[Phase]:[Phase]])))) / INDIRECT(TandE[[#This Row],[Phase]:[Phase]]&amp;"_Length")) *INDIRECT(TandE[[#This Row],[Phase]:[Phase]]&amp;"_Length"), 0), 0)</f>
        <v>0</v>
      </c>
      <c r="AA28" s="1">
        <f ca="1">SUM(TandE[[#This Row],[Role 1]:[Role 5]])</f>
        <v>0</v>
      </c>
    </row>
    <row r="30" spans="1:27" ht="19.5" hidden="1" thickBot="1">
      <c r="B30" s="156" t="s">
        <v>91</v>
      </c>
      <c r="C30" s="157"/>
      <c r="D30" s="157"/>
      <c r="E30" s="157"/>
      <c r="F30" s="158"/>
      <c r="G30" s="36"/>
      <c r="H30" s="156" t="s">
        <v>92</v>
      </c>
      <c r="I30" s="157"/>
      <c r="J30" s="157"/>
      <c r="K30" s="157"/>
      <c r="L30" s="157"/>
      <c r="M30" s="158"/>
    </row>
    <row r="31" spans="1:27" ht="36.950000000000003" hidden="1" customHeight="1">
      <c r="A31" s="159" t="s">
        <v>93</v>
      </c>
      <c r="B31" s="38" t="s">
        <v>94</v>
      </c>
      <c r="C31" s="39" t="s">
        <v>95</v>
      </c>
      <c r="D31" s="40" t="s">
        <v>96</v>
      </c>
      <c r="E31" s="40" t="s">
        <v>17</v>
      </c>
      <c r="F31" s="40" t="s">
        <v>97</v>
      </c>
      <c r="G31" s="40" t="s">
        <v>98</v>
      </c>
      <c r="H31" s="40" t="s">
        <v>99</v>
      </c>
      <c r="I31" s="40" t="s">
        <v>100</v>
      </c>
      <c r="J31" s="41" t="s">
        <v>101</v>
      </c>
      <c r="K31" s="41" t="s">
        <v>102</v>
      </c>
      <c r="L31" s="41" t="s">
        <v>103</v>
      </c>
      <c r="M31" s="41" t="s">
        <v>104</v>
      </c>
      <c r="N31" s="41" t="s">
        <v>105</v>
      </c>
      <c r="O31" s="41" t="s">
        <v>106</v>
      </c>
      <c r="P31" s="41" t="s">
        <v>107</v>
      </c>
      <c r="Q31" s="41" t="s">
        <v>108</v>
      </c>
      <c r="R31" s="41" t="s">
        <v>109</v>
      </c>
      <c r="S31" s="41" t="s">
        <v>110</v>
      </c>
    </row>
    <row r="32" spans="1:27" hidden="1">
      <c r="A32" s="160"/>
      <c r="B32" s="43" t="s">
        <v>20</v>
      </c>
      <c r="C32" s="44" t="str">
        <f>IF(ISBLANK(RolesandSkills[[#This Row],[Role]]),"",RolesandSkills[[#This Row],[Role]]&amp;"-"&amp;RolesandSkills[[#This Row],[Practice]])</f>
        <v>Project Manager-PMO</v>
      </c>
      <c r="D32" s="45" t="str">
        <f>IF(ISBLANK([2]Pricing!D27),"",[2]Pricing!D27)</f>
        <v>USA</v>
      </c>
      <c r="E32" s="45" t="str">
        <f>IF(ISBLANK([2]Pricing!T27),"",[2]Pricing!T27)</f>
        <v>PMO</v>
      </c>
      <c r="F32" s="45" t="str">
        <f>IF(ISBLANK([2]Pricing!U27),"",[2]Pricing!U27)</f>
        <v/>
      </c>
      <c r="G32" s="45" t="str">
        <f>IF(ISBLANK([2]Pricing!V27),"",[2]Pricing!V27)</f>
        <v/>
      </c>
      <c r="H32" s="45" t="str">
        <f>IF(ISBLANK([2]Pricing!W27),"",[2]Pricing!W27)</f>
        <v/>
      </c>
      <c r="I32" s="46" t="str">
        <f>IF(ISBLANK([2]Pricing!E27),"",[2]Pricing!E27)</f>
        <v>Project Manager</v>
      </c>
      <c r="J32" s="47"/>
      <c r="K32" s="45" t="e">
        <f>ROUND(RolesandSkills[[#This Row],[Initiate %]]*[2]!TotalsNoOversight[[#Totals],[Initiate]],0)</f>
        <v>#REF!</v>
      </c>
      <c r="L32" s="47"/>
      <c r="M32" s="45" t="e">
        <f>ROUND(RolesandSkills[[#This Row],[Plan %]]*[2]!TotalsNoOversight[[#Totals],[Plan]],0)</f>
        <v>#REF!</v>
      </c>
      <c r="N32" s="47"/>
      <c r="O32" s="45" t="e">
        <f>ROUND(RolesandSkills[[#This Row],[Execute %]]*[2]!TotalsNoOversight[[#Totals],[Execute]],0)</f>
        <v>#REF!</v>
      </c>
      <c r="P32" s="47"/>
      <c r="Q32" s="45" t="e">
        <f>ROUND(RolesandSkills[[#This Row],[Deliver %]]*[2]!TotalsNoOversight[[#Totals],[Deliver]],0)</f>
        <v>#REF!</v>
      </c>
      <c r="R32" s="47"/>
      <c r="S32" s="45" t="e">
        <f>ROUND(RolesandSkills[[#This Row],[Close %]]*[2]!TotalsNoOversight[[#Totals],[Close]],0)</f>
        <v>#REF!</v>
      </c>
    </row>
    <row r="33" spans="1:19" hidden="1">
      <c r="A33" s="160"/>
      <c r="B33" s="43" t="s">
        <v>21</v>
      </c>
      <c r="C33" s="44" t="str">
        <f>IF(ISBLANK(RolesandSkills[[#This Row],[Role]]),"",RolesandSkills[[#This Row],[Role]]&amp;"-"&amp;RolesandSkills[[#This Row],[Practice]])</f>
        <v>Solution Architect-Technology</v>
      </c>
      <c r="D33" s="45" t="str">
        <f>IF(ISBLANK([2]Pricing!D28),"",[2]Pricing!D28)</f>
        <v>USA</v>
      </c>
      <c r="E33" s="45" t="str">
        <f>IF(ISBLANK([2]Pricing!T28),"",[2]Pricing!T28)</f>
        <v>Technology</v>
      </c>
      <c r="F33" s="45" t="str">
        <f>IF(ISBLANK([2]Pricing!U28),"",[2]Pricing!U28)</f>
        <v>AI Now Assist ITSM</v>
      </c>
      <c r="G33" s="45" t="str">
        <f>IF(ISBLANK([2]Pricing!V28),"",[2]Pricing!V28)</f>
        <v/>
      </c>
      <c r="H33" s="45" t="str">
        <f>IF(ISBLANK([2]Pricing!W28),"",[2]Pricing!W28)</f>
        <v/>
      </c>
      <c r="I33" s="46" t="str">
        <f>IF(ISBLANK([2]Pricing!E28),"",[2]Pricing!E28)</f>
        <v>Solution Architect</v>
      </c>
      <c r="J33" s="47"/>
      <c r="K33" s="45" t="e">
        <f>ROUND(RolesandSkills[[#This Row],[Initiate %]]*[2]!TotalsNoOversight[[#Totals],[Initiate]],0)</f>
        <v>#REF!</v>
      </c>
      <c r="L33" s="47"/>
      <c r="M33" s="45" t="e">
        <f>ROUND(RolesandSkills[[#This Row],[Plan %]]*[2]!TotalsNoOversight[[#Totals],[Plan]],0)</f>
        <v>#REF!</v>
      </c>
      <c r="N33" s="47"/>
      <c r="O33" s="45" t="e">
        <f>ROUND(RolesandSkills[[#This Row],[Execute %]]*[2]!TotalsNoOversight[[#Totals],[Execute]],0)</f>
        <v>#REF!</v>
      </c>
      <c r="P33" s="47"/>
      <c r="Q33" s="45" t="e">
        <f>ROUND(RolesandSkills[[#This Row],[Deliver %]]*[2]!TotalsNoOversight[[#Totals],[Deliver]],0)</f>
        <v>#REF!</v>
      </c>
      <c r="R33" s="47"/>
      <c r="S33" s="45" t="e">
        <f>ROUND(RolesandSkills[[#This Row],[Close %]]*[2]!TotalsNoOversight[[#Totals],[Close]],0)</f>
        <v>#REF!</v>
      </c>
    </row>
    <row r="34" spans="1:19" hidden="1">
      <c r="A34" s="160"/>
      <c r="B34" s="43" t="s">
        <v>22</v>
      </c>
      <c r="C34" s="44" t="str">
        <f>IF(ISBLANK(RolesandSkills[[#This Row],[Role]]),"",RolesandSkills[[#This Row],[Role]]&amp;"-"&amp;RolesandSkills[[#This Row],[Practice]])</f>
        <v>Business Process Consultant-Technology</v>
      </c>
      <c r="D34" s="45" t="str">
        <f>IF(ISBLANK([2]Pricing!D29),"",[2]Pricing!D29)</f>
        <v>USA</v>
      </c>
      <c r="E34" s="45" t="str">
        <f>IF(ISBLANK([2]Pricing!T29),"",[2]Pricing!T29)</f>
        <v>Technology</v>
      </c>
      <c r="F34" s="45" t="str">
        <f>IF(ISBLANK([2]Pricing!U29),"",[2]Pricing!U29)</f>
        <v>AI Now Assist ITSM</v>
      </c>
      <c r="G34" s="45" t="str">
        <f>IF(ISBLANK([2]Pricing!V29),"",[2]Pricing!V29)</f>
        <v/>
      </c>
      <c r="H34" s="45" t="str">
        <f>IF(ISBLANK([2]Pricing!W29),"",[2]Pricing!W29)</f>
        <v/>
      </c>
      <c r="I34" s="46" t="str">
        <f>IF(ISBLANK([2]Pricing!E29),"",[2]Pricing!E29)</f>
        <v>Business Process Consultant</v>
      </c>
      <c r="J34" s="47"/>
      <c r="K34" s="45" t="e">
        <f>ROUND(RolesandSkills[[#This Row],[Initiate %]]*[2]!TotalsNoOversight[[#Totals],[Initiate]],0)</f>
        <v>#REF!</v>
      </c>
      <c r="L34" s="47"/>
      <c r="M34" s="45" t="e">
        <f>ROUND(RolesandSkills[[#This Row],[Plan %]]*[2]!TotalsNoOversight[[#Totals],[Plan]],0)</f>
        <v>#REF!</v>
      </c>
      <c r="N34" s="47"/>
      <c r="O34" s="45" t="e">
        <f>ROUND(RolesandSkills[[#This Row],[Execute %]]*[2]!TotalsNoOversight[[#Totals],[Execute]],0)</f>
        <v>#REF!</v>
      </c>
      <c r="P34" s="47"/>
      <c r="Q34" s="45" t="e">
        <f>ROUND(RolesandSkills[[#This Row],[Deliver %]]*[2]!TotalsNoOversight[[#Totals],[Deliver]],0)</f>
        <v>#REF!</v>
      </c>
      <c r="R34" s="47"/>
      <c r="S34" s="45" t="e">
        <f>ROUND(RolesandSkills[[#This Row],[Close %]]*[2]!TotalsNoOversight[[#Totals],[Close]],0)</f>
        <v>#REF!</v>
      </c>
    </row>
    <row r="35" spans="1:19" hidden="1">
      <c r="A35" s="160"/>
      <c r="B35" s="43" t="s">
        <v>23</v>
      </c>
      <c r="C35" s="44" t="str">
        <f>IF(ISBLANK(RolesandSkills[[#This Row],[Role]]),"",RolesandSkills[[#This Row],[Role]]&amp;"-"&amp;RolesandSkills[[#This Row],[Practice]])</f>
        <v>Senior Technical Consultant-Technology</v>
      </c>
      <c r="D35" s="45" t="str">
        <f>IF(ISBLANK([2]Pricing!D30),"",[2]Pricing!D30)</f>
        <v>India</v>
      </c>
      <c r="E35" s="45" t="str">
        <f>IF(ISBLANK([2]Pricing!T30),"",[2]Pricing!T30)</f>
        <v>Technology</v>
      </c>
      <c r="F35" s="45" t="str">
        <f>IF(ISBLANK([2]Pricing!U30),"",[2]Pricing!U30)</f>
        <v>AI Now Assist ITSM</v>
      </c>
      <c r="G35" s="45" t="str">
        <f>IF(ISBLANK([2]Pricing!V30),"",[2]Pricing!V30)</f>
        <v/>
      </c>
      <c r="H35" s="45" t="str">
        <f>IF(ISBLANK([2]Pricing!W30),"",[2]Pricing!W30)</f>
        <v/>
      </c>
      <c r="I35" s="46" t="str">
        <f>IF(ISBLANK([2]Pricing!E30),"",[2]Pricing!E30)</f>
        <v>Senior Technical Consultant</v>
      </c>
      <c r="J35" s="47"/>
      <c r="K35" s="45" t="e">
        <f>ROUND(RolesandSkills[[#This Row],[Initiate %]]*[2]!TotalsNoOversight[[#Totals],[Initiate]],0)</f>
        <v>#REF!</v>
      </c>
      <c r="L35" s="47"/>
      <c r="M35" s="45" t="e">
        <f>ROUND(RolesandSkills[[#This Row],[Plan %]]*[2]!TotalsNoOversight[[#Totals],[Plan]],0)</f>
        <v>#REF!</v>
      </c>
      <c r="N35" s="47"/>
      <c r="O35" s="45" t="e">
        <f>ROUND(RolesandSkills[[#This Row],[Execute %]]*[2]!TotalsNoOversight[[#Totals],[Execute]],0)</f>
        <v>#REF!</v>
      </c>
      <c r="P35" s="47"/>
      <c r="Q35" s="45" t="e">
        <f>ROUND(RolesandSkills[[#This Row],[Deliver %]]*[2]!TotalsNoOversight[[#Totals],[Deliver]],0)</f>
        <v>#REF!</v>
      </c>
      <c r="R35" s="47"/>
      <c r="S35" s="45" t="e">
        <f>ROUND(RolesandSkills[[#This Row],[Close %]]*[2]!TotalsNoOversight[[#Totals],[Close]],0)</f>
        <v>#REF!</v>
      </c>
    </row>
    <row r="36" spans="1:19" hidden="1">
      <c r="A36" s="160"/>
      <c r="B36" s="43" t="s">
        <v>24</v>
      </c>
      <c r="C36" s="44" t="str">
        <f>IF(ISBLANK(RolesandSkills[[#This Row],[Role]]),"",RolesandSkills[[#This Row],[Role]]&amp;"-"&amp;RolesandSkills[[#This Row],[Practice]])</f>
        <v>Workflow/Practice Strategist-Technology</v>
      </c>
      <c r="D36" s="45" t="str">
        <f>IF(ISBLANK([2]Pricing!D31),"",[2]Pricing!D31)</f>
        <v>USA</v>
      </c>
      <c r="E36" s="45" t="str">
        <f>IF(ISBLANK([2]Pricing!T31),"",[2]Pricing!T31)</f>
        <v>Technology</v>
      </c>
      <c r="F36" s="45" t="str">
        <f>IF(ISBLANK([2]Pricing!U31),"",[2]Pricing!U31)</f>
        <v>AI Now Assist ITSM</v>
      </c>
      <c r="G36" s="45" t="str">
        <f>IF(ISBLANK([2]Pricing!V31),"",[2]Pricing!V31)</f>
        <v/>
      </c>
      <c r="H36" s="45" t="str">
        <f>IF(ISBLANK([2]Pricing!W31),"",[2]Pricing!W31)</f>
        <v/>
      </c>
      <c r="I36" s="46" t="str">
        <f>IF(ISBLANK([2]Pricing!E31),"",[2]Pricing!E31)</f>
        <v>Workflow/Practice Strategist</v>
      </c>
      <c r="J36" s="47"/>
      <c r="K36" s="45" t="e">
        <f>ROUND(RolesandSkills[[#This Row],[Initiate %]]*[2]!TotalsNoOversight[[#Totals],[Initiate]],0)</f>
        <v>#REF!</v>
      </c>
      <c r="L36" s="47"/>
      <c r="M36" s="45" t="e">
        <f>ROUND(RolesandSkills[[#This Row],[Plan %]]*[2]!TotalsNoOversight[[#Totals],[Plan]],0)</f>
        <v>#REF!</v>
      </c>
      <c r="N36" s="47"/>
      <c r="O36" s="45" t="e">
        <f>ROUND(RolesandSkills[[#This Row],[Execute %]]*[2]!TotalsNoOversight[[#Totals],[Execute]],0)</f>
        <v>#REF!</v>
      </c>
      <c r="P36" s="47"/>
      <c r="Q36" s="45" t="e">
        <f>ROUND(RolesandSkills[[#This Row],[Deliver %]]*[2]!TotalsNoOversight[[#Totals],[Deliver]],0)</f>
        <v>#REF!</v>
      </c>
      <c r="R36" s="47"/>
      <c r="S36" s="45" t="e">
        <f>ROUND(RolesandSkills[[#This Row],[Close %]]*[2]!TotalsNoOversight[[#Totals],[Close]],0)</f>
        <v>#REF!</v>
      </c>
    </row>
    <row r="37" spans="1:19" hidden="1">
      <c r="A37" s="160"/>
      <c r="B37" s="43" t="s">
        <v>25</v>
      </c>
      <c r="C37" s="44" t="str">
        <f>IF(ISBLANK(RolesandSkills[[#This Row],[Role]]),"",RolesandSkills[[#This Row],[Role]]&amp;"-"&amp;RolesandSkills[[#This Row],[Practice]])</f>
        <v>-</v>
      </c>
      <c r="D37" s="45" t="str">
        <f>IF(ISBLANK([2]Pricing!D32),"",[2]Pricing!D32)</f>
        <v/>
      </c>
      <c r="E37" s="45" t="str">
        <f>IF(ISBLANK([2]Pricing!T32),"",[2]Pricing!T32)</f>
        <v/>
      </c>
      <c r="F37" s="45" t="str">
        <f>IF(ISBLANK([2]Pricing!U32),"",[2]Pricing!U32)</f>
        <v/>
      </c>
      <c r="G37" s="45" t="str">
        <f>IF(ISBLANK([2]Pricing!V32),"",[2]Pricing!V32)</f>
        <v/>
      </c>
      <c r="H37" s="45" t="str">
        <f>IF(ISBLANK([2]Pricing!W32),"",[2]Pricing!W32)</f>
        <v/>
      </c>
      <c r="I37" s="46" t="str">
        <f>IF(ISBLANK([2]Pricing!E32),"",[2]Pricing!E32)</f>
        <v/>
      </c>
      <c r="J37" s="47"/>
      <c r="K37" s="45" t="e">
        <f>ROUND(RolesandSkills[[#This Row],[Initiate %]]*[2]!TotalsNoOversight[[#Totals],[Initiate]],0)</f>
        <v>#REF!</v>
      </c>
      <c r="L37" s="47"/>
      <c r="M37" s="45" t="e">
        <f>ROUND(RolesandSkills[[#This Row],[Plan %]]*[2]!TotalsNoOversight[[#Totals],[Plan]],0)</f>
        <v>#REF!</v>
      </c>
      <c r="N37" s="47"/>
      <c r="O37" s="45" t="e">
        <f>ROUND(RolesandSkills[[#This Row],[Execute %]]*[2]!TotalsNoOversight[[#Totals],[Execute]],0)</f>
        <v>#REF!</v>
      </c>
      <c r="P37" s="47"/>
      <c r="Q37" s="45" t="e">
        <f>ROUND(RolesandSkills[[#This Row],[Deliver %]]*[2]!TotalsNoOversight[[#Totals],[Deliver]],0)</f>
        <v>#REF!</v>
      </c>
      <c r="R37" s="47"/>
      <c r="S37" s="45" t="e">
        <f>ROUND(RolesandSkills[[#This Row],[Close %]]*[2]!TotalsNoOversight[[#Totals],[Close]],0)</f>
        <v>#REF!</v>
      </c>
    </row>
    <row r="38" spans="1:19" hidden="1">
      <c r="A38" s="160"/>
      <c r="B38" s="43" t="s">
        <v>26</v>
      </c>
      <c r="C38" s="44" t="str">
        <f>IF(ISBLANK(RolesandSkills[[#This Row],[Role]]),"",RolesandSkills[[#This Row],[Role]]&amp;"-"&amp;RolesandSkills[[#This Row],[Practice]])</f>
        <v>-</v>
      </c>
      <c r="D38" s="45" t="str">
        <f>IF(ISBLANK([2]Pricing!D33),"",[2]Pricing!D33)</f>
        <v/>
      </c>
      <c r="E38" s="45" t="str">
        <f>IF(ISBLANK([2]Pricing!T33),"",[2]Pricing!T33)</f>
        <v/>
      </c>
      <c r="F38" s="45" t="str">
        <f>IF(ISBLANK([2]Pricing!U33),"",[2]Pricing!U33)</f>
        <v/>
      </c>
      <c r="G38" s="45" t="str">
        <f>IF(ISBLANK([2]Pricing!V33),"",[2]Pricing!V33)</f>
        <v/>
      </c>
      <c r="H38" s="45" t="str">
        <f>IF(ISBLANK([2]Pricing!W33),"",[2]Pricing!W33)</f>
        <v/>
      </c>
      <c r="I38" s="46" t="str">
        <f>IF(ISBLANK([2]Pricing!E33),"",[2]Pricing!E33)</f>
        <v/>
      </c>
      <c r="J38" s="47"/>
      <c r="K38" s="45" t="e">
        <f>ROUND(RolesandSkills[[#This Row],[Initiate %]]*[2]!TotalsNoOversight[[#Totals],[Initiate]],0)</f>
        <v>#REF!</v>
      </c>
      <c r="L38" s="47"/>
      <c r="M38" s="45" t="e">
        <f>ROUND(RolesandSkills[[#This Row],[Plan %]]*[2]!TotalsNoOversight[[#Totals],[Plan]],0)</f>
        <v>#REF!</v>
      </c>
      <c r="N38" s="47"/>
      <c r="O38" s="45" t="e">
        <f>ROUND(RolesandSkills[[#This Row],[Execute %]]*[2]!TotalsNoOversight[[#Totals],[Execute]],0)</f>
        <v>#REF!</v>
      </c>
      <c r="P38" s="47"/>
      <c r="Q38" s="45" t="e">
        <f>ROUND(RolesandSkills[[#This Row],[Deliver %]]*[2]!TotalsNoOversight[[#Totals],[Deliver]],0)</f>
        <v>#REF!</v>
      </c>
      <c r="R38" s="47"/>
      <c r="S38" s="45" t="e">
        <f>ROUND(RolesandSkills[[#This Row],[Close %]]*[2]!TotalsNoOversight[[#Totals],[Close]],0)</f>
        <v>#REF!</v>
      </c>
    </row>
    <row r="39" spans="1:19" hidden="1">
      <c r="A39" s="160"/>
      <c r="B39" s="43" t="s">
        <v>27</v>
      </c>
      <c r="C39" s="44" t="str">
        <f>IF(ISBLANK(RolesandSkills[[#This Row],[Role]]),"",RolesandSkills[[#This Row],[Role]]&amp;"-"&amp;RolesandSkills[[#This Row],[Practice]])</f>
        <v>-</v>
      </c>
      <c r="D39" s="45" t="str">
        <f>IF(ISBLANK([2]Pricing!D34),"",[2]Pricing!D34)</f>
        <v/>
      </c>
      <c r="E39" s="45" t="str">
        <f>IF(ISBLANK([2]Pricing!T34),"",[2]Pricing!T34)</f>
        <v/>
      </c>
      <c r="F39" s="45" t="str">
        <f>IF(ISBLANK([2]Pricing!U34),"",[2]Pricing!U34)</f>
        <v/>
      </c>
      <c r="G39" s="45" t="str">
        <f>IF(ISBLANK([2]Pricing!V34),"",[2]Pricing!V34)</f>
        <v/>
      </c>
      <c r="H39" s="45" t="str">
        <f>IF(ISBLANK([2]Pricing!W34),"",[2]Pricing!W34)</f>
        <v/>
      </c>
      <c r="I39" s="46" t="str">
        <f>IF(ISBLANK([2]Pricing!E34),"",[2]Pricing!E34)</f>
        <v/>
      </c>
      <c r="J39" s="47"/>
      <c r="K39" s="45" t="e">
        <f>ROUND(RolesandSkills[[#This Row],[Initiate %]]*[2]!TotalsNoOversight[[#Totals],[Initiate]],0)</f>
        <v>#REF!</v>
      </c>
      <c r="L39" s="47"/>
      <c r="M39" s="45" t="e">
        <f>ROUND(RolesandSkills[[#This Row],[Plan %]]*[2]!TotalsNoOversight[[#Totals],[Plan]],0)</f>
        <v>#REF!</v>
      </c>
      <c r="N39" s="47"/>
      <c r="O39" s="45" t="e">
        <f>ROUND(RolesandSkills[[#This Row],[Execute %]]*[2]!TotalsNoOversight[[#Totals],[Execute]],0)</f>
        <v>#REF!</v>
      </c>
      <c r="P39" s="47"/>
      <c r="Q39" s="45" t="e">
        <f>ROUND(RolesandSkills[[#This Row],[Deliver %]]*[2]!TotalsNoOversight[[#Totals],[Deliver]],0)</f>
        <v>#REF!</v>
      </c>
      <c r="R39" s="47"/>
      <c r="S39" s="45" t="e">
        <f>ROUND(RolesandSkills[[#This Row],[Close %]]*[2]!TotalsNoOversight[[#Totals],[Close]],0)</f>
        <v>#REF!</v>
      </c>
    </row>
    <row r="40" spans="1:19" hidden="1">
      <c r="A40" s="160"/>
      <c r="B40" s="43" t="s">
        <v>28</v>
      </c>
      <c r="C40" s="44" t="str">
        <f>IF(ISBLANK(RolesandSkills[[#This Row],[Role]]),"",RolesandSkills[[#This Row],[Role]]&amp;"-"&amp;RolesandSkills[[#This Row],[Practice]])</f>
        <v>-</v>
      </c>
      <c r="D40" s="45" t="str">
        <f>IF(ISBLANK([2]Pricing!D35),"",[2]Pricing!D35)</f>
        <v/>
      </c>
      <c r="E40" s="45" t="str">
        <f>IF(ISBLANK([2]Pricing!T35),"",[2]Pricing!T35)</f>
        <v/>
      </c>
      <c r="F40" s="45" t="str">
        <f>IF(ISBLANK([2]Pricing!U35),"",[2]Pricing!U35)</f>
        <v/>
      </c>
      <c r="G40" s="45" t="str">
        <f>IF(ISBLANK([2]Pricing!V35),"",[2]Pricing!V35)</f>
        <v/>
      </c>
      <c r="H40" s="45" t="str">
        <f>IF(ISBLANK([2]Pricing!W35),"",[2]Pricing!W35)</f>
        <v/>
      </c>
      <c r="I40" s="46" t="str">
        <f>IF(ISBLANK([2]Pricing!E35),"",[2]Pricing!E35)</f>
        <v/>
      </c>
      <c r="J40" s="47"/>
      <c r="K40" s="45" t="e">
        <f>ROUND(RolesandSkills[[#This Row],[Initiate %]]*[2]!TotalsNoOversight[[#Totals],[Initiate]],0)</f>
        <v>#REF!</v>
      </c>
      <c r="L40" s="47"/>
      <c r="M40" s="45" t="e">
        <f>ROUND(RolesandSkills[[#This Row],[Plan %]]*[2]!TotalsNoOversight[[#Totals],[Plan]],0)</f>
        <v>#REF!</v>
      </c>
      <c r="N40" s="47"/>
      <c r="O40" s="45" t="e">
        <f>ROUND(RolesandSkills[[#This Row],[Execute %]]*[2]!TotalsNoOversight[[#Totals],[Execute]],0)</f>
        <v>#REF!</v>
      </c>
      <c r="P40" s="47"/>
      <c r="Q40" s="45" t="e">
        <f>ROUND(RolesandSkills[[#This Row],[Deliver %]]*[2]!TotalsNoOversight[[#Totals],[Deliver]],0)</f>
        <v>#REF!</v>
      </c>
      <c r="R40" s="47"/>
      <c r="S40" s="45" t="e">
        <f>ROUND(RolesandSkills[[#This Row],[Close %]]*[2]!TotalsNoOversight[[#Totals],[Close]],0)</f>
        <v>#REF!</v>
      </c>
    </row>
    <row r="41" spans="1:19" hidden="1">
      <c r="A41" s="160"/>
      <c r="B41" s="43" t="s">
        <v>29</v>
      </c>
      <c r="C41" s="44" t="str">
        <f>IF(ISBLANK(RolesandSkills[[#This Row],[Role]]),"",RolesandSkills[[#This Row],[Role]]&amp;"-"&amp;RolesandSkills[[#This Row],[Practice]])</f>
        <v>-</v>
      </c>
      <c r="D41" s="45" t="str">
        <f>IF(ISBLANK([2]Pricing!D36),"",[2]Pricing!D36)</f>
        <v/>
      </c>
      <c r="E41" s="45" t="str">
        <f>IF(ISBLANK([2]Pricing!T36),"",[2]Pricing!T36)</f>
        <v/>
      </c>
      <c r="F41" s="45" t="str">
        <f>IF(ISBLANK([2]Pricing!U36),"",[2]Pricing!U36)</f>
        <v/>
      </c>
      <c r="G41" s="45" t="str">
        <f>IF(ISBLANK([2]Pricing!V36),"",[2]Pricing!V36)</f>
        <v/>
      </c>
      <c r="H41" s="45" t="str">
        <f>IF(ISBLANK([2]Pricing!W36),"",[2]Pricing!W36)</f>
        <v/>
      </c>
      <c r="I41" s="46" t="str">
        <f>IF(ISBLANK([2]Pricing!E36),"",[2]Pricing!E36)</f>
        <v/>
      </c>
      <c r="J41" s="47"/>
      <c r="K41" s="45" t="e">
        <f>ROUND(RolesandSkills[[#This Row],[Initiate %]]*[2]!TotalsNoOversight[[#Totals],[Initiate]],0)</f>
        <v>#REF!</v>
      </c>
      <c r="L41" s="47"/>
      <c r="M41" s="45" t="e">
        <f>ROUND(RolesandSkills[[#This Row],[Plan %]]*[2]!TotalsNoOversight[[#Totals],[Plan]],0)</f>
        <v>#REF!</v>
      </c>
      <c r="N41" s="47"/>
      <c r="O41" s="45" t="e">
        <f>ROUND(RolesandSkills[[#This Row],[Execute %]]*[2]!TotalsNoOversight[[#Totals],[Execute]],0)</f>
        <v>#REF!</v>
      </c>
      <c r="P41" s="47"/>
      <c r="Q41" s="45" t="e">
        <f>ROUND(RolesandSkills[[#This Row],[Deliver %]]*[2]!TotalsNoOversight[[#Totals],[Deliver]],0)</f>
        <v>#REF!</v>
      </c>
      <c r="R41" s="47"/>
      <c r="S41" s="45" t="e">
        <f>ROUND(RolesandSkills[[#This Row],[Close %]]*[2]!TotalsNoOversight[[#Totals],[Close]],0)</f>
        <v>#REF!</v>
      </c>
    </row>
    <row r="42" spans="1:19" hidden="1">
      <c r="A42" s="160"/>
      <c r="B42" s="43" t="s">
        <v>30</v>
      </c>
      <c r="C42" s="44" t="str">
        <f>IF(ISBLANK(RolesandSkills[[#This Row],[Role]]),"",RolesandSkills[[#This Row],[Role]]&amp;"-"&amp;RolesandSkills[[#This Row],[Practice]])</f>
        <v>-</v>
      </c>
      <c r="D42" s="45" t="str">
        <f>IF(ISBLANK([2]Pricing!D37),"",[2]Pricing!D37)</f>
        <v/>
      </c>
      <c r="E42" s="45" t="str">
        <f>IF(ISBLANK([2]Pricing!T37),"",[2]Pricing!T37)</f>
        <v/>
      </c>
      <c r="F42" s="45" t="str">
        <f>IF(ISBLANK([2]Pricing!U37),"",[2]Pricing!U37)</f>
        <v/>
      </c>
      <c r="G42" s="45" t="str">
        <f>IF(ISBLANK([2]Pricing!V37),"",[2]Pricing!V37)</f>
        <v/>
      </c>
      <c r="H42" s="45" t="str">
        <f>IF(ISBLANK([2]Pricing!W37),"",[2]Pricing!W37)</f>
        <v/>
      </c>
      <c r="I42" s="46" t="str">
        <f>IF(ISBLANK([2]Pricing!E37),"",[2]Pricing!E37)</f>
        <v/>
      </c>
      <c r="J42" s="47"/>
      <c r="K42" s="45" t="e">
        <f>ROUND(RolesandSkills[[#This Row],[Initiate %]]*[2]!TotalsNoOversight[[#Totals],[Initiate]],0)</f>
        <v>#REF!</v>
      </c>
      <c r="L42" s="47"/>
      <c r="M42" s="45" t="e">
        <f>ROUND(RolesandSkills[[#This Row],[Plan %]]*[2]!TotalsNoOversight[[#Totals],[Plan]],0)</f>
        <v>#REF!</v>
      </c>
      <c r="N42" s="47"/>
      <c r="O42" s="45" t="e">
        <f>ROUND(RolesandSkills[[#This Row],[Execute %]]*[2]!TotalsNoOversight[[#Totals],[Execute]],0)</f>
        <v>#REF!</v>
      </c>
      <c r="P42" s="47"/>
      <c r="Q42" s="45" t="e">
        <f>ROUND(RolesandSkills[[#This Row],[Deliver %]]*[2]!TotalsNoOversight[[#Totals],[Deliver]],0)</f>
        <v>#REF!</v>
      </c>
      <c r="R42" s="47"/>
      <c r="S42" s="45" t="e">
        <f>ROUND(RolesandSkills[[#This Row],[Close %]]*[2]!TotalsNoOversight[[#Totals],[Close]],0)</f>
        <v>#REF!</v>
      </c>
    </row>
    <row r="43" spans="1:19" hidden="1">
      <c r="A43" s="160"/>
      <c r="B43" s="43" t="s">
        <v>31</v>
      </c>
      <c r="C43" s="44" t="str">
        <f>IF(ISBLANK(RolesandSkills[[#This Row],[Role]]),"",RolesandSkills[[#This Row],[Role]]&amp;"-"&amp;RolesandSkills[[#This Row],[Practice]])</f>
        <v>-</v>
      </c>
      <c r="D43" s="45" t="str">
        <f>IF(ISBLANK([2]Pricing!D38),"",[2]Pricing!D38)</f>
        <v/>
      </c>
      <c r="E43" s="45" t="str">
        <f>IF(ISBLANK([2]Pricing!T38),"",[2]Pricing!T38)</f>
        <v/>
      </c>
      <c r="F43" s="45" t="str">
        <f>IF(ISBLANK([2]Pricing!U38),"",[2]Pricing!U38)</f>
        <v/>
      </c>
      <c r="G43" s="45" t="str">
        <f>IF(ISBLANK([2]Pricing!V38),"",[2]Pricing!V38)</f>
        <v/>
      </c>
      <c r="H43" s="45" t="str">
        <f>IF(ISBLANK([2]Pricing!W38),"",[2]Pricing!W38)</f>
        <v/>
      </c>
      <c r="I43" s="46" t="str">
        <f>IF(ISBLANK([2]Pricing!E38),"",[2]Pricing!E38)</f>
        <v/>
      </c>
      <c r="J43" s="47"/>
      <c r="K43" s="45" t="e">
        <f>ROUND(RolesandSkills[[#This Row],[Initiate %]]*[2]!TotalsNoOversight[[#Totals],[Initiate]],0)</f>
        <v>#REF!</v>
      </c>
      <c r="L43" s="47"/>
      <c r="M43" s="45" t="e">
        <f>ROUND(RolesandSkills[[#This Row],[Plan %]]*[2]!TotalsNoOversight[[#Totals],[Plan]],0)</f>
        <v>#REF!</v>
      </c>
      <c r="N43" s="47"/>
      <c r="O43" s="45" t="e">
        <f>ROUND(RolesandSkills[[#This Row],[Execute %]]*[2]!TotalsNoOversight[[#Totals],[Execute]],0)</f>
        <v>#REF!</v>
      </c>
      <c r="P43" s="47"/>
      <c r="Q43" s="45" t="e">
        <f>ROUND(RolesandSkills[[#This Row],[Deliver %]]*[2]!TotalsNoOversight[[#Totals],[Deliver]],0)</f>
        <v>#REF!</v>
      </c>
      <c r="R43" s="47"/>
      <c r="S43" s="45" t="e">
        <f>ROUND(RolesandSkills[[#This Row],[Close %]]*[2]!TotalsNoOversight[[#Totals],[Close]],0)</f>
        <v>#REF!</v>
      </c>
    </row>
    <row r="44" spans="1:19" hidden="1">
      <c r="A44" s="160"/>
      <c r="B44" s="43" t="s">
        <v>32</v>
      </c>
      <c r="C44" s="44" t="str">
        <f>IF(ISBLANK(RolesandSkills[[#This Row],[Role]]),"",RolesandSkills[[#This Row],[Role]]&amp;"-"&amp;RolesandSkills[[#This Row],[Practice]])</f>
        <v>-</v>
      </c>
      <c r="D44" s="45" t="str">
        <f>IF(ISBLANK([2]Pricing!D39),"",[2]Pricing!D39)</f>
        <v/>
      </c>
      <c r="E44" s="45" t="str">
        <f>IF(ISBLANK([2]Pricing!T39),"",[2]Pricing!T39)</f>
        <v/>
      </c>
      <c r="F44" s="45" t="str">
        <f>IF(ISBLANK([2]Pricing!U39),"",[2]Pricing!U39)</f>
        <v/>
      </c>
      <c r="G44" s="45" t="str">
        <f>IF(ISBLANK([2]Pricing!V39),"",[2]Pricing!V39)</f>
        <v/>
      </c>
      <c r="H44" s="45" t="str">
        <f>IF(ISBLANK([2]Pricing!W39),"",[2]Pricing!W39)</f>
        <v/>
      </c>
      <c r="I44" s="46" t="str">
        <f>IF(ISBLANK([2]Pricing!E39),"",[2]Pricing!E39)</f>
        <v/>
      </c>
      <c r="J44" s="47"/>
      <c r="K44" s="45" t="e">
        <f>ROUND(RolesandSkills[[#This Row],[Initiate %]]*[2]!TotalsNoOversight[[#Totals],[Initiate]],0)</f>
        <v>#REF!</v>
      </c>
      <c r="L44" s="47"/>
      <c r="M44" s="45" t="e">
        <f>ROUND(RolesandSkills[[#This Row],[Plan %]]*[2]!TotalsNoOversight[[#Totals],[Plan]],0)</f>
        <v>#REF!</v>
      </c>
      <c r="N44" s="47"/>
      <c r="O44" s="45" t="e">
        <f>ROUND(RolesandSkills[[#This Row],[Execute %]]*[2]!TotalsNoOversight[[#Totals],[Execute]],0)</f>
        <v>#REF!</v>
      </c>
      <c r="P44" s="47"/>
      <c r="Q44" s="45" t="e">
        <f>ROUND(RolesandSkills[[#This Row],[Deliver %]]*[2]!TotalsNoOversight[[#Totals],[Deliver]],0)</f>
        <v>#REF!</v>
      </c>
      <c r="R44" s="47"/>
      <c r="S44" s="45" t="e">
        <f>ROUND(RolesandSkills[[#This Row],[Close %]]*[2]!TotalsNoOversight[[#Totals],[Close]],0)</f>
        <v>#REF!</v>
      </c>
    </row>
    <row r="45" spans="1:19" ht="15.75" hidden="1" thickBot="1">
      <c r="A45" s="161"/>
      <c r="B45" s="43" t="s">
        <v>33</v>
      </c>
      <c r="C45" s="44" t="str">
        <f>IF(ISBLANK(RolesandSkills[[#This Row],[Role]]),"",RolesandSkills[[#This Row],[Role]]&amp;"-"&amp;RolesandSkills[[#This Row],[Practice]])</f>
        <v>-</v>
      </c>
      <c r="D45" s="45" t="str">
        <f>IF(ISBLANK([2]Pricing!D40),"",[2]Pricing!D40)</f>
        <v/>
      </c>
      <c r="E45" s="45" t="str">
        <f>IF(ISBLANK([2]Pricing!T40),"",[2]Pricing!T40)</f>
        <v/>
      </c>
      <c r="F45" s="45" t="str">
        <f>IF(ISBLANK([2]Pricing!U40),"",[2]Pricing!U40)</f>
        <v/>
      </c>
      <c r="G45" s="45" t="str">
        <f>IF(ISBLANK([2]Pricing!V40),"",[2]Pricing!V40)</f>
        <v/>
      </c>
      <c r="H45" s="45" t="str">
        <f>IF(ISBLANK([2]Pricing!W40),"",[2]Pricing!W40)</f>
        <v/>
      </c>
      <c r="I45" s="46" t="str">
        <f>IF(ISBLANK([2]Pricing!E40),"",[2]Pricing!E40)</f>
        <v/>
      </c>
      <c r="J45" s="47"/>
      <c r="K45" s="45" t="e">
        <f>ROUND(RolesandSkills[[#This Row],[Initiate %]]*[2]!TotalsNoOversight[[#Totals],[Initiate]],0)</f>
        <v>#REF!</v>
      </c>
      <c r="L45" s="47"/>
      <c r="M45" s="45" t="e">
        <f>ROUND(RolesandSkills[[#This Row],[Plan %]]*[2]!TotalsNoOversight[[#Totals],[Plan]],0)</f>
        <v>#REF!</v>
      </c>
      <c r="N45" s="47"/>
      <c r="O45" s="45" t="e">
        <f>ROUND(RolesandSkills[[#This Row],[Execute %]]*[2]!TotalsNoOversight[[#Totals],[Execute]],0)</f>
        <v>#REF!</v>
      </c>
      <c r="P45" s="47"/>
      <c r="Q45" s="45" t="e">
        <f>ROUND(RolesandSkills[[#This Row],[Deliver %]]*[2]!TotalsNoOversight[[#Totals],[Deliver]],0)</f>
        <v>#REF!</v>
      </c>
      <c r="R45" s="47"/>
      <c r="S45" s="45" t="e">
        <f>ROUND(RolesandSkills[[#This Row],[Close %]]*[2]!TotalsNoOversight[[#Totals],[Close]],0)</f>
        <v>#REF!</v>
      </c>
    </row>
    <row r="46" spans="1:19" hidden="1">
      <c r="A46" s="37"/>
      <c r="B46" s="48" t="s">
        <v>34</v>
      </c>
      <c r="C46" s="44" t="str">
        <f>IF(ISBLANK(RolesandSkills[[#This Row],[Role]]),"",RolesandSkills[[#This Row],[Role]]&amp;"-"&amp;RolesandSkills[[#This Row],[Practice]])</f>
        <v>-</v>
      </c>
      <c r="D46" s="45" t="str">
        <f>IF(ISBLANK([2]Pricing!D41),"",[2]Pricing!D41)</f>
        <v/>
      </c>
      <c r="E46" s="45" t="str">
        <f>IF(ISBLANK([2]Pricing!T41),"",[2]Pricing!T41)</f>
        <v/>
      </c>
      <c r="F46" s="45" t="str">
        <f>IF(ISBLANK([2]Pricing!U41),"",[2]Pricing!U41)</f>
        <v/>
      </c>
      <c r="G46" s="45" t="str">
        <f>IF(ISBLANK([2]Pricing!V41),"",[2]Pricing!V41)</f>
        <v/>
      </c>
      <c r="H46" s="45" t="str">
        <f>IF(ISBLANK([2]Pricing!W41),"",[2]Pricing!W41)</f>
        <v/>
      </c>
      <c r="I46" s="46" t="str">
        <f>IF(ISBLANK([2]Pricing!E41),"",[2]Pricing!E41)</f>
        <v/>
      </c>
      <c r="J46" s="47"/>
      <c r="K46" s="45" t="e">
        <f>ROUND(RolesandSkills[[#This Row],[Initiate %]]*[2]!TotalsNoOversight[[#Totals],[Initiate]],0)</f>
        <v>#REF!</v>
      </c>
      <c r="L46" s="47"/>
      <c r="M46" s="45" t="e">
        <f>ROUND(RolesandSkills[[#This Row],[Plan %]]*[2]!TotalsNoOversight[[#Totals],[Plan]],0)</f>
        <v>#REF!</v>
      </c>
      <c r="N46" s="47"/>
      <c r="O46" s="45" t="e">
        <f>ROUND(RolesandSkills[[#This Row],[Execute %]]*[2]!TotalsNoOversight[[#Totals],[Execute]],0)</f>
        <v>#REF!</v>
      </c>
      <c r="P46" s="47"/>
      <c r="Q46" s="45" t="e">
        <f>ROUND(RolesandSkills[[#This Row],[Deliver %]]*[2]!TotalsNoOversight[[#Totals],[Deliver]],0)</f>
        <v>#REF!</v>
      </c>
      <c r="R46" s="47"/>
      <c r="S46" s="45" t="e">
        <f>ROUND(RolesandSkills[[#This Row],[Close %]]*[2]!TotalsNoOversight[[#Totals],[Close]],0)</f>
        <v>#REF!</v>
      </c>
    </row>
    <row r="47" spans="1:19" ht="15.75" thickBot="1">
      <c r="B47" s="45"/>
      <c r="C47" s="45"/>
      <c r="D47" s="45"/>
      <c r="E47" s="45"/>
      <c r="F47" s="45"/>
      <c r="H47" s="49"/>
      <c r="I47" s="50"/>
      <c r="J47" s="49"/>
      <c r="K47" s="50"/>
      <c r="L47" s="49"/>
      <c r="M47" s="50"/>
      <c r="N47" s="49"/>
      <c r="O47" s="50"/>
      <c r="P47" s="49"/>
      <c r="Q47" s="50"/>
    </row>
    <row r="48" spans="1:19">
      <c r="A48" s="159" t="s">
        <v>111</v>
      </c>
      <c r="B48" s="162" t="s">
        <v>112</v>
      </c>
      <c r="C48" s="163"/>
      <c r="D48" s="172"/>
      <c r="E48" s="172"/>
      <c r="F48" s="173"/>
      <c r="H48" s="49"/>
      <c r="I48" s="50"/>
      <c r="J48" s="49"/>
      <c r="K48" s="50"/>
      <c r="L48" s="49"/>
      <c r="M48" s="50"/>
      <c r="N48" s="49"/>
      <c r="O48" s="50"/>
      <c r="P48" s="49"/>
      <c r="Q48" s="50"/>
    </row>
    <row r="49" spans="1:17" ht="15.75" thickBot="1">
      <c r="A49" s="160"/>
      <c r="B49" s="164"/>
      <c r="C49" s="165"/>
      <c r="D49" s="174"/>
      <c r="E49" s="174"/>
      <c r="F49" s="175"/>
      <c r="H49" s="49"/>
      <c r="I49" s="50"/>
      <c r="J49" s="49"/>
      <c r="K49" s="50"/>
      <c r="L49" s="49"/>
      <c r="M49" s="50"/>
      <c r="N49" s="49"/>
      <c r="O49" s="50"/>
      <c r="P49" s="49"/>
      <c r="Q49" s="50"/>
    </row>
    <row r="50" spans="1:17" ht="15.75" thickBot="1">
      <c r="A50" s="160"/>
      <c r="B50" s="45"/>
      <c r="C50" s="45"/>
      <c r="D50" s="45"/>
      <c r="E50" s="45"/>
      <c r="F50" s="45"/>
      <c r="H50" s="49"/>
      <c r="I50" s="50"/>
      <c r="J50" s="49"/>
      <c r="K50" s="50"/>
      <c r="L50" s="49"/>
      <c r="M50" s="50"/>
      <c r="N50" s="49"/>
      <c r="O50" s="50"/>
      <c r="P50" s="49"/>
      <c r="Q50" s="50"/>
    </row>
    <row r="51" spans="1:17">
      <c r="A51" s="160"/>
      <c r="B51" s="176" t="s">
        <v>113</v>
      </c>
      <c r="C51" s="177"/>
      <c r="D51" s="178"/>
      <c r="E51" s="178"/>
      <c r="F51" s="179"/>
      <c r="H51" s="49"/>
      <c r="I51" s="50"/>
      <c r="J51" s="49"/>
      <c r="K51" s="50"/>
      <c r="L51" s="49"/>
      <c r="M51" s="50"/>
      <c r="N51" s="49"/>
      <c r="O51" s="50"/>
      <c r="P51" s="49"/>
      <c r="Q51" s="50"/>
    </row>
    <row r="52" spans="1:17" ht="24" customHeight="1" thickBot="1">
      <c r="A52" s="160"/>
      <c r="B52" s="51"/>
      <c r="C52" s="52"/>
      <c r="D52" s="180"/>
      <c r="E52" s="180"/>
      <c r="F52" s="181"/>
      <c r="H52" s="49"/>
      <c r="I52" s="50"/>
      <c r="J52" s="49"/>
      <c r="K52" s="50"/>
      <c r="L52" s="49"/>
      <c r="M52" s="50"/>
      <c r="N52" s="49"/>
      <c r="O52" s="50"/>
      <c r="P52" s="49"/>
      <c r="Q52" s="50"/>
    </row>
    <row r="55" spans="1:17" ht="77.25" thickBot="1">
      <c r="A55" s="53" t="s">
        <v>114</v>
      </c>
      <c r="B55" s="54" t="s">
        <v>115</v>
      </c>
      <c r="C55" s="55" t="s">
        <v>14</v>
      </c>
      <c r="D55" s="56"/>
      <c r="E55" s="57"/>
      <c r="F55" s="54" t="s">
        <v>116</v>
      </c>
      <c r="G55" s="58"/>
      <c r="H55" s="58"/>
      <c r="I55" s="58"/>
      <c r="J55" s="58"/>
      <c r="K55" s="58"/>
      <c r="L55" s="58"/>
      <c r="M55" s="58"/>
    </row>
    <row r="56" spans="1:17" ht="45">
      <c r="A56" s="53"/>
      <c r="B56" s="11" t="s">
        <v>117</v>
      </c>
      <c r="C56" s="59" t="s">
        <v>118</v>
      </c>
      <c r="D56" s="60"/>
      <c r="E56" s="61"/>
      <c r="F56" s="62" t="s">
        <v>119</v>
      </c>
    </row>
    <row r="57" spans="1:17" ht="30" customHeight="1">
      <c r="A57" s="53"/>
      <c r="B57" s="11" t="s">
        <v>120</v>
      </c>
      <c r="C57" s="59" t="s">
        <v>121</v>
      </c>
      <c r="D57" s="60"/>
      <c r="E57" s="61"/>
      <c r="F57" s="62" t="s">
        <v>119</v>
      </c>
    </row>
    <row r="58" spans="1:17" ht="225">
      <c r="A58" s="53"/>
      <c r="B58" s="11" t="s">
        <v>122</v>
      </c>
      <c r="C58" s="59" t="s">
        <v>123</v>
      </c>
      <c r="D58" s="60"/>
      <c r="E58" s="61"/>
      <c r="F58" s="62" t="s">
        <v>119</v>
      </c>
    </row>
    <row r="59" spans="1:17" ht="41.25" customHeight="1">
      <c r="A59" s="53"/>
      <c r="B59" s="11" t="s">
        <v>124</v>
      </c>
      <c r="C59" s="59" t="s">
        <v>125</v>
      </c>
      <c r="D59" s="60"/>
      <c r="E59" s="61"/>
      <c r="F59" s="62" t="s">
        <v>119</v>
      </c>
    </row>
    <row r="60" spans="1:17" ht="90">
      <c r="A60" s="53"/>
      <c r="B60" s="11" t="s">
        <v>126</v>
      </c>
      <c r="C60" s="59" t="s">
        <v>127</v>
      </c>
      <c r="D60" s="60"/>
      <c r="E60" s="61"/>
      <c r="F60" s="62" t="s">
        <v>119</v>
      </c>
    </row>
    <row r="61" spans="1:17" ht="45">
      <c r="A61" s="53"/>
      <c r="B61" s="11" t="s">
        <v>128</v>
      </c>
      <c r="C61" s="59" t="s">
        <v>129</v>
      </c>
      <c r="D61" s="60"/>
      <c r="E61" s="61"/>
      <c r="F61" s="62" t="s">
        <v>119</v>
      </c>
    </row>
    <row r="62" spans="1:17" ht="105">
      <c r="A62" s="53"/>
      <c r="B62" s="11" t="s">
        <v>130</v>
      </c>
      <c r="C62" s="59" t="s">
        <v>131</v>
      </c>
      <c r="D62" s="60"/>
      <c r="E62" s="61"/>
      <c r="F62" s="62" t="s">
        <v>119</v>
      </c>
    </row>
    <row r="63" spans="1:17" ht="15.75" thickBot="1"/>
    <row r="64" spans="1:17" ht="54.6" customHeight="1">
      <c r="A64" s="37" t="s">
        <v>132</v>
      </c>
      <c r="B64" s="1" t="s">
        <v>133</v>
      </c>
      <c r="C64" s="1" t="s">
        <v>134</v>
      </c>
      <c r="D64" s="1" t="s">
        <v>135</v>
      </c>
      <c r="E64" s="1" t="s">
        <v>136</v>
      </c>
    </row>
    <row r="65" spans="1:5">
      <c r="A65" s="42"/>
      <c r="B65" s="50" t="s">
        <v>137</v>
      </c>
      <c r="D65" s="63">
        <v>0.25</v>
      </c>
      <c r="E65" s="64">
        <f>IFERROR(Table9[[#This Row],[%]]*[2]Pricing!P$45,"")</f>
        <v>31250</v>
      </c>
    </row>
    <row r="66" spans="1:5">
      <c r="A66" s="42"/>
      <c r="B66" s="50" t="s">
        <v>138</v>
      </c>
      <c r="D66" s="63">
        <v>0.25</v>
      </c>
      <c r="E66" s="64">
        <f>IFERROR(Table9[[#This Row],[%]]*[2]Pricing!P$45,"")</f>
        <v>31250</v>
      </c>
    </row>
    <row r="67" spans="1:5">
      <c r="A67" s="42"/>
      <c r="B67" s="50" t="s">
        <v>139</v>
      </c>
      <c r="D67" s="63">
        <v>0.4</v>
      </c>
      <c r="E67" s="64">
        <f>IFERROR(Table9[[#This Row],[%]]*[2]Pricing!P$45,"")</f>
        <v>50000</v>
      </c>
    </row>
    <row r="68" spans="1:5">
      <c r="A68" s="42"/>
      <c r="B68" s="50" t="s">
        <v>140</v>
      </c>
      <c r="D68" s="63">
        <v>0.1</v>
      </c>
      <c r="E68" s="64">
        <f>IFERROR(Table9[[#This Row],[%]]*[2]Pricing!P$45,"")</f>
        <v>12500</v>
      </c>
    </row>
    <row r="69" spans="1:5">
      <c r="A69" s="42"/>
      <c r="B69" s="50" t="s">
        <v>141</v>
      </c>
      <c r="D69" s="63"/>
      <c r="E69" s="64">
        <f>IFERROR(Table9[[#This Row],[%]]*[2]Pricing!P$45,"")</f>
        <v>0</v>
      </c>
    </row>
    <row r="70" spans="1:5">
      <c r="A70" s="42"/>
      <c r="B70" s="50" t="s">
        <v>142</v>
      </c>
      <c r="D70" s="63"/>
      <c r="E70" s="64">
        <f>IFERROR(Table9[[#This Row],[%]]*[2]Pricing!P$45,"")</f>
        <v>0</v>
      </c>
    </row>
    <row r="71" spans="1:5">
      <c r="A71" s="42"/>
      <c r="B71" s="50" t="s">
        <v>143</v>
      </c>
      <c r="D71" s="63"/>
      <c r="E71" s="64">
        <f>IFERROR(Table9[[#This Row],[%]]*[2]Pricing!P$45,"")</f>
        <v>0</v>
      </c>
    </row>
    <row r="72" spans="1:5">
      <c r="A72" s="42"/>
      <c r="B72" s="50" t="s">
        <v>144</v>
      </c>
      <c r="D72" s="63"/>
      <c r="E72" s="64">
        <f>IFERROR(Table9[[#This Row],[%]]*[2]Pricing!P$45,"")</f>
        <v>0</v>
      </c>
    </row>
    <row r="73" spans="1:5">
      <c r="A73" s="42"/>
      <c r="B73" s="50" t="s">
        <v>145</v>
      </c>
      <c r="D73" s="63"/>
      <c r="E73" s="64">
        <f>IFERROR(Table9[[#This Row],[%]]*[2]Pricing!P$45,"")</f>
        <v>0</v>
      </c>
    </row>
    <row r="74" spans="1:5">
      <c r="A74" s="42"/>
      <c r="B74" s="50" t="s">
        <v>146</v>
      </c>
      <c r="D74" s="63"/>
      <c r="E74" s="64">
        <f>IFERROR(Table9[[#This Row],[%]]*[2]Pricing!P$45,"")</f>
        <v>0</v>
      </c>
    </row>
    <row r="75" spans="1:5">
      <c r="A75" s="42"/>
      <c r="B75" s="50" t="s">
        <v>147</v>
      </c>
      <c r="D75" s="63"/>
      <c r="E75" s="64">
        <f>IFERROR(Table9[[#This Row],[%]]*[2]Pricing!P$45,"")</f>
        <v>0</v>
      </c>
    </row>
    <row r="76" spans="1:5">
      <c r="A76" s="42"/>
      <c r="B76" s="50" t="s">
        <v>148</v>
      </c>
      <c r="D76" s="63"/>
      <c r="E76" s="64">
        <f>IFERROR(Table9[[#This Row],[%]]*[2]Pricing!P$45,"")</f>
        <v>0</v>
      </c>
    </row>
    <row r="77" spans="1:5">
      <c r="A77" s="42"/>
      <c r="B77" s="50" t="s">
        <v>149</v>
      </c>
      <c r="D77" s="63"/>
      <c r="E77" s="64">
        <f>IFERROR(Table9[[#This Row],[%]]*[2]Pricing!P$45,"")</f>
        <v>0</v>
      </c>
    </row>
    <row r="78" spans="1:5">
      <c r="A78" s="42"/>
      <c r="B78" s="50" t="s">
        <v>150</v>
      </c>
      <c r="D78" s="63"/>
      <c r="E78" s="64">
        <f>IFERROR(Table9[[#This Row],[%]]*[2]Pricing!P$45,"")</f>
        <v>0</v>
      </c>
    </row>
    <row r="79" spans="1:5">
      <c r="A79" s="42"/>
      <c r="B79" s="50" t="s">
        <v>151</v>
      </c>
      <c r="D79" s="63"/>
      <c r="E79" s="64">
        <f>IFERROR(Table9[[#This Row],[%]]*[2]Pricing!P$45,"")</f>
        <v>0</v>
      </c>
    </row>
    <row r="80" spans="1:5">
      <c r="A80" s="42"/>
      <c r="B80" s="50" t="s">
        <v>152</v>
      </c>
      <c r="D80" s="63"/>
      <c r="E80" s="64">
        <f>IFERROR(Table9[[#This Row],[%]]*[2]Pricing!P$45,"")</f>
        <v>0</v>
      </c>
    </row>
    <row r="81" spans="1:6">
      <c r="A81" s="42"/>
      <c r="B81" s="50" t="s">
        <v>153</v>
      </c>
      <c r="D81" s="63"/>
      <c r="E81" s="64">
        <f>IFERROR(Table9[[#This Row],[%]]*[2]Pricing!P$45,"")</f>
        <v>0</v>
      </c>
    </row>
    <row r="82" spans="1:6">
      <c r="A82" s="42"/>
      <c r="B82" s="50" t="s">
        <v>154</v>
      </c>
      <c r="D82" s="63"/>
      <c r="E82" s="64">
        <f>IFERROR(Table9[[#This Row],[%]]*[2]Pricing!P$45,"")</f>
        <v>0</v>
      </c>
    </row>
    <row r="83" spans="1:6">
      <c r="A83" s="42"/>
      <c r="B83" s="50" t="s">
        <v>155</v>
      </c>
      <c r="D83" s="63"/>
      <c r="E83" s="64">
        <f>IFERROR(Table9[[#This Row],[%]]*[2]Pricing!P$45,"")</f>
        <v>0</v>
      </c>
    </row>
    <row r="84" spans="1:6">
      <c r="A84" s="42"/>
      <c r="B84" s="50" t="s">
        <v>156</v>
      </c>
      <c r="D84" s="63"/>
      <c r="E84" s="64">
        <f>IFERROR(Table9[[#This Row],[%]]*[2]Pricing!P$45,"")</f>
        <v>0</v>
      </c>
    </row>
    <row r="85" spans="1:6">
      <c r="A85" s="42"/>
      <c r="B85" s="50" t="s">
        <v>157</v>
      </c>
      <c r="D85" s="63"/>
      <c r="E85" s="64">
        <f>IFERROR(Table9[[#This Row],[%]]*[2]Pricing!P$45,"")</f>
        <v>0</v>
      </c>
    </row>
    <row r="86" spans="1:6">
      <c r="A86" s="42"/>
      <c r="B86" s="50" t="s">
        <v>158</v>
      </c>
      <c r="D86" s="63"/>
      <c r="E86" s="64">
        <f>IFERROR(Table9[[#This Row],[%]]*[2]Pricing!P$45,"")</f>
        <v>0</v>
      </c>
    </row>
    <row r="87" spans="1:6">
      <c r="A87" s="42"/>
      <c r="B87" s="50" t="s">
        <v>159</v>
      </c>
      <c r="D87" s="63"/>
      <c r="E87" s="64">
        <f>IFERROR(Table9[[#This Row],[%]]*[2]Pricing!P$45,"")</f>
        <v>0</v>
      </c>
    </row>
    <row r="88" spans="1:6">
      <c r="A88" s="42"/>
      <c r="B88" s="50" t="s">
        <v>160</v>
      </c>
      <c r="D88" s="63"/>
      <c r="E88" s="64">
        <f>IFERROR(Table9[[#This Row],[%]]*[2]Pricing!P$45,"")</f>
        <v>0</v>
      </c>
    </row>
    <row r="89" spans="1:6">
      <c r="A89" s="42"/>
      <c r="B89" s="50" t="s">
        <v>161</v>
      </c>
      <c r="D89" s="63"/>
      <c r="E89" s="64">
        <f>IFERROR(Table9[[#This Row],[%]]*[2]Pricing!P$45,"")</f>
        <v>0</v>
      </c>
    </row>
    <row r="90" spans="1:6">
      <c r="A90" s="42"/>
      <c r="B90" s="50" t="s">
        <v>162</v>
      </c>
      <c r="D90" s="63"/>
      <c r="E90" s="64">
        <f>IFERROR(Table9[[#This Row],[%]]*[2]Pricing!P$45,"")</f>
        <v>0</v>
      </c>
    </row>
    <row r="91" spans="1:6">
      <c r="A91" s="42"/>
      <c r="B91" s="50" t="s">
        <v>163</v>
      </c>
      <c r="D91" s="63"/>
      <c r="E91" s="64">
        <f>IFERROR(Table9[[#This Row],[%]]*[2]Pricing!P$45,"")</f>
        <v>0</v>
      </c>
    </row>
    <row r="92" spans="1:6">
      <c r="A92" s="42"/>
      <c r="B92" s="50" t="s">
        <v>164</v>
      </c>
      <c r="D92" s="63"/>
      <c r="E92" s="64">
        <f>IFERROR(Table9[[#This Row],[%]]*[2]Pricing!P$45,"")</f>
        <v>0</v>
      </c>
    </row>
    <row r="93" spans="1:6">
      <c r="A93" s="42"/>
      <c r="B93" s="50" t="s">
        <v>165</v>
      </c>
      <c r="D93" s="63"/>
      <c r="E93" s="64">
        <f>IFERROR(Table9[[#This Row],[%]]*[2]Pricing!P$45,"")</f>
        <v>0</v>
      </c>
    </row>
    <row r="94" spans="1:6">
      <c r="A94" s="42"/>
      <c r="B94" s="50" t="s">
        <v>166</v>
      </c>
      <c r="D94" s="63"/>
      <c r="E94" s="64">
        <f>IFERROR(Table9[[#This Row],[%]]*[2]Pricing!P$45,"")</f>
        <v>0</v>
      </c>
    </row>
    <row r="95" spans="1:6">
      <c r="A95" s="42"/>
      <c r="B95" s="50" t="s">
        <v>167</v>
      </c>
      <c r="D95" s="63"/>
      <c r="E95" s="64">
        <f>IFERROR(Table9[[#This Row],[%]]*[2]Pricing!P$45,"")</f>
        <v>0</v>
      </c>
      <c r="F95" s="65" t="s">
        <v>168</v>
      </c>
    </row>
    <row r="96" spans="1:6">
      <c r="A96" s="42"/>
      <c r="B96" s="1" t="s">
        <v>169</v>
      </c>
      <c r="D96" s="66">
        <f>SUBTOTAL(109,Table9[%])</f>
        <v>1</v>
      </c>
      <c r="E96" s="64">
        <f>SUBTOTAL(109,Table9[Price])</f>
        <v>125000</v>
      </c>
      <c r="F96" s="67">
        <f>[2]Pricing!P45</f>
        <v>125000</v>
      </c>
    </row>
  </sheetData>
  <sheetProtection algorithmName="SHA-512" hashValue="F/ODnR4cabAaOLHZdx5i4rWYjVSOhNG1uvSdnQnI9B/Kiy+SI6aCvGstB56qfZZik8/pLynthOIz0UJdt71eiQ==" saltValue="ahGAwpsMW7hIyiYo1y0eUQ==" spinCount="100000" sheet="1" formatCells="0" formatColumns="0" formatRows="0" insertRows="0" deleteRows="0" sort="0" autoFilter="0"/>
  <autoFilter ref="B55:F62" xr:uid="{0DF796A3-4B9B-4821-9F61-FFAB0221C764}">
    <filterColumn colId="1" showButton="0"/>
    <filterColumn colId="2" showButton="0"/>
  </autoFilter>
  <dataConsolidate/>
  <mergeCells count="12">
    <mergeCell ref="H30:M30"/>
    <mergeCell ref="A31:A45"/>
    <mergeCell ref="A48:A52"/>
    <mergeCell ref="B48:C49"/>
    <mergeCell ref="D48:F49"/>
    <mergeCell ref="B51:C51"/>
    <mergeCell ref="D51:F52"/>
    <mergeCell ref="A4:A14"/>
    <mergeCell ref="A15:A18"/>
    <mergeCell ref="A19:A22"/>
    <mergeCell ref="A24:A28"/>
    <mergeCell ref="B30:F30"/>
  </mergeCells>
  <conditionalFormatting sqref="C32:I46 C47:F47 D48 C50:F50 D51 C52">
    <cfRule type="expression" dxfId="68" priority="7">
      <formula>(C32="** Role Does Not Exist **")</formula>
    </cfRule>
  </conditionalFormatting>
  <conditionalFormatting sqref="E96">
    <cfRule type="cellIs" priority="5" operator="notEqual">
      <formula>$F$96</formula>
    </cfRule>
  </conditionalFormatting>
  <conditionalFormatting sqref="E3:G23 E24:E28">
    <cfRule type="expression" dxfId="67" priority="2">
      <formula>AND(ISBLANK($L3),ISBLANK($M3),ISBLANK($N3),ISBLANK($O3),ISBLANK($P3),ISBLANK($Q3),ISBLANK($R3),ISBLANK($S3),ISBLANK($T3),ISBLANK($U3),ISBLANK($V3),ISBLANK($W3),ISBLANK($X3),ISBLANK($Y3),ISBLANK($Z3))</formula>
    </cfRule>
  </conditionalFormatting>
  <conditionalFormatting sqref="E17:G17">
    <cfRule type="expression" dxfId="66" priority="10">
      <formula>AND(ISBLANK($L17),ISBLANK($M17),ISBLANK($N17),ISBLANK($O17),ISBLANK($P17),ISBLANK($Q17),ISBLANK($R17),ISBLANK(#REF!),ISBLANK($T17),ISBLANK($U17),ISBLANK($V17),ISBLANK($W17),ISBLANK($X17),ISBLANK($Y17),ISBLANK($Z17))</formula>
    </cfRule>
  </conditionalFormatting>
  <conditionalFormatting sqref="F96">
    <cfRule type="cellIs" dxfId="65" priority="6" operator="notEqual">
      <formula>$E$96</formula>
    </cfRule>
  </conditionalFormatting>
  <conditionalFormatting sqref="F24:G28">
    <cfRule type="expression" dxfId="64" priority="1">
      <formula>AND(ISBLANK($L24),ISBLANK($M24),ISBLANK($N24),ISBLANK($O24),ISBLANK($P24),ISBLANK($Q24),ISBLANK($R24),ISBLANK($S24),ISBLANK($T24),ISBLANK($U24),ISBLANK($V24),ISBLANK($W24),ISBLANK($X24),ISBLANK($Y24),ISBLANK($Z24))</formula>
    </cfRule>
  </conditionalFormatting>
  <conditionalFormatting sqref="K3:K23 B3:D28">
    <cfRule type="cellIs" dxfId="63" priority="3" operator="equal">
      <formula>""</formula>
    </cfRule>
  </conditionalFormatting>
  <dataValidations count="3">
    <dataValidation showInputMessage="1" showErrorMessage="1" sqref="B2:K2" xr:uid="{A0057320-6E1C-4178-8231-0D1DA9665775}"/>
    <dataValidation type="whole" showInputMessage="1" showErrorMessage="1" sqref="C3:D28" xr:uid="{7CCAB086-FFFC-49F1-858F-9DA09324DB93}">
      <formula1>0</formula1>
      <formula2>104</formula2>
    </dataValidation>
    <dataValidation type="list" allowBlank="1" showInputMessage="1" showErrorMessage="1" sqref="F56:F62" xr:uid="{38E6FB82-45DF-4A3D-8CDB-5E671A9FA792}">
      <formula1>"Yes, No"</formula1>
    </dataValidation>
  </dataValidations>
  <pageMargins left="0.7" right="0.7" top="0.75" bottom="0.75" header="0.3" footer="0.3"/>
  <pageSetup orientation="portrait" r:id="rId1"/>
  <tableParts count="3">
    <tablePart r:id="rId2"/>
    <tablePart r:id="rId3"/>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EE509B-EC91-401D-BBE9-80F60A3720AB}">
  <dimension ref="A2:D20"/>
  <sheetViews>
    <sheetView zoomScale="136" zoomScaleNormal="136" workbookViewId="0">
      <selection activeCell="B20" sqref="B20"/>
    </sheetView>
  </sheetViews>
  <sheetFormatPr defaultRowHeight="15"/>
  <cols>
    <col min="1" max="1" width="33.5703125" style="77" customWidth="1"/>
    <col min="2" max="2" width="64.42578125" style="77" bestFit="1" customWidth="1"/>
    <col min="3" max="3" width="107.85546875" style="77" customWidth="1"/>
    <col min="4" max="4" width="18" style="77" bestFit="1" customWidth="1"/>
    <col min="5" max="16384" width="9.140625" style="77"/>
  </cols>
  <sheetData>
    <row r="2" spans="1:4">
      <c r="A2" s="76" t="s">
        <v>170</v>
      </c>
    </row>
    <row r="3" spans="1:4" ht="15.75" thickBot="1">
      <c r="A3" s="78" t="s">
        <v>171</v>
      </c>
      <c r="B3" s="79" t="s">
        <v>172</v>
      </c>
      <c r="C3" s="79" t="s">
        <v>173</v>
      </c>
      <c r="D3" s="80" t="s">
        <v>174</v>
      </c>
    </row>
    <row r="4" spans="1:4" ht="15.75" thickBot="1">
      <c r="A4" s="166" t="s">
        <v>175</v>
      </c>
      <c r="B4" s="81" t="s">
        <v>176</v>
      </c>
      <c r="C4" s="81" t="s">
        <v>177</v>
      </c>
      <c r="D4" s="168" t="s">
        <v>178</v>
      </c>
    </row>
    <row r="5" spans="1:4" ht="15.75" thickBot="1">
      <c r="A5" s="170"/>
      <c r="B5" s="81" t="s">
        <v>179</v>
      </c>
      <c r="C5" s="81" t="s">
        <v>180</v>
      </c>
      <c r="D5" s="171"/>
    </row>
    <row r="6" spans="1:4" ht="15.75" thickBot="1">
      <c r="A6" s="167"/>
      <c r="B6" s="81" t="s">
        <v>181</v>
      </c>
      <c r="C6" s="81" t="s">
        <v>180</v>
      </c>
      <c r="D6" s="171"/>
    </row>
    <row r="7" spans="1:4" ht="15.75" thickBot="1">
      <c r="A7" s="166" t="s">
        <v>182</v>
      </c>
      <c r="B7" s="81" t="s">
        <v>183</v>
      </c>
      <c r="C7" s="81" t="s">
        <v>184</v>
      </c>
      <c r="D7" s="168" t="s">
        <v>185</v>
      </c>
    </row>
    <row r="8" spans="1:4" ht="15.75" thickBot="1">
      <c r="A8" s="170"/>
      <c r="B8" s="81" t="s">
        <v>186</v>
      </c>
      <c r="C8" s="81" t="s">
        <v>187</v>
      </c>
      <c r="D8" s="171"/>
    </row>
    <row r="9" spans="1:4" ht="15.75" thickBot="1">
      <c r="A9" s="167"/>
      <c r="B9" s="81" t="s">
        <v>188</v>
      </c>
      <c r="C9" s="81" t="s">
        <v>189</v>
      </c>
      <c r="D9" s="169"/>
    </row>
    <row r="10" spans="1:4" ht="15.75" thickBot="1">
      <c r="A10" s="166" t="s">
        <v>190</v>
      </c>
      <c r="B10" s="81" t="s">
        <v>191</v>
      </c>
      <c r="C10" s="81" t="s">
        <v>192</v>
      </c>
      <c r="D10" s="168" t="s">
        <v>193</v>
      </c>
    </row>
    <row r="11" spans="1:4" ht="15.75" thickBot="1">
      <c r="A11" s="170"/>
      <c r="B11" s="81" t="s">
        <v>194</v>
      </c>
      <c r="C11" s="81" t="s">
        <v>195</v>
      </c>
      <c r="D11" s="171"/>
    </row>
    <row r="12" spans="1:4" ht="15.75" thickBot="1">
      <c r="A12" s="167"/>
      <c r="B12" s="81" t="s">
        <v>196</v>
      </c>
      <c r="C12" s="81" t="s">
        <v>197</v>
      </c>
      <c r="D12" s="169"/>
    </row>
    <row r="13" spans="1:4">
      <c r="A13" s="82" t="s">
        <v>198</v>
      </c>
      <c r="B13" s="83" t="s">
        <v>199</v>
      </c>
      <c r="C13" s="83" t="s">
        <v>200</v>
      </c>
      <c r="D13" s="84" t="s">
        <v>201</v>
      </c>
    </row>
    <row r="15" spans="1:4">
      <c r="A15" s="76" t="s">
        <v>202</v>
      </c>
    </row>
    <row r="16" spans="1:4" ht="15.75" thickBot="1">
      <c r="A16" s="78" t="s">
        <v>171</v>
      </c>
      <c r="B16" s="79" t="s">
        <v>172</v>
      </c>
      <c r="C16" s="79" t="s">
        <v>173</v>
      </c>
      <c r="D16" s="80" t="s">
        <v>174</v>
      </c>
    </row>
    <row r="17" spans="1:4" ht="15.75" thickBot="1">
      <c r="A17" s="166" t="s">
        <v>203</v>
      </c>
      <c r="B17" s="141" t="s">
        <v>176</v>
      </c>
      <c r="C17" s="141" t="s">
        <v>177</v>
      </c>
    </row>
    <row r="18" spans="1:4" ht="15.75" thickBot="1">
      <c r="A18" s="167"/>
      <c r="B18" s="81" t="s">
        <v>204</v>
      </c>
      <c r="C18" s="81" t="s">
        <v>180</v>
      </c>
    </row>
    <row r="19" spans="1:4" ht="15.75" thickBot="1">
      <c r="A19" s="166" t="s">
        <v>205</v>
      </c>
      <c r="B19" s="81" t="s">
        <v>206</v>
      </c>
      <c r="C19" s="81" t="s">
        <v>207</v>
      </c>
      <c r="D19" s="168" t="s">
        <v>208</v>
      </c>
    </row>
    <row r="20" spans="1:4" ht="15.75" thickBot="1">
      <c r="A20" s="167"/>
      <c r="B20" s="81" t="s">
        <v>209</v>
      </c>
      <c r="C20" s="81" t="s">
        <v>210</v>
      </c>
      <c r="D20" s="169"/>
    </row>
  </sheetData>
  <mergeCells count="9">
    <mergeCell ref="A17:A18"/>
    <mergeCell ref="A19:A20"/>
    <mergeCell ref="D19:D20"/>
    <mergeCell ref="A4:A6"/>
    <mergeCell ref="D4:D6"/>
    <mergeCell ref="A7:A9"/>
    <mergeCell ref="D7:D9"/>
    <mergeCell ref="A10:A12"/>
    <mergeCell ref="D10:D1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BC9EE-C6BD-4F9E-8676-38B4D7FEB8A7}">
  <dimension ref="A1:E6"/>
  <sheetViews>
    <sheetView zoomScale="214" zoomScaleNormal="214" workbookViewId="0">
      <selection activeCell="B13" sqref="B13"/>
    </sheetView>
  </sheetViews>
  <sheetFormatPr defaultRowHeight="12.75"/>
  <cols>
    <col min="1" max="1" width="10.85546875" customWidth="1"/>
    <col min="2" max="2" width="60.140625" customWidth="1"/>
    <col min="3" max="3" width="12.28515625" customWidth="1"/>
    <col min="4" max="4" width="10.28515625" customWidth="1"/>
    <col min="5" max="5" width="13.28515625" customWidth="1"/>
  </cols>
  <sheetData>
    <row r="1" spans="1:5" ht="15.75">
      <c r="A1" s="98" t="s">
        <v>211</v>
      </c>
      <c r="B1" s="108" t="s">
        <v>212</v>
      </c>
      <c r="C1" s="108" t="s">
        <v>213</v>
      </c>
      <c r="D1" s="108" t="s">
        <v>214</v>
      </c>
      <c r="E1" s="109" t="s">
        <v>215</v>
      </c>
    </row>
    <row r="2" spans="1:5" ht="63">
      <c r="A2" s="100">
        <v>1</v>
      </c>
      <c r="B2" s="101" t="s">
        <v>216</v>
      </c>
      <c r="C2" s="102" t="s">
        <v>217</v>
      </c>
      <c r="D2" s="103">
        <v>45968</v>
      </c>
      <c r="E2" s="103" t="s">
        <v>218</v>
      </c>
    </row>
    <row r="3" spans="1:5" ht="31.5">
      <c r="A3" s="104">
        <v>2</v>
      </c>
      <c r="B3" s="105" t="s">
        <v>219</v>
      </c>
      <c r="C3" s="104" t="s">
        <v>220</v>
      </c>
      <c r="D3" s="106">
        <v>45971</v>
      </c>
      <c r="E3" s="106" t="s">
        <v>221</v>
      </c>
    </row>
    <row r="4" spans="1:5" ht="31.5">
      <c r="A4" s="104">
        <v>3</v>
      </c>
      <c r="B4" s="105" t="s">
        <v>222</v>
      </c>
      <c r="C4" s="104" t="s">
        <v>223</v>
      </c>
      <c r="D4" s="106">
        <v>45972</v>
      </c>
      <c r="E4" s="106" t="s">
        <v>224</v>
      </c>
    </row>
    <row r="5" spans="1:5" ht="31.5">
      <c r="A5" s="104">
        <v>4</v>
      </c>
      <c r="B5" s="105" t="s">
        <v>225</v>
      </c>
      <c r="C5" s="104" t="s">
        <v>223</v>
      </c>
      <c r="D5" s="106">
        <v>45973</v>
      </c>
      <c r="E5" s="106" t="s">
        <v>226</v>
      </c>
    </row>
    <row r="6" spans="1:5" ht="15.75">
      <c r="A6" s="104">
        <v>5</v>
      </c>
      <c r="B6" s="105" t="s">
        <v>227</v>
      </c>
      <c r="C6" s="107"/>
      <c r="D6" s="107"/>
      <c r="E6" s="107"/>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DC8125-57CD-4DB2-96D9-5AA688F404AD}">
  <dimension ref="A1:V19"/>
  <sheetViews>
    <sheetView topLeftCell="E1" zoomScale="106" zoomScaleNormal="106" workbookViewId="0">
      <selection activeCell="F14" sqref="F14"/>
    </sheetView>
  </sheetViews>
  <sheetFormatPr defaultRowHeight="15"/>
  <cols>
    <col min="1" max="4" width="9.140625" style="70"/>
    <col min="5" max="5" width="54.5703125" style="70" customWidth="1"/>
    <col min="6" max="6" width="11.7109375" style="70" customWidth="1"/>
    <col min="7" max="7" width="47.140625" style="70" customWidth="1"/>
    <col min="8" max="11" width="26.28515625" style="70" customWidth="1"/>
    <col min="12" max="12" width="154.140625" style="70" customWidth="1"/>
    <col min="13" max="13" width="71.85546875" style="70" bestFit="1" customWidth="1"/>
    <col min="14" max="14" width="14.28515625" style="70" customWidth="1"/>
    <col min="15" max="15" width="30.5703125" style="70" customWidth="1"/>
    <col min="16" max="16" width="9.140625" style="70"/>
    <col min="17" max="17" width="11" style="70" customWidth="1"/>
    <col min="18" max="19" width="9.140625" style="70"/>
    <col min="20" max="20" width="26.85546875" style="70" customWidth="1"/>
    <col min="21" max="21" width="25.5703125" style="70" customWidth="1"/>
    <col min="22" max="16384" width="9.140625" style="70"/>
  </cols>
  <sheetData>
    <row r="1" spans="1:22" ht="30">
      <c r="B1" s="70" t="s">
        <v>10</v>
      </c>
      <c r="C1" s="70" t="s">
        <v>11</v>
      </c>
      <c r="D1" s="86" t="s">
        <v>12</v>
      </c>
      <c r="E1" s="71" t="s">
        <v>13</v>
      </c>
      <c r="F1" s="71"/>
      <c r="G1" s="71"/>
      <c r="H1" s="71"/>
      <c r="I1" s="71"/>
      <c r="J1" s="71"/>
      <c r="K1" s="71"/>
      <c r="L1" s="71" t="s">
        <v>14</v>
      </c>
      <c r="M1" s="71" t="s">
        <v>15</v>
      </c>
      <c r="N1" s="71" t="s">
        <v>20</v>
      </c>
      <c r="O1" s="71" t="s">
        <v>21</v>
      </c>
      <c r="P1" s="71" t="s">
        <v>22</v>
      </c>
      <c r="Q1" s="71" t="s">
        <v>23</v>
      </c>
      <c r="R1" s="71" t="s">
        <v>24</v>
      </c>
      <c r="S1" s="71"/>
      <c r="T1" s="71"/>
    </row>
    <row r="2" spans="1:22" ht="105">
      <c r="A2" s="70" t="s">
        <v>35</v>
      </c>
      <c r="B2" s="70" t="s">
        <v>36</v>
      </c>
      <c r="C2" s="70" t="s">
        <v>36</v>
      </c>
      <c r="D2" s="71" t="s">
        <v>36</v>
      </c>
      <c r="E2" s="71" t="s">
        <v>36</v>
      </c>
      <c r="F2" s="71"/>
      <c r="G2" s="71"/>
      <c r="H2" s="86" t="s">
        <v>228</v>
      </c>
      <c r="I2" s="86" t="s">
        <v>229</v>
      </c>
      <c r="J2" s="86" t="s">
        <v>230</v>
      </c>
      <c r="K2" s="86" t="s">
        <v>231</v>
      </c>
      <c r="L2" s="71" t="s">
        <v>36</v>
      </c>
      <c r="M2" s="71" t="s">
        <v>36</v>
      </c>
      <c r="N2" s="71" t="s">
        <v>232</v>
      </c>
      <c r="O2" s="71" t="s">
        <v>233</v>
      </c>
      <c r="P2" s="71" t="s">
        <v>234</v>
      </c>
      <c r="Q2" s="71" t="s">
        <v>235</v>
      </c>
      <c r="R2" s="71" t="s">
        <v>236</v>
      </c>
      <c r="S2" s="71"/>
      <c r="T2" s="86" t="s">
        <v>237</v>
      </c>
      <c r="U2" s="99" t="s">
        <v>238</v>
      </c>
      <c r="V2" s="99" t="s">
        <v>239</v>
      </c>
    </row>
    <row r="3" spans="1:22" ht="30" customHeight="1">
      <c r="B3" s="70" t="s">
        <v>37</v>
      </c>
      <c r="C3" s="70">
        <v>1</v>
      </c>
      <c r="D3" s="71">
        <v>1</v>
      </c>
      <c r="E3" s="71" t="s">
        <v>38</v>
      </c>
      <c r="F3" s="71"/>
      <c r="G3" s="71"/>
      <c r="H3" s="71"/>
      <c r="I3" s="71"/>
      <c r="J3" s="71"/>
      <c r="K3" s="71"/>
      <c r="L3" s="71" t="s">
        <v>39</v>
      </c>
      <c r="M3" s="71"/>
      <c r="N3" s="71">
        <v>10</v>
      </c>
      <c r="O3" s="71">
        <v>2</v>
      </c>
      <c r="P3" s="71">
        <v>2</v>
      </c>
      <c r="Q3" s="71">
        <v>0</v>
      </c>
      <c r="R3" s="71">
        <v>2</v>
      </c>
      <c r="S3" s="71"/>
      <c r="T3" s="71"/>
      <c r="U3" s="71"/>
    </row>
    <row r="4" spans="1:22" ht="60">
      <c r="A4" s="70" t="s">
        <v>41</v>
      </c>
      <c r="B4" s="70" t="s">
        <v>41</v>
      </c>
      <c r="C4" s="70">
        <v>2</v>
      </c>
      <c r="D4" s="71">
        <v>3</v>
      </c>
      <c r="E4" s="90" t="s">
        <v>240</v>
      </c>
      <c r="F4" s="71">
        <v>1</v>
      </c>
      <c r="G4" s="85" t="s">
        <v>241</v>
      </c>
      <c r="H4" s="92" t="s">
        <v>242</v>
      </c>
      <c r="I4" s="88">
        <v>45968</v>
      </c>
      <c r="J4" s="88"/>
      <c r="K4" s="89" t="s">
        <v>243</v>
      </c>
      <c r="L4" s="71"/>
      <c r="M4" s="71"/>
      <c r="N4" s="71"/>
      <c r="O4" s="71">
        <v>4</v>
      </c>
      <c r="P4" s="71">
        <v>4</v>
      </c>
      <c r="Q4" s="71"/>
      <c r="R4" s="71">
        <v>4</v>
      </c>
      <c r="S4" s="71"/>
      <c r="T4" s="71"/>
      <c r="U4" s="71"/>
    </row>
    <row r="5" spans="1:22" ht="30">
      <c r="D5" s="71"/>
      <c r="E5" s="90" t="s">
        <v>244</v>
      </c>
      <c r="F5" s="71">
        <v>2</v>
      </c>
      <c r="G5" s="85" t="s">
        <v>222</v>
      </c>
      <c r="H5" s="92" t="s">
        <v>245</v>
      </c>
      <c r="I5" s="88">
        <v>45972</v>
      </c>
      <c r="J5" s="88"/>
      <c r="K5" s="89"/>
      <c r="L5" s="71"/>
      <c r="M5" s="71"/>
      <c r="N5" s="71"/>
      <c r="O5" s="71"/>
      <c r="P5" s="71"/>
      <c r="Q5" s="71"/>
      <c r="R5" s="71"/>
      <c r="S5" s="71"/>
      <c r="T5" s="71"/>
      <c r="U5" s="71"/>
    </row>
    <row r="6" spans="1:22" ht="30">
      <c r="B6" s="70" t="s">
        <v>41</v>
      </c>
      <c r="C6" s="70">
        <v>2</v>
      </c>
      <c r="D6" s="71">
        <v>2</v>
      </c>
      <c r="E6" s="87" t="s">
        <v>43</v>
      </c>
      <c r="F6" s="71">
        <v>3</v>
      </c>
      <c r="G6" s="85" t="s">
        <v>246</v>
      </c>
      <c r="H6" s="92" t="s">
        <v>245</v>
      </c>
      <c r="I6" s="88">
        <v>45973</v>
      </c>
      <c r="J6" s="71"/>
      <c r="K6" s="71"/>
      <c r="L6" s="71"/>
      <c r="M6" s="71" t="s">
        <v>44</v>
      </c>
      <c r="N6" s="71"/>
      <c r="O6" s="71">
        <v>4</v>
      </c>
      <c r="P6" s="71">
        <v>4</v>
      </c>
      <c r="Q6" s="71"/>
      <c r="R6" s="71">
        <v>4</v>
      </c>
      <c r="S6" s="71"/>
      <c r="T6" s="71"/>
      <c r="U6" s="71"/>
    </row>
    <row r="7" spans="1:22">
      <c r="B7" s="70" t="s">
        <v>41</v>
      </c>
      <c r="C7" s="70">
        <v>2</v>
      </c>
      <c r="D7" s="71">
        <v>2</v>
      </c>
      <c r="E7" s="86" t="s">
        <v>247</v>
      </c>
      <c r="F7" s="86"/>
      <c r="G7" s="71"/>
      <c r="H7" s="71"/>
      <c r="I7" s="71"/>
      <c r="J7" s="71"/>
      <c r="K7" s="71"/>
      <c r="L7" s="71"/>
      <c r="M7" s="71"/>
      <c r="N7" s="71"/>
      <c r="O7" s="71">
        <v>5</v>
      </c>
      <c r="P7" s="71">
        <v>10</v>
      </c>
      <c r="Q7" s="71"/>
      <c r="R7" s="71"/>
      <c r="S7" s="71"/>
      <c r="T7" s="71"/>
      <c r="U7" s="71"/>
    </row>
    <row r="8" spans="1:22">
      <c r="B8" s="70" t="s">
        <v>41</v>
      </c>
      <c r="C8" s="70">
        <v>2</v>
      </c>
      <c r="D8" s="71">
        <v>2</v>
      </c>
      <c r="E8" s="91" t="s">
        <v>46</v>
      </c>
      <c r="F8" s="91"/>
      <c r="G8" s="71"/>
      <c r="H8" s="71"/>
      <c r="I8" s="71"/>
      <c r="J8" s="71"/>
      <c r="K8" s="71"/>
      <c r="L8" s="71"/>
      <c r="M8" s="71" t="s">
        <v>47</v>
      </c>
      <c r="N8" s="71"/>
      <c r="O8" s="71"/>
      <c r="P8" s="71">
        <v>4</v>
      </c>
      <c r="Q8" s="71"/>
      <c r="R8" s="71">
        <v>4</v>
      </c>
      <c r="S8" s="71"/>
      <c r="T8" s="71"/>
      <c r="U8" s="71"/>
    </row>
    <row r="9" spans="1:22">
      <c r="B9" s="70" t="s">
        <v>41</v>
      </c>
      <c r="C9" s="70">
        <v>2</v>
      </c>
      <c r="D9" s="71">
        <v>2</v>
      </c>
      <c r="E9" s="86" t="s">
        <v>49</v>
      </c>
      <c r="F9" s="86"/>
      <c r="G9" s="71"/>
      <c r="H9" s="71"/>
      <c r="I9" s="71"/>
      <c r="J9" s="71"/>
      <c r="K9" s="71"/>
      <c r="L9" s="71" t="s">
        <v>50</v>
      </c>
      <c r="M9" s="71"/>
      <c r="N9" s="71"/>
      <c r="O9" s="71">
        <v>8</v>
      </c>
      <c r="P9" s="71">
        <v>8</v>
      </c>
      <c r="Q9" s="71"/>
      <c r="R9" s="71">
        <v>10</v>
      </c>
      <c r="S9" s="71"/>
      <c r="T9" s="71"/>
      <c r="U9" s="71"/>
    </row>
    <row r="10" spans="1:22">
      <c r="B10" s="70" t="s">
        <v>41</v>
      </c>
      <c r="C10" s="70">
        <v>2</v>
      </c>
      <c r="D10" s="71">
        <v>2</v>
      </c>
      <c r="E10" s="87" t="s">
        <v>51</v>
      </c>
      <c r="F10" s="87"/>
      <c r="G10" s="71"/>
      <c r="H10" s="71"/>
      <c r="I10" s="71"/>
      <c r="J10" s="71"/>
      <c r="K10" s="71"/>
      <c r="L10" s="71" t="s">
        <v>52</v>
      </c>
      <c r="M10" s="71"/>
      <c r="N10" s="71"/>
      <c r="O10" s="71">
        <v>4</v>
      </c>
      <c r="P10" s="71">
        <v>4</v>
      </c>
      <c r="Q10" s="71"/>
      <c r="R10" s="71">
        <v>8</v>
      </c>
      <c r="S10" s="71"/>
      <c r="T10" s="71"/>
      <c r="U10" s="71"/>
    </row>
    <row r="11" spans="1:22">
      <c r="B11" s="70" t="s">
        <v>41</v>
      </c>
      <c r="C11" s="70">
        <v>2</v>
      </c>
      <c r="D11" s="71">
        <v>2</v>
      </c>
      <c r="E11" s="86" t="s">
        <v>53</v>
      </c>
      <c r="F11" s="86"/>
      <c r="G11" s="71"/>
      <c r="H11" s="71"/>
      <c r="I11" s="71"/>
      <c r="J11" s="71"/>
      <c r="K11" s="71"/>
      <c r="L11" s="71" t="s">
        <v>54</v>
      </c>
      <c r="M11" s="71"/>
      <c r="N11" s="71"/>
      <c r="O11" s="71">
        <v>4</v>
      </c>
      <c r="P11" s="71">
        <v>4</v>
      </c>
      <c r="Q11" s="71"/>
      <c r="R11" s="71">
        <v>4</v>
      </c>
      <c r="S11" s="71"/>
      <c r="T11" s="71"/>
      <c r="U11" s="71"/>
    </row>
    <row r="12" spans="1:22">
      <c r="B12" s="70" t="s">
        <v>41</v>
      </c>
      <c r="C12" s="70">
        <v>2</v>
      </c>
      <c r="D12" s="71">
        <v>2</v>
      </c>
      <c r="E12" s="86" t="s">
        <v>55</v>
      </c>
      <c r="F12" s="86"/>
      <c r="G12" s="71"/>
      <c r="H12" s="71"/>
      <c r="I12" s="71"/>
      <c r="J12" s="71"/>
      <c r="K12" s="71"/>
      <c r="L12" s="71" t="s">
        <v>56</v>
      </c>
      <c r="M12" s="71" t="s">
        <v>57</v>
      </c>
      <c r="N12" s="71"/>
      <c r="O12" s="71">
        <v>2</v>
      </c>
      <c r="P12" s="71">
        <v>2</v>
      </c>
      <c r="Q12" s="71"/>
      <c r="R12" s="71">
        <v>2</v>
      </c>
      <c r="S12" s="71"/>
      <c r="T12" s="71"/>
      <c r="U12" s="71"/>
    </row>
    <row r="13" spans="1:22" ht="30">
      <c r="B13" s="70" t="s">
        <v>41</v>
      </c>
      <c r="C13" s="70">
        <v>2</v>
      </c>
      <c r="D13" s="71">
        <v>2</v>
      </c>
      <c r="E13" s="71" t="s">
        <v>58</v>
      </c>
      <c r="F13" s="71"/>
      <c r="G13" s="71"/>
      <c r="H13" s="71"/>
      <c r="I13" s="71"/>
      <c r="J13" s="71"/>
      <c r="K13" s="71"/>
      <c r="L13" s="71" t="s">
        <v>59</v>
      </c>
      <c r="M13" s="71"/>
      <c r="N13" s="71">
        <v>10</v>
      </c>
      <c r="O13" s="71">
        <v>0</v>
      </c>
      <c r="P13" s="71">
        <v>0</v>
      </c>
      <c r="Q13" s="71">
        <v>0</v>
      </c>
      <c r="R13" s="71">
        <v>2</v>
      </c>
      <c r="S13" s="71"/>
      <c r="T13" s="71"/>
      <c r="U13" s="71"/>
    </row>
    <row r="14" spans="1:22" ht="30">
      <c r="A14" s="70" t="s">
        <v>5</v>
      </c>
      <c r="B14" s="70" t="s">
        <v>5</v>
      </c>
      <c r="C14" s="70">
        <v>3</v>
      </c>
      <c r="D14" s="71">
        <v>6</v>
      </c>
      <c r="E14" s="71" t="s">
        <v>62</v>
      </c>
      <c r="F14" s="71"/>
      <c r="G14" s="71"/>
      <c r="H14" s="71"/>
      <c r="I14" s="71"/>
      <c r="J14" s="71"/>
      <c r="K14" s="71"/>
      <c r="L14" s="71" t="s">
        <v>63</v>
      </c>
      <c r="M14" s="71" t="s">
        <v>64</v>
      </c>
      <c r="N14" s="71"/>
      <c r="O14" s="71"/>
      <c r="P14" s="71"/>
      <c r="Q14" s="71">
        <v>120</v>
      </c>
      <c r="R14" s="71"/>
      <c r="S14" s="71"/>
      <c r="T14" s="71"/>
      <c r="U14" s="71"/>
    </row>
    <row r="15" spans="1:22">
      <c r="B15" s="70" t="s">
        <v>5</v>
      </c>
      <c r="C15" s="70">
        <v>3</v>
      </c>
      <c r="D15" s="71">
        <v>6</v>
      </c>
      <c r="E15" s="71" t="s">
        <v>65</v>
      </c>
      <c r="F15" s="71"/>
      <c r="G15" s="71"/>
      <c r="H15" s="71"/>
      <c r="I15" s="71"/>
      <c r="J15" s="71"/>
      <c r="K15" s="71"/>
      <c r="L15" s="71" t="s">
        <v>66</v>
      </c>
      <c r="M15" s="71"/>
      <c r="N15" s="71"/>
      <c r="O15" s="71"/>
      <c r="P15" s="71">
        <v>40</v>
      </c>
      <c r="Q15" s="71"/>
      <c r="R15" s="71"/>
      <c r="S15" s="71"/>
      <c r="T15" s="71"/>
      <c r="U15" s="71"/>
    </row>
    <row r="16" spans="1:22">
      <c r="B16" s="70" t="s">
        <v>5</v>
      </c>
      <c r="C16" s="70">
        <v>3</v>
      </c>
      <c r="D16" s="71">
        <v>6</v>
      </c>
      <c r="E16" s="71" t="s">
        <v>67</v>
      </c>
      <c r="F16" s="71"/>
      <c r="G16" s="71"/>
      <c r="H16" s="71"/>
      <c r="I16" s="71"/>
      <c r="J16" s="71"/>
      <c r="K16" s="71"/>
      <c r="L16" s="71" t="s">
        <v>68</v>
      </c>
      <c r="M16" s="71"/>
      <c r="N16" s="71"/>
      <c r="O16" s="71">
        <v>4</v>
      </c>
      <c r="P16" s="71"/>
      <c r="Q16" s="71">
        <v>4</v>
      </c>
      <c r="R16" s="71"/>
      <c r="S16" s="71"/>
      <c r="T16" s="71"/>
      <c r="U16" s="71"/>
    </row>
    <row r="17" spans="2:21">
      <c r="B17" s="70" t="s">
        <v>5</v>
      </c>
      <c r="C17" s="70">
        <v>3</v>
      </c>
      <c r="D17" s="71">
        <v>6</v>
      </c>
      <c r="E17" s="71" t="s">
        <v>69</v>
      </c>
      <c r="F17" s="71"/>
      <c r="G17" s="71"/>
      <c r="H17" s="71"/>
      <c r="I17" s="71"/>
      <c r="J17" s="71"/>
      <c r="K17" s="71"/>
      <c r="L17" s="71" t="s">
        <v>70</v>
      </c>
      <c r="M17" s="71"/>
      <c r="N17" s="71">
        <v>40</v>
      </c>
      <c r="O17" s="71">
        <v>32</v>
      </c>
      <c r="P17" s="71">
        <v>32</v>
      </c>
      <c r="Q17" s="71">
        <v>0</v>
      </c>
      <c r="R17" s="71">
        <v>8</v>
      </c>
      <c r="S17" s="71"/>
      <c r="T17" s="71"/>
      <c r="U17" s="71"/>
    </row>
    <row r="18" spans="2:21" ht="45">
      <c r="B18" s="70" t="s">
        <v>71</v>
      </c>
      <c r="C18" s="70">
        <v>7</v>
      </c>
      <c r="D18" s="71">
        <v>7</v>
      </c>
      <c r="E18" s="71" t="s">
        <v>83</v>
      </c>
      <c r="F18" s="71"/>
      <c r="G18" s="71"/>
      <c r="H18" s="71"/>
      <c r="I18" s="71"/>
      <c r="J18" s="71"/>
      <c r="K18" s="71"/>
      <c r="L18" s="71" t="s">
        <v>84</v>
      </c>
      <c r="M18" s="71"/>
      <c r="N18" s="71">
        <v>10</v>
      </c>
      <c r="O18" s="71">
        <v>8</v>
      </c>
      <c r="P18" s="71">
        <v>4</v>
      </c>
      <c r="Q18" s="71">
        <v>20</v>
      </c>
      <c r="R18" s="71">
        <v>2</v>
      </c>
      <c r="S18" s="71"/>
      <c r="T18" s="71"/>
      <c r="U18" s="71"/>
    </row>
    <row r="19" spans="2:21" ht="30">
      <c r="B19" s="70" t="s">
        <v>7</v>
      </c>
      <c r="C19" s="70">
        <v>8</v>
      </c>
      <c r="D19" s="71">
        <v>8</v>
      </c>
      <c r="E19" s="71" t="s">
        <v>85</v>
      </c>
      <c r="F19" s="71"/>
      <c r="G19" s="71"/>
      <c r="H19" s="71"/>
      <c r="I19" s="71"/>
      <c r="J19" s="71"/>
      <c r="K19" s="71"/>
      <c r="L19" s="71" t="s">
        <v>86</v>
      </c>
      <c r="M19" s="71"/>
      <c r="N19" s="71">
        <v>10</v>
      </c>
      <c r="O19" s="71">
        <v>2</v>
      </c>
      <c r="P19" s="71">
        <v>2</v>
      </c>
      <c r="Q19" s="71">
        <v>10</v>
      </c>
      <c r="R19" s="71">
        <v>2</v>
      </c>
      <c r="S19" s="71"/>
      <c r="T19" s="71"/>
      <c r="U19" s="71"/>
    </row>
  </sheetData>
  <autoFilter ref="A2:U19" xr:uid="{0098AD75-D758-4AA7-BF6F-D1CB1DB05875}"/>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B2DCF7-6C16-4B33-9ED6-7EBAF345B205}">
  <dimension ref="C3:M11"/>
  <sheetViews>
    <sheetView topLeftCell="D1" workbookViewId="0">
      <selection activeCell="M1" sqref="M1:M1048576"/>
    </sheetView>
  </sheetViews>
  <sheetFormatPr defaultRowHeight="12.75"/>
  <cols>
    <col min="7" max="7" width="50.85546875" customWidth="1"/>
    <col min="8" max="8" width="89.28515625" customWidth="1"/>
    <col min="9" max="9" width="32.5703125" customWidth="1"/>
    <col min="10" max="10" width="11.42578125" customWidth="1"/>
    <col min="11" max="11" width="18.42578125" customWidth="1"/>
    <col min="12" max="12" width="20.7109375" customWidth="1"/>
  </cols>
  <sheetData>
    <row r="3" spans="3:13" ht="25.5">
      <c r="F3" s="74" t="s">
        <v>248</v>
      </c>
      <c r="G3" s="75" t="s">
        <v>249</v>
      </c>
      <c r="H3" s="75" t="s">
        <v>250</v>
      </c>
      <c r="I3" s="75" t="s">
        <v>251</v>
      </c>
      <c r="J3" s="75" t="s">
        <v>252</v>
      </c>
      <c r="K3" s="75" t="s">
        <v>253</v>
      </c>
      <c r="L3" s="75" t="s">
        <v>254</v>
      </c>
    </row>
    <row r="4" spans="3:13" ht="15">
      <c r="C4" s="70" t="s">
        <v>41</v>
      </c>
      <c r="D4" s="70">
        <v>2</v>
      </c>
      <c r="E4" s="71">
        <v>2</v>
      </c>
      <c r="F4" s="73">
        <v>1</v>
      </c>
      <c r="G4" s="72" t="s">
        <v>42</v>
      </c>
      <c r="H4" s="72"/>
      <c r="I4" s="72"/>
      <c r="J4" s="72">
        <v>4</v>
      </c>
      <c r="K4" s="72">
        <v>4</v>
      </c>
      <c r="L4" s="72">
        <v>4</v>
      </c>
      <c r="M4" s="71">
        <v>12</v>
      </c>
    </row>
    <row r="5" spans="3:13" ht="30">
      <c r="C5" s="70" t="s">
        <v>41</v>
      </c>
      <c r="D5" s="70">
        <v>2</v>
      </c>
      <c r="E5" s="71">
        <v>2</v>
      </c>
      <c r="F5" s="73">
        <v>2</v>
      </c>
      <c r="G5" s="72" t="s">
        <v>43</v>
      </c>
      <c r="H5" s="72"/>
      <c r="I5" s="72" t="s">
        <v>44</v>
      </c>
      <c r="J5" s="72">
        <v>4</v>
      </c>
      <c r="K5" s="72">
        <v>4</v>
      </c>
      <c r="L5" s="72">
        <v>4</v>
      </c>
      <c r="M5" s="71">
        <v>12</v>
      </c>
    </row>
    <row r="6" spans="3:13" ht="15">
      <c r="C6" s="70" t="s">
        <v>41</v>
      </c>
      <c r="D6" s="70">
        <v>2</v>
      </c>
      <c r="E6" s="71">
        <v>2</v>
      </c>
      <c r="F6" s="73">
        <v>3</v>
      </c>
      <c r="G6" s="72" t="s">
        <v>45</v>
      </c>
      <c r="H6" s="72"/>
      <c r="I6" s="72"/>
      <c r="J6" s="72">
        <v>5</v>
      </c>
      <c r="K6" s="72">
        <v>10</v>
      </c>
      <c r="L6" s="72"/>
      <c r="M6" s="71">
        <v>15</v>
      </c>
    </row>
    <row r="7" spans="3:13" ht="45">
      <c r="C7" s="70" t="s">
        <v>41</v>
      </c>
      <c r="D7" s="70">
        <v>2</v>
      </c>
      <c r="E7" s="71">
        <v>2</v>
      </c>
      <c r="F7" s="73">
        <v>4</v>
      </c>
      <c r="G7" s="72" t="s">
        <v>46</v>
      </c>
      <c r="H7" s="72"/>
      <c r="I7" s="72" t="s">
        <v>47</v>
      </c>
      <c r="J7" s="72"/>
      <c r="K7" s="72">
        <v>4</v>
      </c>
      <c r="L7" s="72">
        <v>4</v>
      </c>
      <c r="M7" s="71">
        <v>8</v>
      </c>
    </row>
    <row r="8" spans="3:13" ht="30">
      <c r="C8" s="70" t="s">
        <v>41</v>
      </c>
      <c r="D8" s="70">
        <v>2</v>
      </c>
      <c r="E8" s="71">
        <v>2</v>
      </c>
      <c r="F8" s="73">
        <v>5</v>
      </c>
      <c r="G8" s="72" t="s">
        <v>49</v>
      </c>
      <c r="H8" s="72" t="s">
        <v>50</v>
      </c>
      <c r="I8" s="72"/>
      <c r="J8" s="72">
        <v>8</v>
      </c>
      <c r="K8" s="72">
        <v>8</v>
      </c>
      <c r="L8" s="72">
        <v>10</v>
      </c>
      <c r="M8" s="71">
        <v>26</v>
      </c>
    </row>
    <row r="9" spans="3:13" ht="15">
      <c r="C9" s="70" t="s">
        <v>41</v>
      </c>
      <c r="D9" s="70">
        <v>2</v>
      </c>
      <c r="E9" s="71">
        <v>2</v>
      </c>
      <c r="F9" s="73">
        <v>6</v>
      </c>
      <c r="G9" s="72" t="s">
        <v>51</v>
      </c>
      <c r="H9" s="72" t="s">
        <v>52</v>
      </c>
      <c r="I9" s="72"/>
      <c r="J9" s="72">
        <v>4</v>
      </c>
      <c r="K9" s="72">
        <v>4</v>
      </c>
      <c r="L9" s="72">
        <v>8</v>
      </c>
      <c r="M9" s="71">
        <v>16</v>
      </c>
    </row>
    <row r="10" spans="3:13" ht="30">
      <c r="C10" s="70" t="s">
        <v>41</v>
      </c>
      <c r="D10" s="70">
        <v>2</v>
      </c>
      <c r="E10" s="71">
        <v>2</v>
      </c>
      <c r="F10" s="73">
        <v>7</v>
      </c>
      <c r="G10" s="72" t="s">
        <v>53</v>
      </c>
      <c r="H10" s="72" t="s">
        <v>54</v>
      </c>
      <c r="I10" s="72"/>
      <c r="J10" s="72">
        <v>4</v>
      </c>
      <c r="K10" s="72">
        <v>4</v>
      </c>
      <c r="L10" s="72">
        <v>4</v>
      </c>
      <c r="M10" s="71">
        <v>12</v>
      </c>
    </row>
    <row r="11" spans="3:13" ht="15">
      <c r="C11" s="70" t="s">
        <v>41</v>
      </c>
      <c r="D11" s="70">
        <v>2</v>
      </c>
      <c r="E11" s="71">
        <v>2</v>
      </c>
      <c r="F11" s="73">
        <v>8</v>
      </c>
      <c r="G11" s="72" t="s">
        <v>55</v>
      </c>
      <c r="H11" s="72" t="s">
        <v>56</v>
      </c>
      <c r="I11" s="72" t="s">
        <v>57</v>
      </c>
      <c r="J11" s="72">
        <v>2</v>
      </c>
      <c r="K11" s="72">
        <v>2</v>
      </c>
      <c r="L11" s="72">
        <v>2</v>
      </c>
      <c r="M11" s="71">
        <v>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A13F8-E5D9-4EC1-A8A3-38493043D79D}">
  <dimension ref="A2:P47"/>
  <sheetViews>
    <sheetView topLeftCell="A7" zoomScale="232" zoomScaleNormal="232" workbookViewId="0">
      <selection activeCell="G26" sqref="G26"/>
    </sheetView>
  </sheetViews>
  <sheetFormatPr defaultRowHeight="12.75"/>
  <cols>
    <col min="1" max="1" width="15.28515625" customWidth="1"/>
    <col min="4" max="4" width="10.28515625" bestFit="1" customWidth="1"/>
    <col min="5" max="5" width="9.5703125" bestFit="1" customWidth="1"/>
    <col min="6" max="6" width="8.85546875" bestFit="1" customWidth="1"/>
    <col min="7" max="9" width="9.85546875" bestFit="1" customWidth="1"/>
    <col min="10" max="11" width="8.85546875" bestFit="1" customWidth="1"/>
    <col min="12" max="13" width="10" bestFit="1" customWidth="1"/>
    <col min="14" max="14" width="9.85546875" bestFit="1" customWidth="1"/>
    <col min="15" max="15" width="8.5703125" bestFit="1" customWidth="1"/>
    <col min="16" max="16" width="9.5703125" bestFit="1" customWidth="1"/>
  </cols>
  <sheetData>
    <row r="2" spans="1:14">
      <c r="A2" s="113" t="s">
        <v>255</v>
      </c>
    </row>
    <row r="3" spans="1:14">
      <c r="A3" s="111" t="s">
        <v>256</v>
      </c>
      <c r="D3" s="96" t="s">
        <v>1</v>
      </c>
      <c r="E3" s="132">
        <v>1</v>
      </c>
      <c r="F3" s="132">
        <v>2</v>
      </c>
      <c r="G3" s="132">
        <v>3</v>
      </c>
      <c r="H3" s="132">
        <v>4</v>
      </c>
      <c r="I3" s="132">
        <v>5</v>
      </c>
      <c r="J3" s="132">
        <v>6</v>
      </c>
      <c r="K3" s="132">
        <v>7</v>
      </c>
      <c r="L3" s="132">
        <v>8</v>
      </c>
      <c r="M3" s="132">
        <v>9</v>
      </c>
      <c r="N3" s="132"/>
    </row>
    <row r="4" spans="1:14">
      <c r="D4" s="96" t="s">
        <v>2</v>
      </c>
      <c r="E4" s="133">
        <v>45957</v>
      </c>
      <c r="F4" s="133">
        <f>E4+7</f>
        <v>45964</v>
      </c>
      <c r="G4" s="133">
        <f t="shared" ref="G4:M4" si="0">F4+7</f>
        <v>45971</v>
      </c>
      <c r="H4" s="133">
        <f t="shared" si="0"/>
        <v>45978</v>
      </c>
      <c r="I4" s="133">
        <f t="shared" si="0"/>
        <v>45985</v>
      </c>
      <c r="J4" s="133">
        <f t="shared" si="0"/>
        <v>45992</v>
      </c>
      <c r="K4" s="133">
        <f t="shared" si="0"/>
        <v>45999</v>
      </c>
      <c r="L4" s="133">
        <f t="shared" si="0"/>
        <v>46006</v>
      </c>
      <c r="M4" s="133">
        <f t="shared" si="0"/>
        <v>46013</v>
      </c>
      <c r="N4" s="132"/>
    </row>
    <row r="5" spans="1:14">
      <c r="D5" s="96" t="s">
        <v>3</v>
      </c>
      <c r="E5" s="134"/>
      <c r="F5" s="132"/>
      <c r="G5" s="132"/>
      <c r="H5" s="132"/>
      <c r="I5" s="132"/>
      <c r="J5" s="132"/>
      <c r="K5" s="132"/>
      <c r="L5" s="132"/>
      <c r="M5" s="132"/>
      <c r="N5" s="132"/>
    </row>
    <row r="6" spans="1:14">
      <c r="D6" s="96" t="s">
        <v>4</v>
      </c>
      <c r="E6" s="132"/>
      <c r="F6" s="134"/>
      <c r="G6" s="132"/>
      <c r="H6" s="132"/>
      <c r="I6" s="132"/>
      <c r="J6" s="132"/>
      <c r="K6" s="132"/>
      <c r="L6" s="132"/>
      <c r="M6" s="132"/>
      <c r="N6" s="132"/>
    </row>
    <row r="7" spans="1:14">
      <c r="D7" s="96" t="s">
        <v>5</v>
      </c>
      <c r="E7" s="132"/>
      <c r="F7" s="132"/>
      <c r="G7" s="134"/>
      <c r="H7" s="134"/>
      <c r="I7" s="134"/>
      <c r="J7" s="134"/>
      <c r="K7" s="132"/>
      <c r="L7" s="132"/>
      <c r="M7" s="132"/>
      <c r="N7" s="132"/>
    </row>
    <row r="8" spans="1:14">
      <c r="D8" s="96" t="s">
        <v>6</v>
      </c>
      <c r="E8" s="132"/>
      <c r="F8" s="132"/>
      <c r="G8" s="132"/>
      <c r="H8" s="132"/>
      <c r="I8" s="132"/>
      <c r="J8" s="132"/>
      <c r="K8" s="134"/>
      <c r="L8" s="132"/>
      <c r="M8" s="132"/>
      <c r="N8" s="132"/>
    </row>
    <row r="9" spans="1:14">
      <c r="D9" s="96" t="s">
        <v>257</v>
      </c>
      <c r="E9" s="132"/>
      <c r="F9" s="132"/>
      <c r="G9" s="132"/>
      <c r="H9" s="132"/>
      <c r="I9" s="132"/>
      <c r="J9" s="132"/>
      <c r="K9" s="132"/>
      <c r="L9" s="134"/>
      <c r="M9" s="132"/>
      <c r="N9" s="132"/>
    </row>
    <row r="11" spans="1:14" hidden="1">
      <c r="A11" t="s">
        <v>0</v>
      </c>
      <c r="D11" t="s">
        <v>1</v>
      </c>
      <c r="E11">
        <v>1</v>
      </c>
      <c r="F11">
        <v>2</v>
      </c>
      <c r="G11">
        <v>3</v>
      </c>
      <c r="H11">
        <v>4</v>
      </c>
      <c r="I11">
        <v>5</v>
      </c>
      <c r="J11">
        <v>6</v>
      </c>
      <c r="K11">
        <v>7</v>
      </c>
      <c r="L11">
        <v>8</v>
      </c>
      <c r="M11">
        <v>9</v>
      </c>
    </row>
    <row r="12" spans="1:14" hidden="1">
      <c r="D12" t="s">
        <v>2</v>
      </c>
      <c r="E12" s="93">
        <v>45957</v>
      </c>
      <c r="F12" s="93">
        <f>E12+7</f>
        <v>45964</v>
      </c>
      <c r="G12" s="93">
        <f t="shared" ref="G12:M12" si="1">F12+7</f>
        <v>45971</v>
      </c>
      <c r="H12" s="93">
        <f t="shared" si="1"/>
        <v>45978</v>
      </c>
      <c r="I12" s="93">
        <f t="shared" si="1"/>
        <v>45985</v>
      </c>
      <c r="J12" s="93">
        <f t="shared" si="1"/>
        <v>45992</v>
      </c>
      <c r="K12" s="93">
        <f t="shared" si="1"/>
        <v>45999</v>
      </c>
      <c r="L12" s="93">
        <f t="shared" si="1"/>
        <v>46006</v>
      </c>
      <c r="M12" s="93">
        <f t="shared" si="1"/>
        <v>46013</v>
      </c>
    </row>
    <row r="13" spans="1:14" hidden="1">
      <c r="D13" s="96" t="s">
        <v>3</v>
      </c>
      <c r="E13" s="95"/>
    </row>
    <row r="14" spans="1:14" hidden="1">
      <c r="D14" s="96" t="s">
        <v>4</v>
      </c>
      <c r="F14" s="95"/>
      <c r="G14" s="95"/>
    </row>
    <row r="15" spans="1:14" hidden="1">
      <c r="D15" s="96" t="s">
        <v>5</v>
      </c>
      <c r="H15" s="95"/>
      <c r="I15" s="95"/>
      <c r="J15" s="95"/>
    </row>
    <row r="16" spans="1:14" hidden="1">
      <c r="D16" s="96" t="s">
        <v>6</v>
      </c>
      <c r="K16" s="95"/>
    </row>
    <row r="17" spans="1:16" hidden="1">
      <c r="D17" s="96" t="s">
        <v>7</v>
      </c>
      <c r="L17" s="95"/>
    </row>
    <row r="19" spans="1:16">
      <c r="A19" s="112" t="s">
        <v>8</v>
      </c>
      <c r="D19" s="114" t="s">
        <v>1</v>
      </c>
      <c r="E19" s="126">
        <v>1</v>
      </c>
      <c r="F19" s="126">
        <v>2</v>
      </c>
      <c r="G19" s="135">
        <v>3</v>
      </c>
      <c r="H19" s="125">
        <v>4</v>
      </c>
      <c r="I19" s="131">
        <v>5</v>
      </c>
      <c r="J19" s="115">
        <v>6</v>
      </c>
      <c r="K19" s="115">
        <v>7</v>
      </c>
      <c r="L19" s="116">
        <v>8</v>
      </c>
      <c r="M19" s="126"/>
      <c r="N19" s="135">
        <v>9</v>
      </c>
      <c r="O19" s="125">
        <v>10</v>
      </c>
      <c r="P19" s="125">
        <v>11</v>
      </c>
    </row>
    <row r="20" spans="1:16">
      <c r="D20" s="137" t="s">
        <v>9</v>
      </c>
      <c r="E20" s="138">
        <v>45957</v>
      </c>
      <c r="F20" s="140">
        <f>E20+7</f>
        <v>45964</v>
      </c>
      <c r="G20" s="138">
        <f t="shared" ref="G20:M20" si="2">F20+7</f>
        <v>45971</v>
      </c>
      <c r="H20" s="139">
        <f t="shared" si="2"/>
        <v>45978</v>
      </c>
      <c r="I20" s="140">
        <f t="shared" si="2"/>
        <v>45985</v>
      </c>
      <c r="J20" s="138">
        <f t="shared" si="2"/>
        <v>45992</v>
      </c>
      <c r="K20" s="138">
        <f t="shared" si="2"/>
        <v>45999</v>
      </c>
      <c r="L20" s="139">
        <f t="shared" si="2"/>
        <v>46006</v>
      </c>
      <c r="M20" s="140">
        <f t="shared" si="2"/>
        <v>46013</v>
      </c>
      <c r="N20" s="138">
        <f>M20+7</f>
        <v>46020</v>
      </c>
      <c r="O20" s="139">
        <f>N20+7</f>
        <v>46027</v>
      </c>
      <c r="P20" s="139">
        <f>O20+7</f>
        <v>46034</v>
      </c>
    </row>
    <row r="21" spans="1:16">
      <c r="D21" s="122" t="s">
        <v>3</v>
      </c>
      <c r="E21" s="127"/>
      <c r="F21" s="117"/>
      <c r="I21" s="117"/>
      <c r="L21" s="118"/>
      <c r="P21" s="121"/>
    </row>
    <row r="22" spans="1:16">
      <c r="D22" s="122" t="s">
        <v>4</v>
      </c>
      <c r="E22" s="117"/>
      <c r="F22" s="127"/>
      <c r="G22" s="95"/>
      <c r="H22" s="95"/>
      <c r="I22" s="117"/>
      <c r="L22" s="118"/>
      <c r="P22" s="121"/>
    </row>
    <row r="23" spans="1:16">
      <c r="D23" s="122" t="s">
        <v>5</v>
      </c>
      <c r="E23" s="117"/>
      <c r="F23" s="117"/>
      <c r="I23" s="127"/>
      <c r="J23" s="95"/>
      <c r="K23" s="95"/>
      <c r="L23" s="129"/>
      <c r="P23" s="121"/>
    </row>
    <row r="24" spans="1:16">
      <c r="D24" s="122" t="s">
        <v>6</v>
      </c>
      <c r="E24" s="117"/>
      <c r="F24" s="117"/>
      <c r="I24" s="117"/>
      <c r="L24" s="118"/>
      <c r="M24" s="119"/>
      <c r="N24" s="110"/>
      <c r="O24" s="110"/>
      <c r="P24" s="121"/>
    </row>
    <row r="25" spans="1:16">
      <c r="D25" s="123" t="s">
        <v>7</v>
      </c>
      <c r="E25" s="128"/>
      <c r="F25" s="128"/>
      <c r="G25" s="120"/>
      <c r="H25" s="120"/>
      <c r="I25" s="128"/>
      <c r="J25" s="120"/>
      <c r="K25" s="120"/>
      <c r="L25" s="130"/>
      <c r="M25" s="120"/>
      <c r="N25" s="120"/>
      <c r="O25" s="120"/>
      <c r="P25" s="124"/>
    </row>
    <row r="28" spans="1:16">
      <c r="A28" s="113" t="s">
        <v>258</v>
      </c>
    </row>
    <row r="29" spans="1:16">
      <c r="A29" s="96" t="s">
        <v>256</v>
      </c>
      <c r="D29" t="s">
        <v>1</v>
      </c>
      <c r="E29">
        <v>1</v>
      </c>
      <c r="F29">
        <v>2</v>
      </c>
      <c r="G29">
        <v>3</v>
      </c>
      <c r="H29">
        <v>4</v>
      </c>
      <c r="I29">
        <v>5</v>
      </c>
      <c r="J29">
        <v>6</v>
      </c>
      <c r="K29">
        <v>7</v>
      </c>
    </row>
    <row r="30" spans="1:16">
      <c r="D30" t="s">
        <v>2</v>
      </c>
      <c r="E30" s="133">
        <v>45964</v>
      </c>
      <c r="F30" s="133">
        <f>E30+7</f>
        <v>45971</v>
      </c>
      <c r="G30" s="133">
        <f>F30+7</f>
        <v>45978</v>
      </c>
      <c r="H30" s="133">
        <f t="shared" ref="H30" si="3">G30+7</f>
        <v>45985</v>
      </c>
      <c r="I30" s="133">
        <f t="shared" ref="I30" si="4">H30+7</f>
        <v>45992</v>
      </c>
      <c r="J30" s="133">
        <f t="shared" ref="J30" si="5">I30+7</f>
        <v>45999</v>
      </c>
      <c r="K30" s="133">
        <f t="shared" ref="K30" si="6">J30+7</f>
        <v>46006</v>
      </c>
    </row>
    <row r="31" spans="1:16">
      <c r="D31" t="s">
        <v>3</v>
      </c>
      <c r="E31" s="94"/>
    </row>
    <row r="32" spans="1:16">
      <c r="D32" t="s">
        <v>4</v>
      </c>
      <c r="F32" s="94"/>
      <c r="G32" s="94"/>
      <c r="H32" s="94"/>
      <c r="I32" s="94"/>
    </row>
    <row r="33" spans="1:11">
      <c r="D33" t="s">
        <v>257</v>
      </c>
      <c r="J33" s="94"/>
    </row>
    <row r="35" spans="1:11" hidden="1">
      <c r="A35" t="s">
        <v>0</v>
      </c>
      <c r="D35" t="s">
        <v>1</v>
      </c>
      <c r="E35">
        <v>1</v>
      </c>
      <c r="F35">
        <v>2</v>
      </c>
      <c r="G35">
        <v>3</v>
      </c>
      <c r="H35">
        <v>4</v>
      </c>
      <c r="I35">
        <v>5</v>
      </c>
      <c r="J35">
        <v>6</v>
      </c>
      <c r="K35">
        <v>7</v>
      </c>
    </row>
    <row r="36" spans="1:11" hidden="1">
      <c r="D36" t="s">
        <v>2</v>
      </c>
      <c r="E36" s="93">
        <v>45957</v>
      </c>
      <c r="F36" s="93">
        <f>E36+7</f>
        <v>45964</v>
      </c>
      <c r="G36" s="93">
        <f t="shared" ref="G36" si="7">F36+7</f>
        <v>45971</v>
      </c>
      <c r="H36" s="93">
        <f t="shared" ref="H36" si="8">G36+7</f>
        <v>45978</v>
      </c>
      <c r="I36" s="93">
        <f t="shared" ref="I36" si="9">H36+7</f>
        <v>45985</v>
      </c>
      <c r="J36" s="93">
        <f t="shared" ref="J36" si="10">I36+7</f>
        <v>45992</v>
      </c>
      <c r="K36" s="93">
        <f t="shared" ref="K36" si="11">J36+7</f>
        <v>45999</v>
      </c>
    </row>
    <row r="37" spans="1:11" hidden="1">
      <c r="D37" s="96" t="s">
        <v>3</v>
      </c>
      <c r="E37" s="95"/>
    </row>
    <row r="38" spans="1:11" hidden="1">
      <c r="D38" s="96" t="s">
        <v>4</v>
      </c>
      <c r="F38" s="95"/>
      <c r="G38" s="95"/>
    </row>
    <row r="39" spans="1:11" hidden="1">
      <c r="D39" s="96" t="s">
        <v>5</v>
      </c>
      <c r="H39" s="95"/>
      <c r="I39" s="95"/>
      <c r="J39" s="95"/>
    </row>
    <row r="40" spans="1:11" hidden="1">
      <c r="D40" s="96" t="s">
        <v>6</v>
      </c>
      <c r="K40" s="95"/>
    </row>
    <row r="41" spans="1:11" hidden="1">
      <c r="D41" s="96" t="s">
        <v>7</v>
      </c>
    </row>
    <row r="43" spans="1:11">
      <c r="A43" s="112" t="s">
        <v>8</v>
      </c>
      <c r="D43" t="s">
        <v>1</v>
      </c>
      <c r="E43">
        <v>1</v>
      </c>
      <c r="F43">
        <v>2</v>
      </c>
      <c r="G43">
        <v>3</v>
      </c>
      <c r="H43">
        <v>4</v>
      </c>
      <c r="I43">
        <v>5</v>
      </c>
      <c r="J43">
        <v>6</v>
      </c>
      <c r="K43">
        <v>7</v>
      </c>
    </row>
    <row r="44" spans="1:11">
      <c r="D44" t="s">
        <v>259</v>
      </c>
      <c r="E44" s="133">
        <v>45964</v>
      </c>
      <c r="F44" s="133">
        <f>E44+7</f>
        <v>45971</v>
      </c>
      <c r="G44" s="133">
        <f>F44+7</f>
        <v>45978</v>
      </c>
      <c r="H44" s="133">
        <f t="shared" ref="H44" si="12">G44+7</f>
        <v>45985</v>
      </c>
      <c r="I44" s="133">
        <f t="shared" ref="I44" si="13">H44+7</f>
        <v>45992</v>
      </c>
      <c r="J44" s="133">
        <f t="shared" ref="J44" si="14">I44+7</f>
        <v>45999</v>
      </c>
      <c r="K44" s="133">
        <f t="shared" ref="K44" si="15">J44+7</f>
        <v>46006</v>
      </c>
    </row>
    <row r="45" spans="1:11">
      <c r="D45" s="96" t="s">
        <v>3</v>
      </c>
      <c r="E45" s="95"/>
    </row>
    <row r="46" spans="1:11">
      <c r="D46" s="96" t="s">
        <v>4</v>
      </c>
      <c r="F46" s="95"/>
      <c r="G46" s="95"/>
      <c r="H46" s="97"/>
      <c r="I46" s="95"/>
      <c r="J46" s="95"/>
    </row>
    <row r="47" spans="1:11">
      <c r="D47" s="96" t="s">
        <v>7</v>
      </c>
      <c r="K47" s="110"/>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8B867-EEFA-4C71-823C-752FE28A95DE}">
  <dimension ref="A1:G10"/>
  <sheetViews>
    <sheetView tabSelected="1" zoomScale="160" zoomScaleNormal="160" workbookViewId="0">
      <selection activeCell="G10" sqref="G10"/>
    </sheetView>
  </sheetViews>
  <sheetFormatPr defaultRowHeight="12.75"/>
  <cols>
    <col min="1" max="1" width="9.5703125" bestFit="1" customWidth="1"/>
    <col min="2" max="2" width="29.42578125" customWidth="1"/>
    <col min="3" max="3" width="35.28515625" customWidth="1"/>
    <col min="4" max="4" width="17.28515625" customWidth="1"/>
    <col min="6" max="6" width="55.140625" customWidth="1"/>
    <col min="7" max="7" width="27" customWidth="1"/>
  </cols>
  <sheetData>
    <row r="1" spans="1:7" ht="52.5" customHeight="1">
      <c r="A1" s="142" t="s">
        <v>260</v>
      </c>
      <c r="B1" s="142" t="s">
        <v>261</v>
      </c>
      <c r="C1" s="142" t="s">
        <v>262</v>
      </c>
      <c r="D1" s="142" t="s">
        <v>263</v>
      </c>
      <c r="E1" s="142" t="s">
        <v>264</v>
      </c>
      <c r="F1" s="142" t="s">
        <v>265</v>
      </c>
      <c r="G1" s="142" t="s">
        <v>266</v>
      </c>
    </row>
    <row r="2" spans="1:7" ht="51">
      <c r="A2" s="144">
        <v>7262098</v>
      </c>
      <c r="B2" s="143" t="s">
        <v>267</v>
      </c>
      <c r="C2" s="143" t="s">
        <v>268</v>
      </c>
      <c r="D2" s="143" t="s">
        <v>269</v>
      </c>
      <c r="E2" s="143" t="s">
        <v>270</v>
      </c>
      <c r="F2" s="143" t="s">
        <v>271</v>
      </c>
    </row>
    <row r="3" spans="1:7" ht="25.5">
      <c r="A3" s="144">
        <v>7254011</v>
      </c>
      <c r="B3" s="143" t="s">
        <v>272</v>
      </c>
      <c r="C3" s="143" t="s">
        <v>268</v>
      </c>
      <c r="D3" s="143" t="s">
        <v>269</v>
      </c>
      <c r="E3" s="143" t="s">
        <v>270</v>
      </c>
      <c r="F3" s="143" t="s">
        <v>273</v>
      </c>
    </row>
    <row r="4" spans="1:7" ht="51">
      <c r="A4" s="145">
        <v>7262101</v>
      </c>
      <c r="B4" s="143" t="s">
        <v>274</v>
      </c>
      <c r="C4" s="143" t="s">
        <v>275</v>
      </c>
      <c r="D4" s="143" t="s">
        <v>269</v>
      </c>
      <c r="E4" s="143" t="s">
        <v>276</v>
      </c>
      <c r="F4" s="143" t="s">
        <v>277</v>
      </c>
    </row>
    <row r="5" spans="1:7" ht="25.5">
      <c r="A5" s="145">
        <v>7262103</v>
      </c>
      <c r="B5" s="143" t="s">
        <v>278</v>
      </c>
      <c r="C5" s="143" t="s">
        <v>279</v>
      </c>
      <c r="D5" s="147" t="s">
        <v>280</v>
      </c>
      <c r="E5" s="143" t="s">
        <v>281</v>
      </c>
      <c r="F5" s="143" t="s">
        <v>282</v>
      </c>
      <c r="G5" s="146" t="s">
        <v>283</v>
      </c>
    </row>
    <row r="6" spans="1:7" ht="25.5">
      <c r="A6" s="144">
        <v>7262104</v>
      </c>
      <c r="B6" s="143" t="s">
        <v>284</v>
      </c>
      <c r="C6" s="143" t="s">
        <v>285</v>
      </c>
      <c r="D6" s="143" t="s">
        <v>286</v>
      </c>
      <c r="E6" s="143" t="s">
        <v>276</v>
      </c>
      <c r="F6" s="143" t="s">
        <v>287</v>
      </c>
    </row>
    <row r="7" spans="1:7" ht="25.5">
      <c r="A7" s="144">
        <v>7262114</v>
      </c>
      <c r="B7" s="143" t="s">
        <v>288</v>
      </c>
      <c r="C7" s="143" t="s">
        <v>289</v>
      </c>
      <c r="D7" s="147" t="s">
        <v>280</v>
      </c>
      <c r="E7" s="143" t="s">
        <v>281</v>
      </c>
      <c r="F7" s="143" t="s">
        <v>290</v>
      </c>
      <c r="G7" s="146" t="s">
        <v>291</v>
      </c>
    </row>
    <row r="8" spans="1:7" ht="25.5">
      <c r="A8" s="144">
        <v>7262116</v>
      </c>
      <c r="B8" s="143" t="s">
        <v>292</v>
      </c>
      <c r="C8" s="143" t="s">
        <v>293</v>
      </c>
      <c r="D8" s="147" t="s">
        <v>280</v>
      </c>
      <c r="E8" s="144" t="s">
        <v>294</v>
      </c>
      <c r="F8" s="143" t="s">
        <v>295</v>
      </c>
      <c r="G8" s="146" t="s">
        <v>291</v>
      </c>
    </row>
    <row r="9" spans="1:7" ht="51">
      <c r="A9" s="144">
        <v>7262119</v>
      </c>
      <c r="B9" s="143" t="s">
        <v>296</v>
      </c>
      <c r="C9" s="143" t="s">
        <v>297</v>
      </c>
      <c r="D9" s="143" t="s">
        <v>269</v>
      </c>
      <c r="E9" s="143" t="s">
        <v>270</v>
      </c>
      <c r="F9" s="143" t="s">
        <v>298</v>
      </c>
    </row>
    <row r="10" spans="1:7" ht="53.25" customHeight="1">
      <c r="A10" s="145" t="s">
        <v>299</v>
      </c>
      <c r="B10" s="143" t="s">
        <v>300</v>
      </c>
      <c r="C10" s="143" t="s">
        <v>301</v>
      </c>
      <c r="D10" s="147" t="s">
        <v>280</v>
      </c>
      <c r="E10" s="143" t="s">
        <v>281</v>
      </c>
      <c r="F10" s="143" t="s">
        <v>302</v>
      </c>
      <c r="G10" s="146" t="s">
        <v>303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rojectID xmlns="03ac710f-42be-4c16-baa0-177ff0ef70be"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0454938D12DA34FAB5E7AF0EF94B0E4" ma:contentTypeVersion="8" ma:contentTypeDescription="Create a new document." ma:contentTypeScope="" ma:versionID="c492aa7b12724605b3c3742e09546750">
  <xsd:schema xmlns:xsd="http://www.w3.org/2001/XMLSchema" xmlns:xs="http://www.w3.org/2001/XMLSchema" xmlns:p="http://schemas.microsoft.com/office/2006/metadata/properties" xmlns:ns2="03ac710f-42be-4c16-baa0-177ff0ef70be" xmlns:ns3="548933ca-b380-4a29-b4bd-fc01c0d24bbd" targetNamespace="http://schemas.microsoft.com/office/2006/metadata/properties" ma:root="true" ma:fieldsID="22ff938960d793777b4399994b25bbcf" ns2:_="" ns3:_="">
    <xsd:import namespace="03ac710f-42be-4c16-baa0-177ff0ef70be"/>
    <xsd:import namespace="548933ca-b380-4a29-b4bd-fc01c0d24bbd"/>
    <xsd:element name="properties">
      <xsd:complexType>
        <xsd:sequence>
          <xsd:element name="documentManagement">
            <xsd:complexType>
              <xsd:all>
                <xsd:element ref="ns2:ProjectID"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3ac710f-42be-4c16-baa0-177ff0ef70be" elementFormDefault="qualified">
    <xsd:import namespace="http://schemas.microsoft.com/office/2006/documentManagement/types"/>
    <xsd:import namespace="http://schemas.microsoft.com/office/infopath/2007/PartnerControls"/>
    <xsd:element name="ProjectID" ma:index="8" nillable="true" ma:displayName="Project ID" ma:format="Dropdown" ma:internalName="ProjectID">
      <xsd:simpleType>
        <xsd:restriction base="dms:Text">
          <xsd:maxLength value="30"/>
        </xsd:restriction>
      </xsd:simpleType>
    </xsd:element>
  </xsd:schema>
  <xsd:schema xmlns:xsd="http://www.w3.org/2001/XMLSchema" xmlns:xs="http://www.w3.org/2001/XMLSchema" xmlns:dms="http://schemas.microsoft.com/office/2006/documentManagement/types" xmlns:pc="http://schemas.microsoft.com/office/infopath/2007/PartnerControls" targetNamespace="548933ca-b380-4a29-b4bd-fc01c0d24bbd" elementFormDefault="qualified">
    <xsd:import namespace="http://schemas.microsoft.com/office/2006/documentManagement/types"/>
    <xsd:import namespace="http://schemas.microsoft.com/office/infopath/2007/PartnerControls"/>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AE97324-03EE-4675-B56B-57BCA6091663}"/>
</file>

<file path=customXml/itemProps2.xml><?xml version="1.0" encoding="utf-8"?>
<ds:datastoreItem xmlns:ds="http://schemas.openxmlformats.org/officeDocument/2006/customXml" ds:itemID="{E2234AD2-4B25-4E95-ADF9-9DE448FECEDD}"/>
</file>

<file path=customXml/itemProps3.xml><?xml version="1.0" encoding="utf-8"?>
<ds:datastoreItem xmlns:ds="http://schemas.openxmlformats.org/officeDocument/2006/customXml" ds:itemID="{5B352E2E-AB8A-4167-82C9-186283CA10D9}"/>
</file>

<file path=docProps/app.xml><?xml version="1.0" encoding="utf-8"?>
<Properties xmlns="http://schemas.openxmlformats.org/officeDocument/2006/extended-properties" xmlns:vt="http://schemas.openxmlformats.org/officeDocument/2006/docPropsVTypes">
  <Application>Microsoft Excel Online</Application>
  <Manager/>
  <Company>NewRocket, LLC.</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Yitbarek Redda</dc:creator>
  <cp:keywords/>
  <dc:description/>
  <cp:lastModifiedBy>Anusha DasFedele</cp:lastModifiedBy>
  <cp:revision/>
  <dcterms:created xsi:type="dcterms:W3CDTF">2025-10-24T14:38:45Z</dcterms:created>
  <dcterms:modified xsi:type="dcterms:W3CDTF">2025-12-08T20:50:05Z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0x010100A0454938D12DA34FAB5E7AF0EF94B0E4</vt:lpwstr>
  </property>
</Properties>
</file>